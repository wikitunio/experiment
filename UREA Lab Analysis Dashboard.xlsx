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muet14-my.sharepoint.com/personal/18ch37_students_muet_edu_pk/Documents/AgriTech Limited/UREA/"/>
    </mc:Choice>
  </mc:AlternateContent>
  <xr:revisionPtr revIDLastSave="3301" documentId="13_ncr:1_{692D1B79-499E-9E48-AE93-3CFDC931B22E}" xr6:coauthVersionLast="47" xr6:coauthVersionMax="47" xr10:uidLastSave="{45CF3ED1-72FD-4151-AC84-9B3E273F3CFC}"/>
  <bookViews>
    <workbookView xWindow="-110" yWindow="-110" windowWidth="19420" windowHeight="10300" firstSheet="1" activeTab="2" xr2:uid="{73E819C7-F1AF-1E48-9BA0-FFC0182C3899}"/>
  </bookViews>
  <sheets>
    <sheet name="Lab Analysis" sheetId="1" r:id="rId1"/>
    <sheet name="Efficiencies" sheetId="2" r:id="rId2"/>
    <sheet name="Dashboard" sheetId="5" r:id="rId3"/>
    <sheet name="Product Analysis" sheetId="11" r:id="rId4"/>
    <sheet name="PQ Trends" sheetId="12" r:id="rId5"/>
    <sheet name="UREA PLANT ENERGY INDEX PROFILE" sheetId="15" r:id="rId6"/>
    <sheet name="Reactor" sheetId="7" r:id="rId7"/>
    <sheet name="Stripper" sheetId="6" r:id="rId8"/>
    <sheet name="HPD" sheetId="8" r:id="rId9"/>
    <sheet name="HPA" sheetId="9" r:id="rId10"/>
    <sheet name="LPA" sheetId="10" r:id="rId11"/>
  </sheets>
  <externalReferences>
    <externalReference r:id="rId12"/>
  </externalReferences>
  <definedNames>
    <definedName name="_xlnm._FilterDatabase" localSheetId="1" hidden="1">Efficiencies!$A$4:$Q$4</definedName>
    <definedName name="_xlnm._FilterDatabase" localSheetId="9" hidden="1">HPA!$A$4:$C$208</definedName>
    <definedName name="_xlnm._FilterDatabase" localSheetId="8" hidden="1">HPD!$A$4:$D$208</definedName>
    <definedName name="_xlnm._FilterDatabase" localSheetId="10" hidden="1">LPA!$A$4:$C$208</definedName>
    <definedName name="_xlnm._FilterDatabase" localSheetId="6" hidden="1">Reactor!$A$4:$F$208</definedName>
    <definedName name="_xlnm._FilterDatabase" localSheetId="7" hidden="1">Stripper!$A$4:$D$208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0" i="15" l="1"/>
  <c r="L470" i="15" s="1"/>
  <c r="K471" i="15"/>
  <c r="L471" i="15" s="1"/>
  <c r="K472" i="15"/>
  <c r="L472" i="15"/>
  <c r="K473" i="15"/>
  <c r="L473" i="15"/>
  <c r="K474" i="15"/>
  <c r="L474" i="15"/>
  <c r="K475" i="15"/>
  <c r="L475" i="15" s="1"/>
  <c r="K476" i="15"/>
  <c r="L476" i="15"/>
  <c r="K477" i="15"/>
  <c r="L477" i="15"/>
  <c r="K478" i="15"/>
  <c r="L478" i="15"/>
  <c r="K479" i="15"/>
  <c r="L479" i="15" s="1"/>
  <c r="K480" i="15"/>
  <c r="L480" i="15"/>
  <c r="K481" i="15"/>
  <c r="L481" i="15"/>
  <c r="K482" i="15"/>
  <c r="L482" i="15"/>
  <c r="K483" i="15"/>
  <c r="L483" i="15" s="1"/>
  <c r="K484" i="15"/>
  <c r="L484" i="15"/>
  <c r="K485" i="15"/>
  <c r="L485" i="15"/>
  <c r="K486" i="15"/>
  <c r="L486" i="15"/>
  <c r="K487" i="15"/>
  <c r="L487" i="15" s="1"/>
  <c r="K488" i="15"/>
  <c r="L488" i="15"/>
  <c r="K489" i="15"/>
  <c r="L489" i="15"/>
  <c r="K490" i="15"/>
  <c r="L490" i="15"/>
  <c r="K491" i="15"/>
  <c r="L491" i="15" s="1"/>
  <c r="K492" i="15"/>
  <c r="L492" i="15"/>
  <c r="K493" i="15"/>
  <c r="L493" i="15"/>
  <c r="K494" i="15"/>
  <c r="L494" i="15"/>
  <c r="K495" i="15"/>
  <c r="L495" i="15" s="1"/>
  <c r="K496" i="15"/>
  <c r="L496" i="15"/>
  <c r="K497" i="15"/>
  <c r="L497" i="15"/>
  <c r="K498" i="15"/>
  <c r="L498" i="15"/>
  <c r="K499" i="15"/>
  <c r="L499" i="15" s="1"/>
  <c r="K500" i="15"/>
  <c r="L500" i="15"/>
  <c r="K501" i="15"/>
  <c r="L501" i="15"/>
  <c r="K502" i="15"/>
  <c r="L502" i="15"/>
  <c r="K503" i="15"/>
  <c r="L503" i="15" s="1"/>
  <c r="K504" i="15"/>
  <c r="L504" i="15"/>
  <c r="K505" i="15"/>
  <c r="L505" i="15"/>
  <c r="K506" i="15"/>
  <c r="L506" i="15"/>
  <c r="K507" i="15"/>
  <c r="L507" i="15" s="1"/>
  <c r="K508" i="15"/>
  <c r="L508" i="15"/>
  <c r="K509" i="15"/>
  <c r="L509" i="15"/>
  <c r="K510" i="15"/>
  <c r="L510" i="15"/>
  <c r="K511" i="15"/>
  <c r="L511" i="15" s="1"/>
  <c r="K512" i="15"/>
  <c r="L512" i="15"/>
  <c r="K513" i="15"/>
  <c r="L513" i="15"/>
  <c r="K514" i="15"/>
  <c r="L514" i="15"/>
  <c r="K515" i="15"/>
  <c r="L515" i="15" s="1"/>
  <c r="K516" i="15"/>
  <c r="L516" i="15"/>
  <c r="K517" i="15"/>
  <c r="L517" i="15"/>
  <c r="K518" i="15"/>
  <c r="L518" i="15"/>
  <c r="K519" i="15"/>
  <c r="L519" i="15" s="1"/>
  <c r="K520" i="15"/>
  <c r="L520" i="15"/>
  <c r="K521" i="15"/>
  <c r="L521" i="15"/>
  <c r="K522" i="15"/>
  <c r="L522" i="15"/>
  <c r="K523" i="15"/>
  <c r="L523" i="15" s="1"/>
  <c r="K524" i="15"/>
  <c r="L524" i="15"/>
  <c r="K525" i="15"/>
  <c r="L525" i="15"/>
  <c r="K526" i="15"/>
  <c r="L526" i="15"/>
  <c r="K527" i="15"/>
  <c r="L527" i="15" s="1"/>
  <c r="K528" i="15"/>
  <c r="L528" i="15"/>
  <c r="K529" i="15"/>
  <c r="L529" i="15"/>
  <c r="K530" i="15"/>
  <c r="L530" i="15"/>
  <c r="K531" i="15"/>
  <c r="L531" i="15" s="1"/>
  <c r="K532" i="15"/>
  <c r="L532" i="15"/>
  <c r="K533" i="15"/>
  <c r="L533" i="15"/>
  <c r="K534" i="15"/>
  <c r="L534" i="15"/>
  <c r="K535" i="15"/>
  <c r="L535" i="15" s="1"/>
  <c r="K536" i="15"/>
  <c r="L536" i="15"/>
  <c r="K537" i="15"/>
  <c r="L537" i="15"/>
  <c r="K538" i="15"/>
  <c r="L538" i="15"/>
  <c r="K539" i="15"/>
  <c r="L539" i="15" s="1"/>
  <c r="K540" i="15"/>
  <c r="L540" i="15"/>
  <c r="K541" i="15"/>
  <c r="L541" i="15"/>
  <c r="K542" i="15"/>
  <c r="L542" i="15"/>
  <c r="K543" i="15"/>
  <c r="L543" i="15" s="1"/>
  <c r="K544" i="15"/>
  <c r="L544" i="15"/>
  <c r="K545" i="15"/>
  <c r="L545" i="15"/>
  <c r="K546" i="15"/>
  <c r="L546" i="15"/>
  <c r="K547" i="15"/>
  <c r="L547" i="15" s="1"/>
  <c r="K548" i="15"/>
  <c r="L548" i="15"/>
  <c r="K549" i="15"/>
  <c r="L549" i="15"/>
  <c r="K550" i="15"/>
  <c r="L550" i="15"/>
  <c r="K551" i="15"/>
  <c r="L551" i="15" s="1"/>
  <c r="K552" i="15"/>
  <c r="L552" i="15"/>
  <c r="K553" i="15"/>
  <c r="L553" i="15"/>
  <c r="K554" i="15"/>
  <c r="L554" i="15"/>
  <c r="K555" i="15"/>
  <c r="L555" i="15" s="1"/>
  <c r="K556" i="15"/>
  <c r="L556" i="15"/>
  <c r="K557" i="15"/>
  <c r="L557" i="15"/>
  <c r="K558" i="15"/>
  <c r="L558" i="15"/>
  <c r="K559" i="15"/>
  <c r="L559" i="15" s="1"/>
  <c r="K560" i="15"/>
  <c r="L560" i="15"/>
  <c r="K561" i="15"/>
  <c r="L561" i="15"/>
  <c r="K562" i="15"/>
  <c r="L562" i="15"/>
  <c r="K563" i="15"/>
  <c r="L563" i="15" s="1"/>
  <c r="K564" i="15"/>
  <c r="L564" i="15"/>
  <c r="K565" i="15"/>
  <c r="L565" i="15"/>
  <c r="K566" i="15"/>
  <c r="L566" i="15"/>
  <c r="K567" i="15"/>
  <c r="L567" i="15" s="1"/>
  <c r="K568" i="15"/>
  <c r="L568" i="15"/>
  <c r="K569" i="15"/>
  <c r="L569" i="15"/>
  <c r="K570" i="15"/>
  <c r="L570" i="15"/>
  <c r="K571" i="15"/>
  <c r="L571" i="15" s="1"/>
  <c r="K572" i="15"/>
  <c r="L572" i="15"/>
  <c r="K573" i="15"/>
  <c r="L573" i="15"/>
  <c r="K574" i="15"/>
  <c r="L574" i="15"/>
  <c r="K575" i="15"/>
  <c r="L575" i="15" s="1"/>
  <c r="K576" i="15"/>
  <c r="L576" i="15"/>
  <c r="K577" i="15"/>
  <c r="L577" i="15"/>
  <c r="K578" i="15"/>
  <c r="L578" i="15"/>
  <c r="K579" i="15"/>
  <c r="L579" i="15" s="1"/>
  <c r="K580" i="15"/>
  <c r="L580" i="15"/>
  <c r="K581" i="15"/>
  <c r="L581" i="15"/>
  <c r="K582" i="15"/>
  <c r="L582" i="15"/>
  <c r="K583" i="15"/>
  <c r="L583" i="15" s="1"/>
  <c r="K584" i="15"/>
  <c r="L584" i="15"/>
  <c r="K585" i="15"/>
  <c r="L585" i="15"/>
  <c r="K586" i="15"/>
  <c r="L586" i="15"/>
  <c r="K587" i="15"/>
  <c r="L587" i="15" s="1"/>
  <c r="K588" i="15"/>
  <c r="L588" i="15"/>
  <c r="K589" i="15"/>
  <c r="L589" i="15"/>
  <c r="K590" i="15"/>
  <c r="L590" i="15"/>
  <c r="K591" i="15"/>
  <c r="L591" i="15" s="1"/>
  <c r="K592" i="15"/>
  <c r="L592" i="15"/>
  <c r="K593" i="15"/>
  <c r="L593" i="15"/>
  <c r="K594" i="15"/>
  <c r="L594" i="15"/>
  <c r="K595" i="15"/>
  <c r="L595" i="15" s="1"/>
  <c r="K596" i="15"/>
  <c r="L596" i="15"/>
  <c r="K597" i="15"/>
  <c r="L597" i="15"/>
  <c r="K598" i="15"/>
  <c r="L598" i="15"/>
  <c r="K599" i="15"/>
  <c r="L599" i="15" s="1"/>
  <c r="K600" i="15"/>
  <c r="L600" i="15"/>
  <c r="K601" i="15"/>
  <c r="L601" i="15"/>
  <c r="K602" i="15"/>
  <c r="L602" i="15"/>
  <c r="K603" i="15"/>
  <c r="L603" i="15" s="1"/>
  <c r="K604" i="15"/>
  <c r="L604" i="15"/>
  <c r="K605" i="15"/>
  <c r="L605" i="15"/>
  <c r="K606" i="15"/>
  <c r="L606" i="15"/>
  <c r="K607" i="15"/>
  <c r="L607" i="15" s="1"/>
  <c r="K608" i="15"/>
  <c r="L608" i="15"/>
  <c r="K609" i="15"/>
  <c r="L609" i="15"/>
  <c r="K610" i="15"/>
  <c r="L610" i="15"/>
  <c r="K611" i="15"/>
  <c r="L611" i="15" s="1"/>
  <c r="K612" i="15"/>
  <c r="L612" i="15"/>
  <c r="K613" i="15"/>
  <c r="L613" i="15"/>
  <c r="K614" i="15"/>
  <c r="L614" i="15"/>
  <c r="K615" i="15"/>
  <c r="L615" i="15" s="1"/>
  <c r="K616" i="15"/>
  <c r="L616" i="15"/>
  <c r="K617" i="15"/>
  <c r="L617" i="15"/>
  <c r="K618" i="15"/>
  <c r="L618" i="15"/>
  <c r="K619" i="15"/>
  <c r="L619" i="15" s="1"/>
  <c r="K620" i="15"/>
  <c r="L620" i="15"/>
  <c r="K621" i="15"/>
  <c r="L621" i="15"/>
  <c r="K622" i="15"/>
  <c r="L622" i="15"/>
  <c r="K623" i="15"/>
  <c r="L623" i="15" s="1"/>
  <c r="K624" i="15"/>
  <c r="L624" i="15"/>
  <c r="K625" i="15"/>
  <c r="L625" i="15"/>
  <c r="K626" i="15"/>
  <c r="L626" i="15"/>
  <c r="K627" i="15"/>
  <c r="L627" i="15" s="1"/>
  <c r="K628" i="15"/>
  <c r="L628" i="15"/>
  <c r="K629" i="15"/>
  <c r="L629" i="15"/>
  <c r="K630" i="15"/>
  <c r="L630" i="15"/>
  <c r="K631" i="15"/>
  <c r="L631" i="15" s="1"/>
  <c r="K632" i="15"/>
  <c r="L632" i="15"/>
  <c r="K633" i="15"/>
  <c r="L633" i="15"/>
  <c r="K634" i="15"/>
  <c r="L634" i="15"/>
  <c r="K635" i="15"/>
  <c r="L635" i="15" s="1"/>
  <c r="K636" i="15"/>
  <c r="L636" i="15"/>
  <c r="K637" i="15"/>
  <c r="L637" i="15"/>
  <c r="K638" i="15"/>
  <c r="L638" i="15"/>
  <c r="K639" i="15"/>
  <c r="L639" i="15" s="1"/>
  <c r="K640" i="15"/>
  <c r="L640" i="15"/>
  <c r="K641" i="15"/>
  <c r="L641" i="15"/>
  <c r="K642" i="15"/>
  <c r="L642" i="15"/>
  <c r="K643" i="15"/>
  <c r="L643" i="15" s="1"/>
  <c r="K644" i="15"/>
  <c r="L644" i="15"/>
  <c r="K645" i="15"/>
  <c r="L645" i="15"/>
  <c r="K646" i="15"/>
  <c r="L646" i="15"/>
  <c r="K647" i="15"/>
  <c r="L647" i="15" s="1"/>
  <c r="K648" i="15"/>
  <c r="L648" i="15"/>
  <c r="K649" i="15"/>
  <c r="L649" i="15"/>
  <c r="K650" i="15"/>
  <c r="L650" i="15"/>
  <c r="K651" i="15"/>
  <c r="L651" i="15" s="1"/>
  <c r="K652" i="15"/>
  <c r="L652" i="15"/>
  <c r="K653" i="15"/>
  <c r="L653" i="15"/>
  <c r="K654" i="15"/>
  <c r="L654" i="15"/>
  <c r="K655" i="15"/>
  <c r="L655" i="15" s="1"/>
  <c r="K656" i="15"/>
  <c r="L656" i="15"/>
  <c r="K657" i="15"/>
  <c r="L657" i="15"/>
  <c r="K658" i="15"/>
  <c r="L658" i="15"/>
  <c r="K659" i="15"/>
  <c r="L659" i="15" s="1"/>
  <c r="K660" i="15"/>
  <c r="L660" i="15"/>
  <c r="K661" i="15"/>
  <c r="L661" i="15"/>
  <c r="K662" i="15"/>
  <c r="L662" i="15"/>
  <c r="K663" i="15"/>
  <c r="L663" i="15" s="1"/>
  <c r="K664" i="15"/>
  <c r="L664" i="15"/>
  <c r="K665" i="15"/>
  <c r="L665" i="15"/>
  <c r="K666" i="15"/>
  <c r="L666" i="15"/>
  <c r="K667" i="15"/>
  <c r="L667" i="15" s="1"/>
  <c r="K668" i="15"/>
  <c r="L668" i="15"/>
  <c r="K669" i="15"/>
  <c r="L669" i="15"/>
  <c r="K670" i="15"/>
  <c r="L670" i="15"/>
  <c r="K671" i="15"/>
  <c r="L671" i="15"/>
  <c r="K672" i="15"/>
  <c r="L672" i="15"/>
  <c r="K673" i="15"/>
  <c r="L673" i="15"/>
  <c r="K674" i="15"/>
  <c r="L674" i="15"/>
  <c r="K675" i="15"/>
  <c r="L675" i="15"/>
  <c r="K676" i="15"/>
  <c r="L676" i="15"/>
  <c r="K677" i="15"/>
  <c r="L677" i="15"/>
  <c r="K678" i="15"/>
  <c r="L678" i="15"/>
  <c r="K679" i="15"/>
  <c r="L679" i="15"/>
  <c r="K680" i="15"/>
  <c r="L680" i="15"/>
  <c r="K681" i="15"/>
  <c r="L681" i="15"/>
  <c r="K682" i="15"/>
  <c r="L682" i="15"/>
  <c r="K683" i="15"/>
  <c r="L683" i="15" s="1"/>
  <c r="K684" i="15"/>
  <c r="L684" i="15"/>
  <c r="K685" i="15"/>
  <c r="L685" i="15"/>
  <c r="K686" i="15"/>
  <c r="L686" i="15"/>
  <c r="K687" i="15"/>
  <c r="L687" i="15" s="1"/>
  <c r="K688" i="15"/>
  <c r="L688" i="15"/>
  <c r="K689" i="15"/>
  <c r="L689" i="15"/>
  <c r="K690" i="15"/>
  <c r="L690" i="15"/>
  <c r="K691" i="15"/>
  <c r="L691" i="15" s="1"/>
  <c r="K692" i="15"/>
  <c r="L692" i="15"/>
  <c r="K693" i="15"/>
  <c r="L693" i="15"/>
  <c r="K694" i="15"/>
  <c r="L694" i="15"/>
  <c r="K695" i="15"/>
  <c r="L695" i="15" s="1"/>
  <c r="K696" i="15"/>
  <c r="L696" i="15"/>
  <c r="K697" i="15"/>
  <c r="L697" i="15"/>
  <c r="K698" i="15"/>
  <c r="L698" i="15"/>
  <c r="K699" i="15"/>
  <c r="L699" i="15" s="1"/>
  <c r="K700" i="15"/>
  <c r="L700" i="15"/>
  <c r="K701" i="15"/>
  <c r="L701" i="15"/>
  <c r="K702" i="15"/>
  <c r="L702" i="15"/>
  <c r="K703" i="15"/>
  <c r="L703" i="15" s="1"/>
  <c r="K704" i="15"/>
  <c r="L704" i="15"/>
  <c r="K705" i="15"/>
  <c r="L705" i="15"/>
  <c r="K706" i="15"/>
  <c r="L706" i="15"/>
  <c r="K707" i="15"/>
  <c r="L707" i="15" s="1"/>
  <c r="K708" i="15"/>
  <c r="L708" i="15"/>
  <c r="K709" i="15"/>
  <c r="L709" i="15"/>
  <c r="K710" i="15"/>
  <c r="L710" i="15"/>
  <c r="K711" i="15"/>
  <c r="L711" i="15" s="1"/>
  <c r="K712" i="15"/>
  <c r="L712" i="15"/>
  <c r="K713" i="15"/>
  <c r="L713" i="15"/>
  <c r="K714" i="15"/>
  <c r="L714" i="15"/>
  <c r="K715" i="15"/>
  <c r="L715" i="15" s="1"/>
  <c r="K716" i="15"/>
  <c r="L716" i="15"/>
  <c r="K717" i="15"/>
  <c r="L717" i="15"/>
  <c r="K718" i="15"/>
  <c r="L718" i="15"/>
  <c r="K719" i="15"/>
  <c r="L719" i="15" s="1"/>
  <c r="K720" i="15"/>
  <c r="L720" i="15"/>
  <c r="K721" i="15"/>
  <c r="L721" i="15"/>
  <c r="K722" i="15"/>
  <c r="L722" i="15"/>
  <c r="K723" i="15"/>
  <c r="L723" i="15" s="1"/>
  <c r="K724" i="15"/>
  <c r="L724" i="15"/>
  <c r="K725" i="15"/>
  <c r="L725" i="15"/>
  <c r="K726" i="15"/>
  <c r="L726" i="15"/>
  <c r="K727" i="15"/>
  <c r="L727" i="15" s="1"/>
  <c r="K728" i="15"/>
  <c r="L728" i="15"/>
  <c r="K729" i="15"/>
  <c r="L729" i="15"/>
  <c r="K730" i="15"/>
  <c r="L730" i="15"/>
  <c r="K731" i="15"/>
  <c r="L731" i="15" s="1"/>
  <c r="K732" i="15"/>
  <c r="L732" i="15"/>
  <c r="K733" i="15"/>
  <c r="L733" i="15"/>
  <c r="K734" i="15"/>
  <c r="L734" i="15"/>
  <c r="K735" i="15"/>
  <c r="L735" i="15" s="1"/>
  <c r="K736" i="15"/>
  <c r="L736" i="15"/>
  <c r="K737" i="15"/>
  <c r="L737" i="15"/>
  <c r="K738" i="15"/>
  <c r="L738" i="15"/>
  <c r="K739" i="15"/>
  <c r="L739" i="15" s="1"/>
  <c r="K740" i="15"/>
  <c r="L740" i="15"/>
  <c r="K741" i="15"/>
  <c r="L741" i="15"/>
  <c r="K742" i="15"/>
  <c r="L742" i="15"/>
  <c r="K743" i="15"/>
  <c r="L743" i="15" s="1"/>
  <c r="K744" i="15"/>
  <c r="L744" i="15"/>
  <c r="K745" i="15"/>
  <c r="L745" i="15"/>
  <c r="K746" i="15"/>
  <c r="L746" i="15"/>
  <c r="K747" i="15"/>
  <c r="L747" i="15" s="1"/>
  <c r="K748" i="15"/>
  <c r="L748" i="15"/>
  <c r="K749" i="15"/>
  <c r="L749" i="15"/>
  <c r="K750" i="15"/>
  <c r="L750" i="15"/>
  <c r="K751" i="15"/>
  <c r="L751" i="15" s="1"/>
  <c r="K752" i="15"/>
  <c r="L752" i="15"/>
  <c r="K753" i="15"/>
  <c r="L753" i="15"/>
  <c r="K754" i="15"/>
  <c r="L754" i="15"/>
  <c r="K755" i="15"/>
  <c r="L755" i="15" s="1"/>
  <c r="K756" i="15"/>
  <c r="L756" i="15"/>
  <c r="K757" i="15"/>
  <c r="L757" i="15"/>
  <c r="K758" i="15"/>
  <c r="L758" i="15"/>
  <c r="K759" i="15"/>
  <c r="L759" i="15" s="1"/>
  <c r="K760" i="15"/>
  <c r="L760" i="15"/>
  <c r="K761" i="15"/>
  <c r="L761" i="15"/>
  <c r="K762" i="15"/>
  <c r="L762" i="15"/>
  <c r="K763" i="15"/>
  <c r="L763" i="15" s="1"/>
  <c r="K764" i="15"/>
  <c r="L764" i="15"/>
  <c r="K765" i="15"/>
  <c r="L765" i="15"/>
  <c r="K766" i="15"/>
  <c r="L766" i="15"/>
  <c r="K767" i="15"/>
  <c r="L767" i="15" s="1"/>
  <c r="K768" i="15"/>
  <c r="L768" i="15"/>
  <c r="K769" i="15"/>
  <c r="L769" i="15"/>
  <c r="K770" i="15"/>
  <c r="L770" i="15"/>
  <c r="K771" i="15"/>
  <c r="L771" i="15" s="1"/>
  <c r="K772" i="15"/>
  <c r="L772" i="15"/>
  <c r="K773" i="15"/>
  <c r="L773" i="15"/>
  <c r="K774" i="15"/>
  <c r="L774" i="15"/>
  <c r="K775" i="15"/>
  <c r="L775" i="15" s="1"/>
  <c r="K776" i="15"/>
  <c r="L776" i="15"/>
  <c r="K777" i="15"/>
  <c r="L777" i="15"/>
  <c r="K778" i="15"/>
  <c r="L778" i="15"/>
  <c r="K779" i="15"/>
  <c r="L779" i="15" s="1"/>
  <c r="K780" i="15"/>
  <c r="L780" i="15"/>
  <c r="K781" i="15"/>
  <c r="L781" i="15"/>
  <c r="K782" i="15"/>
  <c r="L782" i="15"/>
  <c r="K783" i="15"/>
  <c r="L783" i="15" s="1"/>
  <c r="K784" i="15"/>
  <c r="L784" i="15"/>
  <c r="K785" i="15"/>
  <c r="L785" i="15"/>
  <c r="K786" i="15"/>
  <c r="L786" i="15"/>
  <c r="K787" i="15"/>
  <c r="L787" i="15" s="1"/>
  <c r="K788" i="15"/>
  <c r="L788" i="15"/>
  <c r="K789" i="15"/>
  <c r="L789" i="15"/>
  <c r="K790" i="15"/>
  <c r="L790" i="15"/>
  <c r="K791" i="15"/>
  <c r="L791" i="15" s="1"/>
  <c r="K792" i="15"/>
  <c r="L792" i="15"/>
  <c r="K793" i="15"/>
  <c r="L793" i="15"/>
  <c r="K794" i="15"/>
  <c r="L794" i="15"/>
  <c r="K795" i="15"/>
  <c r="L795" i="15" s="1"/>
  <c r="K796" i="15"/>
  <c r="L796" i="15"/>
  <c r="K797" i="15"/>
  <c r="L797" i="15"/>
  <c r="K798" i="15"/>
  <c r="L798" i="15"/>
  <c r="K799" i="15"/>
  <c r="L799" i="15" s="1"/>
  <c r="K800" i="15"/>
  <c r="L800" i="15"/>
  <c r="K801" i="15"/>
  <c r="L801" i="15"/>
  <c r="K802" i="15"/>
  <c r="L802" i="15"/>
  <c r="K803" i="15"/>
  <c r="L803" i="15" s="1"/>
  <c r="K804" i="15"/>
  <c r="L804" i="15"/>
  <c r="K805" i="15"/>
  <c r="L805" i="15"/>
  <c r="K806" i="15"/>
  <c r="L806" i="15"/>
  <c r="K807" i="15"/>
  <c r="L807" i="15" s="1"/>
  <c r="K808" i="15"/>
  <c r="L808" i="15"/>
  <c r="K148" i="15"/>
  <c r="L148" i="15"/>
  <c r="K149" i="15"/>
  <c r="L149" i="15" s="1"/>
  <c r="K150" i="15"/>
  <c r="L150" i="15"/>
  <c r="K151" i="15"/>
  <c r="L151" i="15"/>
  <c r="K152" i="15"/>
  <c r="L152" i="15"/>
  <c r="K153" i="15"/>
  <c r="L153" i="15"/>
  <c r="K154" i="15"/>
  <c r="L154" i="15"/>
  <c r="K155" i="15"/>
  <c r="L155" i="15"/>
  <c r="K156" i="15"/>
  <c r="L156" i="15"/>
  <c r="K157" i="15"/>
  <c r="L157" i="15"/>
  <c r="K158" i="15"/>
  <c r="L158" i="15"/>
  <c r="K159" i="15"/>
  <c r="L159" i="15"/>
  <c r="K160" i="15"/>
  <c r="L160" i="15"/>
  <c r="K161" i="15"/>
  <c r="L161" i="15"/>
  <c r="K162" i="15"/>
  <c r="L162" i="15"/>
  <c r="K163" i="15"/>
  <c r="L163" i="15"/>
  <c r="K164" i="15"/>
  <c r="L164" i="15"/>
  <c r="K165" i="15"/>
  <c r="L165" i="15"/>
  <c r="K166" i="15"/>
  <c r="L166" i="15"/>
  <c r="K167" i="15"/>
  <c r="L167" i="15"/>
  <c r="K168" i="15"/>
  <c r="L168" i="15"/>
  <c r="K169" i="15"/>
  <c r="L169" i="15"/>
  <c r="K170" i="15"/>
  <c r="L170" i="15"/>
  <c r="K171" i="15"/>
  <c r="L171" i="15"/>
  <c r="K172" i="15"/>
  <c r="L172" i="15"/>
  <c r="K173" i="15"/>
  <c r="L173" i="15"/>
  <c r="K174" i="15"/>
  <c r="L174" i="15"/>
  <c r="K175" i="15"/>
  <c r="L175" i="15"/>
  <c r="K176" i="15"/>
  <c r="L176" i="15"/>
  <c r="K177" i="15"/>
  <c r="L177" i="15"/>
  <c r="K178" i="15"/>
  <c r="L178" i="15"/>
  <c r="K179" i="15"/>
  <c r="L179" i="15"/>
  <c r="K180" i="15"/>
  <c r="L180" i="15"/>
  <c r="K181" i="15"/>
  <c r="L181" i="15"/>
  <c r="K182" i="15"/>
  <c r="L182" i="15"/>
  <c r="K183" i="15"/>
  <c r="L183" i="15"/>
  <c r="K184" i="15"/>
  <c r="L184" i="15"/>
  <c r="K185" i="15"/>
  <c r="L185" i="15"/>
  <c r="K186" i="15"/>
  <c r="L186" i="15"/>
  <c r="K187" i="15"/>
  <c r="L187" i="15"/>
  <c r="K188" i="15"/>
  <c r="L188" i="15"/>
  <c r="K189" i="15"/>
  <c r="L189" i="15"/>
  <c r="K190" i="15"/>
  <c r="L190" i="15"/>
  <c r="K191" i="15"/>
  <c r="L191" i="15"/>
  <c r="K192" i="15"/>
  <c r="L192" i="15"/>
  <c r="K193" i="15"/>
  <c r="L193" i="15"/>
  <c r="K194" i="15"/>
  <c r="L194" i="15"/>
  <c r="K195" i="15"/>
  <c r="L195" i="15"/>
  <c r="K196" i="15"/>
  <c r="L196" i="15"/>
  <c r="K197" i="15"/>
  <c r="L197" i="15"/>
  <c r="K198" i="15"/>
  <c r="L198" i="15"/>
  <c r="K199" i="15"/>
  <c r="L199" i="15"/>
  <c r="K200" i="15"/>
  <c r="L200" i="15"/>
  <c r="K201" i="15"/>
  <c r="L201" i="15"/>
  <c r="K202" i="15"/>
  <c r="L202" i="15"/>
  <c r="K203" i="15"/>
  <c r="L203" i="15"/>
  <c r="K204" i="15"/>
  <c r="L204" i="15"/>
  <c r="K205" i="15"/>
  <c r="L205" i="15"/>
  <c r="K206" i="15"/>
  <c r="L206" i="15"/>
  <c r="K207" i="15"/>
  <c r="L207" i="15"/>
  <c r="K208" i="15"/>
  <c r="L208" i="15"/>
  <c r="K209" i="15"/>
  <c r="L209" i="15"/>
  <c r="K210" i="15"/>
  <c r="L210" i="15"/>
  <c r="K211" i="15"/>
  <c r="L211" i="15"/>
  <c r="K212" i="15"/>
  <c r="L212" i="15"/>
  <c r="K213" i="15"/>
  <c r="L213" i="15"/>
  <c r="K214" i="15"/>
  <c r="L214" i="15"/>
  <c r="K215" i="15"/>
  <c r="L215" i="15"/>
  <c r="K216" i="15"/>
  <c r="L216" i="15"/>
  <c r="K217" i="15"/>
  <c r="L217" i="15"/>
  <c r="K218" i="15"/>
  <c r="L218" i="15"/>
  <c r="K219" i="15"/>
  <c r="L219" i="15"/>
  <c r="K220" i="15"/>
  <c r="L220" i="15"/>
  <c r="K221" i="15"/>
  <c r="L221" i="15"/>
  <c r="K222" i="15"/>
  <c r="L222" i="15"/>
  <c r="K223" i="15"/>
  <c r="L223" i="15"/>
  <c r="K224" i="15"/>
  <c r="L224" i="15"/>
  <c r="K225" i="15"/>
  <c r="L225" i="15"/>
  <c r="K226" i="15"/>
  <c r="L226" i="15"/>
  <c r="K227" i="15"/>
  <c r="L227" i="15"/>
  <c r="K228" i="15"/>
  <c r="L228" i="15"/>
  <c r="K229" i="15"/>
  <c r="L229" i="15"/>
  <c r="K230" i="15"/>
  <c r="L230" i="15"/>
  <c r="K231" i="15"/>
  <c r="L231" i="15"/>
  <c r="K232" i="15"/>
  <c r="L232" i="15"/>
  <c r="K233" i="15"/>
  <c r="L233" i="15"/>
  <c r="K234" i="15"/>
  <c r="L234" i="15"/>
  <c r="K235" i="15"/>
  <c r="L235" i="15"/>
  <c r="K236" i="15"/>
  <c r="L236" i="15" s="1"/>
  <c r="K237" i="15"/>
  <c r="L237" i="15"/>
  <c r="K238" i="15"/>
  <c r="L238" i="15"/>
  <c r="K239" i="15"/>
  <c r="L239" i="15"/>
  <c r="K240" i="15"/>
  <c r="L240" i="15"/>
  <c r="K241" i="15"/>
  <c r="L241" i="15"/>
  <c r="K242" i="15"/>
  <c r="L242" i="15"/>
  <c r="K243" i="15"/>
  <c r="L243" i="15"/>
  <c r="K244" i="15"/>
  <c r="L244" i="15"/>
  <c r="K245" i="15"/>
  <c r="L245" i="15"/>
  <c r="K246" i="15"/>
  <c r="L246" i="15"/>
  <c r="K247" i="15"/>
  <c r="L247" i="15"/>
  <c r="K248" i="15"/>
  <c r="L248" i="15"/>
  <c r="K249" i="15"/>
  <c r="L249" i="15"/>
  <c r="K250" i="15"/>
  <c r="L250" i="15"/>
  <c r="K251" i="15"/>
  <c r="L251" i="15"/>
  <c r="K252" i="15"/>
  <c r="L252" i="15"/>
  <c r="K253" i="15"/>
  <c r="L253" i="15"/>
  <c r="K254" i="15"/>
  <c r="L254" i="15"/>
  <c r="K255" i="15"/>
  <c r="L255" i="15"/>
  <c r="K256" i="15"/>
  <c r="L256" i="15"/>
  <c r="K257" i="15"/>
  <c r="L257" i="15"/>
  <c r="K258" i="15"/>
  <c r="L258" i="15"/>
  <c r="K259" i="15"/>
  <c r="L259" i="15"/>
  <c r="K260" i="15"/>
  <c r="L260" i="15"/>
  <c r="K261" i="15"/>
  <c r="L261" i="15"/>
  <c r="K262" i="15"/>
  <c r="L262" i="15"/>
  <c r="K263" i="15"/>
  <c r="L263" i="15"/>
  <c r="K264" i="15"/>
  <c r="L264" i="15"/>
  <c r="K265" i="15"/>
  <c r="L265" i="15"/>
  <c r="K266" i="15"/>
  <c r="L266" i="15"/>
  <c r="K267" i="15"/>
  <c r="L267" i="15"/>
  <c r="K268" i="15"/>
  <c r="L268" i="15"/>
  <c r="K269" i="15"/>
  <c r="L269" i="15"/>
  <c r="K270" i="15"/>
  <c r="L270" i="15"/>
  <c r="K271" i="15"/>
  <c r="L271" i="15"/>
  <c r="K272" i="15"/>
  <c r="L272" i="15"/>
  <c r="K273" i="15"/>
  <c r="L273" i="15"/>
  <c r="K274" i="15"/>
  <c r="L274" i="15"/>
  <c r="K275" i="15"/>
  <c r="L275" i="15"/>
  <c r="K276" i="15"/>
  <c r="L276" i="15"/>
  <c r="K277" i="15"/>
  <c r="L277" i="15"/>
  <c r="K278" i="15"/>
  <c r="L278" i="15"/>
  <c r="K279" i="15"/>
  <c r="L279" i="15"/>
  <c r="K280" i="15"/>
  <c r="L280" i="15"/>
  <c r="K281" i="15"/>
  <c r="L281" i="15"/>
  <c r="K282" i="15"/>
  <c r="L282" i="15"/>
  <c r="K283" i="15"/>
  <c r="L283" i="15"/>
  <c r="K284" i="15"/>
  <c r="L284" i="15"/>
  <c r="K285" i="15"/>
  <c r="L285" i="15"/>
  <c r="K286" i="15"/>
  <c r="L286" i="15"/>
  <c r="K287" i="15"/>
  <c r="L287" i="15"/>
  <c r="K288" i="15"/>
  <c r="L288" i="15"/>
  <c r="K289" i="15"/>
  <c r="L289" i="15"/>
  <c r="K290" i="15"/>
  <c r="L290" i="15"/>
  <c r="K291" i="15"/>
  <c r="L291" i="15"/>
  <c r="K292" i="15"/>
  <c r="L292" i="15"/>
  <c r="K293" i="15"/>
  <c r="L293" i="15"/>
  <c r="K294" i="15"/>
  <c r="L294" i="15"/>
  <c r="K295" i="15"/>
  <c r="L295" i="15"/>
  <c r="K296" i="15"/>
  <c r="L296" i="15"/>
  <c r="K297" i="15"/>
  <c r="L297" i="15"/>
  <c r="K298" i="15"/>
  <c r="L298" i="15"/>
  <c r="K299" i="15"/>
  <c r="L299" i="15"/>
  <c r="K300" i="15"/>
  <c r="L300" i="15"/>
  <c r="K301" i="15"/>
  <c r="L301" i="15"/>
  <c r="K302" i="15"/>
  <c r="L302" i="15"/>
  <c r="K303" i="15"/>
  <c r="L303" i="15"/>
  <c r="K304" i="15"/>
  <c r="L304" i="15"/>
  <c r="K305" i="15"/>
  <c r="L305" i="15"/>
  <c r="K306" i="15"/>
  <c r="L306" i="15"/>
  <c r="K307" i="15"/>
  <c r="L307" i="15"/>
  <c r="K308" i="15"/>
  <c r="L308" i="15"/>
  <c r="K309" i="15"/>
  <c r="L309" i="15"/>
  <c r="K310" i="15"/>
  <c r="L310" i="15"/>
  <c r="K311" i="15"/>
  <c r="L311" i="15"/>
  <c r="K312" i="15"/>
  <c r="L312" i="15"/>
  <c r="K313" i="15"/>
  <c r="L313" i="15"/>
  <c r="K314" i="15"/>
  <c r="L314" i="15"/>
  <c r="K315" i="15"/>
  <c r="L315" i="15"/>
  <c r="K316" i="15"/>
  <c r="L316" i="15"/>
  <c r="K317" i="15"/>
  <c r="L317" i="15"/>
  <c r="K318" i="15"/>
  <c r="L318" i="15"/>
  <c r="K319" i="15"/>
  <c r="L319" i="15"/>
  <c r="K320" i="15"/>
  <c r="L320" i="15"/>
  <c r="K321" i="15"/>
  <c r="L321" i="15"/>
  <c r="K322" i="15"/>
  <c r="L322" i="15"/>
  <c r="K323" i="15"/>
  <c r="L323" i="15"/>
  <c r="K324" i="15"/>
  <c r="L324" i="15"/>
  <c r="K325" i="15"/>
  <c r="L325" i="15"/>
  <c r="K326" i="15"/>
  <c r="L326" i="15"/>
  <c r="K327" i="15"/>
  <c r="L327" i="15"/>
  <c r="K328" i="15"/>
  <c r="L328" i="15"/>
  <c r="K329" i="15"/>
  <c r="L329" i="15"/>
  <c r="K330" i="15"/>
  <c r="L330" i="15"/>
  <c r="K331" i="15"/>
  <c r="L331" i="15"/>
  <c r="K332" i="15"/>
  <c r="L332" i="15"/>
  <c r="K333" i="15"/>
  <c r="L333" i="15"/>
  <c r="K334" i="15"/>
  <c r="L334" i="15"/>
  <c r="K335" i="15"/>
  <c r="L335" i="15"/>
  <c r="K336" i="15"/>
  <c r="L336" i="15"/>
  <c r="K337" i="15"/>
  <c r="L337" i="15"/>
  <c r="K338" i="15"/>
  <c r="L338" i="15"/>
  <c r="K339" i="15"/>
  <c r="L339" i="15"/>
  <c r="K340" i="15"/>
  <c r="L340" i="15"/>
  <c r="K341" i="15"/>
  <c r="L341" i="15"/>
  <c r="K342" i="15"/>
  <c r="L342" i="15"/>
  <c r="K343" i="15"/>
  <c r="L343" i="15"/>
  <c r="K344" i="15"/>
  <c r="L344" i="15"/>
  <c r="K345" i="15"/>
  <c r="L345" i="15"/>
  <c r="K346" i="15"/>
  <c r="L346" i="15"/>
  <c r="K347" i="15"/>
  <c r="L347" i="15"/>
  <c r="K348" i="15"/>
  <c r="L348" i="15"/>
  <c r="K349" i="15"/>
  <c r="L349" i="15"/>
  <c r="K350" i="15"/>
  <c r="L350" i="15"/>
  <c r="K351" i="15"/>
  <c r="L351" i="15"/>
  <c r="K352" i="15"/>
  <c r="L352" i="15"/>
  <c r="K353" i="15"/>
  <c r="L353" i="15"/>
  <c r="K354" i="15"/>
  <c r="L354" i="15"/>
  <c r="K355" i="15"/>
  <c r="L355" i="15"/>
  <c r="K356" i="15"/>
  <c r="L356" i="15"/>
  <c r="K357" i="15"/>
  <c r="L357" i="15"/>
  <c r="K358" i="15"/>
  <c r="L358" i="15"/>
  <c r="K359" i="15"/>
  <c r="L359" i="15"/>
  <c r="K360" i="15"/>
  <c r="L360" i="15"/>
  <c r="K361" i="15"/>
  <c r="L361" i="15"/>
  <c r="K362" i="15"/>
  <c r="L362" i="15"/>
  <c r="K363" i="15"/>
  <c r="L363" i="15"/>
  <c r="K364" i="15"/>
  <c r="L364" i="15"/>
  <c r="K365" i="15"/>
  <c r="L365" i="15"/>
  <c r="K366" i="15"/>
  <c r="L366" i="15"/>
  <c r="K367" i="15"/>
  <c r="L367" i="15"/>
  <c r="K368" i="15"/>
  <c r="L368" i="15"/>
  <c r="K369" i="15"/>
  <c r="L369" i="15"/>
  <c r="K370" i="15"/>
  <c r="L370" i="15"/>
  <c r="K371" i="15"/>
  <c r="L371" i="15"/>
  <c r="K372" i="15"/>
  <c r="L372" i="15"/>
  <c r="K373" i="15"/>
  <c r="L373" i="15"/>
  <c r="K374" i="15"/>
  <c r="L374" i="15"/>
  <c r="K375" i="15"/>
  <c r="L375" i="15"/>
  <c r="K376" i="15"/>
  <c r="L376" i="15"/>
  <c r="K377" i="15"/>
  <c r="L377" i="15"/>
  <c r="K378" i="15"/>
  <c r="L378" i="15"/>
  <c r="K379" i="15"/>
  <c r="L379" i="15"/>
  <c r="K380" i="15"/>
  <c r="L380" i="15"/>
  <c r="K381" i="15"/>
  <c r="L381" i="15"/>
  <c r="K382" i="15"/>
  <c r="L382" i="15"/>
  <c r="K383" i="15"/>
  <c r="L383" i="15"/>
  <c r="K384" i="15"/>
  <c r="L384" i="15"/>
  <c r="K385" i="15"/>
  <c r="L385" i="15"/>
  <c r="K386" i="15"/>
  <c r="L386" i="15"/>
  <c r="K387" i="15"/>
  <c r="L387" i="15"/>
  <c r="K388" i="15"/>
  <c r="L388" i="15"/>
  <c r="K389" i="15"/>
  <c r="L389" i="15"/>
  <c r="K390" i="15"/>
  <c r="L390" i="15"/>
  <c r="K391" i="15"/>
  <c r="L391" i="15"/>
  <c r="K392" i="15"/>
  <c r="L392" i="15"/>
  <c r="K393" i="15"/>
  <c r="L393" i="15"/>
  <c r="K394" i="15"/>
  <c r="L394" i="15"/>
  <c r="K395" i="15"/>
  <c r="L395" i="15"/>
  <c r="K396" i="15"/>
  <c r="L396" i="15"/>
  <c r="K397" i="15"/>
  <c r="L397" i="15"/>
  <c r="K398" i="15"/>
  <c r="L398" i="15"/>
  <c r="K399" i="15"/>
  <c r="L399" i="15"/>
  <c r="K400" i="15"/>
  <c r="L400" i="15"/>
  <c r="K401" i="15"/>
  <c r="L401" i="15"/>
  <c r="K402" i="15"/>
  <c r="L402" i="15"/>
  <c r="K403" i="15"/>
  <c r="L403" i="15"/>
  <c r="K404" i="15"/>
  <c r="L404" i="15"/>
  <c r="K405" i="15"/>
  <c r="L405" i="15"/>
  <c r="K406" i="15"/>
  <c r="L406" i="15"/>
  <c r="K407" i="15"/>
  <c r="L407" i="15"/>
  <c r="K408" i="15"/>
  <c r="L408" i="15"/>
  <c r="K409" i="15"/>
  <c r="L409" i="15"/>
  <c r="K410" i="15"/>
  <c r="L410" i="15"/>
  <c r="K411" i="15"/>
  <c r="L411" i="15"/>
  <c r="K412" i="15"/>
  <c r="L412" i="15"/>
  <c r="K413" i="15"/>
  <c r="L413" i="15"/>
  <c r="K414" i="15"/>
  <c r="L414" i="15"/>
  <c r="K415" i="15"/>
  <c r="L415" i="15"/>
  <c r="K416" i="15"/>
  <c r="L416" i="15"/>
  <c r="K417" i="15"/>
  <c r="L417" i="15"/>
  <c r="K418" i="15"/>
  <c r="L418" i="15"/>
  <c r="K419" i="15"/>
  <c r="L419" i="15"/>
  <c r="K420" i="15"/>
  <c r="L420" i="15"/>
  <c r="K421" i="15"/>
  <c r="L421" i="15"/>
  <c r="K422" i="15"/>
  <c r="L422" i="15"/>
  <c r="K423" i="15"/>
  <c r="L423" i="15"/>
  <c r="K424" i="15"/>
  <c r="L424" i="15"/>
  <c r="K425" i="15"/>
  <c r="L425" i="15"/>
  <c r="K426" i="15"/>
  <c r="L426" i="15"/>
  <c r="K427" i="15"/>
  <c r="L427" i="15"/>
  <c r="K428" i="15"/>
  <c r="L428" i="15"/>
  <c r="K429" i="15"/>
  <c r="L429" i="15"/>
  <c r="K430" i="15"/>
  <c r="L430" i="15"/>
  <c r="K431" i="15"/>
  <c r="L431" i="15"/>
  <c r="K432" i="15"/>
  <c r="L432" i="15"/>
  <c r="K433" i="15"/>
  <c r="L433" i="15"/>
  <c r="K434" i="15"/>
  <c r="L434" i="15"/>
  <c r="K435" i="15"/>
  <c r="L435" i="15"/>
  <c r="K436" i="15"/>
  <c r="L436" i="15"/>
  <c r="K437" i="15"/>
  <c r="L437" i="15"/>
  <c r="K438" i="15"/>
  <c r="L438" i="15"/>
  <c r="K439" i="15"/>
  <c r="L439" i="15"/>
  <c r="K440" i="15"/>
  <c r="L440" i="15"/>
  <c r="K441" i="15"/>
  <c r="L441" i="15"/>
  <c r="K442" i="15"/>
  <c r="L442" i="15"/>
  <c r="K443" i="15"/>
  <c r="L443" i="15"/>
  <c r="K444" i="15"/>
  <c r="L444" i="15"/>
  <c r="K445" i="15"/>
  <c r="L445" i="15"/>
  <c r="K446" i="15"/>
  <c r="L446" i="15"/>
  <c r="K447" i="15"/>
  <c r="L447" i="15"/>
  <c r="K448" i="15"/>
  <c r="L448" i="15"/>
  <c r="K449" i="15"/>
  <c r="L449" i="15"/>
  <c r="K450" i="15"/>
  <c r="L450" i="15"/>
  <c r="K451" i="15"/>
  <c r="L451" i="15"/>
  <c r="K452" i="15"/>
  <c r="L452" i="15"/>
  <c r="K453" i="15"/>
  <c r="L453" i="15"/>
  <c r="K454" i="15"/>
  <c r="L454" i="15"/>
  <c r="K455" i="15"/>
  <c r="L455" i="15"/>
  <c r="K456" i="15"/>
  <c r="L456" i="15"/>
  <c r="K457" i="15"/>
  <c r="L457" i="15"/>
  <c r="K458" i="15"/>
  <c r="L458" i="15"/>
  <c r="K459" i="15"/>
  <c r="L459" i="15"/>
  <c r="K460" i="15"/>
  <c r="L460" i="15"/>
  <c r="K461" i="15"/>
  <c r="L461" i="15"/>
  <c r="K462" i="15"/>
  <c r="L462" i="15"/>
  <c r="K463" i="15"/>
  <c r="L463" i="15"/>
  <c r="K464" i="15"/>
  <c r="L464" i="15"/>
  <c r="K465" i="15"/>
  <c r="L465" i="15"/>
  <c r="K466" i="15"/>
  <c r="L466" i="15"/>
  <c r="K467" i="15"/>
  <c r="L467" i="15"/>
  <c r="K468" i="15"/>
  <c r="L468" i="15"/>
  <c r="K469" i="15"/>
  <c r="L469" i="15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B261" i="2"/>
  <c r="C261" i="2"/>
  <c r="D261" i="2"/>
  <c r="E261" i="2"/>
  <c r="F261" i="2"/>
  <c r="G261" i="2"/>
  <c r="H261" i="2"/>
  <c r="J261" i="2"/>
  <c r="K261" i="2"/>
  <c r="L261" i="2"/>
  <c r="M261" i="2"/>
  <c r="N261" i="2"/>
  <c r="O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B263" i="2"/>
  <c r="C263" i="2"/>
  <c r="D263" i="2"/>
  <c r="G263" i="2"/>
  <c r="H263" i="2"/>
  <c r="J263" i="2"/>
  <c r="K263" i="2"/>
  <c r="L263" i="2"/>
  <c r="M263" i="2"/>
  <c r="N263" i="2"/>
  <c r="O263" i="2"/>
  <c r="P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B268" i="2"/>
  <c r="C268" i="2"/>
  <c r="D268" i="2"/>
  <c r="E268" i="2"/>
  <c r="F268" i="2"/>
  <c r="G268" i="2"/>
  <c r="H268" i="2"/>
  <c r="J268" i="2"/>
  <c r="K268" i="2"/>
  <c r="M268" i="2"/>
  <c r="O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O269" i="2"/>
  <c r="P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B292" i="2"/>
  <c r="C292" i="2"/>
  <c r="D292" i="2"/>
  <c r="E292" i="2"/>
  <c r="F292" i="2"/>
  <c r="G292" i="2"/>
  <c r="H292" i="2"/>
  <c r="J292" i="2"/>
  <c r="K292" i="2"/>
  <c r="L292" i="2"/>
  <c r="M292" i="2"/>
  <c r="N292" i="2"/>
  <c r="O292" i="2"/>
  <c r="P292" i="2"/>
  <c r="B293" i="2"/>
  <c r="C293" i="2"/>
  <c r="D293" i="2"/>
  <c r="E293" i="2"/>
  <c r="F293" i="2"/>
  <c r="G293" i="2"/>
  <c r="H293" i="2"/>
  <c r="J293" i="2"/>
  <c r="K293" i="2"/>
  <c r="L293" i="2"/>
  <c r="M293" i="2"/>
  <c r="N293" i="2"/>
  <c r="O293" i="2"/>
  <c r="P293" i="2"/>
  <c r="B294" i="2"/>
  <c r="C294" i="2"/>
  <c r="D294" i="2"/>
  <c r="G294" i="2"/>
  <c r="H294" i="2"/>
  <c r="J294" i="2"/>
  <c r="K294" i="2"/>
  <c r="M294" i="2"/>
  <c r="O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B509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B510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B513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B514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B518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B522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B526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B530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B534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B538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B210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F209" i="1"/>
  <c r="J209" i="1"/>
  <c r="N209" i="1"/>
  <c r="R209" i="1"/>
  <c r="V209" i="1"/>
  <c r="Z209" i="1"/>
  <c r="AD209" i="1"/>
  <c r="AH209" i="1"/>
  <c r="AL209" i="1"/>
  <c r="AP209" i="1"/>
  <c r="AT209" i="1"/>
  <c r="F210" i="1"/>
  <c r="J210" i="1"/>
  <c r="N210" i="1"/>
  <c r="R210" i="1"/>
  <c r="V210" i="1"/>
  <c r="Z210" i="1"/>
  <c r="AD210" i="1"/>
  <c r="AH210" i="1"/>
  <c r="AL210" i="1"/>
  <c r="AP210" i="1"/>
  <c r="AT210" i="1"/>
  <c r="F211" i="1"/>
  <c r="J211" i="1"/>
  <c r="N211" i="1"/>
  <c r="R211" i="1"/>
  <c r="V211" i="1"/>
  <c r="Z211" i="1"/>
  <c r="AD211" i="1"/>
  <c r="AH211" i="1"/>
  <c r="AL211" i="1"/>
  <c r="AP211" i="1"/>
  <c r="AT211" i="1"/>
  <c r="F212" i="1"/>
  <c r="J212" i="1"/>
  <c r="N212" i="1"/>
  <c r="R212" i="1"/>
  <c r="V212" i="1"/>
  <c r="Z212" i="1"/>
  <c r="AD212" i="1"/>
  <c r="AH212" i="1"/>
  <c r="AL212" i="1"/>
  <c r="AP212" i="1"/>
  <c r="AT212" i="1"/>
  <c r="F213" i="1"/>
  <c r="J213" i="1"/>
  <c r="N213" i="1"/>
  <c r="R213" i="1"/>
  <c r="V213" i="1"/>
  <c r="Z213" i="1"/>
  <c r="AD213" i="1"/>
  <c r="AH213" i="1"/>
  <c r="AL213" i="1"/>
  <c r="AP213" i="1"/>
  <c r="AT213" i="1"/>
  <c r="F214" i="1"/>
  <c r="J214" i="1"/>
  <c r="N214" i="1"/>
  <c r="R214" i="1"/>
  <c r="V214" i="1"/>
  <c r="Z214" i="1"/>
  <c r="AD214" i="1"/>
  <c r="AH214" i="1"/>
  <c r="AL214" i="1"/>
  <c r="AP214" i="1"/>
  <c r="AT214" i="1"/>
  <c r="F215" i="1"/>
  <c r="J215" i="1"/>
  <c r="N215" i="1"/>
  <c r="R215" i="1"/>
  <c r="V215" i="1"/>
  <c r="Z215" i="1"/>
  <c r="AD215" i="1"/>
  <c r="AH215" i="1"/>
  <c r="AL215" i="1"/>
  <c r="AP215" i="1"/>
  <c r="AT215" i="1"/>
  <c r="F216" i="1"/>
  <c r="J216" i="1"/>
  <c r="N216" i="1"/>
  <c r="R216" i="1"/>
  <c r="V216" i="1"/>
  <c r="Z216" i="1"/>
  <c r="AD216" i="1"/>
  <c r="AH216" i="1"/>
  <c r="AL216" i="1"/>
  <c r="AP216" i="1"/>
  <c r="AT216" i="1"/>
  <c r="F217" i="1"/>
  <c r="J217" i="1"/>
  <c r="N217" i="1"/>
  <c r="R217" i="1"/>
  <c r="V217" i="1"/>
  <c r="Z217" i="1"/>
  <c r="AD217" i="1"/>
  <c r="AH217" i="1"/>
  <c r="AL217" i="1"/>
  <c r="AP217" i="1"/>
  <c r="AT217" i="1"/>
  <c r="F218" i="1"/>
  <c r="J218" i="1"/>
  <c r="N218" i="1"/>
  <c r="R218" i="1"/>
  <c r="V218" i="1"/>
  <c r="Z218" i="1"/>
  <c r="AD218" i="1"/>
  <c r="AH218" i="1"/>
  <c r="AL218" i="1"/>
  <c r="AP218" i="1"/>
  <c r="AT218" i="1"/>
  <c r="F219" i="1"/>
  <c r="J219" i="1"/>
  <c r="N219" i="1"/>
  <c r="R219" i="1"/>
  <c r="V219" i="1"/>
  <c r="Z219" i="1"/>
  <c r="AD219" i="1"/>
  <c r="AH219" i="1"/>
  <c r="AL219" i="1"/>
  <c r="AP219" i="1"/>
  <c r="AT219" i="1"/>
  <c r="F220" i="1"/>
  <c r="J220" i="1"/>
  <c r="N220" i="1"/>
  <c r="R220" i="1"/>
  <c r="V220" i="1"/>
  <c r="Z220" i="1"/>
  <c r="AD220" i="1"/>
  <c r="AH220" i="1"/>
  <c r="AL220" i="1"/>
  <c r="AP220" i="1"/>
  <c r="AT220" i="1"/>
  <c r="F221" i="1"/>
  <c r="J221" i="1"/>
  <c r="N221" i="1"/>
  <c r="R221" i="1"/>
  <c r="V221" i="1"/>
  <c r="Z221" i="1"/>
  <c r="AD221" i="1"/>
  <c r="AH221" i="1"/>
  <c r="AL221" i="1"/>
  <c r="AP221" i="1"/>
  <c r="AT221" i="1"/>
  <c r="F222" i="1"/>
  <c r="J222" i="1"/>
  <c r="N222" i="1"/>
  <c r="R222" i="1"/>
  <c r="V222" i="1"/>
  <c r="Z222" i="1"/>
  <c r="AD222" i="1"/>
  <c r="AH222" i="1"/>
  <c r="AL222" i="1"/>
  <c r="AP222" i="1"/>
  <c r="AT222" i="1"/>
  <c r="F223" i="1"/>
  <c r="J223" i="1"/>
  <c r="N223" i="1"/>
  <c r="R223" i="1"/>
  <c r="V223" i="1"/>
  <c r="Z223" i="1"/>
  <c r="AD223" i="1"/>
  <c r="AH223" i="1"/>
  <c r="AL223" i="1"/>
  <c r="AP223" i="1"/>
  <c r="AT223" i="1"/>
  <c r="F224" i="1"/>
  <c r="J224" i="1"/>
  <c r="N224" i="1"/>
  <c r="R224" i="1"/>
  <c r="V224" i="1"/>
  <c r="Z224" i="1"/>
  <c r="AD224" i="1"/>
  <c r="AH224" i="1"/>
  <c r="AL224" i="1"/>
  <c r="AP224" i="1"/>
  <c r="AT224" i="1"/>
  <c r="F225" i="1"/>
  <c r="J225" i="1"/>
  <c r="N225" i="1"/>
  <c r="R225" i="1"/>
  <c r="V225" i="1"/>
  <c r="Z225" i="1"/>
  <c r="AD225" i="1"/>
  <c r="AH225" i="1"/>
  <c r="AL225" i="1"/>
  <c r="AP225" i="1"/>
  <c r="AT225" i="1"/>
  <c r="F226" i="1"/>
  <c r="J226" i="1"/>
  <c r="N226" i="1"/>
  <c r="R226" i="1"/>
  <c r="V226" i="1"/>
  <c r="Z226" i="1"/>
  <c r="AD226" i="1"/>
  <c r="AH226" i="1"/>
  <c r="AL226" i="1"/>
  <c r="AP226" i="1"/>
  <c r="AT226" i="1"/>
  <c r="F227" i="1"/>
  <c r="J227" i="1"/>
  <c r="N227" i="1"/>
  <c r="R227" i="1"/>
  <c r="V227" i="1"/>
  <c r="Z227" i="1"/>
  <c r="AD227" i="1"/>
  <c r="AH227" i="1"/>
  <c r="AL227" i="1"/>
  <c r="AP227" i="1"/>
  <c r="AT227" i="1"/>
  <c r="F228" i="1"/>
  <c r="J228" i="1"/>
  <c r="N228" i="1"/>
  <c r="R228" i="1"/>
  <c r="V228" i="1"/>
  <c r="Z228" i="1"/>
  <c r="AD228" i="1"/>
  <c r="AH228" i="1"/>
  <c r="AL228" i="1"/>
  <c r="AP228" i="1"/>
  <c r="AT228" i="1"/>
  <c r="F229" i="1"/>
  <c r="J229" i="1"/>
  <c r="N229" i="1"/>
  <c r="R229" i="1"/>
  <c r="V229" i="1"/>
  <c r="Z229" i="1"/>
  <c r="AD229" i="1"/>
  <c r="AH229" i="1"/>
  <c r="AL229" i="1"/>
  <c r="AP229" i="1"/>
  <c r="AT229" i="1"/>
  <c r="F230" i="1"/>
  <c r="J230" i="1"/>
  <c r="N230" i="1"/>
  <c r="R230" i="1"/>
  <c r="V230" i="1"/>
  <c r="Z230" i="1"/>
  <c r="AD230" i="1"/>
  <c r="AH230" i="1"/>
  <c r="AL230" i="1"/>
  <c r="AP230" i="1"/>
  <c r="AT230" i="1"/>
  <c r="F231" i="1"/>
  <c r="J231" i="1"/>
  <c r="N231" i="1"/>
  <c r="R231" i="1"/>
  <c r="V231" i="1"/>
  <c r="Z231" i="1"/>
  <c r="AD231" i="1"/>
  <c r="AH231" i="1"/>
  <c r="AL231" i="1"/>
  <c r="AP231" i="1"/>
  <c r="AT231" i="1"/>
  <c r="F232" i="1"/>
  <c r="J232" i="1"/>
  <c r="N232" i="1"/>
  <c r="R232" i="1"/>
  <c r="V232" i="1"/>
  <c r="Z232" i="1"/>
  <c r="AD232" i="1"/>
  <c r="AH232" i="1"/>
  <c r="AL232" i="1"/>
  <c r="AP232" i="1"/>
  <c r="AT232" i="1"/>
  <c r="F233" i="1"/>
  <c r="J233" i="1"/>
  <c r="N233" i="1"/>
  <c r="R233" i="1"/>
  <c r="V233" i="1"/>
  <c r="Z233" i="1"/>
  <c r="AD233" i="1"/>
  <c r="AH233" i="1"/>
  <c r="AL233" i="1"/>
  <c r="AP233" i="1"/>
  <c r="AT233" i="1"/>
  <c r="F234" i="1"/>
  <c r="J234" i="1"/>
  <c r="N234" i="1"/>
  <c r="R234" i="1"/>
  <c r="V234" i="1"/>
  <c r="Z234" i="1"/>
  <c r="AD234" i="1"/>
  <c r="AH234" i="1"/>
  <c r="AL234" i="1"/>
  <c r="AP234" i="1"/>
  <c r="AT234" i="1"/>
  <c r="F235" i="1"/>
  <c r="J235" i="1"/>
  <c r="N235" i="1"/>
  <c r="R235" i="1"/>
  <c r="V235" i="1"/>
  <c r="Z235" i="1"/>
  <c r="AD235" i="1"/>
  <c r="AH235" i="1"/>
  <c r="AL235" i="1"/>
  <c r="AP235" i="1"/>
  <c r="AT235" i="1"/>
  <c r="F236" i="1"/>
  <c r="J236" i="1"/>
  <c r="N236" i="1"/>
  <c r="R236" i="1"/>
  <c r="V236" i="1"/>
  <c r="Z236" i="1"/>
  <c r="AD236" i="1"/>
  <c r="AH236" i="1"/>
  <c r="AL236" i="1"/>
  <c r="AP236" i="1"/>
  <c r="AT236" i="1"/>
  <c r="F237" i="1"/>
  <c r="J237" i="1"/>
  <c r="N237" i="1"/>
  <c r="R237" i="1"/>
  <c r="V237" i="1"/>
  <c r="Z237" i="1"/>
  <c r="AD237" i="1"/>
  <c r="AH237" i="1"/>
  <c r="AL237" i="1"/>
  <c r="AP237" i="1"/>
  <c r="AT237" i="1"/>
  <c r="F238" i="1"/>
  <c r="J238" i="1"/>
  <c r="N238" i="1"/>
  <c r="R238" i="1"/>
  <c r="V238" i="1"/>
  <c r="Z238" i="1"/>
  <c r="AD238" i="1"/>
  <c r="AH238" i="1"/>
  <c r="AL238" i="1"/>
  <c r="AP238" i="1"/>
  <c r="AT238" i="1"/>
  <c r="F239" i="1"/>
  <c r="J239" i="1"/>
  <c r="N239" i="1"/>
  <c r="R239" i="1"/>
  <c r="V239" i="1"/>
  <c r="Z239" i="1"/>
  <c r="AD239" i="1"/>
  <c r="AH239" i="1"/>
  <c r="AL239" i="1"/>
  <c r="AP239" i="1"/>
  <c r="AT239" i="1"/>
  <c r="F240" i="1"/>
  <c r="J240" i="1"/>
  <c r="N240" i="1"/>
  <c r="R240" i="1"/>
  <c r="V240" i="1"/>
  <c r="Z240" i="1"/>
  <c r="AD240" i="1"/>
  <c r="AH240" i="1"/>
  <c r="AL240" i="1"/>
  <c r="AP240" i="1"/>
  <c r="AT240" i="1"/>
  <c r="F241" i="1"/>
  <c r="J241" i="1"/>
  <c r="N241" i="1"/>
  <c r="R241" i="1"/>
  <c r="V241" i="1"/>
  <c r="Z241" i="1"/>
  <c r="AD241" i="1"/>
  <c r="AH241" i="1"/>
  <c r="AL241" i="1"/>
  <c r="AP241" i="1"/>
  <c r="AT241" i="1"/>
  <c r="F242" i="1"/>
  <c r="J242" i="1"/>
  <c r="N242" i="1"/>
  <c r="R242" i="1"/>
  <c r="V242" i="1"/>
  <c r="Z242" i="1"/>
  <c r="AD242" i="1"/>
  <c r="AH242" i="1"/>
  <c r="AL242" i="1"/>
  <c r="AP242" i="1"/>
  <c r="AT242" i="1"/>
  <c r="F243" i="1"/>
  <c r="J243" i="1"/>
  <c r="N243" i="1"/>
  <c r="R243" i="1"/>
  <c r="V243" i="1"/>
  <c r="Z243" i="1"/>
  <c r="AD243" i="1"/>
  <c r="AH243" i="1"/>
  <c r="AL243" i="1"/>
  <c r="AP243" i="1"/>
  <c r="AT243" i="1"/>
  <c r="F244" i="1"/>
  <c r="J244" i="1"/>
  <c r="N244" i="1"/>
  <c r="R244" i="1"/>
  <c r="V244" i="1"/>
  <c r="Z244" i="1"/>
  <c r="AD244" i="1"/>
  <c r="AH244" i="1"/>
  <c r="AL244" i="1"/>
  <c r="AP244" i="1"/>
  <c r="AT244" i="1"/>
  <c r="F245" i="1"/>
  <c r="J245" i="1"/>
  <c r="N245" i="1"/>
  <c r="R245" i="1"/>
  <c r="V245" i="1"/>
  <c r="Z245" i="1"/>
  <c r="AD245" i="1"/>
  <c r="AH245" i="1"/>
  <c r="AL245" i="1"/>
  <c r="AP245" i="1"/>
  <c r="AT245" i="1"/>
  <c r="F246" i="1"/>
  <c r="J246" i="1"/>
  <c r="N246" i="1"/>
  <c r="R246" i="1"/>
  <c r="V246" i="1"/>
  <c r="Z246" i="1"/>
  <c r="AD246" i="1"/>
  <c r="AH246" i="1"/>
  <c r="AL246" i="1"/>
  <c r="AP246" i="1"/>
  <c r="AT246" i="1"/>
  <c r="F247" i="1"/>
  <c r="J247" i="1"/>
  <c r="N247" i="1"/>
  <c r="R247" i="1"/>
  <c r="V247" i="1"/>
  <c r="Z247" i="1"/>
  <c r="AD247" i="1"/>
  <c r="AH247" i="1"/>
  <c r="AL247" i="1"/>
  <c r="AP247" i="1"/>
  <c r="AT247" i="1"/>
  <c r="F248" i="1"/>
  <c r="J248" i="1"/>
  <c r="N248" i="1"/>
  <c r="R248" i="1"/>
  <c r="V248" i="1"/>
  <c r="Z248" i="1"/>
  <c r="AD248" i="1"/>
  <c r="AH248" i="1"/>
  <c r="AL248" i="1"/>
  <c r="AP248" i="1"/>
  <c r="AT248" i="1"/>
  <c r="F249" i="1"/>
  <c r="J249" i="1"/>
  <c r="N249" i="1"/>
  <c r="R249" i="1"/>
  <c r="V249" i="1"/>
  <c r="Z249" i="1"/>
  <c r="AD249" i="1"/>
  <c r="AH249" i="1"/>
  <c r="AL249" i="1"/>
  <c r="AP249" i="1"/>
  <c r="AT249" i="1"/>
  <c r="F250" i="1"/>
  <c r="J250" i="1"/>
  <c r="N250" i="1"/>
  <c r="R250" i="1"/>
  <c r="V250" i="1"/>
  <c r="Z250" i="1"/>
  <c r="AD250" i="1"/>
  <c r="AH250" i="1"/>
  <c r="AL250" i="1"/>
  <c r="AP250" i="1"/>
  <c r="AT250" i="1"/>
  <c r="F251" i="1"/>
  <c r="J251" i="1"/>
  <c r="N251" i="1"/>
  <c r="R251" i="1"/>
  <c r="V251" i="1"/>
  <c r="Z251" i="1"/>
  <c r="AD251" i="1"/>
  <c r="AH251" i="1"/>
  <c r="AL251" i="1"/>
  <c r="AP251" i="1"/>
  <c r="AT251" i="1"/>
  <c r="F252" i="1"/>
  <c r="J252" i="1"/>
  <c r="N252" i="1"/>
  <c r="R252" i="1"/>
  <c r="V252" i="1"/>
  <c r="Z252" i="1"/>
  <c r="AD252" i="1"/>
  <c r="AH252" i="1"/>
  <c r="AL252" i="1"/>
  <c r="AP252" i="1"/>
  <c r="AT252" i="1"/>
  <c r="F253" i="1"/>
  <c r="J253" i="1"/>
  <c r="N253" i="1"/>
  <c r="R253" i="1"/>
  <c r="V253" i="1"/>
  <c r="Z253" i="1"/>
  <c r="AD253" i="1"/>
  <c r="AH253" i="1"/>
  <c r="AL253" i="1"/>
  <c r="AP253" i="1"/>
  <c r="AT253" i="1"/>
  <c r="F254" i="1"/>
  <c r="J254" i="1"/>
  <c r="N254" i="1"/>
  <c r="R254" i="1"/>
  <c r="V254" i="1"/>
  <c r="Z254" i="1"/>
  <c r="AD254" i="1"/>
  <c r="AH254" i="1"/>
  <c r="AL254" i="1"/>
  <c r="AP254" i="1"/>
  <c r="AT254" i="1"/>
  <c r="F255" i="1"/>
  <c r="J255" i="1"/>
  <c r="N255" i="1"/>
  <c r="R255" i="1"/>
  <c r="V255" i="1"/>
  <c r="Z255" i="1"/>
  <c r="AD255" i="1"/>
  <c r="AH255" i="1"/>
  <c r="AL255" i="1"/>
  <c r="AP255" i="1"/>
  <c r="AT255" i="1"/>
  <c r="F256" i="1"/>
  <c r="J256" i="1"/>
  <c r="N256" i="1"/>
  <c r="R256" i="1"/>
  <c r="V256" i="1"/>
  <c r="Z256" i="1"/>
  <c r="AD256" i="1"/>
  <c r="AH256" i="1"/>
  <c r="AL256" i="1"/>
  <c r="AP256" i="1"/>
  <c r="AT256" i="1"/>
  <c r="F257" i="1"/>
  <c r="J257" i="1"/>
  <c r="N257" i="1"/>
  <c r="R257" i="1"/>
  <c r="V257" i="1"/>
  <c r="Z257" i="1"/>
  <c r="AD257" i="1"/>
  <c r="AH257" i="1"/>
  <c r="AL257" i="1"/>
  <c r="AP257" i="1"/>
  <c r="AT257" i="1"/>
  <c r="F258" i="1"/>
  <c r="J258" i="1"/>
  <c r="N258" i="1"/>
  <c r="R258" i="1"/>
  <c r="V258" i="1"/>
  <c r="Z258" i="1"/>
  <c r="AD258" i="1"/>
  <c r="AH258" i="1"/>
  <c r="AL258" i="1"/>
  <c r="AP258" i="1"/>
  <c r="AT258" i="1"/>
  <c r="F259" i="1"/>
  <c r="J259" i="1"/>
  <c r="N259" i="1"/>
  <c r="R259" i="1"/>
  <c r="V259" i="1"/>
  <c r="Z259" i="1"/>
  <c r="AD259" i="1"/>
  <c r="AH259" i="1"/>
  <c r="AL259" i="1"/>
  <c r="AP259" i="1"/>
  <c r="AT259" i="1"/>
  <c r="F260" i="1"/>
  <c r="J260" i="1"/>
  <c r="N260" i="1"/>
  <c r="R260" i="1"/>
  <c r="V260" i="1"/>
  <c r="Z260" i="1"/>
  <c r="AD260" i="1"/>
  <c r="AH260" i="1"/>
  <c r="AL260" i="1"/>
  <c r="AP260" i="1"/>
  <c r="AT260" i="1"/>
  <c r="F261" i="1"/>
  <c r="J261" i="1"/>
  <c r="I261" i="2" s="1"/>
  <c r="N261" i="1"/>
  <c r="R261" i="1"/>
  <c r="V261" i="1"/>
  <c r="Z261" i="1"/>
  <c r="P261" i="2" s="1"/>
  <c r="AD261" i="1"/>
  <c r="AH261" i="1"/>
  <c r="AL261" i="1"/>
  <c r="AP261" i="1"/>
  <c r="AT261" i="1"/>
  <c r="F262" i="1"/>
  <c r="J262" i="1"/>
  <c r="N262" i="1"/>
  <c r="R262" i="1"/>
  <c r="V262" i="1"/>
  <c r="Z262" i="1"/>
  <c r="AD262" i="1"/>
  <c r="AH262" i="1"/>
  <c r="AL262" i="1"/>
  <c r="AP262" i="1"/>
  <c r="AT262" i="1"/>
  <c r="F263" i="1"/>
  <c r="F263" i="2" s="1"/>
  <c r="J263" i="1"/>
  <c r="I263" i="2" s="1"/>
  <c r="N263" i="1"/>
  <c r="R263" i="1"/>
  <c r="V263" i="1"/>
  <c r="Z263" i="1"/>
  <c r="AD263" i="1"/>
  <c r="AH263" i="1"/>
  <c r="AL263" i="1"/>
  <c r="AP263" i="1"/>
  <c r="AT263" i="1"/>
  <c r="F264" i="1"/>
  <c r="J264" i="1"/>
  <c r="N264" i="1"/>
  <c r="R264" i="1"/>
  <c r="V264" i="1"/>
  <c r="Z264" i="1"/>
  <c r="AD264" i="1"/>
  <c r="AH264" i="1"/>
  <c r="AL264" i="1"/>
  <c r="AP264" i="1"/>
  <c r="AT264" i="1"/>
  <c r="F265" i="1"/>
  <c r="J265" i="1"/>
  <c r="N265" i="1"/>
  <c r="R265" i="1"/>
  <c r="V265" i="1"/>
  <c r="Z265" i="1"/>
  <c r="AD265" i="1"/>
  <c r="AH265" i="1"/>
  <c r="AL265" i="1"/>
  <c r="AP265" i="1"/>
  <c r="AT265" i="1"/>
  <c r="F266" i="1"/>
  <c r="J266" i="1"/>
  <c r="N266" i="1"/>
  <c r="R266" i="1"/>
  <c r="V266" i="1"/>
  <c r="Z266" i="1"/>
  <c r="AD266" i="1"/>
  <c r="AH266" i="1"/>
  <c r="AL266" i="1"/>
  <c r="AP266" i="1"/>
  <c r="AT266" i="1"/>
  <c r="F267" i="1"/>
  <c r="J267" i="1"/>
  <c r="N267" i="1"/>
  <c r="R267" i="1"/>
  <c r="V267" i="1"/>
  <c r="Z267" i="1"/>
  <c r="AD267" i="1"/>
  <c r="AH267" i="1"/>
  <c r="AL267" i="1"/>
  <c r="AP267" i="1"/>
  <c r="AT267" i="1"/>
  <c r="F268" i="1"/>
  <c r="J268" i="1"/>
  <c r="I268" i="2" s="1"/>
  <c r="N268" i="1"/>
  <c r="L268" i="2" s="1"/>
  <c r="R268" i="1"/>
  <c r="V268" i="1"/>
  <c r="N268" i="2" s="1"/>
  <c r="Z268" i="1"/>
  <c r="P268" i="2" s="1"/>
  <c r="AD268" i="1"/>
  <c r="AH268" i="1"/>
  <c r="AL268" i="1"/>
  <c r="AP268" i="1"/>
  <c r="AT268" i="1"/>
  <c r="F269" i="1"/>
  <c r="J269" i="1"/>
  <c r="N269" i="1"/>
  <c r="R269" i="1"/>
  <c r="V269" i="1"/>
  <c r="N269" i="2" s="1"/>
  <c r="Z269" i="1"/>
  <c r="AD269" i="1"/>
  <c r="AH269" i="1"/>
  <c r="AL269" i="1"/>
  <c r="AP269" i="1"/>
  <c r="AT269" i="1"/>
  <c r="F270" i="1"/>
  <c r="J270" i="1"/>
  <c r="N270" i="1"/>
  <c r="R270" i="1"/>
  <c r="V270" i="1"/>
  <c r="Z270" i="1"/>
  <c r="AD270" i="1"/>
  <c r="AH270" i="1"/>
  <c r="AL270" i="1"/>
  <c r="AP270" i="1"/>
  <c r="AT270" i="1"/>
  <c r="F271" i="1"/>
  <c r="J271" i="1"/>
  <c r="N271" i="1"/>
  <c r="R271" i="1"/>
  <c r="V271" i="1"/>
  <c r="Z271" i="1"/>
  <c r="AD271" i="1"/>
  <c r="AH271" i="1"/>
  <c r="AL271" i="1"/>
  <c r="AP271" i="1"/>
  <c r="AT271" i="1"/>
  <c r="F272" i="1"/>
  <c r="J272" i="1"/>
  <c r="N272" i="1"/>
  <c r="R272" i="1"/>
  <c r="V272" i="1"/>
  <c r="Z272" i="1"/>
  <c r="AD272" i="1"/>
  <c r="AH272" i="1"/>
  <c r="AL272" i="1"/>
  <c r="AP272" i="1"/>
  <c r="AT272" i="1"/>
  <c r="F273" i="1"/>
  <c r="J273" i="1"/>
  <c r="N273" i="1"/>
  <c r="R273" i="1"/>
  <c r="V273" i="1"/>
  <c r="Z273" i="1"/>
  <c r="AD273" i="1"/>
  <c r="AH273" i="1"/>
  <c r="AL273" i="1"/>
  <c r="AP273" i="1"/>
  <c r="AT273" i="1"/>
  <c r="F274" i="1"/>
  <c r="J274" i="1"/>
  <c r="N274" i="1"/>
  <c r="R274" i="1"/>
  <c r="V274" i="1"/>
  <c r="Z274" i="1"/>
  <c r="AD274" i="1"/>
  <c r="AH274" i="1"/>
  <c r="AL274" i="1"/>
  <c r="AP274" i="1"/>
  <c r="AT274" i="1"/>
  <c r="F275" i="1"/>
  <c r="J275" i="1"/>
  <c r="N275" i="1"/>
  <c r="R275" i="1"/>
  <c r="V275" i="1"/>
  <c r="Z275" i="1"/>
  <c r="AD275" i="1"/>
  <c r="AH275" i="1"/>
  <c r="AL275" i="1"/>
  <c r="AP275" i="1"/>
  <c r="AT275" i="1"/>
  <c r="F276" i="1"/>
  <c r="J276" i="1"/>
  <c r="N276" i="1"/>
  <c r="R276" i="1"/>
  <c r="V276" i="1"/>
  <c r="Z276" i="1"/>
  <c r="AD276" i="1"/>
  <c r="AH276" i="1"/>
  <c r="AL276" i="1"/>
  <c r="AP276" i="1"/>
  <c r="AT276" i="1"/>
  <c r="F277" i="1"/>
  <c r="J277" i="1"/>
  <c r="N277" i="1"/>
  <c r="R277" i="1"/>
  <c r="V277" i="1"/>
  <c r="Z277" i="1"/>
  <c r="AD277" i="1"/>
  <c r="AH277" i="1"/>
  <c r="AL277" i="1"/>
  <c r="AP277" i="1"/>
  <c r="AT277" i="1"/>
  <c r="F278" i="1"/>
  <c r="J278" i="1"/>
  <c r="N278" i="1"/>
  <c r="R278" i="1"/>
  <c r="V278" i="1"/>
  <c r="Z278" i="1"/>
  <c r="AD278" i="1"/>
  <c r="AH278" i="1"/>
  <c r="AL278" i="1"/>
  <c r="AP278" i="1"/>
  <c r="AT278" i="1"/>
  <c r="F279" i="1"/>
  <c r="J279" i="1"/>
  <c r="N279" i="1"/>
  <c r="R279" i="1"/>
  <c r="V279" i="1"/>
  <c r="Z279" i="1"/>
  <c r="AD279" i="1"/>
  <c r="AH279" i="1"/>
  <c r="AL279" i="1"/>
  <c r="AP279" i="1"/>
  <c r="AT279" i="1"/>
  <c r="F280" i="1"/>
  <c r="J280" i="1"/>
  <c r="N280" i="1"/>
  <c r="R280" i="1"/>
  <c r="V280" i="1"/>
  <c r="Z280" i="1"/>
  <c r="AD280" i="1"/>
  <c r="AH280" i="1"/>
  <c r="AL280" i="1"/>
  <c r="AP280" i="1"/>
  <c r="AT280" i="1"/>
  <c r="F281" i="1"/>
  <c r="J281" i="1"/>
  <c r="N281" i="1"/>
  <c r="R281" i="1"/>
  <c r="V281" i="1"/>
  <c r="Z281" i="1"/>
  <c r="AD281" i="1"/>
  <c r="AH281" i="1"/>
  <c r="AL281" i="1"/>
  <c r="AP281" i="1"/>
  <c r="AT281" i="1"/>
  <c r="F282" i="1"/>
  <c r="J282" i="1"/>
  <c r="N282" i="1"/>
  <c r="R282" i="1"/>
  <c r="V282" i="1"/>
  <c r="Z282" i="1"/>
  <c r="AD282" i="1"/>
  <c r="AH282" i="1"/>
  <c r="AL282" i="1"/>
  <c r="AP282" i="1"/>
  <c r="AT282" i="1"/>
  <c r="F283" i="1"/>
  <c r="J283" i="1"/>
  <c r="N283" i="1"/>
  <c r="R283" i="1"/>
  <c r="V283" i="1"/>
  <c r="Z283" i="1"/>
  <c r="AD283" i="1"/>
  <c r="AH283" i="1"/>
  <c r="AL283" i="1"/>
  <c r="AP283" i="1"/>
  <c r="AT283" i="1"/>
  <c r="F284" i="1"/>
  <c r="J284" i="1"/>
  <c r="N284" i="1"/>
  <c r="R284" i="1"/>
  <c r="V284" i="1"/>
  <c r="Z284" i="1"/>
  <c r="AD284" i="1"/>
  <c r="AH284" i="1"/>
  <c r="AL284" i="1"/>
  <c r="AP284" i="1"/>
  <c r="AT284" i="1"/>
  <c r="F285" i="1"/>
  <c r="J285" i="1"/>
  <c r="N285" i="1"/>
  <c r="R285" i="1"/>
  <c r="V285" i="1"/>
  <c r="Z285" i="1"/>
  <c r="AD285" i="1"/>
  <c r="AH285" i="1"/>
  <c r="AL285" i="1"/>
  <c r="AP285" i="1"/>
  <c r="AT285" i="1"/>
  <c r="F286" i="1"/>
  <c r="J286" i="1"/>
  <c r="N286" i="1"/>
  <c r="R286" i="1"/>
  <c r="V286" i="1"/>
  <c r="Z286" i="1"/>
  <c r="AD286" i="1"/>
  <c r="AH286" i="1"/>
  <c r="AL286" i="1"/>
  <c r="AP286" i="1"/>
  <c r="AT286" i="1"/>
  <c r="F287" i="1"/>
  <c r="J287" i="1"/>
  <c r="N287" i="1"/>
  <c r="R287" i="1"/>
  <c r="V287" i="1"/>
  <c r="Z287" i="1"/>
  <c r="AD287" i="1"/>
  <c r="AH287" i="1"/>
  <c r="AL287" i="1"/>
  <c r="AP287" i="1"/>
  <c r="AT287" i="1"/>
  <c r="F288" i="1"/>
  <c r="J288" i="1"/>
  <c r="N288" i="1"/>
  <c r="R288" i="1"/>
  <c r="V288" i="1"/>
  <c r="Z288" i="1"/>
  <c r="AD288" i="1"/>
  <c r="AH288" i="1"/>
  <c r="AL288" i="1"/>
  <c r="AP288" i="1"/>
  <c r="AT288" i="1"/>
  <c r="F289" i="1"/>
  <c r="J289" i="1"/>
  <c r="N289" i="1"/>
  <c r="R289" i="1"/>
  <c r="V289" i="1"/>
  <c r="Z289" i="1"/>
  <c r="AD289" i="1"/>
  <c r="AH289" i="1"/>
  <c r="AL289" i="1"/>
  <c r="AP289" i="1"/>
  <c r="AT289" i="1"/>
  <c r="F290" i="1"/>
  <c r="J290" i="1"/>
  <c r="N290" i="1"/>
  <c r="R290" i="1"/>
  <c r="V290" i="1"/>
  <c r="Z290" i="1"/>
  <c r="AD290" i="1"/>
  <c r="AH290" i="1"/>
  <c r="AL290" i="1"/>
  <c r="AP290" i="1"/>
  <c r="AT290" i="1"/>
  <c r="F291" i="1"/>
  <c r="J291" i="1"/>
  <c r="N291" i="1"/>
  <c r="R291" i="1"/>
  <c r="V291" i="1"/>
  <c r="Z291" i="1"/>
  <c r="AD291" i="1"/>
  <c r="AH291" i="1"/>
  <c r="AL291" i="1"/>
  <c r="AP291" i="1"/>
  <c r="AT291" i="1"/>
  <c r="F292" i="1"/>
  <c r="J292" i="1"/>
  <c r="I292" i="2" s="1"/>
  <c r="N292" i="1"/>
  <c r="R292" i="1"/>
  <c r="V292" i="1"/>
  <c r="Z292" i="1"/>
  <c r="AD292" i="1"/>
  <c r="AH292" i="1"/>
  <c r="AL292" i="1"/>
  <c r="AP292" i="1"/>
  <c r="AT292" i="1"/>
  <c r="F293" i="1"/>
  <c r="J293" i="1"/>
  <c r="I293" i="2" s="1"/>
  <c r="N293" i="1"/>
  <c r="R293" i="1"/>
  <c r="V293" i="1"/>
  <c r="Z293" i="1"/>
  <c r="AD293" i="1"/>
  <c r="AH293" i="1"/>
  <c r="AL293" i="1"/>
  <c r="AP293" i="1"/>
  <c r="AT293" i="1"/>
  <c r="F294" i="1"/>
  <c r="J294" i="1"/>
  <c r="I294" i="2" s="1"/>
  <c r="N294" i="1"/>
  <c r="L294" i="2" s="1"/>
  <c r="R294" i="1"/>
  <c r="V294" i="1"/>
  <c r="N294" i="2" s="1"/>
  <c r="Z294" i="1"/>
  <c r="P294" i="2" s="1"/>
  <c r="AD294" i="1"/>
  <c r="AH294" i="1"/>
  <c r="AL294" i="1"/>
  <c r="AP294" i="1"/>
  <c r="AT294" i="1"/>
  <c r="F295" i="1"/>
  <c r="J295" i="1"/>
  <c r="N295" i="1"/>
  <c r="R295" i="1"/>
  <c r="V295" i="1"/>
  <c r="Z295" i="1"/>
  <c r="AD295" i="1"/>
  <c r="AH295" i="1"/>
  <c r="AL295" i="1"/>
  <c r="AP295" i="1"/>
  <c r="AT295" i="1"/>
  <c r="F296" i="1"/>
  <c r="J296" i="1"/>
  <c r="N296" i="1"/>
  <c r="R296" i="1"/>
  <c r="V296" i="1"/>
  <c r="Z296" i="1"/>
  <c r="AD296" i="1"/>
  <c r="AH296" i="1"/>
  <c r="AL296" i="1"/>
  <c r="AP296" i="1"/>
  <c r="AT296" i="1"/>
  <c r="F297" i="1"/>
  <c r="J297" i="1"/>
  <c r="N297" i="1"/>
  <c r="R297" i="1"/>
  <c r="V297" i="1"/>
  <c r="Z297" i="1"/>
  <c r="AD297" i="1"/>
  <c r="AH297" i="1"/>
  <c r="AL297" i="1"/>
  <c r="AP297" i="1"/>
  <c r="AT297" i="1"/>
  <c r="F298" i="1"/>
  <c r="J298" i="1"/>
  <c r="N298" i="1"/>
  <c r="R298" i="1"/>
  <c r="V298" i="1"/>
  <c r="Z298" i="1"/>
  <c r="AD298" i="1"/>
  <c r="AH298" i="1"/>
  <c r="AL298" i="1"/>
  <c r="AP298" i="1"/>
  <c r="AT298" i="1"/>
  <c r="F299" i="1"/>
  <c r="J299" i="1"/>
  <c r="N299" i="1"/>
  <c r="R299" i="1"/>
  <c r="V299" i="1"/>
  <c r="Z299" i="1"/>
  <c r="AD299" i="1"/>
  <c r="AH299" i="1"/>
  <c r="AL299" i="1"/>
  <c r="AP299" i="1"/>
  <c r="AT299" i="1"/>
  <c r="F300" i="1"/>
  <c r="J300" i="1"/>
  <c r="N300" i="1"/>
  <c r="R300" i="1"/>
  <c r="V300" i="1"/>
  <c r="Z300" i="1"/>
  <c r="AD300" i="1"/>
  <c r="AH300" i="1"/>
  <c r="AL300" i="1"/>
  <c r="AP300" i="1"/>
  <c r="AT300" i="1"/>
  <c r="F301" i="1"/>
  <c r="J301" i="1"/>
  <c r="N301" i="1"/>
  <c r="R301" i="1"/>
  <c r="V301" i="1"/>
  <c r="Z301" i="1"/>
  <c r="AD301" i="1"/>
  <c r="AH301" i="1"/>
  <c r="AL301" i="1"/>
  <c r="AP301" i="1"/>
  <c r="AT301" i="1"/>
  <c r="F302" i="1"/>
  <c r="J302" i="1"/>
  <c r="N302" i="1"/>
  <c r="R302" i="1"/>
  <c r="V302" i="1"/>
  <c r="Z302" i="1"/>
  <c r="AD302" i="1"/>
  <c r="AH302" i="1"/>
  <c r="AL302" i="1"/>
  <c r="AP302" i="1"/>
  <c r="AT302" i="1"/>
  <c r="F303" i="1"/>
  <c r="J303" i="1"/>
  <c r="N303" i="1"/>
  <c r="R303" i="1"/>
  <c r="V303" i="1"/>
  <c r="Z303" i="1"/>
  <c r="AD303" i="1"/>
  <c r="AH303" i="1"/>
  <c r="AL303" i="1"/>
  <c r="AP303" i="1"/>
  <c r="AT303" i="1"/>
  <c r="F304" i="1"/>
  <c r="J304" i="1"/>
  <c r="N304" i="1"/>
  <c r="R304" i="1"/>
  <c r="V304" i="1"/>
  <c r="Z304" i="1"/>
  <c r="AD304" i="1"/>
  <c r="AH304" i="1"/>
  <c r="AL304" i="1"/>
  <c r="AP304" i="1"/>
  <c r="AT304" i="1"/>
  <c r="F305" i="1"/>
  <c r="J305" i="1"/>
  <c r="N305" i="1"/>
  <c r="R305" i="1"/>
  <c r="V305" i="1"/>
  <c r="Z305" i="1"/>
  <c r="AD305" i="1"/>
  <c r="AH305" i="1"/>
  <c r="AL305" i="1"/>
  <c r="AP305" i="1"/>
  <c r="AT305" i="1"/>
  <c r="F306" i="1"/>
  <c r="J306" i="1"/>
  <c r="N306" i="1"/>
  <c r="R306" i="1"/>
  <c r="V306" i="1"/>
  <c r="Z306" i="1"/>
  <c r="AD306" i="1"/>
  <c r="AH306" i="1"/>
  <c r="AL306" i="1"/>
  <c r="AP306" i="1"/>
  <c r="AT306" i="1"/>
  <c r="F307" i="1"/>
  <c r="J307" i="1"/>
  <c r="N307" i="1"/>
  <c r="R307" i="1"/>
  <c r="V307" i="1"/>
  <c r="Z307" i="1"/>
  <c r="AD307" i="1"/>
  <c r="AH307" i="1"/>
  <c r="AL307" i="1"/>
  <c r="AP307" i="1"/>
  <c r="AT307" i="1"/>
  <c r="F308" i="1"/>
  <c r="J308" i="1"/>
  <c r="N308" i="1"/>
  <c r="R308" i="1"/>
  <c r="V308" i="1"/>
  <c r="Z308" i="1"/>
  <c r="AD308" i="1"/>
  <c r="AH308" i="1"/>
  <c r="AL308" i="1"/>
  <c r="AP308" i="1"/>
  <c r="AT308" i="1"/>
  <c r="F309" i="1"/>
  <c r="J309" i="1"/>
  <c r="N309" i="1"/>
  <c r="R309" i="1"/>
  <c r="V309" i="1"/>
  <c r="Z309" i="1"/>
  <c r="AD309" i="1"/>
  <c r="AH309" i="1"/>
  <c r="AL309" i="1"/>
  <c r="AP309" i="1"/>
  <c r="AT309" i="1"/>
  <c r="F310" i="1"/>
  <c r="J310" i="1"/>
  <c r="N310" i="1"/>
  <c r="R310" i="1"/>
  <c r="V310" i="1"/>
  <c r="Z310" i="1"/>
  <c r="AD310" i="1"/>
  <c r="AH310" i="1"/>
  <c r="AL310" i="1"/>
  <c r="AP310" i="1"/>
  <c r="AT310" i="1"/>
  <c r="F311" i="1"/>
  <c r="J311" i="1"/>
  <c r="N311" i="1"/>
  <c r="R311" i="1"/>
  <c r="V311" i="1"/>
  <c r="Z311" i="1"/>
  <c r="AD311" i="1"/>
  <c r="AH311" i="1"/>
  <c r="AL311" i="1"/>
  <c r="AP311" i="1"/>
  <c r="AT311" i="1"/>
  <c r="F312" i="1"/>
  <c r="J312" i="1"/>
  <c r="N312" i="1"/>
  <c r="R312" i="1"/>
  <c r="V312" i="1"/>
  <c r="Z312" i="1"/>
  <c r="AD312" i="1"/>
  <c r="AH312" i="1"/>
  <c r="AL312" i="1"/>
  <c r="AP312" i="1"/>
  <c r="AT312" i="1"/>
  <c r="F313" i="1"/>
  <c r="J313" i="1"/>
  <c r="N313" i="1"/>
  <c r="R313" i="1"/>
  <c r="V313" i="1"/>
  <c r="Z313" i="1"/>
  <c r="AD313" i="1"/>
  <c r="AH313" i="1"/>
  <c r="AL313" i="1"/>
  <c r="AP313" i="1"/>
  <c r="AT313" i="1"/>
  <c r="F314" i="1"/>
  <c r="J314" i="1"/>
  <c r="N314" i="1"/>
  <c r="R314" i="1"/>
  <c r="V314" i="1"/>
  <c r="Z314" i="1"/>
  <c r="AD314" i="1"/>
  <c r="AH314" i="1"/>
  <c r="AL314" i="1"/>
  <c r="AP314" i="1"/>
  <c r="AT314" i="1"/>
  <c r="F315" i="1"/>
  <c r="J315" i="1"/>
  <c r="N315" i="1"/>
  <c r="R315" i="1"/>
  <c r="V315" i="1"/>
  <c r="Z315" i="1"/>
  <c r="AD315" i="1"/>
  <c r="AH315" i="1"/>
  <c r="AL315" i="1"/>
  <c r="AP315" i="1"/>
  <c r="AT315" i="1"/>
  <c r="F316" i="1"/>
  <c r="J316" i="1"/>
  <c r="N316" i="1"/>
  <c r="R316" i="1"/>
  <c r="V316" i="1"/>
  <c r="Z316" i="1"/>
  <c r="AD316" i="1"/>
  <c r="AH316" i="1"/>
  <c r="AL316" i="1"/>
  <c r="AP316" i="1"/>
  <c r="AT316" i="1"/>
  <c r="F317" i="1"/>
  <c r="J317" i="1"/>
  <c r="N317" i="1"/>
  <c r="R317" i="1"/>
  <c r="V317" i="1"/>
  <c r="Z317" i="1"/>
  <c r="AD317" i="1"/>
  <c r="AH317" i="1"/>
  <c r="AL317" i="1"/>
  <c r="AP317" i="1"/>
  <c r="AT317" i="1"/>
  <c r="F318" i="1"/>
  <c r="J318" i="1"/>
  <c r="N318" i="1"/>
  <c r="R318" i="1"/>
  <c r="V318" i="1"/>
  <c r="Z318" i="1"/>
  <c r="AD318" i="1"/>
  <c r="AH318" i="1"/>
  <c r="AL318" i="1"/>
  <c r="AP318" i="1"/>
  <c r="AT318" i="1"/>
  <c r="F319" i="1"/>
  <c r="J319" i="1"/>
  <c r="N319" i="1"/>
  <c r="R319" i="1"/>
  <c r="V319" i="1"/>
  <c r="Z319" i="1"/>
  <c r="AD319" i="1"/>
  <c r="AH319" i="1"/>
  <c r="AL319" i="1"/>
  <c r="AP319" i="1"/>
  <c r="AT319" i="1"/>
  <c r="F320" i="1"/>
  <c r="J320" i="1"/>
  <c r="N320" i="1"/>
  <c r="R320" i="1"/>
  <c r="V320" i="1"/>
  <c r="Z320" i="1"/>
  <c r="AD320" i="1"/>
  <c r="AH320" i="1"/>
  <c r="AL320" i="1"/>
  <c r="AP320" i="1"/>
  <c r="AT320" i="1"/>
  <c r="F321" i="1"/>
  <c r="J321" i="1"/>
  <c r="N321" i="1"/>
  <c r="R321" i="1"/>
  <c r="V321" i="1"/>
  <c r="Z321" i="1"/>
  <c r="AD321" i="1"/>
  <c r="AH321" i="1"/>
  <c r="AL321" i="1"/>
  <c r="AP321" i="1"/>
  <c r="AT321" i="1"/>
  <c r="F322" i="1"/>
  <c r="J322" i="1"/>
  <c r="N322" i="1"/>
  <c r="R322" i="1"/>
  <c r="V322" i="1"/>
  <c r="Z322" i="1"/>
  <c r="AD322" i="1"/>
  <c r="AH322" i="1"/>
  <c r="AL322" i="1"/>
  <c r="AP322" i="1"/>
  <c r="AT322" i="1"/>
  <c r="F323" i="1"/>
  <c r="J323" i="1"/>
  <c r="N323" i="1"/>
  <c r="R323" i="1"/>
  <c r="V323" i="1"/>
  <c r="Z323" i="1"/>
  <c r="AD323" i="1"/>
  <c r="AH323" i="1"/>
  <c r="AL323" i="1"/>
  <c r="AP323" i="1"/>
  <c r="AT323" i="1"/>
  <c r="F324" i="1"/>
  <c r="J324" i="1"/>
  <c r="N324" i="1"/>
  <c r="R324" i="1"/>
  <c r="V324" i="1"/>
  <c r="Z324" i="1"/>
  <c r="AD324" i="1"/>
  <c r="AH324" i="1"/>
  <c r="AL324" i="1"/>
  <c r="AP324" i="1"/>
  <c r="AT324" i="1"/>
  <c r="F325" i="1"/>
  <c r="J325" i="1"/>
  <c r="N325" i="1"/>
  <c r="R325" i="1"/>
  <c r="V325" i="1"/>
  <c r="Z325" i="1"/>
  <c r="AD325" i="1"/>
  <c r="AH325" i="1"/>
  <c r="AL325" i="1"/>
  <c r="AP325" i="1"/>
  <c r="AT325" i="1"/>
  <c r="F326" i="1"/>
  <c r="J326" i="1"/>
  <c r="N326" i="1"/>
  <c r="R326" i="1"/>
  <c r="V326" i="1"/>
  <c r="Z326" i="1"/>
  <c r="AD326" i="1"/>
  <c r="AH326" i="1"/>
  <c r="AL326" i="1"/>
  <c r="AP326" i="1"/>
  <c r="AT326" i="1"/>
  <c r="F327" i="1"/>
  <c r="J327" i="1"/>
  <c r="N327" i="1"/>
  <c r="R327" i="1"/>
  <c r="V327" i="1"/>
  <c r="Z327" i="1"/>
  <c r="AD327" i="1"/>
  <c r="AH327" i="1"/>
  <c r="AL327" i="1"/>
  <c r="AP327" i="1"/>
  <c r="AT327" i="1"/>
  <c r="F328" i="1"/>
  <c r="J328" i="1"/>
  <c r="N328" i="1"/>
  <c r="R328" i="1"/>
  <c r="V328" i="1"/>
  <c r="Z328" i="1"/>
  <c r="AD328" i="1"/>
  <c r="AH328" i="1"/>
  <c r="AL328" i="1"/>
  <c r="AP328" i="1"/>
  <c r="AT328" i="1"/>
  <c r="F329" i="1"/>
  <c r="J329" i="1"/>
  <c r="N329" i="1"/>
  <c r="R329" i="1"/>
  <c r="V329" i="1"/>
  <c r="Z329" i="1"/>
  <c r="AD329" i="1"/>
  <c r="AH329" i="1"/>
  <c r="AL329" i="1"/>
  <c r="AP329" i="1"/>
  <c r="AT329" i="1"/>
  <c r="F330" i="1"/>
  <c r="J330" i="1"/>
  <c r="N330" i="1"/>
  <c r="R330" i="1"/>
  <c r="V330" i="1"/>
  <c r="Z330" i="1"/>
  <c r="AD330" i="1"/>
  <c r="AH330" i="1"/>
  <c r="AL330" i="1"/>
  <c r="AP330" i="1"/>
  <c r="AT330" i="1"/>
  <c r="F331" i="1"/>
  <c r="J331" i="1"/>
  <c r="N331" i="1"/>
  <c r="R331" i="1"/>
  <c r="V331" i="1"/>
  <c r="Z331" i="1"/>
  <c r="AD331" i="1"/>
  <c r="AH331" i="1"/>
  <c r="AL331" i="1"/>
  <c r="AP331" i="1"/>
  <c r="AT331" i="1"/>
  <c r="F332" i="1"/>
  <c r="J332" i="1"/>
  <c r="N332" i="1"/>
  <c r="R332" i="1"/>
  <c r="V332" i="1"/>
  <c r="Z332" i="1"/>
  <c r="AD332" i="1"/>
  <c r="AH332" i="1"/>
  <c r="AL332" i="1"/>
  <c r="AP332" i="1"/>
  <c r="AT332" i="1"/>
  <c r="F333" i="1"/>
  <c r="J333" i="1"/>
  <c r="N333" i="1"/>
  <c r="R333" i="1"/>
  <c r="V333" i="1"/>
  <c r="Z333" i="1"/>
  <c r="AD333" i="1"/>
  <c r="AH333" i="1"/>
  <c r="AL333" i="1"/>
  <c r="AP333" i="1"/>
  <c r="AT333" i="1"/>
  <c r="F334" i="1"/>
  <c r="J334" i="1"/>
  <c r="N334" i="1"/>
  <c r="R334" i="1"/>
  <c r="V334" i="1"/>
  <c r="Z334" i="1"/>
  <c r="AD334" i="1"/>
  <c r="AH334" i="1"/>
  <c r="AL334" i="1"/>
  <c r="AP334" i="1"/>
  <c r="AT334" i="1"/>
  <c r="F335" i="1"/>
  <c r="J335" i="1"/>
  <c r="N335" i="1"/>
  <c r="R335" i="1"/>
  <c r="V335" i="1"/>
  <c r="Z335" i="1"/>
  <c r="AD335" i="1"/>
  <c r="AH335" i="1"/>
  <c r="AL335" i="1"/>
  <c r="AP335" i="1"/>
  <c r="AT335" i="1"/>
  <c r="F336" i="1"/>
  <c r="J336" i="1"/>
  <c r="N336" i="1"/>
  <c r="R336" i="1"/>
  <c r="V336" i="1"/>
  <c r="Z336" i="1"/>
  <c r="AD336" i="1"/>
  <c r="AH336" i="1"/>
  <c r="AL336" i="1"/>
  <c r="AP336" i="1"/>
  <c r="AT336" i="1"/>
  <c r="F337" i="1"/>
  <c r="J337" i="1"/>
  <c r="N337" i="1"/>
  <c r="R337" i="1"/>
  <c r="V337" i="1"/>
  <c r="Z337" i="1"/>
  <c r="AD337" i="1"/>
  <c r="AH337" i="1"/>
  <c r="AL337" i="1"/>
  <c r="AP337" i="1"/>
  <c r="AT337" i="1"/>
  <c r="F338" i="1"/>
  <c r="J338" i="1"/>
  <c r="N338" i="1"/>
  <c r="R338" i="1"/>
  <c r="V338" i="1"/>
  <c r="Z338" i="1"/>
  <c r="AD338" i="1"/>
  <c r="AH338" i="1"/>
  <c r="AL338" i="1"/>
  <c r="AP338" i="1"/>
  <c r="AT338" i="1"/>
  <c r="F339" i="1"/>
  <c r="J339" i="1"/>
  <c r="N339" i="1"/>
  <c r="R339" i="1"/>
  <c r="V339" i="1"/>
  <c r="Z339" i="1"/>
  <c r="AD339" i="1"/>
  <c r="AH339" i="1"/>
  <c r="AL339" i="1"/>
  <c r="AP339" i="1"/>
  <c r="AT339" i="1"/>
  <c r="F340" i="1"/>
  <c r="J340" i="1"/>
  <c r="N340" i="1"/>
  <c r="R340" i="1"/>
  <c r="V340" i="1"/>
  <c r="Z340" i="1"/>
  <c r="AD340" i="1"/>
  <c r="AH340" i="1"/>
  <c r="AL340" i="1"/>
  <c r="AP340" i="1"/>
  <c r="AT340" i="1"/>
  <c r="F341" i="1"/>
  <c r="J341" i="1"/>
  <c r="N341" i="1"/>
  <c r="R341" i="1"/>
  <c r="V341" i="1"/>
  <c r="Z341" i="1"/>
  <c r="AD341" i="1"/>
  <c r="AH341" i="1"/>
  <c r="AL341" i="1"/>
  <c r="AP341" i="1"/>
  <c r="AT341" i="1"/>
  <c r="F342" i="1"/>
  <c r="J342" i="1"/>
  <c r="N342" i="1"/>
  <c r="R342" i="1"/>
  <c r="V342" i="1"/>
  <c r="Z342" i="1"/>
  <c r="AD342" i="1"/>
  <c r="AH342" i="1"/>
  <c r="AL342" i="1"/>
  <c r="AP342" i="1"/>
  <c r="AT342" i="1"/>
  <c r="F343" i="1"/>
  <c r="J343" i="1"/>
  <c r="N343" i="1"/>
  <c r="R343" i="1"/>
  <c r="V343" i="1"/>
  <c r="Z343" i="1"/>
  <c r="AD343" i="1"/>
  <c r="AH343" i="1"/>
  <c r="AL343" i="1"/>
  <c r="AP343" i="1"/>
  <c r="AT343" i="1"/>
  <c r="F344" i="1"/>
  <c r="J344" i="1"/>
  <c r="N344" i="1"/>
  <c r="R344" i="1"/>
  <c r="V344" i="1"/>
  <c r="Z344" i="1"/>
  <c r="AD344" i="1"/>
  <c r="AH344" i="1"/>
  <c r="AL344" i="1"/>
  <c r="AP344" i="1"/>
  <c r="AT344" i="1"/>
  <c r="F345" i="1"/>
  <c r="J345" i="1"/>
  <c r="N345" i="1"/>
  <c r="R345" i="1"/>
  <c r="V345" i="1"/>
  <c r="Z345" i="1"/>
  <c r="AD345" i="1"/>
  <c r="AH345" i="1"/>
  <c r="AL345" i="1"/>
  <c r="AP345" i="1"/>
  <c r="AT345" i="1"/>
  <c r="F346" i="1"/>
  <c r="J346" i="1"/>
  <c r="N346" i="1"/>
  <c r="R346" i="1"/>
  <c r="V346" i="1"/>
  <c r="Z346" i="1"/>
  <c r="AD346" i="1"/>
  <c r="AH346" i="1"/>
  <c r="AL346" i="1"/>
  <c r="AP346" i="1"/>
  <c r="AT346" i="1"/>
  <c r="F347" i="1"/>
  <c r="J347" i="1"/>
  <c r="N347" i="1"/>
  <c r="R347" i="1"/>
  <c r="V347" i="1"/>
  <c r="Z347" i="1"/>
  <c r="AD347" i="1"/>
  <c r="AH347" i="1"/>
  <c r="AL347" i="1"/>
  <c r="AP347" i="1"/>
  <c r="AT347" i="1"/>
  <c r="F348" i="1"/>
  <c r="J348" i="1"/>
  <c r="N348" i="1"/>
  <c r="R348" i="1"/>
  <c r="V348" i="1"/>
  <c r="Z348" i="1"/>
  <c r="AD348" i="1"/>
  <c r="AH348" i="1"/>
  <c r="AL348" i="1"/>
  <c r="AP348" i="1"/>
  <c r="AT348" i="1"/>
  <c r="F349" i="1"/>
  <c r="J349" i="1"/>
  <c r="N349" i="1"/>
  <c r="R349" i="1"/>
  <c r="V349" i="1"/>
  <c r="Z349" i="1"/>
  <c r="AD349" i="1"/>
  <c r="AH349" i="1"/>
  <c r="AL349" i="1"/>
  <c r="AP349" i="1"/>
  <c r="AT349" i="1"/>
  <c r="F350" i="1"/>
  <c r="J350" i="1"/>
  <c r="N350" i="1"/>
  <c r="R350" i="1"/>
  <c r="V350" i="1"/>
  <c r="Z350" i="1"/>
  <c r="AD350" i="1"/>
  <c r="AH350" i="1"/>
  <c r="AL350" i="1"/>
  <c r="AP350" i="1"/>
  <c r="AT350" i="1"/>
  <c r="F351" i="1"/>
  <c r="J351" i="1"/>
  <c r="N351" i="1"/>
  <c r="R351" i="1"/>
  <c r="V351" i="1"/>
  <c r="Z351" i="1"/>
  <c r="AD351" i="1"/>
  <c r="AH351" i="1"/>
  <c r="AL351" i="1"/>
  <c r="AP351" i="1"/>
  <c r="AT351" i="1"/>
  <c r="F352" i="1"/>
  <c r="J352" i="1"/>
  <c r="N352" i="1"/>
  <c r="R352" i="1"/>
  <c r="V352" i="1"/>
  <c r="Z352" i="1"/>
  <c r="AD352" i="1"/>
  <c r="AH352" i="1"/>
  <c r="AL352" i="1"/>
  <c r="AP352" i="1"/>
  <c r="AT352" i="1"/>
  <c r="F353" i="1"/>
  <c r="J353" i="1"/>
  <c r="N353" i="1"/>
  <c r="R353" i="1"/>
  <c r="V353" i="1"/>
  <c r="Z353" i="1"/>
  <c r="AD353" i="1"/>
  <c r="AH353" i="1"/>
  <c r="AL353" i="1"/>
  <c r="AP353" i="1"/>
  <c r="AT353" i="1"/>
  <c r="F354" i="1"/>
  <c r="J354" i="1"/>
  <c r="N354" i="1"/>
  <c r="R354" i="1"/>
  <c r="V354" i="1"/>
  <c r="Z354" i="1"/>
  <c r="AD354" i="1"/>
  <c r="AH354" i="1"/>
  <c r="AL354" i="1"/>
  <c r="AP354" i="1"/>
  <c r="AT354" i="1"/>
  <c r="F355" i="1"/>
  <c r="J355" i="1"/>
  <c r="N355" i="1"/>
  <c r="R355" i="1"/>
  <c r="V355" i="1"/>
  <c r="Z355" i="1"/>
  <c r="AD355" i="1"/>
  <c r="AH355" i="1"/>
  <c r="AL355" i="1"/>
  <c r="AP355" i="1"/>
  <c r="AT355" i="1"/>
  <c r="F356" i="1"/>
  <c r="J356" i="1"/>
  <c r="N356" i="1"/>
  <c r="R356" i="1"/>
  <c r="V356" i="1"/>
  <c r="Z356" i="1"/>
  <c r="AD356" i="1"/>
  <c r="AH356" i="1"/>
  <c r="AL356" i="1"/>
  <c r="AP356" i="1"/>
  <c r="AT356" i="1"/>
  <c r="F357" i="1"/>
  <c r="J357" i="1"/>
  <c r="N357" i="1"/>
  <c r="R357" i="1"/>
  <c r="V357" i="1"/>
  <c r="Z357" i="1"/>
  <c r="AD357" i="1"/>
  <c r="AH357" i="1"/>
  <c r="AL357" i="1"/>
  <c r="AP357" i="1"/>
  <c r="AT357" i="1"/>
  <c r="F358" i="1"/>
  <c r="J358" i="1"/>
  <c r="N358" i="1"/>
  <c r="R358" i="1"/>
  <c r="V358" i="1"/>
  <c r="Z358" i="1"/>
  <c r="AD358" i="1"/>
  <c r="AH358" i="1"/>
  <c r="AL358" i="1"/>
  <c r="AP358" i="1"/>
  <c r="AT358" i="1"/>
  <c r="F359" i="1"/>
  <c r="J359" i="1"/>
  <c r="N359" i="1"/>
  <c r="R359" i="1"/>
  <c r="V359" i="1"/>
  <c r="Z359" i="1"/>
  <c r="AD359" i="1"/>
  <c r="AH359" i="1"/>
  <c r="AL359" i="1"/>
  <c r="AP359" i="1"/>
  <c r="AT359" i="1"/>
  <c r="F360" i="1"/>
  <c r="J360" i="1"/>
  <c r="N360" i="1"/>
  <c r="R360" i="1"/>
  <c r="V360" i="1"/>
  <c r="Z360" i="1"/>
  <c r="AD360" i="1"/>
  <c r="AH360" i="1"/>
  <c r="AL360" i="1"/>
  <c r="AP360" i="1"/>
  <c r="AT360" i="1"/>
  <c r="F361" i="1"/>
  <c r="J361" i="1"/>
  <c r="N361" i="1"/>
  <c r="R361" i="1"/>
  <c r="V361" i="1"/>
  <c r="Z361" i="1"/>
  <c r="AD361" i="1"/>
  <c r="AH361" i="1"/>
  <c r="AL361" i="1"/>
  <c r="AP361" i="1"/>
  <c r="AT361" i="1"/>
  <c r="F362" i="1"/>
  <c r="J362" i="1"/>
  <c r="N362" i="1"/>
  <c r="R362" i="1"/>
  <c r="V362" i="1"/>
  <c r="Z362" i="1"/>
  <c r="AD362" i="1"/>
  <c r="AH362" i="1"/>
  <c r="AL362" i="1"/>
  <c r="AP362" i="1"/>
  <c r="AT362" i="1"/>
  <c r="F363" i="1"/>
  <c r="J363" i="1"/>
  <c r="N363" i="1"/>
  <c r="R363" i="1"/>
  <c r="V363" i="1"/>
  <c r="Z363" i="1"/>
  <c r="AD363" i="1"/>
  <c r="AH363" i="1"/>
  <c r="AL363" i="1"/>
  <c r="AP363" i="1"/>
  <c r="AT363" i="1"/>
  <c r="F364" i="1"/>
  <c r="J364" i="1"/>
  <c r="N364" i="1"/>
  <c r="R364" i="1"/>
  <c r="V364" i="1"/>
  <c r="Z364" i="1"/>
  <c r="AD364" i="1"/>
  <c r="AH364" i="1"/>
  <c r="AL364" i="1"/>
  <c r="AP364" i="1"/>
  <c r="AT364" i="1"/>
  <c r="F365" i="1"/>
  <c r="J365" i="1"/>
  <c r="N365" i="1"/>
  <c r="R365" i="1"/>
  <c r="V365" i="1"/>
  <c r="Z365" i="1"/>
  <c r="AD365" i="1"/>
  <c r="AH365" i="1"/>
  <c r="AL365" i="1"/>
  <c r="AP365" i="1"/>
  <c r="AT365" i="1"/>
  <c r="F366" i="1"/>
  <c r="J366" i="1"/>
  <c r="N366" i="1"/>
  <c r="R366" i="1"/>
  <c r="V366" i="1"/>
  <c r="Z366" i="1"/>
  <c r="AD366" i="1"/>
  <c r="AH366" i="1"/>
  <c r="AL366" i="1"/>
  <c r="AP366" i="1"/>
  <c r="AT366" i="1"/>
  <c r="F367" i="1"/>
  <c r="J367" i="1"/>
  <c r="N367" i="1"/>
  <c r="R367" i="1"/>
  <c r="V367" i="1"/>
  <c r="Z367" i="1"/>
  <c r="AD367" i="1"/>
  <c r="AH367" i="1"/>
  <c r="AL367" i="1"/>
  <c r="AP367" i="1"/>
  <c r="AT367" i="1"/>
  <c r="F368" i="1"/>
  <c r="J368" i="1"/>
  <c r="N368" i="1"/>
  <c r="R368" i="1"/>
  <c r="V368" i="1"/>
  <c r="Z368" i="1"/>
  <c r="AD368" i="1"/>
  <c r="AH368" i="1"/>
  <c r="AL368" i="1"/>
  <c r="AP368" i="1"/>
  <c r="AT368" i="1"/>
  <c r="F369" i="1"/>
  <c r="J369" i="1"/>
  <c r="N369" i="1"/>
  <c r="R369" i="1"/>
  <c r="V369" i="1"/>
  <c r="Z369" i="1"/>
  <c r="AD369" i="1"/>
  <c r="AH369" i="1"/>
  <c r="AL369" i="1"/>
  <c r="AP369" i="1"/>
  <c r="AT369" i="1"/>
  <c r="F370" i="1"/>
  <c r="J370" i="1"/>
  <c r="N370" i="1"/>
  <c r="R370" i="1"/>
  <c r="V370" i="1"/>
  <c r="Z370" i="1"/>
  <c r="AD370" i="1"/>
  <c r="AH370" i="1"/>
  <c r="AL370" i="1"/>
  <c r="AP370" i="1"/>
  <c r="AT370" i="1"/>
  <c r="F371" i="1"/>
  <c r="J371" i="1"/>
  <c r="N371" i="1"/>
  <c r="R371" i="1"/>
  <c r="V371" i="1"/>
  <c r="Z371" i="1"/>
  <c r="AD371" i="1"/>
  <c r="AH371" i="1"/>
  <c r="AL371" i="1"/>
  <c r="AP371" i="1"/>
  <c r="AT371" i="1"/>
  <c r="F372" i="1"/>
  <c r="J372" i="1"/>
  <c r="N372" i="1"/>
  <c r="R372" i="1"/>
  <c r="V372" i="1"/>
  <c r="Z372" i="1"/>
  <c r="AD372" i="1"/>
  <c r="AH372" i="1"/>
  <c r="AL372" i="1"/>
  <c r="AP372" i="1"/>
  <c r="AT372" i="1"/>
  <c r="F373" i="1"/>
  <c r="J373" i="1"/>
  <c r="N373" i="1"/>
  <c r="R373" i="1"/>
  <c r="V373" i="1"/>
  <c r="Z373" i="1"/>
  <c r="AD373" i="1"/>
  <c r="AH373" i="1"/>
  <c r="AL373" i="1"/>
  <c r="AP373" i="1"/>
  <c r="AT373" i="1"/>
  <c r="F374" i="1"/>
  <c r="J374" i="1"/>
  <c r="N374" i="1"/>
  <c r="R374" i="1"/>
  <c r="V374" i="1"/>
  <c r="Z374" i="1"/>
  <c r="AD374" i="1"/>
  <c r="AH374" i="1"/>
  <c r="AL374" i="1"/>
  <c r="AP374" i="1"/>
  <c r="AT374" i="1"/>
  <c r="F375" i="1"/>
  <c r="J375" i="1"/>
  <c r="N375" i="1"/>
  <c r="R375" i="1"/>
  <c r="V375" i="1"/>
  <c r="Z375" i="1"/>
  <c r="AD375" i="1"/>
  <c r="AH375" i="1"/>
  <c r="AL375" i="1"/>
  <c r="AP375" i="1"/>
  <c r="AT375" i="1"/>
  <c r="F376" i="1"/>
  <c r="J376" i="1"/>
  <c r="N376" i="1"/>
  <c r="R376" i="1"/>
  <c r="V376" i="1"/>
  <c r="Z376" i="1"/>
  <c r="AD376" i="1"/>
  <c r="AH376" i="1"/>
  <c r="AL376" i="1"/>
  <c r="AP376" i="1"/>
  <c r="AT376" i="1"/>
  <c r="F377" i="1"/>
  <c r="J377" i="1"/>
  <c r="N377" i="1"/>
  <c r="R377" i="1"/>
  <c r="V377" i="1"/>
  <c r="Z377" i="1"/>
  <c r="AD377" i="1"/>
  <c r="AH377" i="1"/>
  <c r="AL377" i="1"/>
  <c r="AP377" i="1"/>
  <c r="AT377" i="1"/>
  <c r="F378" i="1"/>
  <c r="J378" i="1"/>
  <c r="N378" i="1"/>
  <c r="R378" i="1"/>
  <c r="V378" i="1"/>
  <c r="Z378" i="1"/>
  <c r="AD378" i="1"/>
  <c r="AH378" i="1"/>
  <c r="AL378" i="1"/>
  <c r="AP378" i="1"/>
  <c r="AT378" i="1"/>
  <c r="F379" i="1"/>
  <c r="J379" i="1"/>
  <c r="N379" i="1"/>
  <c r="R379" i="1"/>
  <c r="V379" i="1"/>
  <c r="Z379" i="1"/>
  <c r="AD379" i="1"/>
  <c r="AH379" i="1"/>
  <c r="AL379" i="1"/>
  <c r="AP379" i="1"/>
  <c r="AT379" i="1"/>
  <c r="F380" i="1"/>
  <c r="J380" i="1"/>
  <c r="N380" i="1"/>
  <c r="R380" i="1"/>
  <c r="V380" i="1"/>
  <c r="Z380" i="1"/>
  <c r="AD380" i="1"/>
  <c r="AH380" i="1"/>
  <c r="AL380" i="1"/>
  <c r="AP380" i="1"/>
  <c r="AT380" i="1"/>
  <c r="F381" i="1"/>
  <c r="J381" i="1"/>
  <c r="N381" i="1"/>
  <c r="R381" i="1"/>
  <c r="V381" i="1"/>
  <c r="Z381" i="1"/>
  <c r="AD381" i="1"/>
  <c r="AH381" i="1"/>
  <c r="AL381" i="1"/>
  <c r="AP381" i="1"/>
  <c r="AT381" i="1"/>
  <c r="F382" i="1"/>
  <c r="J382" i="1"/>
  <c r="N382" i="1"/>
  <c r="R382" i="1"/>
  <c r="V382" i="1"/>
  <c r="Z382" i="1"/>
  <c r="AD382" i="1"/>
  <c r="AH382" i="1"/>
  <c r="AL382" i="1"/>
  <c r="AP382" i="1"/>
  <c r="AT382" i="1"/>
  <c r="F383" i="1"/>
  <c r="J383" i="1"/>
  <c r="N383" i="1"/>
  <c r="R383" i="1"/>
  <c r="V383" i="1"/>
  <c r="Z383" i="1"/>
  <c r="AD383" i="1"/>
  <c r="AH383" i="1"/>
  <c r="AL383" i="1"/>
  <c r="AP383" i="1"/>
  <c r="AT383" i="1"/>
  <c r="F384" i="1"/>
  <c r="J384" i="1"/>
  <c r="N384" i="1"/>
  <c r="R384" i="1"/>
  <c r="V384" i="1"/>
  <c r="Z384" i="1"/>
  <c r="AD384" i="1"/>
  <c r="AH384" i="1"/>
  <c r="AL384" i="1"/>
  <c r="AP384" i="1"/>
  <c r="AT384" i="1"/>
  <c r="F385" i="1"/>
  <c r="J385" i="1"/>
  <c r="N385" i="1"/>
  <c r="R385" i="1"/>
  <c r="V385" i="1"/>
  <c r="Z385" i="1"/>
  <c r="AD385" i="1"/>
  <c r="AH385" i="1"/>
  <c r="AL385" i="1"/>
  <c r="AP385" i="1"/>
  <c r="AT385" i="1"/>
  <c r="F386" i="1"/>
  <c r="J386" i="1"/>
  <c r="N386" i="1"/>
  <c r="R386" i="1"/>
  <c r="V386" i="1"/>
  <c r="Z386" i="1"/>
  <c r="AD386" i="1"/>
  <c r="AH386" i="1"/>
  <c r="AL386" i="1"/>
  <c r="AP386" i="1"/>
  <c r="AT386" i="1"/>
  <c r="F387" i="1"/>
  <c r="J387" i="1"/>
  <c r="N387" i="1"/>
  <c r="R387" i="1"/>
  <c r="V387" i="1"/>
  <c r="Z387" i="1"/>
  <c r="AD387" i="1"/>
  <c r="AH387" i="1"/>
  <c r="AL387" i="1"/>
  <c r="AP387" i="1"/>
  <c r="AT387" i="1"/>
  <c r="F388" i="1"/>
  <c r="J388" i="1"/>
  <c r="N388" i="1"/>
  <c r="R388" i="1"/>
  <c r="V388" i="1"/>
  <c r="Z388" i="1"/>
  <c r="AD388" i="1"/>
  <c r="AH388" i="1"/>
  <c r="AL388" i="1"/>
  <c r="AP388" i="1"/>
  <c r="AT388" i="1"/>
  <c r="F389" i="1"/>
  <c r="J389" i="1"/>
  <c r="N389" i="1"/>
  <c r="R389" i="1"/>
  <c r="V389" i="1"/>
  <c r="Z389" i="1"/>
  <c r="AD389" i="1"/>
  <c r="AH389" i="1"/>
  <c r="AL389" i="1"/>
  <c r="AP389" i="1"/>
  <c r="AT389" i="1"/>
  <c r="F390" i="1"/>
  <c r="J390" i="1"/>
  <c r="N390" i="1"/>
  <c r="R390" i="1"/>
  <c r="V390" i="1"/>
  <c r="Z390" i="1"/>
  <c r="AD390" i="1"/>
  <c r="AH390" i="1"/>
  <c r="AL390" i="1"/>
  <c r="AP390" i="1"/>
  <c r="AT390" i="1"/>
  <c r="F391" i="1"/>
  <c r="J391" i="1"/>
  <c r="N391" i="1"/>
  <c r="R391" i="1"/>
  <c r="V391" i="1"/>
  <c r="Z391" i="1"/>
  <c r="AD391" i="1"/>
  <c r="AH391" i="1"/>
  <c r="AL391" i="1"/>
  <c r="AP391" i="1"/>
  <c r="AT391" i="1"/>
  <c r="F392" i="1"/>
  <c r="J392" i="1"/>
  <c r="N392" i="1"/>
  <c r="R392" i="1"/>
  <c r="V392" i="1"/>
  <c r="Z392" i="1"/>
  <c r="AD392" i="1"/>
  <c r="AH392" i="1"/>
  <c r="AL392" i="1"/>
  <c r="AP392" i="1"/>
  <c r="AT392" i="1"/>
  <c r="F393" i="1"/>
  <c r="J393" i="1"/>
  <c r="N393" i="1"/>
  <c r="R393" i="1"/>
  <c r="V393" i="1"/>
  <c r="Z393" i="1"/>
  <c r="AD393" i="1"/>
  <c r="AH393" i="1"/>
  <c r="AL393" i="1"/>
  <c r="AP393" i="1"/>
  <c r="AT393" i="1"/>
  <c r="F394" i="1"/>
  <c r="J394" i="1"/>
  <c r="N394" i="1"/>
  <c r="R394" i="1"/>
  <c r="V394" i="1"/>
  <c r="Z394" i="1"/>
  <c r="AD394" i="1"/>
  <c r="AH394" i="1"/>
  <c r="AL394" i="1"/>
  <c r="AP394" i="1"/>
  <c r="AT394" i="1"/>
  <c r="F395" i="1"/>
  <c r="J395" i="1"/>
  <c r="N395" i="1"/>
  <c r="R395" i="1"/>
  <c r="V395" i="1"/>
  <c r="Z395" i="1"/>
  <c r="AD395" i="1"/>
  <c r="AH395" i="1"/>
  <c r="AL395" i="1"/>
  <c r="AP395" i="1"/>
  <c r="AT395" i="1"/>
  <c r="F396" i="1"/>
  <c r="J396" i="1"/>
  <c r="N396" i="1"/>
  <c r="R396" i="1"/>
  <c r="V396" i="1"/>
  <c r="Z396" i="1"/>
  <c r="AD396" i="1"/>
  <c r="AH396" i="1"/>
  <c r="AL396" i="1"/>
  <c r="AP396" i="1"/>
  <c r="AT396" i="1"/>
  <c r="F397" i="1"/>
  <c r="J397" i="1"/>
  <c r="N397" i="1"/>
  <c r="R397" i="1"/>
  <c r="V397" i="1"/>
  <c r="Z397" i="1"/>
  <c r="AD397" i="1"/>
  <c r="AH397" i="1"/>
  <c r="AL397" i="1"/>
  <c r="AP397" i="1"/>
  <c r="AT397" i="1"/>
  <c r="F398" i="1"/>
  <c r="J398" i="1"/>
  <c r="N398" i="1"/>
  <c r="R398" i="1"/>
  <c r="V398" i="1"/>
  <c r="Z398" i="1"/>
  <c r="AD398" i="1"/>
  <c r="AH398" i="1"/>
  <c r="AL398" i="1"/>
  <c r="AP398" i="1"/>
  <c r="AT398" i="1"/>
  <c r="F399" i="1"/>
  <c r="J399" i="1"/>
  <c r="N399" i="1"/>
  <c r="R399" i="1"/>
  <c r="V399" i="1"/>
  <c r="Z399" i="1"/>
  <c r="AD399" i="1"/>
  <c r="AH399" i="1"/>
  <c r="AL399" i="1"/>
  <c r="AP399" i="1"/>
  <c r="AT399" i="1"/>
  <c r="F400" i="1"/>
  <c r="J400" i="1"/>
  <c r="N400" i="1"/>
  <c r="R400" i="1"/>
  <c r="V400" i="1"/>
  <c r="Z400" i="1"/>
  <c r="AD400" i="1"/>
  <c r="AH400" i="1"/>
  <c r="AL400" i="1"/>
  <c r="AP400" i="1"/>
  <c r="AT400" i="1"/>
  <c r="F401" i="1"/>
  <c r="J401" i="1"/>
  <c r="N401" i="1"/>
  <c r="R401" i="1"/>
  <c r="V401" i="1"/>
  <c r="Z401" i="1"/>
  <c r="AD401" i="1"/>
  <c r="AH401" i="1"/>
  <c r="AL401" i="1"/>
  <c r="AP401" i="1"/>
  <c r="AT401" i="1"/>
  <c r="F402" i="1"/>
  <c r="J402" i="1"/>
  <c r="N402" i="1"/>
  <c r="R402" i="1"/>
  <c r="V402" i="1"/>
  <c r="Z402" i="1"/>
  <c r="AD402" i="1"/>
  <c r="AH402" i="1"/>
  <c r="AL402" i="1"/>
  <c r="AP402" i="1"/>
  <c r="AT402" i="1"/>
  <c r="F403" i="1"/>
  <c r="J403" i="1"/>
  <c r="N403" i="1"/>
  <c r="R403" i="1"/>
  <c r="V403" i="1"/>
  <c r="Z403" i="1"/>
  <c r="AD403" i="1"/>
  <c r="AH403" i="1"/>
  <c r="AL403" i="1"/>
  <c r="AP403" i="1"/>
  <c r="AT403" i="1"/>
  <c r="F404" i="1"/>
  <c r="J404" i="1"/>
  <c r="N404" i="1"/>
  <c r="R404" i="1"/>
  <c r="V404" i="1"/>
  <c r="Z404" i="1"/>
  <c r="AD404" i="1"/>
  <c r="AH404" i="1"/>
  <c r="AL404" i="1"/>
  <c r="AP404" i="1"/>
  <c r="AT404" i="1"/>
  <c r="F405" i="1"/>
  <c r="J405" i="1"/>
  <c r="N405" i="1"/>
  <c r="R405" i="1"/>
  <c r="V405" i="1"/>
  <c r="Z405" i="1"/>
  <c r="AD405" i="1"/>
  <c r="AH405" i="1"/>
  <c r="AL405" i="1"/>
  <c r="AP405" i="1"/>
  <c r="AT405" i="1"/>
  <c r="F406" i="1"/>
  <c r="J406" i="1"/>
  <c r="N406" i="1"/>
  <c r="R406" i="1"/>
  <c r="V406" i="1"/>
  <c r="Z406" i="1"/>
  <c r="AD406" i="1"/>
  <c r="AH406" i="1"/>
  <c r="AL406" i="1"/>
  <c r="AP406" i="1"/>
  <c r="AT406" i="1"/>
  <c r="F407" i="1"/>
  <c r="J407" i="1"/>
  <c r="N407" i="1"/>
  <c r="R407" i="1"/>
  <c r="V407" i="1"/>
  <c r="Z407" i="1"/>
  <c r="AD407" i="1"/>
  <c r="AH407" i="1"/>
  <c r="AL407" i="1"/>
  <c r="AP407" i="1"/>
  <c r="AT407" i="1"/>
  <c r="F408" i="1"/>
  <c r="J408" i="1"/>
  <c r="N408" i="1"/>
  <c r="R408" i="1"/>
  <c r="V408" i="1"/>
  <c r="Z408" i="1"/>
  <c r="AD408" i="1"/>
  <c r="AH408" i="1"/>
  <c r="AL408" i="1"/>
  <c r="AP408" i="1"/>
  <c r="AT408" i="1"/>
  <c r="F409" i="1"/>
  <c r="J409" i="1"/>
  <c r="N409" i="1"/>
  <c r="R409" i="1"/>
  <c r="V409" i="1"/>
  <c r="Z409" i="1"/>
  <c r="AD409" i="1"/>
  <c r="AH409" i="1"/>
  <c r="AL409" i="1"/>
  <c r="AP409" i="1"/>
  <c r="AT409" i="1"/>
  <c r="F410" i="1"/>
  <c r="J410" i="1"/>
  <c r="N410" i="1"/>
  <c r="R410" i="1"/>
  <c r="V410" i="1"/>
  <c r="Z410" i="1"/>
  <c r="AD410" i="1"/>
  <c r="AH410" i="1"/>
  <c r="AL410" i="1"/>
  <c r="AP410" i="1"/>
  <c r="AT410" i="1"/>
  <c r="F411" i="1"/>
  <c r="J411" i="1"/>
  <c r="N411" i="1"/>
  <c r="R411" i="1"/>
  <c r="V411" i="1"/>
  <c r="Z411" i="1"/>
  <c r="AD411" i="1"/>
  <c r="AH411" i="1"/>
  <c r="AL411" i="1"/>
  <c r="AP411" i="1"/>
  <c r="AT411" i="1"/>
  <c r="F412" i="1"/>
  <c r="J412" i="1"/>
  <c r="N412" i="1"/>
  <c r="R412" i="1"/>
  <c r="V412" i="1"/>
  <c r="Z412" i="1"/>
  <c r="AD412" i="1"/>
  <c r="AH412" i="1"/>
  <c r="AL412" i="1"/>
  <c r="AP412" i="1"/>
  <c r="AT412" i="1"/>
  <c r="F413" i="1"/>
  <c r="J413" i="1"/>
  <c r="N413" i="1"/>
  <c r="R413" i="1"/>
  <c r="V413" i="1"/>
  <c r="Z413" i="1"/>
  <c r="AD413" i="1"/>
  <c r="AH413" i="1"/>
  <c r="AL413" i="1"/>
  <c r="AP413" i="1"/>
  <c r="AT413" i="1"/>
  <c r="F414" i="1"/>
  <c r="J414" i="1"/>
  <c r="N414" i="1"/>
  <c r="R414" i="1"/>
  <c r="V414" i="1"/>
  <c r="Z414" i="1"/>
  <c r="AD414" i="1"/>
  <c r="AH414" i="1"/>
  <c r="AL414" i="1"/>
  <c r="AP414" i="1"/>
  <c r="AT414" i="1"/>
  <c r="F415" i="1"/>
  <c r="J415" i="1"/>
  <c r="N415" i="1"/>
  <c r="R415" i="1"/>
  <c r="V415" i="1"/>
  <c r="Z415" i="1"/>
  <c r="AD415" i="1"/>
  <c r="AH415" i="1"/>
  <c r="AL415" i="1"/>
  <c r="AP415" i="1"/>
  <c r="AT415" i="1"/>
  <c r="F416" i="1"/>
  <c r="J416" i="1"/>
  <c r="N416" i="1"/>
  <c r="R416" i="1"/>
  <c r="V416" i="1"/>
  <c r="Z416" i="1"/>
  <c r="AD416" i="1"/>
  <c r="AH416" i="1"/>
  <c r="AL416" i="1"/>
  <c r="AP416" i="1"/>
  <c r="AT416" i="1"/>
  <c r="F417" i="1"/>
  <c r="J417" i="1"/>
  <c r="N417" i="1"/>
  <c r="R417" i="1"/>
  <c r="V417" i="1"/>
  <c r="Z417" i="1"/>
  <c r="AD417" i="1"/>
  <c r="AH417" i="1"/>
  <c r="AL417" i="1"/>
  <c r="AP417" i="1"/>
  <c r="AT417" i="1"/>
  <c r="F418" i="1"/>
  <c r="J418" i="1"/>
  <c r="N418" i="1"/>
  <c r="R418" i="1"/>
  <c r="V418" i="1"/>
  <c r="Z418" i="1"/>
  <c r="AD418" i="1"/>
  <c r="AH418" i="1"/>
  <c r="AL418" i="1"/>
  <c r="AP418" i="1"/>
  <c r="AT418" i="1"/>
  <c r="F419" i="1"/>
  <c r="J419" i="1"/>
  <c r="N419" i="1"/>
  <c r="R419" i="1"/>
  <c r="V419" i="1"/>
  <c r="Z419" i="1"/>
  <c r="AD419" i="1"/>
  <c r="AH419" i="1"/>
  <c r="AL419" i="1"/>
  <c r="AP419" i="1"/>
  <c r="AT419" i="1"/>
  <c r="F420" i="1"/>
  <c r="J420" i="1"/>
  <c r="N420" i="1"/>
  <c r="R420" i="1"/>
  <c r="V420" i="1"/>
  <c r="Z420" i="1"/>
  <c r="AD420" i="1"/>
  <c r="AH420" i="1"/>
  <c r="AL420" i="1"/>
  <c r="AP420" i="1"/>
  <c r="AT420" i="1"/>
  <c r="F421" i="1"/>
  <c r="J421" i="1"/>
  <c r="N421" i="1"/>
  <c r="R421" i="1"/>
  <c r="V421" i="1"/>
  <c r="Z421" i="1"/>
  <c r="AD421" i="1"/>
  <c r="AH421" i="1"/>
  <c r="AL421" i="1"/>
  <c r="AP421" i="1"/>
  <c r="AT421" i="1"/>
  <c r="F422" i="1"/>
  <c r="J422" i="1"/>
  <c r="N422" i="1"/>
  <c r="R422" i="1"/>
  <c r="V422" i="1"/>
  <c r="Z422" i="1"/>
  <c r="AD422" i="1"/>
  <c r="AH422" i="1"/>
  <c r="AL422" i="1"/>
  <c r="AP422" i="1"/>
  <c r="AT422" i="1"/>
  <c r="F423" i="1"/>
  <c r="J423" i="1"/>
  <c r="N423" i="1"/>
  <c r="R423" i="1"/>
  <c r="V423" i="1"/>
  <c r="Z423" i="1"/>
  <c r="AD423" i="1"/>
  <c r="AH423" i="1"/>
  <c r="AL423" i="1"/>
  <c r="AP423" i="1"/>
  <c r="AT423" i="1"/>
  <c r="F424" i="1"/>
  <c r="J424" i="1"/>
  <c r="N424" i="1"/>
  <c r="R424" i="1"/>
  <c r="V424" i="1"/>
  <c r="Z424" i="1"/>
  <c r="AD424" i="1"/>
  <c r="AH424" i="1"/>
  <c r="AL424" i="1"/>
  <c r="AP424" i="1"/>
  <c r="AT424" i="1"/>
  <c r="F425" i="1"/>
  <c r="J425" i="1"/>
  <c r="N425" i="1"/>
  <c r="R425" i="1"/>
  <c r="V425" i="1"/>
  <c r="Z425" i="1"/>
  <c r="AD425" i="1"/>
  <c r="AH425" i="1"/>
  <c r="AL425" i="1"/>
  <c r="AP425" i="1"/>
  <c r="AT425" i="1"/>
  <c r="F426" i="1"/>
  <c r="J426" i="1"/>
  <c r="N426" i="1"/>
  <c r="R426" i="1"/>
  <c r="V426" i="1"/>
  <c r="Z426" i="1"/>
  <c r="AD426" i="1"/>
  <c r="AH426" i="1"/>
  <c r="AL426" i="1"/>
  <c r="AP426" i="1"/>
  <c r="AT426" i="1"/>
  <c r="F427" i="1"/>
  <c r="J427" i="1"/>
  <c r="N427" i="1"/>
  <c r="R427" i="1"/>
  <c r="V427" i="1"/>
  <c r="Z427" i="1"/>
  <c r="AD427" i="1"/>
  <c r="AH427" i="1"/>
  <c r="AL427" i="1"/>
  <c r="AP427" i="1"/>
  <c r="AT427" i="1"/>
  <c r="F428" i="1"/>
  <c r="J428" i="1"/>
  <c r="N428" i="1"/>
  <c r="R428" i="1"/>
  <c r="V428" i="1"/>
  <c r="Z428" i="1"/>
  <c r="AD428" i="1"/>
  <c r="AH428" i="1"/>
  <c r="AL428" i="1"/>
  <c r="AP428" i="1"/>
  <c r="AT428" i="1"/>
  <c r="F429" i="1"/>
  <c r="J429" i="1"/>
  <c r="N429" i="1"/>
  <c r="R429" i="1"/>
  <c r="V429" i="1"/>
  <c r="Z429" i="1"/>
  <c r="AD429" i="1"/>
  <c r="AH429" i="1"/>
  <c r="AL429" i="1"/>
  <c r="AP429" i="1"/>
  <c r="AT429" i="1"/>
  <c r="F430" i="1"/>
  <c r="J430" i="1"/>
  <c r="N430" i="1"/>
  <c r="R430" i="1"/>
  <c r="V430" i="1"/>
  <c r="Z430" i="1"/>
  <c r="AD430" i="1"/>
  <c r="AH430" i="1"/>
  <c r="AL430" i="1"/>
  <c r="AP430" i="1"/>
  <c r="AT430" i="1"/>
  <c r="F431" i="1"/>
  <c r="J431" i="1"/>
  <c r="N431" i="1"/>
  <c r="R431" i="1"/>
  <c r="V431" i="1"/>
  <c r="Z431" i="1"/>
  <c r="AD431" i="1"/>
  <c r="AH431" i="1"/>
  <c r="AL431" i="1"/>
  <c r="AP431" i="1"/>
  <c r="AT431" i="1"/>
  <c r="F432" i="1"/>
  <c r="J432" i="1"/>
  <c r="N432" i="1"/>
  <c r="R432" i="1"/>
  <c r="V432" i="1"/>
  <c r="Z432" i="1"/>
  <c r="AD432" i="1"/>
  <c r="AH432" i="1"/>
  <c r="AL432" i="1"/>
  <c r="AP432" i="1"/>
  <c r="AT432" i="1"/>
  <c r="F433" i="1"/>
  <c r="J433" i="1"/>
  <c r="N433" i="1"/>
  <c r="R433" i="1"/>
  <c r="V433" i="1"/>
  <c r="Z433" i="1"/>
  <c r="AD433" i="1"/>
  <c r="AH433" i="1"/>
  <c r="AL433" i="1"/>
  <c r="AP433" i="1"/>
  <c r="AT433" i="1"/>
  <c r="F434" i="1"/>
  <c r="J434" i="1"/>
  <c r="N434" i="1"/>
  <c r="R434" i="1"/>
  <c r="V434" i="1"/>
  <c r="Z434" i="1"/>
  <c r="AD434" i="1"/>
  <c r="AH434" i="1"/>
  <c r="AL434" i="1"/>
  <c r="AP434" i="1"/>
  <c r="AT434" i="1"/>
  <c r="F435" i="1"/>
  <c r="J435" i="1"/>
  <c r="N435" i="1"/>
  <c r="R435" i="1"/>
  <c r="V435" i="1"/>
  <c r="Z435" i="1"/>
  <c r="AD435" i="1"/>
  <c r="AH435" i="1"/>
  <c r="AL435" i="1"/>
  <c r="AP435" i="1"/>
  <c r="AT435" i="1"/>
  <c r="F436" i="1"/>
  <c r="J436" i="1"/>
  <c r="N436" i="1"/>
  <c r="R436" i="1"/>
  <c r="V436" i="1"/>
  <c r="Z436" i="1"/>
  <c r="AD436" i="1"/>
  <c r="AH436" i="1"/>
  <c r="AL436" i="1"/>
  <c r="AP436" i="1"/>
  <c r="AT436" i="1"/>
  <c r="F437" i="1"/>
  <c r="J437" i="1"/>
  <c r="N437" i="1"/>
  <c r="R437" i="1"/>
  <c r="V437" i="1"/>
  <c r="Z437" i="1"/>
  <c r="AD437" i="1"/>
  <c r="AH437" i="1"/>
  <c r="AL437" i="1"/>
  <c r="AP437" i="1"/>
  <c r="AT437" i="1"/>
  <c r="F438" i="1"/>
  <c r="J438" i="1"/>
  <c r="N438" i="1"/>
  <c r="R438" i="1"/>
  <c r="V438" i="1"/>
  <c r="Z438" i="1"/>
  <c r="AD438" i="1"/>
  <c r="AH438" i="1"/>
  <c r="AL438" i="1"/>
  <c r="AP438" i="1"/>
  <c r="AT438" i="1"/>
  <c r="F439" i="1"/>
  <c r="J439" i="1"/>
  <c r="N439" i="1"/>
  <c r="R439" i="1"/>
  <c r="V439" i="1"/>
  <c r="Z439" i="1"/>
  <c r="AD439" i="1"/>
  <c r="AH439" i="1"/>
  <c r="AL439" i="1"/>
  <c r="AP439" i="1"/>
  <c r="AT439" i="1"/>
  <c r="F440" i="1"/>
  <c r="J440" i="1"/>
  <c r="N440" i="1"/>
  <c r="R440" i="1"/>
  <c r="V440" i="1"/>
  <c r="Z440" i="1"/>
  <c r="AD440" i="1"/>
  <c r="AH440" i="1"/>
  <c r="AL440" i="1"/>
  <c r="AP440" i="1"/>
  <c r="AT440" i="1"/>
  <c r="F441" i="1"/>
  <c r="J441" i="1"/>
  <c r="N441" i="1"/>
  <c r="R441" i="1"/>
  <c r="V441" i="1"/>
  <c r="Z441" i="1"/>
  <c r="AD441" i="1"/>
  <c r="AH441" i="1"/>
  <c r="AL441" i="1"/>
  <c r="AP441" i="1"/>
  <c r="AT441" i="1"/>
  <c r="F442" i="1"/>
  <c r="J442" i="1"/>
  <c r="N442" i="1"/>
  <c r="R442" i="1"/>
  <c r="V442" i="1"/>
  <c r="Z442" i="1"/>
  <c r="AD442" i="1"/>
  <c r="AH442" i="1"/>
  <c r="AL442" i="1"/>
  <c r="AP442" i="1"/>
  <c r="AT442" i="1"/>
  <c r="F443" i="1"/>
  <c r="J443" i="1"/>
  <c r="N443" i="1"/>
  <c r="R443" i="1"/>
  <c r="V443" i="1"/>
  <c r="Z443" i="1"/>
  <c r="AD443" i="1"/>
  <c r="AH443" i="1"/>
  <c r="AL443" i="1"/>
  <c r="AP443" i="1"/>
  <c r="AT443" i="1"/>
  <c r="F444" i="1"/>
  <c r="J444" i="1"/>
  <c r="N444" i="1"/>
  <c r="R444" i="1"/>
  <c r="V444" i="1"/>
  <c r="Z444" i="1"/>
  <c r="AD444" i="1"/>
  <c r="AH444" i="1"/>
  <c r="AL444" i="1"/>
  <c r="AP444" i="1"/>
  <c r="AT444" i="1"/>
  <c r="F445" i="1"/>
  <c r="J445" i="1"/>
  <c r="N445" i="1"/>
  <c r="R445" i="1"/>
  <c r="V445" i="1"/>
  <c r="Z445" i="1"/>
  <c r="AD445" i="1"/>
  <c r="AH445" i="1"/>
  <c r="AL445" i="1"/>
  <c r="AP445" i="1"/>
  <c r="AT445" i="1"/>
  <c r="F446" i="1"/>
  <c r="J446" i="1"/>
  <c r="N446" i="1"/>
  <c r="R446" i="1"/>
  <c r="V446" i="1"/>
  <c r="Z446" i="1"/>
  <c r="AD446" i="1"/>
  <c r="AH446" i="1"/>
  <c r="AL446" i="1"/>
  <c r="AP446" i="1"/>
  <c r="AT446" i="1"/>
  <c r="F447" i="1"/>
  <c r="J447" i="1"/>
  <c r="N447" i="1"/>
  <c r="R447" i="1"/>
  <c r="V447" i="1"/>
  <c r="Z447" i="1"/>
  <c r="AD447" i="1"/>
  <c r="AH447" i="1"/>
  <c r="AL447" i="1"/>
  <c r="AP447" i="1"/>
  <c r="AT447" i="1"/>
  <c r="F448" i="1"/>
  <c r="J448" i="1"/>
  <c r="N448" i="1"/>
  <c r="R448" i="1"/>
  <c r="V448" i="1"/>
  <c r="Z448" i="1"/>
  <c r="AD448" i="1"/>
  <c r="AH448" i="1"/>
  <c r="AL448" i="1"/>
  <c r="AP448" i="1"/>
  <c r="AT448" i="1"/>
  <c r="F449" i="1"/>
  <c r="J449" i="1"/>
  <c r="N449" i="1"/>
  <c r="R449" i="1"/>
  <c r="V449" i="1"/>
  <c r="Z449" i="1"/>
  <c r="AD449" i="1"/>
  <c r="AH449" i="1"/>
  <c r="AL449" i="1"/>
  <c r="AP449" i="1"/>
  <c r="AT449" i="1"/>
  <c r="F450" i="1"/>
  <c r="J450" i="1"/>
  <c r="N450" i="1"/>
  <c r="R450" i="1"/>
  <c r="V450" i="1"/>
  <c r="Z450" i="1"/>
  <c r="AD450" i="1"/>
  <c r="AH450" i="1"/>
  <c r="AL450" i="1"/>
  <c r="AP450" i="1"/>
  <c r="AT450" i="1"/>
  <c r="F451" i="1"/>
  <c r="J451" i="1"/>
  <c r="N451" i="1"/>
  <c r="R451" i="1"/>
  <c r="V451" i="1"/>
  <c r="Z451" i="1"/>
  <c r="AD451" i="1"/>
  <c r="AH451" i="1"/>
  <c r="AL451" i="1"/>
  <c r="AP451" i="1"/>
  <c r="AT451" i="1"/>
  <c r="F452" i="1"/>
  <c r="J452" i="1"/>
  <c r="N452" i="1"/>
  <c r="R452" i="1"/>
  <c r="V452" i="1"/>
  <c r="Z452" i="1"/>
  <c r="AD452" i="1"/>
  <c r="AH452" i="1"/>
  <c r="AL452" i="1"/>
  <c r="AP452" i="1"/>
  <c r="AT452" i="1"/>
  <c r="F453" i="1"/>
  <c r="J453" i="1"/>
  <c r="N453" i="1"/>
  <c r="R453" i="1"/>
  <c r="V453" i="1"/>
  <c r="Z453" i="1"/>
  <c r="AD453" i="1"/>
  <c r="AH453" i="1"/>
  <c r="AL453" i="1"/>
  <c r="AP453" i="1"/>
  <c r="AT453" i="1"/>
  <c r="F454" i="1"/>
  <c r="J454" i="1"/>
  <c r="N454" i="1"/>
  <c r="R454" i="1"/>
  <c r="V454" i="1"/>
  <c r="Z454" i="1"/>
  <c r="AD454" i="1"/>
  <c r="AH454" i="1"/>
  <c r="AL454" i="1"/>
  <c r="AP454" i="1"/>
  <c r="AT454" i="1"/>
  <c r="F455" i="1"/>
  <c r="J455" i="1"/>
  <c r="N455" i="1"/>
  <c r="R455" i="1"/>
  <c r="V455" i="1"/>
  <c r="Z455" i="1"/>
  <c r="AD455" i="1"/>
  <c r="AH455" i="1"/>
  <c r="AL455" i="1"/>
  <c r="AP455" i="1"/>
  <c r="AT455" i="1"/>
  <c r="F456" i="1"/>
  <c r="J456" i="1"/>
  <c r="N456" i="1"/>
  <c r="R456" i="1"/>
  <c r="V456" i="1"/>
  <c r="Z456" i="1"/>
  <c r="AD456" i="1"/>
  <c r="AH456" i="1"/>
  <c r="AL456" i="1"/>
  <c r="AP456" i="1"/>
  <c r="AT456" i="1"/>
  <c r="F457" i="1"/>
  <c r="J457" i="1"/>
  <c r="N457" i="1"/>
  <c r="R457" i="1"/>
  <c r="V457" i="1"/>
  <c r="Z457" i="1"/>
  <c r="AD457" i="1"/>
  <c r="AH457" i="1"/>
  <c r="AL457" i="1"/>
  <c r="AP457" i="1"/>
  <c r="AT457" i="1"/>
  <c r="F458" i="1"/>
  <c r="J458" i="1"/>
  <c r="N458" i="1"/>
  <c r="R458" i="1"/>
  <c r="V458" i="1"/>
  <c r="Z458" i="1"/>
  <c r="AD458" i="1"/>
  <c r="AH458" i="1"/>
  <c r="AL458" i="1"/>
  <c r="AP458" i="1"/>
  <c r="AT458" i="1"/>
  <c r="F459" i="1"/>
  <c r="J459" i="1"/>
  <c r="N459" i="1"/>
  <c r="R459" i="1"/>
  <c r="V459" i="1"/>
  <c r="Z459" i="1"/>
  <c r="AD459" i="1"/>
  <c r="AH459" i="1"/>
  <c r="AL459" i="1"/>
  <c r="AP459" i="1"/>
  <c r="AT459" i="1"/>
  <c r="F460" i="1"/>
  <c r="J460" i="1"/>
  <c r="N460" i="1"/>
  <c r="R460" i="1"/>
  <c r="V460" i="1"/>
  <c r="Z460" i="1"/>
  <c r="AD460" i="1"/>
  <c r="AH460" i="1"/>
  <c r="AL460" i="1"/>
  <c r="AP460" i="1"/>
  <c r="AT460" i="1"/>
  <c r="F461" i="1"/>
  <c r="J461" i="1"/>
  <c r="N461" i="1"/>
  <c r="R461" i="1"/>
  <c r="V461" i="1"/>
  <c r="Z461" i="1"/>
  <c r="AD461" i="1"/>
  <c r="AH461" i="1"/>
  <c r="AL461" i="1"/>
  <c r="AP461" i="1"/>
  <c r="AT461" i="1"/>
  <c r="F462" i="1"/>
  <c r="J462" i="1"/>
  <c r="N462" i="1"/>
  <c r="R462" i="1"/>
  <c r="V462" i="1"/>
  <c r="Z462" i="1"/>
  <c r="AD462" i="1"/>
  <c r="AH462" i="1"/>
  <c r="AL462" i="1"/>
  <c r="AP462" i="1"/>
  <c r="AT462" i="1"/>
  <c r="F463" i="1"/>
  <c r="J463" i="1"/>
  <c r="N463" i="1"/>
  <c r="R463" i="1"/>
  <c r="V463" i="1"/>
  <c r="Z463" i="1"/>
  <c r="AD463" i="1"/>
  <c r="AH463" i="1"/>
  <c r="AL463" i="1"/>
  <c r="AP463" i="1"/>
  <c r="AT463" i="1"/>
  <c r="F464" i="1"/>
  <c r="J464" i="1"/>
  <c r="N464" i="1"/>
  <c r="R464" i="1"/>
  <c r="V464" i="1"/>
  <c r="Z464" i="1"/>
  <c r="AD464" i="1"/>
  <c r="AH464" i="1"/>
  <c r="AL464" i="1"/>
  <c r="AP464" i="1"/>
  <c r="AT464" i="1"/>
  <c r="F465" i="1"/>
  <c r="J465" i="1"/>
  <c r="N465" i="1"/>
  <c r="R465" i="1"/>
  <c r="V465" i="1"/>
  <c r="Z465" i="1"/>
  <c r="AD465" i="1"/>
  <c r="AH465" i="1"/>
  <c r="AL465" i="1"/>
  <c r="AP465" i="1"/>
  <c r="AT465" i="1"/>
  <c r="F466" i="1"/>
  <c r="J466" i="1"/>
  <c r="N466" i="1"/>
  <c r="R466" i="1"/>
  <c r="V466" i="1"/>
  <c r="Z466" i="1"/>
  <c r="AD466" i="1"/>
  <c r="AH466" i="1"/>
  <c r="AL466" i="1"/>
  <c r="AP466" i="1"/>
  <c r="AT466" i="1"/>
  <c r="F467" i="1"/>
  <c r="J467" i="1"/>
  <c r="N467" i="1"/>
  <c r="R467" i="1"/>
  <c r="V467" i="1"/>
  <c r="Z467" i="1"/>
  <c r="AD467" i="1"/>
  <c r="AH467" i="1"/>
  <c r="AL467" i="1"/>
  <c r="AP467" i="1"/>
  <c r="AT467" i="1"/>
  <c r="F468" i="1"/>
  <c r="J468" i="1"/>
  <c r="N468" i="1"/>
  <c r="R468" i="1"/>
  <c r="V468" i="1"/>
  <c r="Z468" i="1"/>
  <c r="AD468" i="1"/>
  <c r="AH468" i="1"/>
  <c r="AL468" i="1"/>
  <c r="AP468" i="1"/>
  <c r="AT468" i="1"/>
  <c r="F469" i="1"/>
  <c r="J469" i="1"/>
  <c r="N469" i="1"/>
  <c r="R469" i="1"/>
  <c r="V469" i="1"/>
  <c r="Z469" i="1"/>
  <c r="AD469" i="1"/>
  <c r="AH469" i="1"/>
  <c r="AL469" i="1"/>
  <c r="AP469" i="1"/>
  <c r="AT469" i="1"/>
  <c r="F470" i="1"/>
  <c r="J470" i="1"/>
  <c r="N470" i="1"/>
  <c r="R470" i="1"/>
  <c r="V470" i="1"/>
  <c r="Z470" i="1"/>
  <c r="AD470" i="1"/>
  <c r="AH470" i="1"/>
  <c r="AL470" i="1"/>
  <c r="AP470" i="1"/>
  <c r="AT470" i="1"/>
  <c r="F471" i="1"/>
  <c r="J471" i="1"/>
  <c r="N471" i="1"/>
  <c r="R471" i="1"/>
  <c r="V471" i="1"/>
  <c r="Z471" i="1"/>
  <c r="AD471" i="1"/>
  <c r="AH471" i="1"/>
  <c r="AL471" i="1"/>
  <c r="AP471" i="1"/>
  <c r="AT471" i="1"/>
  <c r="F472" i="1"/>
  <c r="J472" i="1"/>
  <c r="N472" i="1"/>
  <c r="R472" i="1"/>
  <c r="V472" i="1"/>
  <c r="Z472" i="1"/>
  <c r="AD472" i="1"/>
  <c r="AH472" i="1"/>
  <c r="AL472" i="1"/>
  <c r="AP472" i="1"/>
  <c r="AT472" i="1"/>
  <c r="F473" i="1"/>
  <c r="J473" i="1"/>
  <c r="N473" i="1"/>
  <c r="R473" i="1"/>
  <c r="V473" i="1"/>
  <c r="Z473" i="1"/>
  <c r="AD473" i="1"/>
  <c r="AH473" i="1"/>
  <c r="AL473" i="1"/>
  <c r="AP473" i="1"/>
  <c r="AT473" i="1"/>
  <c r="F474" i="1"/>
  <c r="J474" i="1"/>
  <c r="N474" i="1"/>
  <c r="R474" i="1"/>
  <c r="V474" i="1"/>
  <c r="Z474" i="1"/>
  <c r="AD474" i="1"/>
  <c r="AH474" i="1"/>
  <c r="AL474" i="1"/>
  <c r="AP474" i="1"/>
  <c r="AT474" i="1"/>
  <c r="F475" i="1"/>
  <c r="J475" i="1"/>
  <c r="N475" i="1"/>
  <c r="R475" i="1"/>
  <c r="V475" i="1"/>
  <c r="Z475" i="1"/>
  <c r="AD475" i="1"/>
  <c r="AH475" i="1"/>
  <c r="AL475" i="1"/>
  <c r="AP475" i="1"/>
  <c r="AT475" i="1"/>
  <c r="F476" i="1"/>
  <c r="J476" i="1"/>
  <c r="N476" i="1"/>
  <c r="R476" i="1"/>
  <c r="V476" i="1"/>
  <c r="Z476" i="1"/>
  <c r="AD476" i="1"/>
  <c r="AH476" i="1"/>
  <c r="AL476" i="1"/>
  <c r="AP476" i="1"/>
  <c r="AT476" i="1"/>
  <c r="F477" i="1"/>
  <c r="J477" i="1"/>
  <c r="N477" i="1"/>
  <c r="R477" i="1"/>
  <c r="V477" i="1"/>
  <c r="Z477" i="1"/>
  <c r="AD477" i="1"/>
  <c r="AH477" i="1"/>
  <c r="AL477" i="1"/>
  <c r="AP477" i="1"/>
  <c r="AT477" i="1"/>
  <c r="F478" i="1"/>
  <c r="J478" i="1"/>
  <c r="N478" i="1"/>
  <c r="R478" i="1"/>
  <c r="V478" i="1"/>
  <c r="Z478" i="1"/>
  <c r="AD478" i="1"/>
  <c r="AH478" i="1"/>
  <c r="AL478" i="1"/>
  <c r="AP478" i="1"/>
  <c r="AT478" i="1"/>
  <c r="F479" i="1"/>
  <c r="J479" i="1"/>
  <c r="N479" i="1"/>
  <c r="R479" i="1"/>
  <c r="V479" i="1"/>
  <c r="Z479" i="1"/>
  <c r="AD479" i="1"/>
  <c r="AH479" i="1"/>
  <c r="AL479" i="1"/>
  <c r="AP479" i="1"/>
  <c r="AT479" i="1"/>
  <c r="F480" i="1"/>
  <c r="J480" i="1"/>
  <c r="N480" i="1"/>
  <c r="R480" i="1"/>
  <c r="V480" i="1"/>
  <c r="Z480" i="1"/>
  <c r="AD480" i="1"/>
  <c r="AH480" i="1"/>
  <c r="AL480" i="1"/>
  <c r="AP480" i="1"/>
  <c r="AT480" i="1"/>
  <c r="F481" i="1"/>
  <c r="J481" i="1"/>
  <c r="N481" i="1"/>
  <c r="R481" i="1"/>
  <c r="V481" i="1"/>
  <c r="Z481" i="1"/>
  <c r="AD481" i="1"/>
  <c r="AH481" i="1"/>
  <c r="AL481" i="1"/>
  <c r="AP481" i="1"/>
  <c r="AT481" i="1"/>
  <c r="F482" i="1"/>
  <c r="J482" i="1"/>
  <c r="N482" i="1"/>
  <c r="R482" i="1"/>
  <c r="V482" i="1"/>
  <c r="Z482" i="1"/>
  <c r="AD482" i="1"/>
  <c r="AH482" i="1"/>
  <c r="AL482" i="1"/>
  <c r="AP482" i="1"/>
  <c r="AT482" i="1"/>
  <c r="F483" i="1"/>
  <c r="J483" i="1"/>
  <c r="N483" i="1"/>
  <c r="R483" i="1"/>
  <c r="V483" i="1"/>
  <c r="Z483" i="1"/>
  <c r="AD483" i="1"/>
  <c r="AH483" i="1"/>
  <c r="AL483" i="1"/>
  <c r="AP483" i="1"/>
  <c r="AT483" i="1"/>
  <c r="F484" i="1"/>
  <c r="J484" i="1"/>
  <c r="N484" i="1"/>
  <c r="R484" i="1"/>
  <c r="V484" i="1"/>
  <c r="Z484" i="1"/>
  <c r="AD484" i="1"/>
  <c r="AH484" i="1"/>
  <c r="AL484" i="1"/>
  <c r="AP484" i="1"/>
  <c r="AT484" i="1"/>
  <c r="F485" i="1"/>
  <c r="J485" i="1"/>
  <c r="N485" i="1"/>
  <c r="R485" i="1"/>
  <c r="V485" i="1"/>
  <c r="Z485" i="1"/>
  <c r="AD485" i="1"/>
  <c r="AH485" i="1"/>
  <c r="AL485" i="1"/>
  <c r="AP485" i="1"/>
  <c r="AT485" i="1"/>
  <c r="F486" i="1"/>
  <c r="J486" i="1"/>
  <c r="N486" i="1"/>
  <c r="R486" i="1"/>
  <c r="V486" i="1"/>
  <c r="Z486" i="1"/>
  <c r="AD486" i="1"/>
  <c r="AH486" i="1"/>
  <c r="AL486" i="1"/>
  <c r="AP486" i="1"/>
  <c r="AT486" i="1"/>
  <c r="F487" i="1"/>
  <c r="J487" i="1"/>
  <c r="N487" i="1"/>
  <c r="R487" i="1"/>
  <c r="V487" i="1"/>
  <c r="Z487" i="1"/>
  <c r="AD487" i="1"/>
  <c r="AH487" i="1"/>
  <c r="AL487" i="1"/>
  <c r="AP487" i="1"/>
  <c r="AT487" i="1"/>
  <c r="F488" i="1"/>
  <c r="J488" i="1"/>
  <c r="N488" i="1"/>
  <c r="R488" i="1"/>
  <c r="V488" i="1"/>
  <c r="Z488" i="1"/>
  <c r="AD488" i="1"/>
  <c r="AH488" i="1"/>
  <c r="AL488" i="1"/>
  <c r="AP488" i="1"/>
  <c r="AT488" i="1"/>
  <c r="F489" i="1"/>
  <c r="J489" i="1"/>
  <c r="N489" i="1"/>
  <c r="R489" i="1"/>
  <c r="V489" i="1"/>
  <c r="Z489" i="1"/>
  <c r="AD489" i="1"/>
  <c r="AH489" i="1"/>
  <c r="AL489" i="1"/>
  <c r="AP489" i="1"/>
  <c r="AT489" i="1"/>
  <c r="F490" i="1"/>
  <c r="J490" i="1"/>
  <c r="N490" i="1"/>
  <c r="R490" i="1"/>
  <c r="V490" i="1"/>
  <c r="Z490" i="1"/>
  <c r="AD490" i="1"/>
  <c r="AH490" i="1"/>
  <c r="AL490" i="1"/>
  <c r="AP490" i="1"/>
  <c r="AT490" i="1"/>
  <c r="F491" i="1"/>
  <c r="J491" i="1"/>
  <c r="N491" i="1"/>
  <c r="R491" i="1"/>
  <c r="V491" i="1"/>
  <c r="Z491" i="1"/>
  <c r="AD491" i="1"/>
  <c r="AH491" i="1"/>
  <c r="AL491" i="1"/>
  <c r="AP491" i="1"/>
  <c r="AT491" i="1"/>
  <c r="F492" i="1"/>
  <c r="J492" i="1"/>
  <c r="N492" i="1"/>
  <c r="R492" i="1"/>
  <c r="V492" i="1"/>
  <c r="Z492" i="1"/>
  <c r="AD492" i="1"/>
  <c r="AH492" i="1"/>
  <c r="AL492" i="1"/>
  <c r="AP492" i="1"/>
  <c r="AT492" i="1"/>
  <c r="F493" i="1"/>
  <c r="J493" i="1"/>
  <c r="N493" i="1"/>
  <c r="R493" i="1"/>
  <c r="V493" i="1"/>
  <c r="Z493" i="1"/>
  <c r="AD493" i="1"/>
  <c r="AH493" i="1"/>
  <c r="AL493" i="1"/>
  <c r="AP493" i="1"/>
  <c r="AT493" i="1"/>
  <c r="F494" i="1"/>
  <c r="J494" i="1"/>
  <c r="N494" i="1"/>
  <c r="R494" i="1"/>
  <c r="V494" i="1"/>
  <c r="Z494" i="1"/>
  <c r="AD494" i="1"/>
  <c r="AH494" i="1"/>
  <c r="AL494" i="1"/>
  <c r="AP494" i="1"/>
  <c r="AT494" i="1"/>
  <c r="F495" i="1"/>
  <c r="J495" i="1"/>
  <c r="N495" i="1"/>
  <c r="R495" i="1"/>
  <c r="V495" i="1"/>
  <c r="Z495" i="1"/>
  <c r="AD495" i="1"/>
  <c r="AH495" i="1"/>
  <c r="AL495" i="1"/>
  <c r="AP495" i="1"/>
  <c r="AT495" i="1"/>
  <c r="F496" i="1"/>
  <c r="J496" i="1"/>
  <c r="N496" i="1"/>
  <c r="R496" i="1"/>
  <c r="V496" i="1"/>
  <c r="Z496" i="1"/>
  <c r="AD496" i="1"/>
  <c r="AH496" i="1"/>
  <c r="AL496" i="1"/>
  <c r="AP496" i="1"/>
  <c r="AT496" i="1"/>
  <c r="F497" i="1"/>
  <c r="J497" i="1"/>
  <c r="N497" i="1"/>
  <c r="R497" i="1"/>
  <c r="V497" i="1"/>
  <c r="Z497" i="1"/>
  <c r="AD497" i="1"/>
  <c r="AH497" i="1"/>
  <c r="AL497" i="1"/>
  <c r="AP497" i="1"/>
  <c r="AT497" i="1"/>
  <c r="F498" i="1"/>
  <c r="J498" i="1"/>
  <c r="N498" i="1"/>
  <c r="R498" i="1"/>
  <c r="V498" i="1"/>
  <c r="Z498" i="1"/>
  <c r="AD498" i="1"/>
  <c r="AH498" i="1"/>
  <c r="AL498" i="1"/>
  <c r="AP498" i="1"/>
  <c r="AT498" i="1"/>
  <c r="F499" i="1"/>
  <c r="J499" i="1"/>
  <c r="N499" i="1"/>
  <c r="R499" i="1"/>
  <c r="V499" i="1"/>
  <c r="Z499" i="1"/>
  <c r="AD499" i="1"/>
  <c r="AH499" i="1"/>
  <c r="AL499" i="1"/>
  <c r="AP499" i="1"/>
  <c r="AT499" i="1"/>
  <c r="F500" i="1"/>
  <c r="J500" i="1"/>
  <c r="N500" i="1"/>
  <c r="R500" i="1"/>
  <c r="V500" i="1"/>
  <c r="Z500" i="1"/>
  <c r="AD500" i="1"/>
  <c r="AH500" i="1"/>
  <c r="AL500" i="1"/>
  <c r="AP500" i="1"/>
  <c r="AT500" i="1"/>
  <c r="F501" i="1"/>
  <c r="J501" i="1"/>
  <c r="N501" i="1"/>
  <c r="R501" i="1"/>
  <c r="V501" i="1"/>
  <c r="Z501" i="1"/>
  <c r="AD501" i="1"/>
  <c r="AH501" i="1"/>
  <c r="AL501" i="1"/>
  <c r="AP501" i="1"/>
  <c r="AT501" i="1"/>
  <c r="F502" i="1"/>
  <c r="J502" i="1"/>
  <c r="N502" i="1"/>
  <c r="R502" i="1"/>
  <c r="V502" i="1"/>
  <c r="Z502" i="1"/>
  <c r="AD502" i="1"/>
  <c r="AH502" i="1"/>
  <c r="AL502" i="1"/>
  <c r="AP502" i="1"/>
  <c r="AT502" i="1"/>
  <c r="F503" i="1"/>
  <c r="J503" i="1"/>
  <c r="N503" i="1"/>
  <c r="R503" i="1"/>
  <c r="V503" i="1"/>
  <c r="Z503" i="1"/>
  <c r="AD503" i="1"/>
  <c r="AH503" i="1"/>
  <c r="AL503" i="1"/>
  <c r="AP503" i="1"/>
  <c r="AT503" i="1"/>
  <c r="F504" i="1"/>
  <c r="J504" i="1"/>
  <c r="N504" i="1"/>
  <c r="R504" i="1"/>
  <c r="V504" i="1"/>
  <c r="Z504" i="1"/>
  <c r="AD504" i="1"/>
  <c r="AH504" i="1"/>
  <c r="AL504" i="1"/>
  <c r="AP504" i="1"/>
  <c r="AT504" i="1"/>
  <c r="F505" i="1"/>
  <c r="J505" i="1"/>
  <c r="N505" i="1"/>
  <c r="R505" i="1"/>
  <c r="V505" i="1"/>
  <c r="Z505" i="1"/>
  <c r="AD505" i="1"/>
  <c r="AH505" i="1"/>
  <c r="AL505" i="1"/>
  <c r="AP505" i="1"/>
  <c r="AT505" i="1"/>
  <c r="F506" i="1"/>
  <c r="J506" i="1"/>
  <c r="N506" i="1"/>
  <c r="R506" i="1"/>
  <c r="V506" i="1"/>
  <c r="Z506" i="1"/>
  <c r="AD506" i="1"/>
  <c r="AH506" i="1"/>
  <c r="AL506" i="1"/>
  <c r="AP506" i="1"/>
  <c r="AT506" i="1"/>
  <c r="F507" i="1"/>
  <c r="J507" i="1"/>
  <c r="N507" i="1"/>
  <c r="R507" i="1"/>
  <c r="V507" i="1"/>
  <c r="Z507" i="1"/>
  <c r="AD507" i="1"/>
  <c r="AH507" i="1"/>
  <c r="AL507" i="1"/>
  <c r="AP507" i="1"/>
  <c r="AT507" i="1"/>
  <c r="F508" i="1"/>
  <c r="J508" i="1"/>
  <c r="N508" i="1"/>
  <c r="R508" i="1"/>
  <c r="V508" i="1"/>
  <c r="Z508" i="1"/>
  <c r="AD508" i="1"/>
  <c r="AH508" i="1"/>
  <c r="AL508" i="1"/>
  <c r="AP508" i="1"/>
  <c r="AT508" i="1"/>
  <c r="F509" i="1"/>
  <c r="J509" i="1"/>
  <c r="N509" i="1"/>
  <c r="R509" i="1"/>
  <c r="V509" i="1"/>
  <c r="Z509" i="1"/>
  <c r="AD509" i="1"/>
  <c r="AH509" i="1"/>
  <c r="AL509" i="1"/>
  <c r="AP509" i="1"/>
  <c r="AT509" i="1"/>
  <c r="F510" i="1"/>
  <c r="J510" i="1"/>
  <c r="N510" i="1"/>
  <c r="R510" i="1"/>
  <c r="V510" i="1"/>
  <c r="Z510" i="1"/>
  <c r="AD510" i="1"/>
  <c r="AH510" i="1"/>
  <c r="AL510" i="1"/>
  <c r="AP510" i="1"/>
  <c r="AT510" i="1"/>
  <c r="F511" i="1"/>
  <c r="J511" i="1"/>
  <c r="N511" i="1"/>
  <c r="R511" i="1"/>
  <c r="V511" i="1"/>
  <c r="Z511" i="1"/>
  <c r="AD511" i="1"/>
  <c r="AH511" i="1"/>
  <c r="AL511" i="1"/>
  <c r="AP511" i="1"/>
  <c r="AT511" i="1"/>
  <c r="F512" i="1"/>
  <c r="J512" i="1"/>
  <c r="N512" i="1"/>
  <c r="R512" i="1"/>
  <c r="V512" i="1"/>
  <c r="Z512" i="1"/>
  <c r="AD512" i="1"/>
  <c r="AH512" i="1"/>
  <c r="AL512" i="1"/>
  <c r="AP512" i="1"/>
  <c r="AT512" i="1"/>
  <c r="F513" i="1"/>
  <c r="J513" i="1"/>
  <c r="N513" i="1"/>
  <c r="R513" i="1"/>
  <c r="V513" i="1"/>
  <c r="Z513" i="1"/>
  <c r="AD513" i="1"/>
  <c r="AH513" i="1"/>
  <c r="AL513" i="1"/>
  <c r="AP513" i="1"/>
  <c r="AT513" i="1"/>
  <c r="F514" i="1"/>
  <c r="J514" i="1"/>
  <c r="N514" i="1"/>
  <c r="R514" i="1"/>
  <c r="V514" i="1"/>
  <c r="Z514" i="1"/>
  <c r="AD514" i="1"/>
  <c r="AH514" i="1"/>
  <c r="AL514" i="1"/>
  <c r="AP514" i="1"/>
  <c r="AT514" i="1"/>
  <c r="F515" i="1"/>
  <c r="J515" i="1"/>
  <c r="N515" i="1"/>
  <c r="R515" i="1"/>
  <c r="V515" i="1"/>
  <c r="Z515" i="1"/>
  <c r="AD515" i="1"/>
  <c r="AH515" i="1"/>
  <c r="AL515" i="1"/>
  <c r="AP515" i="1"/>
  <c r="AT515" i="1"/>
  <c r="F516" i="1"/>
  <c r="J516" i="1"/>
  <c r="N516" i="1"/>
  <c r="R516" i="1"/>
  <c r="V516" i="1"/>
  <c r="Z516" i="1"/>
  <c r="AD516" i="1"/>
  <c r="AH516" i="1"/>
  <c r="AL516" i="1"/>
  <c r="AP516" i="1"/>
  <c r="AT516" i="1"/>
  <c r="F517" i="1"/>
  <c r="J517" i="1"/>
  <c r="N517" i="1"/>
  <c r="R517" i="1"/>
  <c r="V517" i="1"/>
  <c r="Z517" i="1"/>
  <c r="AD517" i="1"/>
  <c r="AH517" i="1"/>
  <c r="AL517" i="1"/>
  <c r="AP517" i="1"/>
  <c r="AT517" i="1"/>
  <c r="F518" i="1"/>
  <c r="J518" i="1"/>
  <c r="N518" i="1"/>
  <c r="R518" i="1"/>
  <c r="V518" i="1"/>
  <c r="Z518" i="1"/>
  <c r="AD518" i="1"/>
  <c r="AH518" i="1"/>
  <c r="AL518" i="1"/>
  <c r="AP518" i="1"/>
  <c r="AT518" i="1"/>
  <c r="F519" i="1"/>
  <c r="J519" i="1"/>
  <c r="N519" i="1"/>
  <c r="R519" i="1"/>
  <c r="V519" i="1"/>
  <c r="Z519" i="1"/>
  <c r="AD519" i="1"/>
  <c r="AH519" i="1"/>
  <c r="AL519" i="1"/>
  <c r="AP519" i="1"/>
  <c r="AT519" i="1"/>
  <c r="F520" i="1"/>
  <c r="J520" i="1"/>
  <c r="N520" i="1"/>
  <c r="R520" i="1"/>
  <c r="V520" i="1"/>
  <c r="Z520" i="1"/>
  <c r="AD520" i="1"/>
  <c r="AH520" i="1"/>
  <c r="AL520" i="1"/>
  <c r="AP520" i="1"/>
  <c r="AT520" i="1"/>
  <c r="F521" i="1"/>
  <c r="J521" i="1"/>
  <c r="N521" i="1"/>
  <c r="R521" i="1"/>
  <c r="V521" i="1"/>
  <c r="Z521" i="1"/>
  <c r="AD521" i="1"/>
  <c r="AH521" i="1"/>
  <c r="AL521" i="1"/>
  <c r="AP521" i="1"/>
  <c r="AT521" i="1"/>
  <c r="F522" i="1"/>
  <c r="J522" i="1"/>
  <c r="N522" i="1"/>
  <c r="R522" i="1"/>
  <c r="V522" i="1"/>
  <c r="Z522" i="1"/>
  <c r="AD522" i="1"/>
  <c r="AH522" i="1"/>
  <c r="AL522" i="1"/>
  <c r="AP522" i="1"/>
  <c r="AT522" i="1"/>
  <c r="F523" i="1"/>
  <c r="J523" i="1"/>
  <c r="N523" i="1"/>
  <c r="R523" i="1"/>
  <c r="V523" i="1"/>
  <c r="Z523" i="1"/>
  <c r="AD523" i="1"/>
  <c r="AH523" i="1"/>
  <c r="AL523" i="1"/>
  <c r="AP523" i="1"/>
  <c r="AT523" i="1"/>
  <c r="F524" i="1"/>
  <c r="J524" i="1"/>
  <c r="N524" i="1"/>
  <c r="R524" i="1"/>
  <c r="V524" i="1"/>
  <c r="Z524" i="1"/>
  <c r="AD524" i="1"/>
  <c r="AH524" i="1"/>
  <c r="AL524" i="1"/>
  <c r="AP524" i="1"/>
  <c r="AT524" i="1"/>
  <c r="F525" i="1"/>
  <c r="J525" i="1"/>
  <c r="N525" i="1"/>
  <c r="R525" i="1"/>
  <c r="V525" i="1"/>
  <c r="Z525" i="1"/>
  <c r="AD525" i="1"/>
  <c r="AH525" i="1"/>
  <c r="AL525" i="1"/>
  <c r="AP525" i="1"/>
  <c r="AT525" i="1"/>
  <c r="F526" i="1"/>
  <c r="J526" i="1"/>
  <c r="N526" i="1"/>
  <c r="R526" i="1"/>
  <c r="V526" i="1"/>
  <c r="Z526" i="1"/>
  <c r="AD526" i="1"/>
  <c r="AH526" i="1"/>
  <c r="AL526" i="1"/>
  <c r="AP526" i="1"/>
  <c r="AT526" i="1"/>
  <c r="F527" i="1"/>
  <c r="J527" i="1"/>
  <c r="N527" i="1"/>
  <c r="R527" i="1"/>
  <c r="V527" i="1"/>
  <c r="Z527" i="1"/>
  <c r="AD527" i="1"/>
  <c r="AH527" i="1"/>
  <c r="AL527" i="1"/>
  <c r="AP527" i="1"/>
  <c r="AT527" i="1"/>
  <c r="F528" i="1"/>
  <c r="J528" i="1"/>
  <c r="N528" i="1"/>
  <c r="R528" i="1"/>
  <c r="V528" i="1"/>
  <c r="Z528" i="1"/>
  <c r="AD528" i="1"/>
  <c r="AH528" i="1"/>
  <c r="AL528" i="1"/>
  <c r="AP528" i="1"/>
  <c r="AT528" i="1"/>
  <c r="F529" i="1"/>
  <c r="J529" i="1"/>
  <c r="N529" i="1"/>
  <c r="R529" i="1"/>
  <c r="V529" i="1"/>
  <c r="Z529" i="1"/>
  <c r="AD529" i="1"/>
  <c r="AH529" i="1"/>
  <c r="AL529" i="1"/>
  <c r="AP529" i="1"/>
  <c r="AT529" i="1"/>
  <c r="F530" i="1"/>
  <c r="J530" i="1"/>
  <c r="N530" i="1"/>
  <c r="R530" i="1"/>
  <c r="V530" i="1"/>
  <c r="Z530" i="1"/>
  <c r="AD530" i="1"/>
  <c r="AH530" i="1"/>
  <c r="AL530" i="1"/>
  <c r="AP530" i="1"/>
  <c r="AT530" i="1"/>
  <c r="F531" i="1"/>
  <c r="J531" i="1"/>
  <c r="N531" i="1"/>
  <c r="R531" i="1"/>
  <c r="V531" i="1"/>
  <c r="Z531" i="1"/>
  <c r="AD531" i="1"/>
  <c r="AH531" i="1"/>
  <c r="AL531" i="1"/>
  <c r="AP531" i="1"/>
  <c r="AT531" i="1"/>
  <c r="F532" i="1"/>
  <c r="J532" i="1"/>
  <c r="N532" i="1"/>
  <c r="R532" i="1"/>
  <c r="V532" i="1"/>
  <c r="Z532" i="1"/>
  <c r="AD532" i="1"/>
  <c r="AH532" i="1"/>
  <c r="AL532" i="1"/>
  <c r="AP532" i="1"/>
  <c r="AT532" i="1"/>
  <c r="F533" i="1"/>
  <c r="J533" i="1"/>
  <c r="N533" i="1"/>
  <c r="R533" i="1"/>
  <c r="V533" i="1"/>
  <c r="Z533" i="1"/>
  <c r="AD533" i="1"/>
  <c r="AH533" i="1"/>
  <c r="AL533" i="1"/>
  <c r="AP533" i="1"/>
  <c r="AT533" i="1"/>
  <c r="F534" i="1"/>
  <c r="J534" i="1"/>
  <c r="N534" i="1"/>
  <c r="R534" i="1"/>
  <c r="V534" i="1"/>
  <c r="Z534" i="1"/>
  <c r="AD534" i="1"/>
  <c r="AH534" i="1"/>
  <c r="AL534" i="1"/>
  <c r="AP534" i="1"/>
  <c r="AT534" i="1"/>
  <c r="F535" i="1"/>
  <c r="J535" i="1"/>
  <c r="N535" i="1"/>
  <c r="R535" i="1"/>
  <c r="V535" i="1"/>
  <c r="Z535" i="1"/>
  <c r="AD535" i="1"/>
  <c r="AH535" i="1"/>
  <c r="AL535" i="1"/>
  <c r="AP535" i="1"/>
  <c r="AT535" i="1"/>
  <c r="F536" i="1"/>
  <c r="J536" i="1"/>
  <c r="N536" i="1"/>
  <c r="R536" i="1"/>
  <c r="V536" i="1"/>
  <c r="Z536" i="1"/>
  <c r="AD536" i="1"/>
  <c r="AH536" i="1"/>
  <c r="AL536" i="1"/>
  <c r="AP536" i="1"/>
  <c r="AT536" i="1"/>
  <c r="F537" i="1"/>
  <c r="J537" i="1"/>
  <c r="N537" i="1"/>
  <c r="R537" i="1"/>
  <c r="V537" i="1"/>
  <c r="Z537" i="1"/>
  <c r="AD537" i="1"/>
  <c r="AH537" i="1"/>
  <c r="AL537" i="1"/>
  <c r="AP537" i="1"/>
  <c r="AT537" i="1"/>
  <c r="F538" i="1"/>
  <c r="J538" i="1"/>
  <c r="N538" i="1"/>
  <c r="R538" i="1"/>
  <c r="V538" i="1"/>
  <c r="Z538" i="1"/>
  <c r="AD538" i="1"/>
  <c r="AH538" i="1"/>
  <c r="AL538" i="1"/>
  <c r="AP538" i="1"/>
  <c r="AT538" i="1"/>
  <c r="F539" i="1"/>
  <c r="J539" i="1"/>
  <c r="N539" i="1"/>
  <c r="R539" i="1"/>
  <c r="V539" i="1"/>
  <c r="Z539" i="1"/>
  <c r="AD539" i="1"/>
  <c r="AH539" i="1"/>
  <c r="AL539" i="1"/>
  <c r="AP539" i="1"/>
  <c r="AT539" i="1"/>
  <c r="F540" i="1"/>
  <c r="J540" i="1"/>
  <c r="N540" i="1"/>
  <c r="R540" i="1"/>
  <c r="V540" i="1"/>
  <c r="Z540" i="1"/>
  <c r="AD540" i="1"/>
  <c r="AH540" i="1"/>
  <c r="AL540" i="1"/>
  <c r="AP540" i="1"/>
  <c r="AT540" i="1"/>
  <c r="F541" i="1"/>
  <c r="J541" i="1"/>
  <c r="N541" i="1"/>
  <c r="R541" i="1"/>
  <c r="V541" i="1"/>
  <c r="Z541" i="1"/>
  <c r="AD541" i="1"/>
  <c r="AH541" i="1"/>
  <c r="AL541" i="1"/>
  <c r="AP541" i="1"/>
  <c r="AT541" i="1"/>
  <c r="F542" i="1"/>
  <c r="J542" i="1"/>
  <c r="N542" i="1"/>
  <c r="R542" i="1"/>
  <c r="V542" i="1"/>
  <c r="Z542" i="1"/>
  <c r="AD542" i="1"/>
  <c r="AH542" i="1"/>
  <c r="AL542" i="1"/>
  <c r="AP542" i="1"/>
  <c r="AT542" i="1"/>
  <c r="F543" i="1"/>
  <c r="J543" i="1"/>
  <c r="N543" i="1"/>
  <c r="R543" i="1"/>
  <c r="V543" i="1"/>
  <c r="Z543" i="1"/>
  <c r="AD543" i="1"/>
  <c r="AH543" i="1"/>
  <c r="AL543" i="1"/>
  <c r="AP543" i="1"/>
  <c r="AT543" i="1"/>
  <c r="F544" i="1"/>
  <c r="J544" i="1"/>
  <c r="N544" i="1"/>
  <c r="R544" i="1"/>
  <c r="V544" i="1"/>
  <c r="Z544" i="1"/>
  <c r="AD544" i="1"/>
  <c r="AH544" i="1"/>
  <c r="AL544" i="1"/>
  <c r="AP544" i="1"/>
  <c r="AT544" i="1"/>
  <c r="F545" i="1"/>
  <c r="J545" i="1"/>
  <c r="N545" i="1"/>
  <c r="R545" i="1"/>
  <c r="V545" i="1"/>
  <c r="Z545" i="1"/>
  <c r="AD545" i="1"/>
  <c r="AH545" i="1"/>
  <c r="AL545" i="1"/>
  <c r="AP545" i="1"/>
  <c r="AT545" i="1"/>
  <c r="F546" i="1"/>
  <c r="J546" i="1"/>
  <c r="N546" i="1"/>
  <c r="R546" i="1"/>
  <c r="V546" i="1"/>
  <c r="Z546" i="1"/>
  <c r="AD546" i="1"/>
  <c r="AH546" i="1"/>
  <c r="AL546" i="1"/>
  <c r="AP546" i="1"/>
  <c r="AT546" i="1"/>
  <c r="F547" i="1"/>
  <c r="J547" i="1"/>
  <c r="N547" i="1"/>
  <c r="R547" i="1"/>
  <c r="V547" i="1"/>
  <c r="Z547" i="1"/>
  <c r="AD547" i="1"/>
  <c r="AH547" i="1"/>
  <c r="AL547" i="1"/>
  <c r="AP547" i="1"/>
  <c r="AT547" i="1"/>
  <c r="F548" i="1"/>
  <c r="J548" i="1"/>
  <c r="N548" i="1"/>
  <c r="R548" i="1"/>
  <c r="V548" i="1"/>
  <c r="Z548" i="1"/>
  <c r="AD548" i="1"/>
  <c r="AH548" i="1"/>
  <c r="AL548" i="1"/>
  <c r="AP548" i="1"/>
  <c r="AT548" i="1"/>
  <c r="F549" i="1"/>
  <c r="J549" i="1"/>
  <c r="N549" i="1"/>
  <c r="R549" i="1"/>
  <c r="V549" i="1"/>
  <c r="Z549" i="1"/>
  <c r="AD549" i="1"/>
  <c r="AH549" i="1"/>
  <c r="AL549" i="1"/>
  <c r="AP549" i="1"/>
  <c r="AT549" i="1"/>
  <c r="F550" i="1"/>
  <c r="J550" i="1"/>
  <c r="N550" i="1"/>
  <c r="R550" i="1"/>
  <c r="V550" i="1"/>
  <c r="Z550" i="1"/>
  <c r="AD550" i="1"/>
  <c r="AH550" i="1"/>
  <c r="AL550" i="1"/>
  <c r="AP550" i="1"/>
  <c r="AT550" i="1"/>
  <c r="F551" i="1"/>
  <c r="J551" i="1"/>
  <c r="N551" i="1"/>
  <c r="R551" i="1"/>
  <c r="V551" i="1"/>
  <c r="Z551" i="1"/>
  <c r="AD551" i="1"/>
  <c r="AH551" i="1"/>
  <c r="AL551" i="1"/>
  <c r="AP551" i="1"/>
  <c r="AT551" i="1"/>
  <c r="F552" i="1"/>
  <c r="J552" i="1"/>
  <c r="N552" i="1"/>
  <c r="R552" i="1"/>
  <c r="V552" i="1"/>
  <c r="Z552" i="1"/>
  <c r="AD552" i="1"/>
  <c r="AH552" i="1"/>
  <c r="AL552" i="1"/>
  <c r="AP552" i="1"/>
  <c r="AT552" i="1"/>
  <c r="F553" i="1"/>
  <c r="J553" i="1"/>
  <c r="N553" i="1"/>
  <c r="R553" i="1"/>
  <c r="V553" i="1"/>
  <c r="Z553" i="1"/>
  <c r="AD553" i="1"/>
  <c r="AH553" i="1"/>
  <c r="AL553" i="1"/>
  <c r="AP553" i="1"/>
  <c r="AT553" i="1"/>
  <c r="F554" i="1"/>
  <c r="J554" i="1"/>
  <c r="N554" i="1"/>
  <c r="R554" i="1"/>
  <c r="V554" i="1"/>
  <c r="Z554" i="1"/>
  <c r="AD554" i="1"/>
  <c r="AH554" i="1"/>
  <c r="AL554" i="1"/>
  <c r="AP554" i="1"/>
  <c r="AT554" i="1"/>
  <c r="F555" i="1"/>
  <c r="J555" i="1"/>
  <c r="N555" i="1"/>
  <c r="R555" i="1"/>
  <c r="V555" i="1"/>
  <c r="Z555" i="1"/>
  <c r="AD555" i="1"/>
  <c r="AH555" i="1"/>
  <c r="AL555" i="1"/>
  <c r="AP555" i="1"/>
  <c r="AT555" i="1"/>
  <c r="F556" i="1"/>
  <c r="J556" i="1"/>
  <c r="N556" i="1"/>
  <c r="R556" i="1"/>
  <c r="V556" i="1"/>
  <c r="Z556" i="1"/>
  <c r="AD556" i="1"/>
  <c r="AH556" i="1"/>
  <c r="AL556" i="1"/>
  <c r="AP556" i="1"/>
  <c r="AT556" i="1"/>
  <c r="F557" i="1"/>
  <c r="J557" i="1"/>
  <c r="N557" i="1"/>
  <c r="R557" i="1"/>
  <c r="V557" i="1"/>
  <c r="Z557" i="1"/>
  <c r="AD557" i="1"/>
  <c r="AH557" i="1"/>
  <c r="AL557" i="1"/>
  <c r="AP557" i="1"/>
  <c r="AT557" i="1"/>
  <c r="F558" i="1"/>
  <c r="J558" i="1"/>
  <c r="N558" i="1"/>
  <c r="R558" i="1"/>
  <c r="V558" i="1"/>
  <c r="Z558" i="1"/>
  <c r="AD558" i="1"/>
  <c r="AH558" i="1"/>
  <c r="AL558" i="1"/>
  <c r="AP558" i="1"/>
  <c r="AT558" i="1"/>
  <c r="F559" i="1"/>
  <c r="J559" i="1"/>
  <c r="N559" i="1"/>
  <c r="R559" i="1"/>
  <c r="V559" i="1"/>
  <c r="Z559" i="1"/>
  <c r="AD559" i="1"/>
  <c r="AH559" i="1"/>
  <c r="AL559" i="1"/>
  <c r="AP559" i="1"/>
  <c r="AT559" i="1"/>
  <c r="F560" i="1"/>
  <c r="J560" i="1"/>
  <c r="N560" i="1"/>
  <c r="R560" i="1"/>
  <c r="V560" i="1"/>
  <c r="Z560" i="1"/>
  <c r="AD560" i="1"/>
  <c r="AH560" i="1"/>
  <c r="AL560" i="1"/>
  <c r="AP560" i="1"/>
  <c r="AT560" i="1"/>
  <c r="F561" i="1"/>
  <c r="J561" i="1"/>
  <c r="N561" i="1"/>
  <c r="R561" i="1"/>
  <c r="V561" i="1"/>
  <c r="Z561" i="1"/>
  <c r="AD561" i="1"/>
  <c r="AH561" i="1"/>
  <c r="AL561" i="1"/>
  <c r="AP561" i="1"/>
  <c r="AT561" i="1"/>
  <c r="F562" i="1"/>
  <c r="J562" i="1"/>
  <c r="N562" i="1"/>
  <c r="R562" i="1"/>
  <c r="V562" i="1"/>
  <c r="Z562" i="1"/>
  <c r="AD562" i="1"/>
  <c r="AH562" i="1"/>
  <c r="AL562" i="1"/>
  <c r="AP562" i="1"/>
  <c r="AT562" i="1"/>
  <c r="F563" i="1"/>
  <c r="J563" i="1"/>
  <c r="N563" i="1"/>
  <c r="R563" i="1"/>
  <c r="V563" i="1"/>
  <c r="Z563" i="1"/>
  <c r="AD563" i="1"/>
  <c r="AH563" i="1"/>
  <c r="AL563" i="1"/>
  <c r="AP563" i="1"/>
  <c r="AT563" i="1"/>
  <c r="F564" i="1"/>
  <c r="J564" i="1"/>
  <c r="N564" i="1"/>
  <c r="R564" i="1"/>
  <c r="V564" i="1"/>
  <c r="Z564" i="1"/>
  <c r="AD564" i="1"/>
  <c r="AH564" i="1"/>
  <c r="AL564" i="1"/>
  <c r="AP564" i="1"/>
  <c r="AT564" i="1"/>
  <c r="F565" i="1"/>
  <c r="J565" i="1"/>
  <c r="N565" i="1"/>
  <c r="R565" i="1"/>
  <c r="V565" i="1"/>
  <c r="Z565" i="1"/>
  <c r="AD565" i="1"/>
  <c r="AH565" i="1"/>
  <c r="AL565" i="1"/>
  <c r="AP565" i="1"/>
  <c r="AT565" i="1"/>
  <c r="F566" i="1"/>
  <c r="J566" i="1"/>
  <c r="N566" i="1"/>
  <c r="R566" i="1"/>
  <c r="V566" i="1"/>
  <c r="Z566" i="1"/>
  <c r="AD566" i="1"/>
  <c r="AH566" i="1"/>
  <c r="AL566" i="1"/>
  <c r="AP566" i="1"/>
  <c r="AT566" i="1"/>
  <c r="F567" i="1"/>
  <c r="J567" i="1"/>
  <c r="N567" i="1"/>
  <c r="R567" i="1"/>
  <c r="V567" i="1"/>
  <c r="Z567" i="1"/>
  <c r="AD567" i="1"/>
  <c r="AH567" i="1"/>
  <c r="AL567" i="1"/>
  <c r="AP567" i="1"/>
  <c r="AT567" i="1"/>
  <c r="F568" i="1"/>
  <c r="J568" i="1"/>
  <c r="N568" i="1"/>
  <c r="R568" i="1"/>
  <c r="V568" i="1"/>
  <c r="Z568" i="1"/>
  <c r="AD568" i="1"/>
  <c r="AH568" i="1"/>
  <c r="AL568" i="1"/>
  <c r="AP568" i="1"/>
  <c r="AT568" i="1"/>
  <c r="F569" i="1"/>
  <c r="J569" i="1"/>
  <c r="N569" i="1"/>
  <c r="R569" i="1"/>
  <c r="V569" i="1"/>
  <c r="Z569" i="1"/>
  <c r="AD569" i="1"/>
  <c r="AH569" i="1"/>
  <c r="AL569" i="1"/>
  <c r="AP569" i="1"/>
  <c r="AT569" i="1"/>
  <c r="F570" i="1"/>
  <c r="J570" i="1"/>
  <c r="N570" i="1"/>
  <c r="R570" i="1"/>
  <c r="V570" i="1"/>
  <c r="Z570" i="1"/>
  <c r="AD570" i="1"/>
  <c r="AH570" i="1"/>
  <c r="AL570" i="1"/>
  <c r="AP570" i="1"/>
  <c r="AT570" i="1"/>
  <c r="F571" i="1"/>
  <c r="J571" i="1"/>
  <c r="N571" i="1"/>
  <c r="R571" i="1"/>
  <c r="V571" i="1"/>
  <c r="Z571" i="1"/>
  <c r="AD571" i="1"/>
  <c r="AH571" i="1"/>
  <c r="AL571" i="1"/>
  <c r="AP571" i="1"/>
  <c r="AT571" i="1"/>
  <c r="F572" i="1"/>
  <c r="J572" i="1"/>
  <c r="N572" i="1"/>
  <c r="R572" i="1"/>
  <c r="V572" i="1"/>
  <c r="Z572" i="1"/>
  <c r="AD572" i="1"/>
  <c r="AH572" i="1"/>
  <c r="AL572" i="1"/>
  <c r="AP572" i="1"/>
  <c r="AT572" i="1"/>
  <c r="F573" i="1"/>
  <c r="J573" i="1"/>
  <c r="N573" i="1"/>
  <c r="R573" i="1"/>
  <c r="V573" i="1"/>
  <c r="Z573" i="1"/>
  <c r="AD573" i="1"/>
  <c r="AH573" i="1"/>
  <c r="AL573" i="1"/>
  <c r="AP573" i="1"/>
  <c r="AT573" i="1"/>
  <c r="R181" i="1"/>
  <c r="R180" i="1"/>
  <c r="G160" i="12"/>
  <c r="E161" i="12"/>
  <c r="D161" i="12"/>
  <c r="F160" i="12"/>
  <c r="F159" i="12"/>
  <c r="E160" i="12"/>
  <c r="D160" i="12"/>
  <c r="G159" i="12"/>
  <c r="E159" i="12"/>
  <c r="D159" i="12"/>
  <c r="G158" i="12"/>
  <c r="G157" i="12"/>
  <c r="F158" i="12"/>
  <c r="F157" i="12"/>
  <c r="E158" i="12"/>
  <c r="E157" i="12"/>
  <c r="G156" i="12"/>
  <c r="F156" i="12"/>
  <c r="E156" i="12"/>
  <c r="G155" i="12"/>
  <c r="F155" i="12"/>
  <c r="G154" i="12"/>
  <c r="F154" i="12"/>
  <c r="E155" i="12"/>
  <c r="E154" i="12"/>
  <c r="D158" i="12"/>
  <c r="D157" i="12"/>
  <c r="D156" i="12"/>
  <c r="D155" i="12"/>
  <c r="D154" i="12"/>
  <c r="K100" i="15"/>
  <c r="L100" i="15" s="1"/>
  <c r="G153" i="12"/>
  <c r="G152" i="12"/>
  <c r="F153" i="12"/>
  <c r="F152" i="12"/>
  <c r="E153" i="12"/>
  <c r="E152" i="12"/>
  <c r="D153" i="12"/>
  <c r="D152" i="12"/>
  <c r="G151" i="12"/>
  <c r="F151" i="12"/>
  <c r="E151" i="12"/>
  <c r="D151" i="12"/>
  <c r="G150" i="12"/>
  <c r="F150" i="12"/>
  <c r="E150" i="12"/>
  <c r="G149" i="12"/>
  <c r="F149" i="12"/>
  <c r="E149" i="12"/>
  <c r="D150" i="12"/>
  <c r="D149" i="12"/>
  <c r="G148" i="12"/>
  <c r="F148" i="12"/>
  <c r="E148" i="12"/>
  <c r="D148" i="12"/>
  <c r="G145" i="12"/>
  <c r="G146" i="12"/>
  <c r="G147" i="12"/>
  <c r="F147" i="12"/>
  <c r="E147" i="12"/>
  <c r="D147" i="12"/>
  <c r="E146" i="12"/>
  <c r="D146" i="12"/>
  <c r="F146" i="12"/>
  <c r="F145" i="12"/>
  <c r="F144" i="12"/>
  <c r="G144" i="12"/>
  <c r="G143" i="12"/>
  <c r="G142" i="12"/>
  <c r="G141" i="12"/>
  <c r="F143" i="12"/>
  <c r="F142" i="12"/>
  <c r="F141" i="12"/>
  <c r="F140" i="12"/>
  <c r="F139" i="12"/>
  <c r="F138" i="12"/>
  <c r="F137" i="12"/>
  <c r="F136" i="12"/>
  <c r="F135" i="12"/>
  <c r="F134" i="12"/>
  <c r="D134" i="12"/>
  <c r="F133" i="12"/>
  <c r="E133" i="12"/>
  <c r="F132" i="12"/>
  <c r="F131" i="12"/>
  <c r="F130" i="12"/>
  <c r="F129" i="12"/>
  <c r="F128" i="12"/>
  <c r="F127" i="12"/>
  <c r="F126" i="12"/>
  <c r="F125" i="12"/>
  <c r="F124" i="12"/>
  <c r="F123" i="12"/>
  <c r="F122" i="12"/>
  <c r="E145" i="12"/>
  <c r="E144" i="12"/>
  <c r="E143" i="12"/>
  <c r="E142" i="12"/>
  <c r="E141" i="12"/>
  <c r="E140" i="12"/>
  <c r="D145" i="12"/>
  <c r="D144" i="12"/>
  <c r="D143" i="12"/>
  <c r="D142" i="12"/>
  <c r="D141" i="12"/>
  <c r="G140" i="12"/>
  <c r="D140" i="12"/>
  <c r="G139" i="12"/>
  <c r="E139" i="12"/>
  <c r="D139" i="12"/>
  <c r="G138" i="12"/>
  <c r="E138" i="12"/>
  <c r="D138" i="12"/>
  <c r="O96" i="15"/>
  <c r="E134" i="12"/>
  <c r="E135" i="12"/>
  <c r="E136" i="12"/>
  <c r="E137" i="12"/>
  <c r="G136" i="12"/>
  <c r="G137" i="12"/>
  <c r="D137" i="12"/>
  <c r="D136" i="12"/>
  <c r="G135" i="12"/>
  <c r="D135" i="12"/>
  <c r="G134" i="12"/>
  <c r="G133" i="12"/>
  <c r="D133" i="12"/>
  <c r="G132" i="12"/>
  <c r="E132" i="12"/>
  <c r="D132" i="12"/>
  <c r="G131" i="12"/>
  <c r="E131" i="12"/>
  <c r="D131" i="12"/>
  <c r="G130" i="12"/>
  <c r="E130" i="12"/>
  <c r="D130" i="12"/>
  <c r="G129" i="12"/>
  <c r="E129" i="12"/>
  <c r="D129" i="12"/>
  <c r="G127" i="12"/>
  <c r="G128" i="12"/>
  <c r="E128" i="12"/>
  <c r="D128" i="12"/>
  <c r="E69" i="12"/>
  <c r="D69" i="12"/>
  <c r="C64" i="12"/>
  <c r="C65" i="12"/>
  <c r="C66" i="12"/>
  <c r="C67" i="12"/>
  <c r="C68" i="12"/>
  <c r="C69" i="12"/>
  <c r="C63" i="12"/>
  <c r="C62" i="12"/>
  <c r="B64" i="12"/>
  <c r="B65" i="12"/>
  <c r="B66" i="12"/>
  <c r="B67" i="12"/>
  <c r="B68" i="12"/>
  <c r="B69" i="12"/>
  <c r="B63" i="12"/>
  <c r="B6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92" i="12"/>
  <c r="G91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92" i="12"/>
  <c r="F91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92" i="12"/>
  <c r="E91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92" i="12"/>
  <c r="D91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92" i="12"/>
  <c r="C91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92" i="12"/>
  <c r="B91" i="12"/>
  <c r="G123" i="12"/>
  <c r="G124" i="12"/>
  <c r="G125" i="12"/>
  <c r="G126" i="12"/>
  <c r="G122" i="12"/>
  <c r="G121" i="12"/>
  <c r="F121" i="12"/>
  <c r="E123" i="12"/>
  <c r="E124" i="12"/>
  <c r="E125" i="12"/>
  <c r="E126" i="12"/>
  <c r="E127" i="12"/>
  <c r="E122" i="12"/>
  <c r="E121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22" i="12"/>
  <c r="C121" i="12"/>
  <c r="B123" i="12"/>
  <c r="B124" i="12"/>
  <c r="B125" i="12"/>
  <c r="B126" i="12"/>
  <c r="B127" i="12"/>
  <c r="B128" i="12"/>
  <c r="B129" i="12"/>
  <c r="B130" i="12"/>
  <c r="B131" i="12"/>
  <c r="B132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22" i="12"/>
  <c r="B121" i="12"/>
  <c r="D123" i="12"/>
  <c r="D124" i="12"/>
  <c r="D125" i="12"/>
  <c r="D126" i="12"/>
  <c r="D127" i="12"/>
  <c r="D122" i="12"/>
  <c r="D121" i="12"/>
  <c r="K5" i="15"/>
  <c r="L5" i="15" s="1"/>
  <c r="K6" i="15"/>
  <c r="L6" i="15" s="1"/>
  <c r="K7" i="15"/>
  <c r="L7" i="15" s="1"/>
  <c r="K8" i="15"/>
  <c r="L8" i="15" s="1"/>
  <c r="K9" i="15"/>
  <c r="L9" i="15" s="1"/>
  <c r="K10" i="15"/>
  <c r="L10" i="15" s="1"/>
  <c r="K11" i="15"/>
  <c r="L11" i="15" s="1"/>
  <c r="K12" i="15"/>
  <c r="L12" i="15" s="1"/>
  <c r="K13" i="15"/>
  <c r="L13" i="15" s="1"/>
  <c r="K14" i="15"/>
  <c r="L14" i="15" s="1"/>
  <c r="K15" i="15"/>
  <c r="L15" i="15" s="1"/>
  <c r="K16" i="15"/>
  <c r="L16" i="15" s="1"/>
  <c r="K17" i="15"/>
  <c r="L17" i="15" s="1"/>
  <c r="K18" i="15"/>
  <c r="L18" i="15" s="1"/>
  <c r="K19" i="15"/>
  <c r="L19" i="15" s="1"/>
  <c r="K20" i="15"/>
  <c r="L20" i="15" s="1"/>
  <c r="K21" i="15"/>
  <c r="L21" i="15" s="1"/>
  <c r="K22" i="15"/>
  <c r="L22" i="15" s="1"/>
  <c r="K23" i="15"/>
  <c r="L23" i="15" s="1"/>
  <c r="K24" i="15"/>
  <c r="L24" i="15" s="1"/>
  <c r="K25" i="15"/>
  <c r="L25" i="15" s="1"/>
  <c r="K26" i="15"/>
  <c r="L26" i="15" s="1"/>
  <c r="K27" i="15"/>
  <c r="L27" i="15" s="1"/>
  <c r="K28" i="15"/>
  <c r="L28" i="15" s="1"/>
  <c r="K29" i="15"/>
  <c r="L29" i="15" s="1"/>
  <c r="K30" i="15"/>
  <c r="L30" i="15" s="1"/>
  <c r="K31" i="15"/>
  <c r="L31" i="15" s="1"/>
  <c r="K32" i="15"/>
  <c r="L32" i="15" s="1"/>
  <c r="K33" i="15"/>
  <c r="L33" i="15" s="1"/>
  <c r="K34" i="15"/>
  <c r="L34" i="15" s="1"/>
  <c r="K35" i="15"/>
  <c r="L35" i="15" s="1"/>
  <c r="K36" i="15"/>
  <c r="L36" i="15" s="1"/>
  <c r="K37" i="15"/>
  <c r="L37" i="15" s="1"/>
  <c r="K38" i="15"/>
  <c r="L38" i="15" s="1"/>
  <c r="K39" i="15"/>
  <c r="L39" i="15" s="1"/>
  <c r="K40" i="15"/>
  <c r="L40" i="15" s="1"/>
  <c r="K41" i="15"/>
  <c r="L41" i="15" s="1"/>
  <c r="K42" i="15"/>
  <c r="L42" i="15" s="1"/>
  <c r="K43" i="15"/>
  <c r="L43" i="15" s="1"/>
  <c r="K44" i="15"/>
  <c r="L44" i="15" s="1"/>
  <c r="K45" i="15"/>
  <c r="L45" i="15" s="1"/>
  <c r="K46" i="15"/>
  <c r="L46" i="15" s="1"/>
  <c r="K47" i="15"/>
  <c r="L47" i="15" s="1"/>
  <c r="K48" i="15"/>
  <c r="L48" i="15" s="1"/>
  <c r="K49" i="15"/>
  <c r="L49" i="15" s="1"/>
  <c r="K50" i="15"/>
  <c r="L50" i="15" s="1"/>
  <c r="K51" i="15"/>
  <c r="L51" i="15" s="1"/>
  <c r="K52" i="15"/>
  <c r="L52" i="15" s="1"/>
  <c r="K53" i="15"/>
  <c r="L53" i="15" s="1"/>
  <c r="K54" i="15"/>
  <c r="L54" i="15" s="1"/>
  <c r="K55" i="15"/>
  <c r="L55" i="15" s="1"/>
  <c r="K56" i="15"/>
  <c r="L56" i="15" s="1"/>
  <c r="K57" i="15"/>
  <c r="L57" i="15" s="1"/>
  <c r="K58" i="15"/>
  <c r="L58" i="15" s="1"/>
  <c r="K59" i="15"/>
  <c r="L59" i="15" s="1"/>
  <c r="K60" i="15"/>
  <c r="L60" i="15" s="1"/>
  <c r="K61" i="15"/>
  <c r="L61" i="15" s="1"/>
  <c r="K62" i="15"/>
  <c r="L62" i="15" s="1"/>
  <c r="K63" i="15"/>
  <c r="L63" i="15" s="1"/>
  <c r="K64" i="15"/>
  <c r="L64" i="15" s="1"/>
  <c r="K65" i="15"/>
  <c r="L65" i="15" s="1"/>
  <c r="K66" i="15"/>
  <c r="L66" i="15" s="1"/>
  <c r="K67" i="15"/>
  <c r="L67" i="15" s="1"/>
  <c r="K68" i="15"/>
  <c r="L68" i="15" s="1"/>
  <c r="K69" i="15"/>
  <c r="L69" i="15" s="1"/>
  <c r="K70" i="15"/>
  <c r="L70" i="15" s="1"/>
  <c r="K71" i="15"/>
  <c r="L71" i="15" s="1"/>
  <c r="K72" i="15"/>
  <c r="L72" i="15" s="1"/>
  <c r="K73" i="15"/>
  <c r="L73" i="15" s="1"/>
  <c r="K74" i="15"/>
  <c r="L74" i="15" s="1"/>
  <c r="K75" i="15"/>
  <c r="L75" i="15" s="1"/>
  <c r="K76" i="15"/>
  <c r="L76" i="15" s="1"/>
  <c r="K77" i="15"/>
  <c r="L77" i="15" s="1"/>
  <c r="K78" i="15"/>
  <c r="L78" i="15" s="1"/>
  <c r="K79" i="15"/>
  <c r="L79" i="15" s="1"/>
  <c r="K80" i="15"/>
  <c r="L80" i="15" s="1"/>
  <c r="K81" i="15"/>
  <c r="L81" i="15" s="1"/>
  <c r="K82" i="15"/>
  <c r="L82" i="15" s="1"/>
  <c r="K83" i="15"/>
  <c r="L83" i="15" s="1"/>
  <c r="K84" i="15"/>
  <c r="L84" i="15" s="1"/>
  <c r="K85" i="15"/>
  <c r="L85" i="15" s="1"/>
  <c r="K86" i="15"/>
  <c r="L86" i="15" s="1"/>
  <c r="K87" i="15"/>
  <c r="L87" i="15" s="1"/>
  <c r="K88" i="15"/>
  <c r="L88" i="15" s="1"/>
  <c r="K89" i="15"/>
  <c r="L89" i="15" s="1"/>
  <c r="K90" i="15"/>
  <c r="L90" i="15" s="1"/>
  <c r="K91" i="15"/>
  <c r="L91" i="15" s="1"/>
  <c r="K92" i="15"/>
  <c r="L92" i="15" s="1"/>
  <c r="K93" i="15"/>
  <c r="L93" i="15" s="1"/>
  <c r="K94" i="15"/>
  <c r="L94" i="15" s="1"/>
  <c r="K95" i="15"/>
  <c r="L95" i="15" s="1"/>
  <c r="K96" i="15"/>
  <c r="L96" i="15" s="1"/>
  <c r="K97" i="15"/>
  <c r="L97" i="15" s="1"/>
  <c r="K98" i="15"/>
  <c r="L98" i="15" s="1"/>
  <c r="K99" i="15"/>
  <c r="L99" i="15" s="1"/>
  <c r="K101" i="15"/>
  <c r="L101" i="15" s="1"/>
  <c r="K102" i="15"/>
  <c r="L102" i="15" s="1"/>
  <c r="K103" i="15"/>
  <c r="L103" i="15" s="1"/>
  <c r="K104" i="15"/>
  <c r="L104" i="15" s="1"/>
  <c r="K105" i="15"/>
  <c r="L105" i="15" s="1"/>
  <c r="K106" i="15"/>
  <c r="L106" i="15" s="1"/>
  <c r="K107" i="15"/>
  <c r="L107" i="15" s="1"/>
  <c r="K108" i="15"/>
  <c r="L108" i="15" s="1"/>
  <c r="K109" i="15"/>
  <c r="L109" i="15" s="1"/>
  <c r="K110" i="15"/>
  <c r="L110" i="15" s="1"/>
  <c r="K111" i="15"/>
  <c r="L111" i="15" s="1"/>
  <c r="K112" i="15"/>
  <c r="L112" i="15" s="1"/>
  <c r="K113" i="15"/>
  <c r="L113" i="15" s="1"/>
  <c r="K114" i="15"/>
  <c r="L114" i="15" s="1"/>
  <c r="K115" i="15"/>
  <c r="L115" i="15" s="1"/>
  <c r="K116" i="15"/>
  <c r="L116" i="15" s="1"/>
  <c r="K117" i="15"/>
  <c r="L117" i="15" s="1"/>
  <c r="K118" i="15"/>
  <c r="L118" i="15" s="1"/>
  <c r="K119" i="15"/>
  <c r="L119" i="15" s="1"/>
  <c r="K120" i="15"/>
  <c r="L120" i="15" s="1"/>
  <c r="K121" i="15"/>
  <c r="L121" i="15" s="1"/>
  <c r="K122" i="15"/>
  <c r="L122" i="15" s="1"/>
  <c r="K123" i="15"/>
  <c r="L123" i="15" s="1"/>
  <c r="K124" i="15"/>
  <c r="L124" i="15" s="1"/>
  <c r="K125" i="15"/>
  <c r="L125" i="15" s="1"/>
  <c r="K127" i="15"/>
  <c r="L127" i="15" s="1"/>
  <c r="K128" i="15"/>
  <c r="L128" i="15" s="1"/>
  <c r="K129" i="15"/>
  <c r="L129" i="15" s="1"/>
  <c r="K130" i="15"/>
  <c r="L130" i="15" s="1"/>
  <c r="K131" i="15"/>
  <c r="L131" i="15" s="1"/>
  <c r="K132" i="15"/>
  <c r="L132" i="15" s="1"/>
  <c r="K133" i="15"/>
  <c r="L133" i="15" s="1"/>
  <c r="K134" i="15"/>
  <c r="L134" i="15" s="1"/>
  <c r="K135" i="15"/>
  <c r="L135" i="15" s="1"/>
  <c r="K136" i="15"/>
  <c r="L136" i="15" s="1"/>
  <c r="K137" i="15"/>
  <c r="L137" i="15" s="1"/>
  <c r="K138" i="15"/>
  <c r="L138" i="15" s="1"/>
  <c r="K139" i="15"/>
  <c r="L139" i="15" s="1"/>
  <c r="K140" i="15"/>
  <c r="L140" i="15" s="1"/>
  <c r="K141" i="15"/>
  <c r="L141" i="15" s="1"/>
  <c r="K142" i="15"/>
  <c r="L142" i="15" s="1"/>
  <c r="K143" i="15"/>
  <c r="L143" i="15" s="1"/>
  <c r="K144" i="15"/>
  <c r="L144" i="15" s="1"/>
  <c r="K145" i="15"/>
  <c r="L145" i="15" s="1"/>
  <c r="K146" i="15"/>
  <c r="L146" i="15" s="1"/>
  <c r="K147" i="15"/>
  <c r="L147" i="15" s="1"/>
  <c r="K4" i="15"/>
  <c r="L4" i="15" s="1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F34" i="1"/>
  <c r="E34" i="2" s="1"/>
  <c r="E34" i="7" s="1"/>
  <c r="A4" i="6"/>
  <c r="B4" i="6"/>
  <c r="C4" i="6"/>
  <c r="D4" i="6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C4" i="10"/>
  <c r="B4" i="10"/>
  <c r="A4" i="10"/>
  <c r="C3" i="10"/>
  <c r="B3" i="10"/>
  <c r="A3" i="10"/>
  <c r="C2" i="10"/>
  <c r="B2" i="10"/>
  <c r="A2" i="10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C4" i="9"/>
  <c r="B4" i="9"/>
  <c r="A4" i="9"/>
  <c r="C3" i="9"/>
  <c r="B3" i="9"/>
  <c r="A3" i="9"/>
  <c r="C2" i="9"/>
  <c r="B2" i="9"/>
  <c r="A2" i="9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D4" i="8"/>
  <c r="C4" i="8"/>
  <c r="B4" i="8"/>
  <c r="A4" i="8"/>
  <c r="D3" i="8"/>
  <c r="C3" i="8"/>
  <c r="B3" i="8"/>
  <c r="A3" i="8"/>
  <c r="D2" i="8"/>
  <c r="C2" i="8"/>
  <c r="B2" i="8"/>
  <c r="A2" i="8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4" i="7"/>
  <c r="E4" i="7"/>
  <c r="D4" i="7"/>
  <c r="C4" i="7"/>
  <c r="B4" i="7"/>
  <c r="A4" i="7"/>
  <c r="F3" i="7"/>
  <c r="E3" i="7"/>
  <c r="D3" i="7"/>
  <c r="C3" i="7"/>
  <c r="B3" i="7"/>
  <c r="A3" i="7"/>
  <c r="F2" i="7"/>
  <c r="E2" i="7"/>
  <c r="D2" i="7"/>
  <c r="C2" i="7"/>
  <c r="B2" i="7"/>
  <c r="A2" i="7"/>
  <c r="A5" i="6"/>
  <c r="A2" i="6"/>
  <c r="B2" i="6"/>
  <c r="C2" i="6"/>
  <c r="D2" i="6"/>
  <c r="A3" i="6"/>
  <c r="B3" i="6"/>
  <c r="C3" i="6"/>
  <c r="D3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F4" i="1"/>
  <c r="F75" i="1"/>
  <c r="J75" i="1"/>
  <c r="N75" i="1"/>
  <c r="R75" i="1"/>
  <c r="V75" i="1"/>
  <c r="Z75" i="1"/>
  <c r="AD75" i="1"/>
  <c r="AH75" i="1"/>
  <c r="AL75" i="1"/>
  <c r="AP75" i="1"/>
  <c r="AT75" i="1"/>
  <c r="F76" i="1"/>
  <c r="J76" i="1"/>
  <c r="N76" i="1"/>
  <c r="R76" i="1"/>
  <c r="V76" i="1"/>
  <c r="Z76" i="1"/>
  <c r="AD76" i="1"/>
  <c r="AH76" i="1"/>
  <c r="AL76" i="1"/>
  <c r="AP76" i="1"/>
  <c r="AT76" i="1"/>
  <c r="F77" i="1"/>
  <c r="E77" i="2" s="1"/>
  <c r="E77" i="7" s="1"/>
  <c r="J77" i="1"/>
  <c r="N77" i="1"/>
  <c r="R77" i="1"/>
  <c r="V77" i="1"/>
  <c r="Z77" i="1"/>
  <c r="AD77" i="1"/>
  <c r="AH77" i="1"/>
  <c r="AL77" i="1"/>
  <c r="AP77" i="1"/>
  <c r="AT77" i="1"/>
  <c r="F78" i="1"/>
  <c r="J78" i="1"/>
  <c r="N78" i="1"/>
  <c r="R78" i="1"/>
  <c r="V78" i="1"/>
  <c r="Z78" i="1"/>
  <c r="AD78" i="1"/>
  <c r="AH78" i="1"/>
  <c r="AL78" i="1"/>
  <c r="AP78" i="1"/>
  <c r="AT78" i="1"/>
  <c r="F79" i="1"/>
  <c r="J79" i="1"/>
  <c r="N79" i="1"/>
  <c r="R79" i="1"/>
  <c r="V79" i="1"/>
  <c r="Z79" i="1"/>
  <c r="AD79" i="1"/>
  <c r="AH79" i="1"/>
  <c r="AL79" i="1"/>
  <c r="AP79" i="1"/>
  <c r="AT79" i="1"/>
  <c r="F80" i="1"/>
  <c r="J80" i="1"/>
  <c r="N80" i="1"/>
  <c r="R80" i="1"/>
  <c r="V80" i="1"/>
  <c r="Z80" i="1"/>
  <c r="AD80" i="1"/>
  <c r="AH80" i="1"/>
  <c r="AL80" i="1"/>
  <c r="AP80" i="1"/>
  <c r="AT80" i="1"/>
  <c r="F81" i="1"/>
  <c r="J81" i="1"/>
  <c r="N81" i="1"/>
  <c r="R81" i="1"/>
  <c r="V81" i="1"/>
  <c r="Z81" i="1"/>
  <c r="AD81" i="1"/>
  <c r="AH81" i="1"/>
  <c r="AL81" i="1"/>
  <c r="AP81" i="1"/>
  <c r="AT81" i="1"/>
  <c r="F82" i="1"/>
  <c r="J82" i="1"/>
  <c r="N82" i="1"/>
  <c r="R82" i="1"/>
  <c r="V82" i="1"/>
  <c r="Z82" i="1"/>
  <c r="AD82" i="1"/>
  <c r="AH82" i="1"/>
  <c r="AL82" i="1"/>
  <c r="AP82" i="1"/>
  <c r="AT82" i="1"/>
  <c r="F83" i="1"/>
  <c r="J83" i="1"/>
  <c r="N83" i="1"/>
  <c r="R83" i="1"/>
  <c r="V83" i="1"/>
  <c r="Z83" i="1"/>
  <c r="AD83" i="1"/>
  <c r="AH83" i="1"/>
  <c r="AL83" i="1"/>
  <c r="AP83" i="1"/>
  <c r="AT83" i="1"/>
  <c r="F84" i="1"/>
  <c r="J84" i="1"/>
  <c r="N84" i="1"/>
  <c r="R84" i="1"/>
  <c r="V84" i="1"/>
  <c r="Z84" i="1"/>
  <c r="AD84" i="1"/>
  <c r="AH84" i="1"/>
  <c r="AL84" i="1"/>
  <c r="AP84" i="1"/>
  <c r="AT84" i="1"/>
  <c r="F85" i="1"/>
  <c r="E85" i="2" s="1"/>
  <c r="E85" i="7" s="1"/>
  <c r="J85" i="1"/>
  <c r="N85" i="1"/>
  <c r="R85" i="1"/>
  <c r="V85" i="1"/>
  <c r="Z85" i="1"/>
  <c r="AD85" i="1"/>
  <c r="AH85" i="1"/>
  <c r="AL85" i="1"/>
  <c r="AP85" i="1"/>
  <c r="AT85" i="1"/>
  <c r="F86" i="1"/>
  <c r="J86" i="1"/>
  <c r="N86" i="1"/>
  <c r="R86" i="1"/>
  <c r="V86" i="1"/>
  <c r="Z86" i="1"/>
  <c r="AD86" i="1"/>
  <c r="AH86" i="1"/>
  <c r="AL86" i="1"/>
  <c r="AP86" i="1"/>
  <c r="AT86" i="1"/>
  <c r="F87" i="1"/>
  <c r="J87" i="1"/>
  <c r="N87" i="1"/>
  <c r="R87" i="1"/>
  <c r="V87" i="1"/>
  <c r="Z87" i="1"/>
  <c r="AD87" i="1"/>
  <c r="AH87" i="1"/>
  <c r="AL87" i="1"/>
  <c r="AP87" i="1"/>
  <c r="AT87" i="1"/>
  <c r="F88" i="1"/>
  <c r="J88" i="1"/>
  <c r="N88" i="1"/>
  <c r="R88" i="1"/>
  <c r="V88" i="1"/>
  <c r="Z88" i="1"/>
  <c r="AD88" i="1"/>
  <c r="AH88" i="1"/>
  <c r="AL88" i="1"/>
  <c r="AP88" i="1"/>
  <c r="AT88" i="1"/>
  <c r="F89" i="1"/>
  <c r="J89" i="1"/>
  <c r="N89" i="1"/>
  <c r="R89" i="1"/>
  <c r="V89" i="1"/>
  <c r="Z89" i="1"/>
  <c r="AD89" i="1"/>
  <c r="AH89" i="1"/>
  <c r="AL89" i="1"/>
  <c r="AP89" i="1"/>
  <c r="AT89" i="1"/>
  <c r="F90" i="1"/>
  <c r="J90" i="1"/>
  <c r="N90" i="1"/>
  <c r="R90" i="1"/>
  <c r="V90" i="1"/>
  <c r="Z90" i="1"/>
  <c r="AD90" i="1"/>
  <c r="AH90" i="1"/>
  <c r="AL90" i="1"/>
  <c r="AP90" i="1"/>
  <c r="AT90" i="1"/>
  <c r="F91" i="1"/>
  <c r="J91" i="1"/>
  <c r="N91" i="1"/>
  <c r="R91" i="1"/>
  <c r="V91" i="1"/>
  <c r="Z91" i="1"/>
  <c r="AD91" i="1"/>
  <c r="AH91" i="1"/>
  <c r="AL91" i="1"/>
  <c r="AP91" i="1"/>
  <c r="AT91" i="1"/>
  <c r="F92" i="1"/>
  <c r="J92" i="1"/>
  <c r="N92" i="1"/>
  <c r="R92" i="1"/>
  <c r="V92" i="1"/>
  <c r="Z92" i="1"/>
  <c r="AD92" i="1"/>
  <c r="AH92" i="1"/>
  <c r="AL92" i="1"/>
  <c r="AP92" i="1"/>
  <c r="AT92" i="1"/>
  <c r="F93" i="1"/>
  <c r="E93" i="2" s="1"/>
  <c r="E93" i="7" s="1"/>
  <c r="J93" i="1"/>
  <c r="N93" i="1"/>
  <c r="R93" i="1"/>
  <c r="V93" i="1"/>
  <c r="Z93" i="1"/>
  <c r="AD93" i="1"/>
  <c r="AH93" i="1"/>
  <c r="AL93" i="1"/>
  <c r="AP93" i="1"/>
  <c r="AT93" i="1"/>
  <c r="F94" i="1"/>
  <c r="J94" i="1"/>
  <c r="N94" i="1"/>
  <c r="R94" i="1"/>
  <c r="V94" i="1"/>
  <c r="Z94" i="1"/>
  <c r="AD94" i="1"/>
  <c r="AH94" i="1"/>
  <c r="AL94" i="1"/>
  <c r="AP94" i="1"/>
  <c r="AT94" i="1"/>
  <c r="F95" i="1"/>
  <c r="J95" i="1"/>
  <c r="N95" i="1"/>
  <c r="R95" i="1"/>
  <c r="V95" i="1"/>
  <c r="Z95" i="1"/>
  <c r="AD95" i="1"/>
  <c r="AH95" i="1"/>
  <c r="AL95" i="1"/>
  <c r="AP95" i="1"/>
  <c r="AT95" i="1"/>
  <c r="F96" i="1"/>
  <c r="J96" i="1"/>
  <c r="N96" i="1"/>
  <c r="R96" i="1"/>
  <c r="V96" i="1"/>
  <c r="Z96" i="1"/>
  <c r="AD96" i="1"/>
  <c r="AH96" i="1"/>
  <c r="AL96" i="1"/>
  <c r="AP96" i="1"/>
  <c r="AT96" i="1"/>
  <c r="F97" i="1"/>
  <c r="J97" i="1"/>
  <c r="N97" i="1"/>
  <c r="R97" i="1"/>
  <c r="V97" i="1"/>
  <c r="Z97" i="1"/>
  <c r="AD97" i="1"/>
  <c r="AH97" i="1"/>
  <c r="AL97" i="1"/>
  <c r="AP97" i="1"/>
  <c r="AT97" i="1"/>
  <c r="F98" i="1"/>
  <c r="J98" i="1"/>
  <c r="N98" i="1"/>
  <c r="R98" i="1"/>
  <c r="V98" i="1"/>
  <c r="Z98" i="1"/>
  <c r="AD98" i="1"/>
  <c r="AH98" i="1"/>
  <c r="AL98" i="1"/>
  <c r="AP98" i="1"/>
  <c r="AT98" i="1"/>
  <c r="F99" i="1"/>
  <c r="J99" i="1"/>
  <c r="N99" i="1"/>
  <c r="R99" i="1"/>
  <c r="V99" i="1"/>
  <c r="Z99" i="1"/>
  <c r="AD99" i="1"/>
  <c r="AH99" i="1"/>
  <c r="AL99" i="1"/>
  <c r="AP99" i="1"/>
  <c r="AT99" i="1"/>
  <c r="F100" i="1"/>
  <c r="J100" i="1"/>
  <c r="N100" i="1"/>
  <c r="R100" i="1"/>
  <c r="V100" i="1"/>
  <c r="Z100" i="1"/>
  <c r="AD100" i="1"/>
  <c r="AH100" i="1"/>
  <c r="AL100" i="1"/>
  <c r="AP100" i="1"/>
  <c r="AT100" i="1"/>
  <c r="F101" i="1"/>
  <c r="E101" i="2" s="1"/>
  <c r="E101" i="7" s="1"/>
  <c r="J101" i="1"/>
  <c r="N101" i="1"/>
  <c r="R101" i="1"/>
  <c r="V101" i="1"/>
  <c r="Z101" i="1"/>
  <c r="AD101" i="1"/>
  <c r="AH101" i="1"/>
  <c r="AL101" i="1"/>
  <c r="AP101" i="1"/>
  <c r="AT101" i="1"/>
  <c r="F102" i="1"/>
  <c r="J102" i="1"/>
  <c r="N102" i="1"/>
  <c r="R102" i="1"/>
  <c r="V102" i="1"/>
  <c r="Z102" i="1"/>
  <c r="AD102" i="1"/>
  <c r="AH102" i="1"/>
  <c r="AL102" i="1"/>
  <c r="AP102" i="1"/>
  <c r="AT102" i="1"/>
  <c r="F103" i="1"/>
  <c r="J103" i="1"/>
  <c r="N103" i="1"/>
  <c r="R103" i="1"/>
  <c r="V103" i="1"/>
  <c r="Z103" i="1"/>
  <c r="AD103" i="1"/>
  <c r="AH103" i="1"/>
  <c r="AL103" i="1"/>
  <c r="AP103" i="1"/>
  <c r="AT103" i="1"/>
  <c r="F104" i="1"/>
  <c r="J104" i="1"/>
  <c r="N104" i="1"/>
  <c r="R104" i="1"/>
  <c r="V104" i="1"/>
  <c r="Z104" i="1"/>
  <c r="AD104" i="1"/>
  <c r="AH104" i="1"/>
  <c r="AL104" i="1"/>
  <c r="AP104" i="1"/>
  <c r="AT104" i="1"/>
  <c r="F105" i="1"/>
  <c r="J105" i="1"/>
  <c r="N105" i="1"/>
  <c r="R105" i="1"/>
  <c r="V105" i="1"/>
  <c r="Z105" i="1"/>
  <c r="AD105" i="1"/>
  <c r="AH105" i="1"/>
  <c r="AL105" i="1"/>
  <c r="AP105" i="1"/>
  <c r="AT105" i="1"/>
  <c r="F106" i="1"/>
  <c r="J106" i="1"/>
  <c r="N106" i="1"/>
  <c r="R106" i="1"/>
  <c r="V106" i="1"/>
  <c r="Z106" i="1"/>
  <c r="AD106" i="1"/>
  <c r="AH106" i="1"/>
  <c r="AL106" i="1"/>
  <c r="AP106" i="1"/>
  <c r="AT106" i="1"/>
  <c r="F107" i="1"/>
  <c r="J107" i="1"/>
  <c r="N107" i="1"/>
  <c r="R107" i="1"/>
  <c r="V107" i="1"/>
  <c r="Z107" i="1"/>
  <c r="AD107" i="1"/>
  <c r="AH107" i="1"/>
  <c r="AL107" i="1"/>
  <c r="AP107" i="1"/>
  <c r="AT107" i="1"/>
  <c r="F108" i="1"/>
  <c r="J108" i="1"/>
  <c r="N108" i="1"/>
  <c r="R108" i="1"/>
  <c r="V108" i="1"/>
  <c r="Z108" i="1"/>
  <c r="AD108" i="1"/>
  <c r="AH108" i="1"/>
  <c r="AL108" i="1"/>
  <c r="AP108" i="1"/>
  <c r="AT108" i="1"/>
  <c r="F109" i="1"/>
  <c r="E109" i="2" s="1"/>
  <c r="E109" i="7" s="1"/>
  <c r="J109" i="1"/>
  <c r="N109" i="1"/>
  <c r="R109" i="1"/>
  <c r="V109" i="1"/>
  <c r="Z109" i="1"/>
  <c r="AD109" i="1"/>
  <c r="AH109" i="1"/>
  <c r="AL109" i="1"/>
  <c r="AP109" i="1"/>
  <c r="AT109" i="1"/>
  <c r="F110" i="1"/>
  <c r="F110" i="2" s="1"/>
  <c r="F110" i="7" s="1"/>
  <c r="J110" i="1"/>
  <c r="N110" i="1"/>
  <c r="R110" i="1"/>
  <c r="V110" i="1"/>
  <c r="Z110" i="1"/>
  <c r="AD110" i="1"/>
  <c r="AH110" i="1"/>
  <c r="AL110" i="1"/>
  <c r="AP110" i="1"/>
  <c r="AT110" i="1"/>
  <c r="F111" i="1"/>
  <c r="J111" i="1"/>
  <c r="N111" i="1"/>
  <c r="R111" i="1"/>
  <c r="V111" i="1"/>
  <c r="Z111" i="1"/>
  <c r="AD111" i="1"/>
  <c r="AH111" i="1"/>
  <c r="AL111" i="1"/>
  <c r="AP111" i="1"/>
  <c r="AT111" i="1"/>
  <c r="F112" i="1"/>
  <c r="J112" i="1"/>
  <c r="N112" i="1"/>
  <c r="R112" i="1"/>
  <c r="V112" i="1"/>
  <c r="Z112" i="1"/>
  <c r="AD112" i="1"/>
  <c r="AH112" i="1"/>
  <c r="AL112" i="1"/>
  <c r="AP112" i="1"/>
  <c r="AT112" i="1"/>
  <c r="F113" i="1"/>
  <c r="J113" i="1"/>
  <c r="N113" i="1"/>
  <c r="R113" i="1"/>
  <c r="V113" i="1"/>
  <c r="Z113" i="1"/>
  <c r="AD113" i="1"/>
  <c r="AH113" i="1"/>
  <c r="AL113" i="1"/>
  <c r="AP113" i="1"/>
  <c r="AT113" i="1"/>
  <c r="F114" i="1"/>
  <c r="J114" i="1"/>
  <c r="N114" i="1"/>
  <c r="R114" i="1"/>
  <c r="V114" i="1"/>
  <c r="Z114" i="1"/>
  <c r="AD114" i="1"/>
  <c r="AH114" i="1"/>
  <c r="AL114" i="1"/>
  <c r="AP114" i="1"/>
  <c r="AT114" i="1"/>
  <c r="F115" i="1"/>
  <c r="J115" i="1"/>
  <c r="N115" i="1"/>
  <c r="R115" i="1"/>
  <c r="V115" i="1"/>
  <c r="Z115" i="1"/>
  <c r="AD115" i="1"/>
  <c r="AH115" i="1"/>
  <c r="AL115" i="1"/>
  <c r="AP115" i="1"/>
  <c r="AT115" i="1"/>
  <c r="F116" i="1"/>
  <c r="J116" i="1"/>
  <c r="N116" i="1"/>
  <c r="R116" i="1"/>
  <c r="V116" i="1"/>
  <c r="Z116" i="1"/>
  <c r="AD116" i="1"/>
  <c r="AH116" i="1"/>
  <c r="AL116" i="1"/>
  <c r="AP116" i="1"/>
  <c r="AT116" i="1"/>
  <c r="F117" i="1"/>
  <c r="E117" i="2" s="1"/>
  <c r="E117" i="7" s="1"/>
  <c r="J117" i="1"/>
  <c r="N117" i="1"/>
  <c r="R117" i="1"/>
  <c r="V117" i="1"/>
  <c r="Z117" i="1"/>
  <c r="AD117" i="1"/>
  <c r="AH117" i="1"/>
  <c r="AL117" i="1"/>
  <c r="AP117" i="1"/>
  <c r="AT117" i="1"/>
  <c r="F118" i="1"/>
  <c r="J118" i="1"/>
  <c r="N118" i="1"/>
  <c r="R118" i="1"/>
  <c r="V118" i="1"/>
  <c r="Z118" i="1"/>
  <c r="AD118" i="1"/>
  <c r="AH118" i="1"/>
  <c r="AL118" i="1"/>
  <c r="AP118" i="1"/>
  <c r="AT118" i="1"/>
  <c r="F119" i="1"/>
  <c r="J119" i="1"/>
  <c r="N119" i="1"/>
  <c r="R119" i="1"/>
  <c r="V119" i="1"/>
  <c r="Z119" i="1"/>
  <c r="AD119" i="1"/>
  <c r="AH119" i="1"/>
  <c r="AL119" i="1"/>
  <c r="AP119" i="1"/>
  <c r="AT119" i="1"/>
  <c r="F120" i="1"/>
  <c r="J120" i="1"/>
  <c r="N120" i="1"/>
  <c r="R120" i="1"/>
  <c r="V120" i="1"/>
  <c r="Z120" i="1"/>
  <c r="AD120" i="1"/>
  <c r="AH120" i="1"/>
  <c r="AL120" i="1"/>
  <c r="AP120" i="1"/>
  <c r="AT120" i="1"/>
  <c r="F121" i="1"/>
  <c r="J121" i="1"/>
  <c r="N121" i="1"/>
  <c r="R121" i="1"/>
  <c r="V121" i="1"/>
  <c r="Z121" i="1"/>
  <c r="AD121" i="1"/>
  <c r="AH121" i="1"/>
  <c r="AL121" i="1"/>
  <c r="AP121" i="1"/>
  <c r="AT121" i="1"/>
  <c r="F122" i="1"/>
  <c r="J122" i="1"/>
  <c r="N122" i="1"/>
  <c r="R122" i="1"/>
  <c r="V122" i="1"/>
  <c r="Z122" i="1"/>
  <c r="AD122" i="1"/>
  <c r="AH122" i="1"/>
  <c r="AL122" i="1"/>
  <c r="AP122" i="1"/>
  <c r="AT122" i="1"/>
  <c r="F123" i="1"/>
  <c r="J123" i="1"/>
  <c r="N123" i="1"/>
  <c r="R123" i="1"/>
  <c r="V123" i="1"/>
  <c r="Z123" i="1"/>
  <c r="AD123" i="1"/>
  <c r="AH123" i="1"/>
  <c r="AL123" i="1"/>
  <c r="AP123" i="1"/>
  <c r="AT123" i="1"/>
  <c r="F124" i="1"/>
  <c r="J124" i="1"/>
  <c r="N124" i="1"/>
  <c r="R124" i="1"/>
  <c r="V124" i="1"/>
  <c r="Z124" i="1"/>
  <c r="AD124" i="1"/>
  <c r="AH124" i="1"/>
  <c r="AL124" i="1"/>
  <c r="AP124" i="1"/>
  <c r="AT124" i="1"/>
  <c r="F125" i="1"/>
  <c r="E125" i="2" s="1"/>
  <c r="E125" i="7" s="1"/>
  <c r="J125" i="1"/>
  <c r="N125" i="1"/>
  <c r="R125" i="1"/>
  <c r="V125" i="1"/>
  <c r="Z125" i="1"/>
  <c r="AD125" i="1"/>
  <c r="AH125" i="1"/>
  <c r="AL125" i="1"/>
  <c r="AP125" i="1"/>
  <c r="AT125" i="1"/>
  <c r="F126" i="1"/>
  <c r="F126" i="2" s="1"/>
  <c r="F126" i="7" s="1"/>
  <c r="J126" i="1"/>
  <c r="N126" i="1"/>
  <c r="R126" i="1"/>
  <c r="V126" i="1"/>
  <c r="Z126" i="1"/>
  <c r="AD126" i="1"/>
  <c r="AH126" i="1"/>
  <c r="AL126" i="1"/>
  <c r="AP126" i="1"/>
  <c r="AT126" i="1"/>
  <c r="F127" i="1"/>
  <c r="E127" i="2" s="1"/>
  <c r="E127" i="7" s="1"/>
  <c r="J127" i="1"/>
  <c r="N127" i="1"/>
  <c r="L127" i="2" s="1"/>
  <c r="D127" i="8" s="1"/>
  <c r="R127" i="1"/>
  <c r="V127" i="1"/>
  <c r="Z127" i="1"/>
  <c r="AD127" i="1"/>
  <c r="AH127" i="1"/>
  <c r="AL127" i="1"/>
  <c r="AP127" i="1"/>
  <c r="AT127" i="1"/>
  <c r="F128" i="1"/>
  <c r="E128" i="2" s="1"/>
  <c r="E128" i="7" s="1"/>
  <c r="J128" i="1"/>
  <c r="N128" i="1"/>
  <c r="R128" i="1"/>
  <c r="V128" i="1"/>
  <c r="Z128" i="1"/>
  <c r="AD128" i="1"/>
  <c r="AH128" i="1"/>
  <c r="AL128" i="1"/>
  <c r="AP128" i="1"/>
  <c r="AT128" i="1"/>
  <c r="F129" i="1"/>
  <c r="J129" i="1"/>
  <c r="N129" i="1"/>
  <c r="L129" i="2" s="1"/>
  <c r="D129" i="8" s="1"/>
  <c r="R129" i="1"/>
  <c r="V129" i="1"/>
  <c r="N129" i="2" s="1"/>
  <c r="C129" i="9" s="1"/>
  <c r="Z129" i="1"/>
  <c r="AD129" i="1"/>
  <c r="AH129" i="1"/>
  <c r="AL129" i="1"/>
  <c r="AP129" i="1"/>
  <c r="AT129" i="1"/>
  <c r="F130" i="1"/>
  <c r="E130" i="2" s="1"/>
  <c r="E130" i="7" s="1"/>
  <c r="J130" i="1"/>
  <c r="N130" i="1"/>
  <c r="R130" i="1"/>
  <c r="V130" i="1"/>
  <c r="Z130" i="1"/>
  <c r="AD130" i="1"/>
  <c r="AH130" i="1"/>
  <c r="AL130" i="1"/>
  <c r="AP130" i="1"/>
  <c r="AT130" i="1"/>
  <c r="F131" i="1"/>
  <c r="J131" i="1"/>
  <c r="N131" i="1"/>
  <c r="R131" i="1"/>
  <c r="V131" i="1"/>
  <c r="N131" i="2" s="1"/>
  <c r="C131" i="9" s="1"/>
  <c r="Z131" i="1"/>
  <c r="P131" i="2" s="1"/>
  <c r="C131" i="10" s="1"/>
  <c r="AD131" i="1"/>
  <c r="AH131" i="1"/>
  <c r="AL131" i="1"/>
  <c r="AP131" i="1"/>
  <c r="AT131" i="1"/>
  <c r="F132" i="1"/>
  <c r="J132" i="1"/>
  <c r="I132" i="2" s="1"/>
  <c r="D132" i="6" s="1"/>
  <c r="N132" i="1"/>
  <c r="R132" i="1"/>
  <c r="V132" i="1"/>
  <c r="Z132" i="1"/>
  <c r="AD132" i="1"/>
  <c r="AH132" i="1"/>
  <c r="AL132" i="1"/>
  <c r="AP132" i="1"/>
  <c r="AT132" i="1"/>
  <c r="F133" i="1"/>
  <c r="E133" i="2" s="1"/>
  <c r="E133" i="7" s="1"/>
  <c r="J133" i="1"/>
  <c r="I133" i="2" s="1"/>
  <c r="D133" i="6" s="1"/>
  <c r="N133" i="1"/>
  <c r="R133" i="1"/>
  <c r="V133" i="1"/>
  <c r="Z133" i="1"/>
  <c r="AD133" i="1"/>
  <c r="AH133" i="1"/>
  <c r="AL133" i="1"/>
  <c r="AP133" i="1"/>
  <c r="AT133" i="1"/>
  <c r="F134" i="1"/>
  <c r="J134" i="1"/>
  <c r="N134" i="1"/>
  <c r="R134" i="1"/>
  <c r="V134" i="1"/>
  <c r="Z134" i="1"/>
  <c r="AD134" i="1"/>
  <c r="AH134" i="1"/>
  <c r="AL134" i="1"/>
  <c r="AP134" i="1"/>
  <c r="AT134" i="1"/>
  <c r="F135" i="1"/>
  <c r="E135" i="2" s="1"/>
  <c r="E135" i="7" s="1"/>
  <c r="J135" i="1"/>
  <c r="N135" i="1"/>
  <c r="L135" i="2" s="1"/>
  <c r="D135" i="8" s="1"/>
  <c r="R135" i="1"/>
  <c r="V135" i="1"/>
  <c r="Z135" i="1"/>
  <c r="AD135" i="1"/>
  <c r="AH135" i="1"/>
  <c r="AL135" i="1"/>
  <c r="AP135" i="1"/>
  <c r="AT135" i="1"/>
  <c r="F136" i="1"/>
  <c r="E136" i="2" s="1"/>
  <c r="E136" i="7" s="1"/>
  <c r="J136" i="1"/>
  <c r="N136" i="1"/>
  <c r="R136" i="1"/>
  <c r="V136" i="1"/>
  <c r="Z136" i="1"/>
  <c r="AD136" i="1"/>
  <c r="AH136" i="1"/>
  <c r="AL136" i="1"/>
  <c r="AP136" i="1"/>
  <c r="AT136" i="1"/>
  <c r="F137" i="1"/>
  <c r="J137" i="1"/>
  <c r="N137" i="1"/>
  <c r="L137" i="2" s="1"/>
  <c r="D137" i="8" s="1"/>
  <c r="R137" i="1"/>
  <c r="V137" i="1"/>
  <c r="N137" i="2" s="1"/>
  <c r="C137" i="9" s="1"/>
  <c r="Z137" i="1"/>
  <c r="AD137" i="1"/>
  <c r="AH137" i="1"/>
  <c r="AL137" i="1"/>
  <c r="AP137" i="1"/>
  <c r="AT137" i="1"/>
  <c r="F138" i="1"/>
  <c r="E138" i="2" s="1"/>
  <c r="E138" i="7" s="1"/>
  <c r="J138" i="1"/>
  <c r="N138" i="1"/>
  <c r="R138" i="1"/>
  <c r="V138" i="1"/>
  <c r="Z138" i="1"/>
  <c r="AD138" i="1"/>
  <c r="AH138" i="1"/>
  <c r="AL138" i="1"/>
  <c r="AP138" i="1"/>
  <c r="AT138" i="1"/>
  <c r="F139" i="1"/>
  <c r="J139" i="1"/>
  <c r="N139" i="1"/>
  <c r="R139" i="1"/>
  <c r="V139" i="1"/>
  <c r="N139" i="2" s="1"/>
  <c r="C139" i="9" s="1"/>
  <c r="Z139" i="1"/>
  <c r="P139" i="2" s="1"/>
  <c r="C139" i="10" s="1"/>
  <c r="AD139" i="1"/>
  <c r="AH139" i="1"/>
  <c r="AL139" i="1"/>
  <c r="AP139" i="1"/>
  <c r="AT139" i="1"/>
  <c r="F140" i="1"/>
  <c r="J140" i="1"/>
  <c r="I140" i="2" s="1"/>
  <c r="D140" i="6" s="1"/>
  <c r="N140" i="1"/>
  <c r="R140" i="1"/>
  <c r="V140" i="1"/>
  <c r="Z140" i="1"/>
  <c r="AD140" i="1"/>
  <c r="AH140" i="1"/>
  <c r="AL140" i="1"/>
  <c r="AP140" i="1"/>
  <c r="AT140" i="1"/>
  <c r="F141" i="1"/>
  <c r="E141" i="2" s="1"/>
  <c r="E141" i="7" s="1"/>
  <c r="J141" i="1"/>
  <c r="I141" i="2" s="1"/>
  <c r="D141" i="6" s="1"/>
  <c r="N141" i="1"/>
  <c r="R141" i="1"/>
  <c r="V141" i="1"/>
  <c r="Z141" i="1"/>
  <c r="AD141" i="1"/>
  <c r="AH141" i="1"/>
  <c r="AL141" i="1"/>
  <c r="AP141" i="1"/>
  <c r="AT141" i="1"/>
  <c r="F142" i="1"/>
  <c r="J142" i="1"/>
  <c r="N142" i="1"/>
  <c r="R142" i="1"/>
  <c r="V142" i="1"/>
  <c r="Z142" i="1"/>
  <c r="AD142" i="1"/>
  <c r="AH142" i="1"/>
  <c r="AL142" i="1"/>
  <c r="AP142" i="1"/>
  <c r="AT142" i="1"/>
  <c r="F143" i="1"/>
  <c r="E143" i="2" s="1"/>
  <c r="E143" i="7" s="1"/>
  <c r="J143" i="1"/>
  <c r="N143" i="1"/>
  <c r="L143" i="2" s="1"/>
  <c r="D143" i="8" s="1"/>
  <c r="R143" i="1"/>
  <c r="V143" i="1"/>
  <c r="Z143" i="1"/>
  <c r="AD143" i="1"/>
  <c r="AH143" i="1"/>
  <c r="AL143" i="1"/>
  <c r="AP143" i="1"/>
  <c r="AT143" i="1"/>
  <c r="F144" i="1"/>
  <c r="E144" i="2" s="1"/>
  <c r="E144" i="7" s="1"/>
  <c r="J144" i="1"/>
  <c r="N144" i="1"/>
  <c r="R144" i="1"/>
  <c r="V144" i="1"/>
  <c r="Z144" i="1"/>
  <c r="AD144" i="1"/>
  <c r="AH144" i="1"/>
  <c r="AL144" i="1"/>
  <c r="AP144" i="1"/>
  <c r="AT144" i="1"/>
  <c r="F145" i="1"/>
  <c r="J145" i="1"/>
  <c r="N145" i="1"/>
  <c r="L145" i="2" s="1"/>
  <c r="D145" i="8" s="1"/>
  <c r="R145" i="1"/>
  <c r="V145" i="1"/>
  <c r="N145" i="2" s="1"/>
  <c r="C145" i="9" s="1"/>
  <c r="Z145" i="1"/>
  <c r="AD145" i="1"/>
  <c r="AH145" i="1"/>
  <c r="AL145" i="1"/>
  <c r="AP145" i="1"/>
  <c r="AT145" i="1"/>
  <c r="F146" i="1"/>
  <c r="E146" i="2" s="1"/>
  <c r="E146" i="7" s="1"/>
  <c r="J146" i="1"/>
  <c r="N146" i="1"/>
  <c r="R146" i="1"/>
  <c r="V146" i="1"/>
  <c r="Z146" i="1"/>
  <c r="AD146" i="1"/>
  <c r="AH146" i="1"/>
  <c r="AL146" i="1"/>
  <c r="AP146" i="1"/>
  <c r="AT146" i="1"/>
  <c r="F147" i="1"/>
  <c r="J147" i="1"/>
  <c r="N147" i="1"/>
  <c r="R147" i="1"/>
  <c r="V147" i="1"/>
  <c r="N147" i="2" s="1"/>
  <c r="C147" i="9" s="1"/>
  <c r="Z147" i="1"/>
  <c r="P147" i="2" s="1"/>
  <c r="C147" i="10" s="1"/>
  <c r="AD147" i="1"/>
  <c r="AH147" i="1"/>
  <c r="AL147" i="1"/>
  <c r="AP147" i="1"/>
  <c r="AT147" i="1"/>
  <c r="F148" i="1"/>
  <c r="J148" i="1"/>
  <c r="I148" i="2" s="1"/>
  <c r="D148" i="6" s="1"/>
  <c r="N148" i="1"/>
  <c r="R148" i="1"/>
  <c r="V148" i="1"/>
  <c r="Z148" i="1"/>
  <c r="AD148" i="1"/>
  <c r="AH148" i="1"/>
  <c r="AL148" i="1"/>
  <c r="AP148" i="1"/>
  <c r="AT148" i="1"/>
  <c r="F149" i="1"/>
  <c r="E149" i="2" s="1"/>
  <c r="E149" i="7" s="1"/>
  <c r="J149" i="1"/>
  <c r="I149" i="2" s="1"/>
  <c r="D149" i="6" s="1"/>
  <c r="N149" i="1"/>
  <c r="R149" i="1"/>
  <c r="V149" i="1"/>
  <c r="Z149" i="1"/>
  <c r="AD149" i="1"/>
  <c r="AH149" i="1"/>
  <c r="AL149" i="1"/>
  <c r="AP149" i="1"/>
  <c r="AT149" i="1"/>
  <c r="F150" i="1"/>
  <c r="J150" i="1"/>
  <c r="N150" i="1"/>
  <c r="R150" i="1"/>
  <c r="V150" i="1"/>
  <c r="Z150" i="1"/>
  <c r="AD150" i="1"/>
  <c r="AH150" i="1"/>
  <c r="AL150" i="1"/>
  <c r="AP150" i="1"/>
  <c r="AT150" i="1"/>
  <c r="F151" i="1"/>
  <c r="E151" i="2" s="1"/>
  <c r="E151" i="7" s="1"/>
  <c r="J151" i="1"/>
  <c r="N151" i="1"/>
  <c r="L151" i="2" s="1"/>
  <c r="D151" i="8" s="1"/>
  <c r="R151" i="1"/>
  <c r="V151" i="1"/>
  <c r="Z151" i="1"/>
  <c r="AD151" i="1"/>
  <c r="AH151" i="1"/>
  <c r="AL151" i="1"/>
  <c r="AP151" i="1"/>
  <c r="AT151" i="1"/>
  <c r="F152" i="1"/>
  <c r="E152" i="2" s="1"/>
  <c r="E152" i="7" s="1"/>
  <c r="J152" i="1"/>
  <c r="N152" i="1"/>
  <c r="R152" i="1"/>
  <c r="V152" i="1"/>
  <c r="Z152" i="1"/>
  <c r="AD152" i="1"/>
  <c r="AH152" i="1"/>
  <c r="AL152" i="1"/>
  <c r="AP152" i="1"/>
  <c r="AT152" i="1"/>
  <c r="F153" i="1"/>
  <c r="J153" i="1"/>
  <c r="N153" i="1"/>
  <c r="L153" i="2" s="1"/>
  <c r="D153" i="8" s="1"/>
  <c r="R153" i="1"/>
  <c r="V153" i="1"/>
  <c r="N153" i="2" s="1"/>
  <c r="C153" i="9" s="1"/>
  <c r="Z153" i="1"/>
  <c r="AD153" i="1"/>
  <c r="AH153" i="1"/>
  <c r="AL153" i="1"/>
  <c r="AP153" i="1"/>
  <c r="AT153" i="1"/>
  <c r="F154" i="1"/>
  <c r="E154" i="2" s="1"/>
  <c r="E154" i="7" s="1"/>
  <c r="J154" i="1"/>
  <c r="N154" i="1"/>
  <c r="R154" i="1"/>
  <c r="V154" i="1"/>
  <c r="Z154" i="1"/>
  <c r="AD154" i="1"/>
  <c r="AH154" i="1"/>
  <c r="AL154" i="1"/>
  <c r="AP154" i="1"/>
  <c r="AT154" i="1"/>
  <c r="F155" i="1"/>
  <c r="J155" i="1"/>
  <c r="N155" i="1"/>
  <c r="R155" i="1"/>
  <c r="V155" i="1"/>
  <c r="N155" i="2" s="1"/>
  <c r="C155" i="9" s="1"/>
  <c r="Z155" i="1"/>
  <c r="P155" i="2" s="1"/>
  <c r="C155" i="10" s="1"/>
  <c r="AD155" i="1"/>
  <c r="AH155" i="1"/>
  <c r="AL155" i="1"/>
  <c r="AP155" i="1"/>
  <c r="AT155" i="1"/>
  <c r="F156" i="1"/>
  <c r="J156" i="1"/>
  <c r="I156" i="2" s="1"/>
  <c r="D156" i="6" s="1"/>
  <c r="N156" i="1"/>
  <c r="R156" i="1"/>
  <c r="V156" i="1"/>
  <c r="Z156" i="1"/>
  <c r="AD156" i="1"/>
  <c r="AH156" i="1"/>
  <c r="AL156" i="1"/>
  <c r="AP156" i="1"/>
  <c r="AT156" i="1"/>
  <c r="F157" i="1"/>
  <c r="E157" i="2" s="1"/>
  <c r="E157" i="7" s="1"/>
  <c r="J157" i="1"/>
  <c r="I157" i="2" s="1"/>
  <c r="D157" i="6" s="1"/>
  <c r="N157" i="1"/>
  <c r="R157" i="1"/>
  <c r="V157" i="1"/>
  <c r="Z157" i="1"/>
  <c r="AD157" i="1"/>
  <c r="AH157" i="1"/>
  <c r="AL157" i="1"/>
  <c r="AP157" i="1"/>
  <c r="AT157" i="1"/>
  <c r="F158" i="1"/>
  <c r="J158" i="1"/>
  <c r="N158" i="1"/>
  <c r="R158" i="1"/>
  <c r="V158" i="1"/>
  <c r="Z158" i="1"/>
  <c r="AD158" i="1"/>
  <c r="AH158" i="1"/>
  <c r="AL158" i="1"/>
  <c r="AP158" i="1"/>
  <c r="AT158" i="1"/>
  <c r="F159" i="1"/>
  <c r="J159" i="1"/>
  <c r="N159" i="1"/>
  <c r="L159" i="2" s="1"/>
  <c r="D159" i="8" s="1"/>
  <c r="R159" i="1"/>
  <c r="V159" i="1"/>
  <c r="Z159" i="1"/>
  <c r="AD159" i="1"/>
  <c r="AH159" i="1"/>
  <c r="AL159" i="1"/>
  <c r="AP159" i="1"/>
  <c r="AT159" i="1"/>
  <c r="F160" i="1"/>
  <c r="E160" i="2" s="1"/>
  <c r="E160" i="7" s="1"/>
  <c r="J160" i="1"/>
  <c r="N160" i="1"/>
  <c r="R160" i="1"/>
  <c r="V160" i="1"/>
  <c r="Z160" i="1"/>
  <c r="AD160" i="1"/>
  <c r="AH160" i="1"/>
  <c r="AL160" i="1"/>
  <c r="AP160" i="1"/>
  <c r="AT160" i="1"/>
  <c r="F161" i="1"/>
  <c r="J161" i="1"/>
  <c r="N161" i="1"/>
  <c r="R161" i="1"/>
  <c r="V161" i="1"/>
  <c r="N161" i="2" s="1"/>
  <c r="C161" i="9" s="1"/>
  <c r="Z161" i="1"/>
  <c r="AD161" i="1"/>
  <c r="AH161" i="1"/>
  <c r="AL161" i="1"/>
  <c r="AP161" i="1"/>
  <c r="AT161" i="1"/>
  <c r="F162" i="1"/>
  <c r="F162" i="2" s="1"/>
  <c r="F162" i="7" s="1"/>
  <c r="J162" i="1"/>
  <c r="N162" i="1"/>
  <c r="R162" i="1"/>
  <c r="V162" i="1"/>
  <c r="Z162" i="1"/>
  <c r="AD162" i="1"/>
  <c r="AH162" i="1"/>
  <c r="AL162" i="1"/>
  <c r="AP162" i="1"/>
  <c r="AT162" i="1"/>
  <c r="F163" i="1"/>
  <c r="J163" i="1"/>
  <c r="N163" i="1"/>
  <c r="R163" i="1"/>
  <c r="V163" i="1"/>
  <c r="Z163" i="1"/>
  <c r="P163" i="2" s="1"/>
  <c r="C163" i="10" s="1"/>
  <c r="AD163" i="1"/>
  <c r="AH163" i="1"/>
  <c r="AL163" i="1"/>
  <c r="AP163" i="1"/>
  <c r="AT163" i="1"/>
  <c r="F164" i="1"/>
  <c r="J164" i="1"/>
  <c r="I164" i="2" s="1"/>
  <c r="D164" i="6" s="1"/>
  <c r="N164" i="1"/>
  <c r="R164" i="1"/>
  <c r="V164" i="1"/>
  <c r="Z164" i="1"/>
  <c r="AD164" i="1"/>
  <c r="AH164" i="1"/>
  <c r="AL164" i="1"/>
  <c r="AP164" i="1"/>
  <c r="AT164" i="1"/>
  <c r="F165" i="1"/>
  <c r="J165" i="1"/>
  <c r="I165" i="2" s="1"/>
  <c r="D165" i="6" s="1"/>
  <c r="N165" i="1"/>
  <c r="R165" i="1"/>
  <c r="V165" i="1"/>
  <c r="Z165" i="1"/>
  <c r="AD165" i="1"/>
  <c r="AH165" i="1"/>
  <c r="AL165" i="1"/>
  <c r="AP165" i="1"/>
  <c r="AT165" i="1"/>
  <c r="F166" i="1"/>
  <c r="J166" i="1"/>
  <c r="N166" i="1"/>
  <c r="R166" i="1"/>
  <c r="V166" i="1"/>
  <c r="Z166" i="1"/>
  <c r="AD166" i="1"/>
  <c r="AH166" i="1"/>
  <c r="AL166" i="1"/>
  <c r="AP166" i="1"/>
  <c r="AT166" i="1"/>
  <c r="F167" i="1"/>
  <c r="J167" i="1"/>
  <c r="N167" i="1"/>
  <c r="L167" i="2" s="1"/>
  <c r="D167" i="8" s="1"/>
  <c r="R167" i="1"/>
  <c r="V167" i="1"/>
  <c r="Z167" i="1"/>
  <c r="AD167" i="1"/>
  <c r="AH167" i="1"/>
  <c r="AL167" i="1"/>
  <c r="AP167" i="1"/>
  <c r="AT167" i="1"/>
  <c r="F168" i="1"/>
  <c r="E168" i="2" s="1"/>
  <c r="E168" i="7" s="1"/>
  <c r="J168" i="1"/>
  <c r="N168" i="1"/>
  <c r="R168" i="1"/>
  <c r="V168" i="1"/>
  <c r="Z168" i="1"/>
  <c r="AD168" i="1"/>
  <c r="AH168" i="1"/>
  <c r="AL168" i="1"/>
  <c r="AP168" i="1"/>
  <c r="AT168" i="1"/>
  <c r="F169" i="1"/>
  <c r="J169" i="1"/>
  <c r="N169" i="1"/>
  <c r="R169" i="1"/>
  <c r="V169" i="1"/>
  <c r="N169" i="2" s="1"/>
  <c r="C169" i="9" s="1"/>
  <c r="Z169" i="1"/>
  <c r="AD169" i="1"/>
  <c r="AH169" i="1"/>
  <c r="AL169" i="1"/>
  <c r="AP169" i="1"/>
  <c r="AT169" i="1"/>
  <c r="F170" i="1"/>
  <c r="J170" i="1"/>
  <c r="N170" i="1"/>
  <c r="R170" i="1"/>
  <c r="V170" i="1"/>
  <c r="Z170" i="1"/>
  <c r="AD170" i="1"/>
  <c r="AH170" i="1"/>
  <c r="AL170" i="1"/>
  <c r="AP170" i="1"/>
  <c r="AT170" i="1"/>
  <c r="F171" i="1"/>
  <c r="J171" i="1"/>
  <c r="N171" i="1"/>
  <c r="R171" i="1"/>
  <c r="V171" i="1"/>
  <c r="Z171" i="1"/>
  <c r="P171" i="2" s="1"/>
  <c r="C171" i="10" s="1"/>
  <c r="AD171" i="1"/>
  <c r="AH171" i="1"/>
  <c r="AL171" i="1"/>
  <c r="AP171" i="1"/>
  <c r="AT171" i="1"/>
  <c r="F172" i="1"/>
  <c r="J172" i="1"/>
  <c r="I172" i="2" s="1"/>
  <c r="D172" i="6" s="1"/>
  <c r="N172" i="1"/>
  <c r="R172" i="1"/>
  <c r="V172" i="1"/>
  <c r="Z172" i="1"/>
  <c r="AD172" i="1"/>
  <c r="AH172" i="1"/>
  <c r="AL172" i="1"/>
  <c r="AP172" i="1"/>
  <c r="AT172" i="1"/>
  <c r="F173" i="1"/>
  <c r="J173" i="1"/>
  <c r="I173" i="2" s="1"/>
  <c r="D173" i="6" s="1"/>
  <c r="N173" i="1"/>
  <c r="R173" i="1"/>
  <c r="V173" i="1"/>
  <c r="Z173" i="1"/>
  <c r="AD173" i="1"/>
  <c r="AH173" i="1"/>
  <c r="AL173" i="1"/>
  <c r="AP173" i="1"/>
  <c r="AT173" i="1"/>
  <c r="F174" i="1"/>
  <c r="J174" i="1"/>
  <c r="N174" i="1"/>
  <c r="R174" i="1"/>
  <c r="V174" i="1"/>
  <c r="Z174" i="1"/>
  <c r="AD174" i="1"/>
  <c r="AH174" i="1"/>
  <c r="AL174" i="1"/>
  <c r="AP174" i="1"/>
  <c r="AT174" i="1"/>
  <c r="F175" i="1"/>
  <c r="J175" i="1"/>
  <c r="N175" i="1"/>
  <c r="L175" i="2" s="1"/>
  <c r="D175" i="8" s="1"/>
  <c r="R175" i="1"/>
  <c r="V175" i="1"/>
  <c r="Z175" i="1"/>
  <c r="AD175" i="1"/>
  <c r="AH175" i="1"/>
  <c r="AL175" i="1"/>
  <c r="AP175" i="1"/>
  <c r="AT175" i="1"/>
  <c r="F176" i="1"/>
  <c r="E176" i="2" s="1"/>
  <c r="E176" i="7" s="1"/>
  <c r="J176" i="1"/>
  <c r="N176" i="1"/>
  <c r="R176" i="1"/>
  <c r="V176" i="1"/>
  <c r="Z176" i="1"/>
  <c r="AD176" i="1"/>
  <c r="AH176" i="1"/>
  <c r="AL176" i="1"/>
  <c r="AP176" i="1"/>
  <c r="AT176" i="1"/>
  <c r="F177" i="1"/>
  <c r="J177" i="1"/>
  <c r="N177" i="1"/>
  <c r="R177" i="1"/>
  <c r="V177" i="1"/>
  <c r="N177" i="2" s="1"/>
  <c r="C177" i="9" s="1"/>
  <c r="Z177" i="1"/>
  <c r="AD177" i="1"/>
  <c r="AH177" i="1"/>
  <c r="AL177" i="1"/>
  <c r="AP177" i="1"/>
  <c r="AT177" i="1"/>
  <c r="F178" i="1"/>
  <c r="J178" i="1"/>
  <c r="N178" i="1"/>
  <c r="R178" i="1"/>
  <c r="V178" i="1"/>
  <c r="Z178" i="1"/>
  <c r="AD178" i="1"/>
  <c r="AH178" i="1"/>
  <c r="AL178" i="1"/>
  <c r="AP178" i="1"/>
  <c r="AT178" i="1"/>
  <c r="F179" i="1"/>
  <c r="J179" i="1"/>
  <c r="N179" i="1"/>
  <c r="R179" i="1"/>
  <c r="V179" i="1"/>
  <c r="Z179" i="1"/>
  <c r="P179" i="2" s="1"/>
  <c r="C179" i="10" s="1"/>
  <c r="AD179" i="1"/>
  <c r="AH179" i="1"/>
  <c r="AL179" i="1"/>
  <c r="AP179" i="1"/>
  <c r="AT179" i="1"/>
  <c r="F180" i="1"/>
  <c r="J180" i="1"/>
  <c r="I180" i="2" s="1"/>
  <c r="D180" i="6" s="1"/>
  <c r="N180" i="1"/>
  <c r="V180" i="1"/>
  <c r="Z180" i="1"/>
  <c r="AD180" i="1"/>
  <c r="AH180" i="1"/>
  <c r="AL180" i="1"/>
  <c r="AP180" i="1"/>
  <c r="AT180" i="1"/>
  <c r="F181" i="1"/>
  <c r="J181" i="1"/>
  <c r="I181" i="2" s="1"/>
  <c r="D181" i="6" s="1"/>
  <c r="N181" i="1"/>
  <c r="V181" i="1"/>
  <c r="Z181" i="1"/>
  <c r="AD181" i="1"/>
  <c r="AH181" i="1"/>
  <c r="AL181" i="1"/>
  <c r="AP181" i="1"/>
  <c r="AT181" i="1"/>
  <c r="F182" i="1"/>
  <c r="J182" i="1"/>
  <c r="N182" i="1"/>
  <c r="R182" i="1"/>
  <c r="V182" i="1"/>
  <c r="Z182" i="1"/>
  <c r="AD182" i="1"/>
  <c r="AH182" i="1"/>
  <c r="AL182" i="1"/>
  <c r="AP182" i="1"/>
  <c r="AT182" i="1"/>
  <c r="F183" i="1"/>
  <c r="F183" i="2" s="1"/>
  <c r="F183" i="7" s="1"/>
  <c r="J183" i="1"/>
  <c r="I183" i="2" s="1"/>
  <c r="D183" i="6" s="1"/>
  <c r="N183" i="1"/>
  <c r="L183" i="2" s="1"/>
  <c r="D183" i="8" s="1"/>
  <c r="R183" i="1"/>
  <c r="V183" i="1"/>
  <c r="Z183" i="1"/>
  <c r="AD183" i="1"/>
  <c r="AH183" i="1"/>
  <c r="AL183" i="1"/>
  <c r="AP183" i="1"/>
  <c r="AT183" i="1"/>
  <c r="F184" i="1"/>
  <c r="J184" i="1"/>
  <c r="N184" i="1"/>
  <c r="R184" i="1"/>
  <c r="V184" i="1"/>
  <c r="Z184" i="1"/>
  <c r="P184" i="2" s="1"/>
  <c r="C184" i="10" s="1"/>
  <c r="AD184" i="1"/>
  <c r="AH184" i="1"/>
  <c r="AL184" i="1"/>
  <c r="AP184" i="1"/>
  <c r="AT184" i="1"/>
  <c r="F185" i="1"/>
  <c r="J185" i="1"/>
  <c r="N185" i="1"/>
  <c r="L185" i="2" s="1"/>
  <c r="D185" i="8" s="1"/>
  <c r="R185" i="1"/>
  <c r="V185" i="1"/>
  <c r="N185" i="2" s="1"/>
  <c r="C185" i="9" s="1"/>
  <c r="Z185" i="1"/>
  <c r="P185" i="2" s="1"/>
  <c r="C185" i="10" s="1"/>
  <c r="AD185" i="1"/>
  <c r="AH185" i="1"/>
  <c r="AL185" i="1"/>
  <c r="AP185" i="1"/>
  <c r="AT185" i="1"/>
  <c r="F186" i="1"/>
  <c r="F186" i="2" s="1"/>
  <c r="F186" i="7" s="1"/>
  <c r="J186" i="1"/>
  <c r="I186" i="2" s="1"/>
  <c r="D186" i="6" s="1"/>
  <c r="N186" i="1"/>
  <c r="L186" i="2" s="1"/>
  <c r="D186" i="8" s="1"/>
  <c r="R186" i="1"/>
  <c r="V186" i="1"/>
  <c r="Z186" i="1"/>
  <c r="AD186" i="1"/>
  <c r="AH186" i="1"/>
  <c r="AL186" i="1"/>
  <c r="AP186" i="1"/>
  <c r="AT186" i="1"/>
  <c r="F187" i="1"/>
  <c r="J187" i="1"/>
  <c r="N187" i="1"/>
  <c r="R187" i="1"/>
  <c r="V187" i="1"/>
  <c r="N187" i="2" s="1"/>
  <c r="C187" i="9" s="1"/>
  <c r="Z187" i="1"/>
  <c r="P187" i="2" s="1"/>
  <c r="C187" i="10" s="1"/>
  <c r="AD187" i="1"/>
  <c r="AH187" i="1"/>
  <c r="AL187" i="1"/>
  <c r="AP187" i="1"/>
  <c r="AT187" i="1"/>
  <c r="F188" i="1"/>
  <c r="J188" i="1"/>
  <c r="I188" i="2" s="1"/>
  <c r="D188" i="6" s="1"/>
  <c r="N188" i="1"/>
  <c r="L188" i="2" s="1"/>
  <c r="D188" i="8" s="1"/>
  <c r="R188" i="1"/>
  <c r="V188" i="1"/>
  <c r="N188" i="2" s="1"/>
  <c r="C188" i="9" s="1"/>
  <c r="Z188" i="1"/>
  <c r="AD188" i="1"/>
  <c r="AH188" i="1"/>
  <c r="AL188" i="1"/>
  <c r="AP188" i="1"/>
  <c r="AT188" i="1"/>
  <c r="F189" i="1"/>
  <c r="E189" i="2" s="1"/>
  <c r="E189" i="7" s="1"/>
  <c r="J189" i="1"/>
  <c r="N189" i="1"/>
  <c r="R189" i="1"/>
  <c r="V189" i="1"/>
  <c r="Z189" i="1"/>
  <c r="AD189" i="1"/>
  <c r="AH189" i="1"/>
  <c r="AL189" i="1"/>
  <c r="AP189" i="1"/>
  <c r="AT189" i="1"/>
  <c r="F190" i="1"/>
  <c r="J190" i="1"/>
  <c r="N190" i="1"/>
  <c r="R190" i="1"/>
  <c r="V190" i="1"/>
  <c r="N190" i="2" s="1"/>
  <c r="C190" i="9" s="1"/>
  <c r="Z190" i="1"/>
  <c r="P190" i="2" s="1"/>
  <c r="C190" i="10" s="1"/>
  <c r="AD190" i="1"/>
  <c r="AH190" i="1"/>
  <c r="AL190" i="1"/>
  <c r="AP190" i="1"/>
  <c r="AT190" i="1"/>
  <c r="F191" i="1"/>
  <c r="F191" i="2" s="1"/>
  <c r="F191" i="7" s="1"/>
  <c r="J191" i="1"/>
  <c r="I191" i="2" s="1"/>
  <c r="D191" i="6" s="1"/>
  <c r="N191" i="1"/>
  <c r="R191" i="1"/>
  <c r="V191" i="1"/>
  <c r="Z191" i="1"/>
  <c r="AD191" i="1"/>
  <c r="AH191" i="1"/>
  <c r="AL191" i="1"/>
  <c r="AP191" i="1"/>
  <c r="AT191" i="1"/>
  <c r="F192" i="1"/>
  <c r="F192" i="2" s="1"/>
  <c r="F192" i="7" s="1"/>
  <c r="J192" i="1"/>
  <c r="N192" i="1"/>
  <c r="R192" i="1"/>
  <c r="V192" i="1"/>
  <c r="Z192" i="1"/>
  <c r="P192" i="2" s="1"/>
  <c r="C192" i="10" s="1"/>
  <c r="AD192" i="1"/>
  <c r="AH192" i="1"/>
  <c r="AL192" i="1"/>
  <c r="AP192" i="1"/>
  <c r="AT192" i="1"/>
  <c r="F193" i="1"/>
  <c r="J193" i="1"/>
  <c r="N193" i="1"/>
  <c r="R193" i="1"/>
  <c r="V193" i="1"/>
  <c r="Z193" i="1"/>
  <c r="P193" i="2" s="1"/>
  <c r="C193" i="10" s="1"/>
  <c r="AD193" i="1"/>
  <c r="AH193" i="1"/>
  <c r="AL193" i="1"/>
  <c r="AP193" i="1"/>
  <c r="AT193" i="1"/>
  <c r="F194" i="1"/>
  <c r="E194" i="2" s="1"/>
  <c r="E194" i="7" s="1"/>
  <c r="J194" i="1"/>
  <c r="I194" i="2" s="1"/>
  <c r="D194" i="6" s="1"/>
  <c r="N194" i="1"/>
  <c r="R194" i="1"/>
  <c r="V194" i="1"/>
  <c r="Z194" i="1"/>
  <c r="AD194" i="1"/>
  <c r="AH194" i="1"/>
  <c r="AL194" i="1"/>
  <c r="AP194" i="1"/>
  <c r="AT194" i="1"/>
  <c r="F195" i="1"/>
  <c r="J195" i="1"/>
  <c r="N195" i="1"/>
  <c r="R195" i="1"/>
  <c r="V195" i="1"/>
  <c r="N195" i="2" s="1"/>
  <c r="C195" i="9" s="1"/>
  <c r="Z195" i="1"/>
  <c r="P195" i="2" s="1"/>
  <c r="C195" i="10" s="1"/>
  <c r="AD195" i="1"/>
  <c r="AH195" i="1"/>
  <c r="AL195" i="1"/>
  <c r="AP195" i="1"/>
  <c r="AT195" i="1"/>
  <c r="F196" i="1"/>
  <c r="J196" i="1"/>
  <c r="I196" i="2" s="1"/>
  <c r="D196" i="6" s="1"/>
  <c r="N196" i="1"/>
  <c r="R196" i="1"/>
  <c r="V196" i="1"/>
  <c r="N196" i="2" s="1"/>
  <c r="C196" i="9" s="1"/>
  <c r="Z196" i="1"/>
  <c r="AD196" i="1"/>
  <c r="AH196" i="1"/>
  <c r="AL196" i="1"/>
  <c r="AP196" i="1"/>
  <c r="AT196" i="1"/>
  <c r="F197" i="1"/>
  <c r="F197" i="2" s="1"/>
  <c r="F197" i="7" s="1"/>
  <c r="J197" i="1"/>
  <c r="I197" i="2" s="1"/>
  <c r="D197" i="6" s="1"/>
  <c r="N197" i="1"/>
  <c r="R197" i="1"/>
  <c r="V197" i="1"/>
  <c r="Z197" i="1"/>
  <c r="AD197" i="1"/>
  <c r="AH197" i="1"/>
  <c r="AL197" i="1"/>
  <c r="AP197" i="1"/>
  <c r="AT197" i="1"/>
  <c r="F198" i="1"/>
  <c r="J198" i="1"/>
  <c r="N198" i="1"/>
  <c r="R198" i="1"/>
  <c r="V198" i="1"/>
  <c r="N198" i="2" s="1"/>
  <c r="C198" i="9" s="1"/>
  <c r="Z198" i="1"/>
  <c r="P198" i="2" s="1"/>
  <c r="C198" i="10" s="1"/>
  <c r="AD198" i="1"/>
  <c r="AH198" i="1"/>
  <c r="AL198" i="1"/>
  <c r="AP198" i="1"/>
  <c r="AT198" i="1"/>
  <c r="F199" i="1"/>
  <c r="E199" i="2" s="1"/>
  <c r="E199" i="7" s="1"/>
  <c r="J199" i="1"/>
  <c r="I199" i="2" s="1"/>
  <c r="D199" i="6" s="1"/>
  <c r="N199" i="1"/>
  <c r="L199" i="2" s="1"/>
  <c r="D199" i="8" s="1"/>
  <c r="R199" i="1"/>
  <c r="V199" i="1"/>
  <c r="Z199" i="1"/>
  <c r="AD199" i="1"/>
  <c r="AH199" i="1"/>
  <c r="AL199" i="1"/>
  <c r="AP199" i="1"/>
  <c r="AT199" i="1"/>
  <c r="F200" i="1"/>
  <c r="E200" i="2" s="1"/>
  <c r="E200" i="7" s="1"/>
  <c r="J200" i="1"/>
  <c r="N200" i="1"/>
  <c r="R200" i="1"/>
  <c r="V200" i="1"/>
  <c r="N200" i="2" s="1"/>
  <c r="C200" i="9" s="1"/>
  <c r="Z200" i="1"/>
  <c r="P200" i="2" s="1"/>
  <c r="C200" i="10" s="1"/>
  <c r="AD200" i="1"/>
  <c r="AH200" i="1"/>
  <c r="AL200" i="1"/>
  <c r="AP200" i="1"/>
  <c r="AT200" i="1"/>
  <c r="F201" i="1"/>
  <c r="J201" i="1"/>
  <c r="I201" i="2" s="1"/>
  <c r="D201" i="6" s="1"/>
  <c r="N201" i="1"/>
  <c r="L201" i="2" s="1"/>
  <c r="D201" i="8" s="1"/>
  <c r="R201" i="1"/>
  <c r="V201" i="1"/>
  <c r="N201" i="2" s="1"/>
  <c r="C201" i="9" s="1"/>
  <c r="Z201" i="1"/>
  <c r="AD201" i="1"/>
  <c r="AH201" i="1"/>
  <c r="AL201" i="1"/>
  <c r="AP201" i="1"/>
  <c r="AT201" i="1"/>
  <c r="F202" i="1"/>
  <c r="E202" i="2" s="1"/>
  <c r="E202" i="7" s="1"/>
  <c r="J202" i="1"/>
  <c r="N202" i="1"/>
  <c r="L202" i="2" s="1"/>
  <c r="D202" i="8" s="1"/>
  <c r="R202" i="1"/>
  <c r="V202" i="1"/>
  <c r="Z202" i="1"/>
  <c r="AD202" i="1"/>
  <c r="AH202" i="1"/>
  <c r="AL202" i="1"/>
  <c r="AP202" i="1"/>
  <c r="AT202" i="1"/>
  <c r="F203" i="1"/>
  <c r="J203" i="1"/>
  <c r="N203" i="1"/>
  <c r="R203" i="1"/>
  <c r="V203" i="1"/>
  <c r="N203" i="2" s="1"/>
  <c r="C203" i="9" s="1"/>
  <c r="Z203" i="1"/>
  <c r="P203" i="2" s="1"/>
  <c r="C203" i="10" s="1"/>
  <c r="AD203" i="1"/>
  <c r="AH203" i="1"/>
  <c r="AL203" i="1"/>
  <c r="AP203" i="1"/>
  <c r="AT203" i="1"/>
  <c r="F204" i="1"/>
  <c r="E204" i="2" s="1"/>
  <c r="E204" i="7" s="1"/>
  <c r="J204" i="1"/>
  <c r="I204" i="2" s="1"/>
  <c r="D204" i="6" s="1"/>
  <c r="N204" i="1"/>
  <c r="L204" i="2" s="1"/>
  <c r="D204" i="8" s="1"/>
  <c r="R204" i="1"/>
  <c r="V204" i="1"/>
  <c r="N204" i="2" s="1"/>
  <c r="C204" i="9" s="1"/>
  <c r="Z204" i="1"/>
  <c r="AD204" i="1"/>
  <c r="AH204" i="1"/>
  <c r="AL204" i="1"/>
  <c r="AP204" i="1"/>
  <c r="AT204" i="1"/>
  <c r="F205" i="1"/>
  <c r="F205" i="2" s="1"/>
  <c r="F205" i="7" s="1"/>
  <c r="J205" i="1"/>
  <c r="I205" i="2" s="1"/>
  <c r="D205" i="6" s="1"/>
  <c r="N205" i="1"/>
  <c r="R205" i="1"/>
  <c r="V205" i="1"/>
  <c r="Z205" i="1"/>
  <c r="AD205" i="1"/>
  <c r="AH205" i="1"/>
  <c r="AL205" i="1"/>
  <c r="AP205" i="1"/>
  <c r="AT205" i="1"/>
  <c r="F206" i="1"/>
  <c r="J206" i="1"/>
  <c r="N206" i="1"/>
  <c r="L206" i="2" s="1"/>
  <c r="D206" i="8" s="1"/>
  <c r="R206" i="1"/>
  <c r="V206" i="1"/>
  <c r="N206" i="2" s="1"/>
  <c r="C206" i="9" s="1"/>
  <c r="Z206" i="1"/>
  <c r="P206" i="2" s="1"/>
  <c r="C206" i="10" s="1"/>
  <c r="AD206" i="1"/>
  <c r="AH206" i="1"/>
  <c r="AL206" i="1"/>
  <c r="AP206" i="1"/>
  <c r="AT206" i="1"/>
  <c r="F207" i="1"/>
  <c r="E207" i="2" s="1"/>
  <c r="E207" i="7" s="1"/>
  <c r="J207" i="1"/>
  <c r="I207" i="2" s="1"/>
  <c r="D207" i="6" s="1"/>
  <c r="N207" i="1"/>
  <c r="L207" i="2" s="1"/>
  <c r="D207" i="8" s="1"/>
  <c r="R207" i="1"/>
  <c r="V207" i="1"/>
  <c r="Z207" i="1"/>
  <c r="AD207" i="1"/>
  <c r="AH207" i="1"/>
  <c r="AL207" i="1"/>
  <c r="AP207" i="1"/>
  <c r="AT207" i="1"/>
  <c r="F208" i="1"/>
  <c r="E208" i="2" s="1"/>
  <c r="E208" i="7" s="1"/>
  <c r="J208" i="1"/>
  <c r="N208" i="1"/>
  <c r="R208" i="1"/>
  <c r="V208" i="1"/>
  <c r="N208" i="2" s="1"/>
  <c r="C208" i="9" s="1"/>
  <c r="Z208" i="1"/>
  <c r="P208" i="2" s="1"/>
  <c r="C208" i="10" s="1"/>
  <c r="AD208" i="1"/>
  <c r="AH208" i="1"/>
  <c r="AL208" i="1"/>
  <c r="AP208" i="1"/>
  <c r="AT208" i="1"/>
  <c r="B203" i="2"/>
  <c r="B203" i="7" s="1"/>
  <c r="C203" i="2"/>
  <c r="C203" i="7" s="1"/>
  <c r="D203" i="2"/>
  <c r="D203" i="7" s="1"/>
  <c r="E203" i="2"/>
  <c r="E203" i="7" s="1"/>
  <c r="F203" i="2"/>
  <c r="F203" i="7" s="1"/>
  <c r="G203" i="2"/>
  <c r="B203" i="6" s="1"/>
  <c r="H203" i="2"/>
  <c r="C203" i="6" s="1"/>
  <c r="I203" i="2"/>
  <c r="D203" i="6" s="1"/>
  <c r="J203" i="2"/>
  <c r="B203" i="8" s="1"/>
  <c r="K203" i="2"/>
  <c r="C203" i="8" s="1"/>
  <c r="L203" i="2"/>
  <c r="D203" i="8" s="1"/>
  <c r="M203" i="2"/>
  <c r="B203" i="9" s="1"/>
  <c r="O203" i="2"/>
  <c r="B203" i="10" s="1"/>
  <c r="B204" i="2"/>
  <c r="B204" i="7" s="1"/>
  <c r="C204" i="2"/>
  <c r="C204" i="7" s="1"/>
  <c r="D204" i="2"/>
  <c r="D204" i="7" s="1"/>
  <c r="G204" i="2"/>
  <c r="B204" i="6" s="1"/>
  <c r="H204" i="2"/>
  <c r="C204" i="6" s="1"/>
  <c r="J204" i="2"/>
  <c r="B204" i="8" s="1"/>
  <c r="K204" i="2"/>
  <c r="C204" i="8" s="1"/>
  <c r="M204" i="2"/>
  <c r="B204" i="9" s="1"/>
  <c r="O204" i="2"/>
  <c r="B204" i="10" s="1"/>
  <c r="P204" i="2"/>
  <c r="C204" i="10" s="1"/>
  <c r="B205" i="2"/>
  <c r="B205" i="7" s="1"/>
  <c r="C205" i="2"/>
  <c r="C205" i="7" s="1"/>
  <c r="D205" i="2"/>
  <c r="D205" i="7" s="1"/>
  <c r="G205" i="2"/>
  <c r="B205" i="6" s="1"/>
  <c r="H205" i="2"/>
  <c r="C205" i="6" s="1"/>
  <c r="J205" i="2"/>
  <c r="B205" i="8" s="1"/>
  <c r="K205" i="2"/>
  <c r="C205" i="8" s="1"/>
  <c r="L205" i="2"/>
  <c r="D205" i="8" s="1"/>
  <c r="M205" i="2"/>
  <c r="B205" i="9" s="1"/>
  <c r="N205" i="2"/>
  <c r="C205" i="9" s="1"/>
  <c r="O205" i="2"/>
  <c r="B205" i="10" s="1"/>
  <c r="P205" i="2"/>
  <c r="C205" i="10" s="1"/>
  <c r="B206" i="2"/>
  <c r="B206" i="7" s="1"/>
  <c r="C206" i="2"/>
  <c r="C206" i="7" s="1"/>
  <c r="D206" i="2"/>
  <c r="D206" i="7" s="1"/>
  <c r="E206" i="2"/>
  <c r="E206" i="7" s="1"/>
  <c r="F206" i="2"/>
  <c r="F206" i="7" s="1"/>
  <c r="G206" i="2"/>
  <c r="B206" i="6" s="1"/>
  <c r="H206" i="2"/>
  <c r="C206" i="6" s="1"/>
  <c r="I206" i="2"/>
  <c r="D206" i="6" s="1"/>
  <c r="J206" i="2"/>
  <c r="B206" i="8" s="1"/>
  <c r="K206" i="2"/>
  <c r="C206" i="8" s="1"/>
  <c r="M206" i="2"/>
  <c r="B206" i="9" s="1"/>
  <c r="O206" i="2"/>
  <c r="B206" i="10" s="1"/>
  <c r="B207" i="2"/>
  <c r="B207" i="7" s="1"/>
  <c r="C207" i="2"/>
  <c r="C207" i="7" s="1"/>
  <c r="D207" i="2"/>
  <c r="D207" i="7" s="1"/>
  <c r="G207" i="2"/>
  <c r="B207" i="6" s="1"/>
  <c r="H207" i="2"/>
  <c r="C207" i="6" s="1"/>
  <c r="J207" i="2"/>
  <c r="B207" i="8" s="1"/>
  <c r="K207" i="2"/>
  <c r="C207" i="8" s="1"/>
  <c r="M207" i="2"/>
  <c r="B207" i="9" s="1"/>
  <c r="N207" i="2"/>
  <c r="C207" i="9" s="1"/>
  <c r="O207" i="2"/>
  <c r="B207" i="10" s="1"/>
  <c r="P207" i="2"/>
  <c r="C207" i="10" s="1"/>
  <c r="B208" i="2"/>
  <c r="B208" i="7" s="1"/>
  <c r="C208" i="2"/>
  <c r="C208" i="7" s="1"/>
  <c r="D208" i="2"/>
  <c r="D208" i="7" s="1"/>
  <c r="G208" i="2"/>
  <c r="B208" i="6" s="1"/>
  <c r="H208" i="2"/>
  <c r="C208" i="6" s="1"/>
  <c r="I208" i="2"/>
  <c r="D208" i="6" s="1"/>
  <c r="J208" i="2"/>
  <c r="B208" i="8" s="1"/>
  <c r="K208" i="2"/>
  <c r="C208" i="8" s="1"/>
  <c r="L208" i="2"/>
  <c r="D208" i="8" s="1"/>
  <c r="M208" i="2"/>
  <c r="B208" i="9" s="1"/>
  <c r="O208" i="2"/>
  <c r="B208" i="10" s="1"/>
  <c r="B194" i="2"/>
  <c r="B194" i="7" s="1"/>
  <c r="C194" i="2"/>
  <c r="C194" i="7" s="1"/>
  <c r="D194" i="2"/>
  <c r="D194" i="7" s="1"/>
  <c r="G194" i="2"/>
  <c r="B194" i="6" s="1"/>
  <c r="H194" i="2"/>
  <c r="C194" i="6" s="1"/>
  <c r="J194" i="2"/>
  <c r="B194" i="8" s="1"/>
  <c r="K194" i="2"/>
  <c r="C194" i="8" s="1"/>
  <c r="L194" i="2"/>
  <c r="D194" i="8" s="1"/>
  <c r="M194" i="2"/>
  <c r="B194" i="9" s="1"/>
  <c r="N194" i="2"/>
  <c r="C194" i="9" s="1"/>
  <c r="O194" i="2"/>
  <c r="B194" i="10" s="1"/>
  <c r="P194" i="2"/>
  <c r="C194" i="10" s="1"/>
  <c r="B195" i="2"/>
  <c r="B195" i="7" s="1"/>
  <c r="C195" i="2"/>
  <c r="C195" i="7" s="1"/>
  <c r="D195" i="2"/>
  <c r="D195" i="7" s="1"/>
  <c r="E195" i="2"/>
  <c r="E195" i="7" s="1"/>
  <c r="F195" i="2"/>
  <c r="F195" i="7" s="1"/>
  <c r="G195" i="2"/>
  <c r="B195" i="6" s="1"/>
  <c r="H195" i="2"/>
  <c r="C195" i="6" s="1"/>
  <c r="I195" i="2"/>
  <c r="D195" i="6" s="1"/>
  <c r="J195" i="2"/>
  <c r="B195" i="8" s="1"/>
  <c r="K195" i="2"/>
  <c r="C195" i="8" s="1"/>
  <c r="L195" i="2"/>
  <c r="D195" i="8" s="1"/>
  <c r="M195" i="2"/>
  <c r="B195" i="9" s="1"/>
  <c r="O195" i="2"/>
  <c r="B195" i="10" s="1"/>
  <c r="B196" i="2"/>
  <c r="B196" i="7" s="1"/>
  <c r="C196" i="2"/>
  <c r="C196" i="7" s="1"/>
  <c r="D196" i="2"/>
  <c r="D196" i="7" s="1"/>
  <c r="E196" i="2"/>
  <c r="E196" i="7" s="1"/>
  <c r="F196" i="2"/>
  <c r="F196" i="7" s="1"/>
  <c r="G196" i="2"/>
  <c r="B196" i="6" s="1"/>
  <c r="H196" i="2"/>
  <c r="C196" i="6" s="1"/>
  <c r="J196" i="2"/>
  <c r="B196" i="8" s="1"/>
  <c r="K196" i="2"/>
  <c r="C196" i="8" s="1"/>
  <c r="L196" i="2"/>
  <c r="D196" i="8" s="1"/>
  <c r="M196" i="2"/>
  <c r="B196" i="9" s="1"/>
  <c r="O196" i="2"/>
  <c r="B196" i="10" s="1"/>
  <c r="P196" i="2"/>
  <c r="C196" i="10" s="1"/>
  <c r="B197" i="2"/>
  <c r="B197" i="7" s="1"/>
  <c r="C197" i="2"/>
  <c r="C197" i="7" s="1"/>
  <c r="D197" i="2"/>
  <c r="D197" i="7" s="1"/>
  <c r="G197" i="2"/>
  <c r="B197" i="6" s="1"/>
  <c r="H197" i="2"/>
  <c r="C197" i="6" s="1"/>
  <c r="J197" i="2"/>
  <c r="B197" i="8" s="1"/>
  <c r="K197" i="2"/>
  <c r="C197" i="8" s="1"/>
  <c r="L197" i="2"/>
  <c r="D197" i="8" s="1"/>
  <c r="M197" i="2"/>
  <c r="B197" i="9" s="1"/>
  <c r="N197" i="2"/>
  <c r="C197" i="9" s="1"/>
  <c r="O197" i="2"/>
  <c r="B197" i="10" s="1"/>
  <c r="P197" i="2"/>
  <c r="C197" i="10" s="1"/>
  <c r="B198" i="2"/>
  <c r="B198" i="7" s="1"/>
  <c r="C198" i="2"/>
  <c r="C198" i="7" s="1"/>
  <c r="D198" i="2"/>
  <c r="D198" i="7" s="1"/>
  <c r="E198" i="2"/>
  <c r="E198" i="7" s="1"/>
  <c r="F198" i="2"/>
  <c r="F198" i="7" s="1"/>
  <c r="G198" i="2"/>
  <c r="B198" i="6" s="1"/>
  <c r="H198" i="2"/>
  <c r="C198" i="6" s="1"/>
  <c r="I198" i="2"/>
  <c r="D198" i="6" s="1"/>
  <c r="J198" i="2"/>
  <c r="B198" i="8" s="1"/>
  <c r="K198" i="2"/>
  <c r="C198" i="8" s="1"/>
  <c r="L198" i="2"/>
  <c r="D198" i="8" s="1"/>
  <c r="M198" i="2"/>
  <c r="B198" i="9" s="1"/>
  <c r="O198" i="2"/>
  <c r="B198" i="10" s="1"/>
  <c r="B199" i="2"/>
  <c r="B199" i="7" s="1"/>
  <c r="C199" i="2"/>
  <c r="C199" i="7" s="1"/>
  <c r="D199" i="2"/>
  <c r="D199" i="7" s="1"/>
  <c r="G199" i="2"/>
  <c r="B199" i="6" s="1"/>
  <c r="H199" i="2"/>
  <c r="C199" i="6" s="1"/>
  <c r="J199" i="2"/>
  <c r="B199" i="8" s="1"/>
  <c r="K199" i="2"/>
  <c r="C199" i="8" s="1"/>
  <c r="M199" i="2"/>
  <c r="B199" i="9" s="1"/>
  <c r="N199" i="2"/>
  <c r="C199" i="9" s="1"/>
  <c r="O199" i="2"/>
  <c r="B199" i="10" s="1"/>
  <c r="P199" i="2"/>
  <c r="C199" i="10" s="1"/>
  <c r="B200" i="2"/>
  <c r="B200" i="7" s="1"/>
  <c r="C200" i="2"/>
  <c r="C200" i="7" s="1"/>
  <c r="D200" i="2"/>
  <c r="D200" i="7" s="1"/>
  <c r="G200" i="2"/>
  <c r="B200" i="6" s="1"/>
  <c r="H200" i="2"/>
  <c r="C200" i="6" s="1"/>
  <c r="I200" i="2"/>
  <c r="D200" i="6" s="1"/>
  <c r="J200" i="2"/>
  <c r="B200" i="8" s="1"/>
  <c r="K200" i="2"/>
  <c r="C200" i="8" s="1"/>
  <c r="L200" i="2"/>
  <c r="D200" i="8" s="1"/>
  <c r="M200" i="2"/>
  <c r="B200" i="9" s="1"/>
  <c r="O200" i="2"/>
  <c r="B200" i="10" s="1"/>
  <c r="B201" i="2"/>
  <c r="B201" i="7" s="1"/>
  <c r="C201" i="2"/>
  <c r="C201" i="7" s="1"/>
  <c r="D201" i="2"/>
  <c r="D201" i="7" s="1"/>
  <c r="E201" i="2"/>
  <c r="E201" i="7" s="1"/>
  <c r="F201" i="2"/>
  <c r="F201" i="7" s="1"/>
  <c r="G201" i="2"/>
  <c r="B201" i="6" s="1"/>
  <c r="H201" i="2"/>
  <c r="C201" i="6" s="1"/>
  <c r="J201" i="2"/>
  <c r="B201" i="8" s="1"/>
  <c r="K201" i="2"/>
  <c r="C201" i="8" s="1"/>
  <c r="M201" i="2"/>
  <c r="B201" i="9" s="1"/>
  <c r="O201" i="2"/>
  <c r="B201" i="10" s="1"/>
  <c r="P201" i="2"/>
  <c r="C201" i="10" s="1"/>
  <c r="B202" i="2"/>
  <c r="B202" i="7" s="1"/>
  <c r="C202" i="2"/>
  <c r="C202" i="7" s="1"/>
  <c r="D202" i="2"/>
  <c r="D202" i="7" s="1"/>
  <c r="G202" i="2"/>
  <c r="B202" i="6" s="1"/>
  <c r="H202" i="2"/>
  <c r="C202" i="6" s="1"/>
  <c r="I202" i="2"/>
  <c r="D202" i="6" s="1"/>
  <c r="J202" i="2"/>
  <c r="B202" i="8" s="1"/>
  <c r="K202" i="2"/>
  <c r="C202" i="8" s="1"/>
  <c r="M202" i="2"/>
  <c r="B202" i="9" s="1"/>
  <c r="N202" i="2"/>
  <c r="C202" i="9" s="1"/>
  <c r="O202" i="2"/>
  <c r="B202" i="10" s="1"/>
  <c r="P202" i="2"/>
  <c r="C202" i="10" s="1"/>
  <c r="B183" i="2"/>
  <c r="B183" i="7" s="1"/>
  <c r="C183" i="2"/>
  <c r="C183" i="7" s="1"/>
  <c r="D183" i="2"/>
  <c r="D183" i="7" s="1"/>
  <c r="G183" i="2"/>
  <c r="B183" i="6" s="1"/>
  <c r="H183" i="2"/>
  <c r="C183" i="6" s="1"/>
  <c r="J183" i="2"/>
  <c r="B183" i="8" s="1"/>
  <c r="K183" i="2"/>
  <c r="C183" i="8" s="1"/>
  <c r="M183" i="2"/>
  <c r="B183" i="9" s="1"/>
  <c r="N183" i="2"/>
  <c r="C183" i="9" s="1"/>
  <c r="O183" i="2"/>
  <c r="B183" i="10" s="1"/>
  <c r="P183" i="2"/>
  <c r="C183" i="10" s="1"/>
  <c r="B184" i="2"/>
  <c r="B184" i="7" s="1"/>
  <c r="C184" i="2"/>
  <c r="C184" i="7" s="1"/>
  <c r="D184" i="2"/>
  <c r="D184" i="7" s="1"/>
  <c r="E184" i="2"/>
  <c r="E184" i="7" s="1"/>
  <c r="F184" i="2"/>
  <c r="F184" i="7" s="1"/>
  <c r="G184" i="2"/>
  <c r="B184" i="6" s="1"/>
  <c r="H184" i="2"/>
  <c r="C184" i="6" s="1"/>
  <c r="I184" i="2"/>
  <c r="D184" i="6" s="1"/>
  <c r="J184" i="2"/>
  <c r="B184" i="8" s="1"/>
  <c r="K184" i="2"/>
  <c r="C184" i="8" s="1"/>
  <c r="L184" i="2"/>
  <c r="D184" i="8" s="1"/>
  <c r="M184" i="2"/>
  <c r="B184" i="9" s="1"/>
  <c r="N184" i="2"/>
  <c r="C184" i="9" s="1"/>
  <c r="O184" i="2"/>
  <c r="B184" i="10" s="1"/>
  <c r="B185" i="2"/>
  <c r="B185" i="7" s="1"/>
  <c r="C185" i="2"/>
  <c r="C185" i="7" s="1"/>
  <c r="D185" i="2"/>
  <c r="D185" i="7" s="1"/>
  <c r="E185" i="2"/>
  <c r="E185" i="7" s="1"/>
  <c r="F185" i="2"/>
  <c r="F185" i="7" s="1"/>
  <c r="G185" i="2"/>
  <c r="B185" i="6" s="1"/>
  <c r="H185" i="2"/>
  <c r="C185" i="6" s="1"/>
  <c r="I185" i="2"/>
  <c r="D185" i="6" s="1"/>
  <c r="J185" i="2"/>
  <c r="B185" i="8" s="1"/>
  <c r="K185" i="2"/>
  <c r="C185" i="8" s="1"/>
  <c r="M185" i="2"/>
  <c r="B185" i="9" s="1"/>
  <c r="O185" i="2"/>
  <c r="B185" i="10" s="1"/>
  <c r="B186" i="2"/>
  <c r="B186" i="7" s="1"/>
  <c r="C186" i="2"/>
  <c r="C186" i="7" s="1"/>
  <c r="D186" i="2"/>
  <c r="D186" i="7" s="1"/>
  <c r="G186" i="2"/>
  <c r="B186" i="6" s="1"/>
  <c r="H186" i="2"/>
  <c r="C186" i="6" s="1"/>
  <c r="J186" i="2"/>
  <c r="B186" i="8" s="1"/>
  <c r="K186" i="2"/>
  <c r="C186" i="8" s="1"/>
  <c r="M186" i="2"/>
  <c r="B186" i="9" s="1"/>
  <c r="N186" i="2"/>
  <c r="C186" i="9" s="1"/>
  <c r="O186" i="2"/>
  <c r="B186" i="10" s="1"/>
  <c r="P186" i="2"/>
  <c r="C186" i="10" s="1"/>
  <c r="B187" i="2"/>
  <c r="B187" i="7" s="1"/>
  <c r="C187" i="2"/>
  <c r="C187" i="7" s="1"/>
  <c r="D187" i="2"/>
  <c r="D187" i="7" s="1"/>
  <c r="E187" i="2"/>
  <c r="E187" i="7" s="1"/>
  <c r="F187" i="2"/>
  <c r="F187" i="7" s="1"/>
  <c r="G187" i="2"/>
  <c r="B187" i="6" s="1"/>
  <c r="H187" i="2"/>
  <c r="C187" i="6" s="1"/>
  <c r="I187" i="2"/>
  <c r="D187" i="6" s="1"/>
  <c r="J187" i="2"/>
  <c r="B187" i="8" s="1"/>
  <c r="K187" i="2"/>
  <c r="C187" i="8" s="1"/>
  <c r="L187" i="2"/>
  <c r="D187" i="8" s="1"/>
  <c r="M187" i="2"/>
  <c r="B187" i="9" s="1"/>
  <c r="O187" i="2"/>
  <c r="B187" i="10" s="1"/>
  <c r="B188" i="2"/>
  <c r="B188" i="7" s="1"/>
  <c r="C188" i="2"/>
  <c r="C188" i="7" s="1"/>
  <c r="D188" i="2"/>
  <c r="D188" i="7" s="1"/>
  <c r="E188" i="2"/>
  <c r="E188" i="7" s="1"/>
  <c r="F188" i="2"/>
  <c r="F188" i="7" s="1"/>
  <c r="G188" i="2"/>
  <c r="B188" i="6" s="1"/>
  <c r="H188" i="2"/>
  <c r="C188" i="6" s="1"/>
  <c r="J188" i="2"/>
  <c r="B188" i="8" s="1"/>
  <c r="K188" i="2"/>
  <c r="C188" i="8" s="1"/>
  <c r="M188" i="2"/>
  <c r="B188" i="9" s="1"/>
  <c r="O188" i="2"/>
  <c r="B188" i="10" s="1"/>
  <c r="P188" i="2"/>
  <c r="C188" i="10" s="1"/>
  <c r="B189" i="2"/>
  <c r="B189" i="7" s="1"/>
  <c r="C189" i="2"/>
  <c r="C189" i="7" s="1"/>
  <c r="D189" i="2"/>
  <c r="D189" i="7" s="1"/>
  <c r="G189" i="2"/>
  <c r="B189" i="6" s="1"/>
  <c r="H189" i="2"/>
  <c r="C189" i="6" s="1"/>
  <c r="I189" i="2"/>
  <c r="D189" i="6" s="1"/>
  <c r="J189" i="2"/>
  <c r="B189" i="8" s="1"/>
  <c r="K189" i="2"/>
  <c r="C189" i="8" s="1"/>
  <c r="L189" i="2"/>
  <c r="D189" i="8" s="1"/>
  <c r="M189" i="2"/>
  <c r="B189" i="9" s="1"/>
  <c r="N189" i="2"/>
  <c r="C189" i="9" s="1"/>
  <c r="O189" i="2"/>
  <c r="B189" i="10" s="1"/>
  <c r="P189" i="2"/>
  <c r="C189" i="10" s="1"/>
  <c r="B190" i="2"/>
  <c r="B190" i="7" s="1"/>
  <c r="C190" i="2"/>
  <c r="C190" i="7" s="1"/>
  <c r="D190" i="2"/>
  <c r="D190" i="7" s="1"/>
  <c r="E190" i="2"/>
  <c r="E190" i="7" s="1"/>
  <c r="F190" i="2"/>
  <c r="F190" i="7" s="1"/>
  <c r="G190" i="2"/>
  <c r="B190" i="6" s="1"/>
  <c r="H190" i="2"/>
  <c r="C190" i="6" s="1"/>
  <c r="I190" i="2"/>
  <c r="D190" i="6" s="1"/>
  <c r="J190" i="2"/>
  <c r="B190" i="8" s="1"/>
  <c r="K190" i="2"/>
  <c r="C190" i="8" s="1"/>
  <c r="L190" i="2"/>
  <c r="D190" i="8" s="1"/>
  <c r="M190" i="2"/>
  <c r="B190" i="9" s="1"/>
  <c r="O190" i="2"/>
  <c r="B190" i="10" s="1"/>
  <c r="B191" i="2"/>
  <c r="B191" i="7" s="1"/>
  <c r="C191" i="2"/>
  <c r="C191" i="7" s="1"/>
  <c r="D191" i="2"/>
  <c r="D191" i="7" s="1"/>
  <c r="E191" i="2"/>
  <c r="E191" i="7" s="1"/>
  <c r="G191" i="2"/>
  <c r="B191" i="6" s="1"/>
  <c r="H191" i="2"/>
  <c r="C191" i="6" s="1"/>
  <c r="J191" i="2"/>
  <c r="B191" i="8" s="1"/>
  <c r="K191" i="2"/>
  <c r="C191" i="8" s="1"/>
  <c r="L191" i="2"/>
  <c r="D191" i="8" s="1"/>
  <c r="M191" i="2"/>
  <c r="B191" i="9" s="1"/>
  <c r="N191" i="2"/>
  <c r="C191" i="9" s="1"/>
  <c r="O191" i="2"/>
  <c r="B191" i="10" s="1"/>
  <c r="P191" i="2"/>
  <c r="C191" i="10" s="1"/>
  <c r="B192" i="2"/>
  <c r="B192" i="7" s="1"/>
  <c r="C192" i="2"/>
  <c r="C192" i="7" s="1"/>
  <c r="D192" i="2"/>
  <c r="D192" i="7" s="1"/>
  <c r="G192" i="2"/>
  <c r="B192" i="6" s="1"/>
  <c r="H192" i="2"/>
  <c r="C192" i="6" s="1"/>
  <c r="I192" i="2"/>
  <c r="D192" i="6" s="1"/>
  <c r="J192" i="2"/>
  <c r="B192" i="8" s="1"/>
  <c r="K192" i="2"/>
  <c r="C192" i="8" s="1"/>
  <c r="L192" i="2"/>
  <c r="D192" i="8" s="1"/>
  <c r="M192" i="2"/>
  <c r="B192" i="9" s="1"/>
  <c r="N192" i="2"/>
  <c r="C192" i="9" s="1"/>
  <c r="O192" i="2"/>
  <c r="B192" i="10" s="1"/>
  <c r="B193" i="2"/>
  <c r="B193" i="7" s="1"/>
  <c r="C193" i="2"/>
  <c r="C193" i="7" s="1"/>
  <c r="D193" i="2"/>
  <c r="D193" i="7" s="1"/>
  <c r="E193" i="2"/>
  <c r="E193" i="7" s="1"/>
  <c r="F193" i="2"/>
  <c r="F193" i="7" s="1"/>
  <c r="G193" i="2"/>
  <c r="B193" i="6" s="1"/>
  <c r="H193" i="2"/>
  <c r="C193" i="6" s="1"/>
  <c r="I193" i="2"/>
  <c r="D193" i="6" s="1"/>
  <c r="J193" i="2"/>
  <c r="B193" i="8" s="1"/>
  <c r="K193" i="2"/>
  <c r="C193" i="8" s="1"/>
  <c r="L193" i="2"/>
  <c r="D193" i="8" s="1"/>
  <c r="M193" i="2"/>
  <c r="B193" i="9" s="1"/>
  <c r="N193" i="2"/>
  <c r="C193" i="9" s="1"/>
  <c r="O193" i="2"/>
  <c r="B193" i="10" s="1"/>
  <c r="B126" i="2"/>
  <c r="B126" i="7" s="1"/>
  <c r="C126" i="2"/>
  <c r="C126" i="7" s="1"/>
  <c r="D126" i="2"/>
  <c r="D126" i="7" s="1"/>
  <c r="G126" i="2"/>
  <c r="B126" i="6" s="1"/>
  <c r="H126" i="2"/>
  <c r="C126" i="6" s="1"/>
  <c r="I126" i="2"/>
  <c r="D126" i="6" s="1"/>
  <c r="J126" i="2"/>
  <c r="B126" i="8" s="1"/>
  <c r="K126" i="2"/>
  <c r="C126" i="8" s="1"/>
  <c r="L126" i="2"/>
  <c r="D126" i="8" s="1"/>
  <c r="M126" i="2"/>
  <c r="B126" i="9" s="1"/>
  <c r="N126" i="2"/>
  <c r="C126" i="9" s="1"/>
  <c r="O126" i="2"/>
  <c r="B126" i="10" s="1"/>
  <c r="P126" i="2"/>
  <c r="C126" i="10" s="1"/>
  <c r="B127" i="2"/>
  <c r="B127" i="7" s="1"/>
  <c r="C127" i="2"/>
  <c r="C127" i="7" s="1"/>
  <c r="D127" i="2"/>
  <c r="D127" i="7" s="1"/>
  <c r="F127" i="2"/>
  <c r="F127" i="7" s="1"/>
  <c r="G127" i="2"/>
  <c r="B127" i="6" s="1"/>
  <c r="H127" i="2"/>
  <c r="C127" i="6" s="1"/>
  <c r="I127" i="2"/>
  <c r="D127" i="6" s="1"/>
  <c r="J127" i="2"/>
  <c r="B127" i="8" s="1"/>
  <c r="K127" i="2"/>
  <c r="C127" i="8" s="1"/>
  <c r="M127" i="2"/>
  <c r="B127" i="9" s="1"/>
  <c r="N127" i="2"/>
  <c r="C127" i="9" s="1"/>
  <c r="O127" i="2"/>
  <c r="B127" i="10" s="1"/>
  <c r="P127" i="2"/>
  <c r="C127" i="10" s="1"/>
  <c r="B128" i="2"/>
  <c r="B128" i="7" s="1"/>
  <c r="C128" i="2"/>
  <c r="C128" i="7" s="1"/>
  <c r="D128" i="2"/>
  <c r="D128" i="7" s="1"/>
  <c r="G128" i="2"/>
  <c r="B128" i="6" s="1"/>
  <c r="H128" i="2"/>
  <c r="C128" i="6" s="1"/>
  <c r="I128" i="2"/>
  <c r="D128" i="6" s="1"/>
  <c r="J128" i="2"/>
  <c r="B128" i="8" s="1"/>
  <c r="K128" i="2"/>
  <c r="C128" i="8" s="1"/>
  <c r="L128" i="2"/>
  <c r="D128" i="8" s="1"/>
  <c r="M128" i="2"/>
  <c r="B128" i="9" s="1"/>
  <c r="N128" i="2"/>
  <c r="C128" i="9" s="1"/>
  <c r="O128" i="2"/>
  <c r="B128" i="10" s="1"/>
  <c r="P128" i="2"/>
  <c r="C128" i="10" s="1"/>
  <c r="B129" i="2"/>
  <c r="B129" i="7" s="1"/>
  <c r="C129" i="2"/>
  <c r="C129" i="7" s="1"/>
  <c r="D129" i="2"/>
  <c r="D129" i="7" s="1"/>
  <c r="E129" i="2"/>
  <c r="E129" i="7" s="1"/>
  <c r="F129" i="2"/>
  <c r="F129" i="7" s="1"/>
  <c r="G129" i="2"/>
  <c r="B129" i="6" s="1"/>
  <c r="H129" i="2"/>
  <c r="C129" i="6" s="1"/>
  <c r="I129" i="2"/>
  <c r="D129" i="6" s="1"/>
  <c r="J129" i="2"/>
  <c r="B129" i="8" s="1"/>
  <c r="K129" i="2"/>
  <c r="C129" i="8" s="1"/>
  <c r="M129" i="2"/>
  <c r="B129" i="9" s="1"/>
  <c r="O129" i="2"/>
  <c r="B129" i="10" s="1"/>
  <c r="P129" i="2"/>
  <c r="C129" i="10" s="1"/>
  <c r="B130" i="2"/>
  <c r="B130" i="7" s="1"/>
  <c r="C130" i="2"/>
  <c r="C130" i="7" s="1"/>
  <c r="D130" i="2"/>
  <c r="D130" i="7" s="1"/>
  <c r="G130" i="2"/>
  <c r="B130" i="6" s="1"/>
  <c r="H130" i="2"/>
  <c r="C130" i="6" s="1"/>
  <c r="I130" i="2"/>
  <c r="D130" i="6" s="1"/>
  <c r="J130" i="2"/>
  <c r="B130" i="8" s="1"/>
  <c r="K130" i="2"/>
  <c r="C130" i="8" s="1"/>
  <c r="L130" i="2"/>
  <c r="D130" i="8" s="1"/>
  <c r="M130" i="2"/>
  <c r="B130" i="9" s="1"/>
  <c r="N130" i="2"/>
  <c r="C130" i="9" s="1"/>
  <c r="O130" i="2"/>
  <c r="B130" i="10" s="1"/>
  <c r="P130" i="2"/>
  <c r="C130" i="10" s="1"/>
  <c r="B131" i="2"/>
  <c r="B131" i="7" s="1"/>
  <c r="C131" i="2"/>
  <c r="C131" i="7" s="1"/>
  <c r="D131" i="2"/>
  <c r="D131" i="7" s="1"/>
  <c r="E131" i="2"/>
  <c r="E131" i="7" s="1"/>
  <c r="F131" i="2"/>
  <c r="F131" i="7" s="1"/>
  <c r="G131" i="2"/>
  <c r="B131" i="6" s="1"/>
  <c r="H131" i="2"/>
  <c r="C131" i="6" s="1"/>
  <c r="I131" i="2"/>
  <c r="D131" i="6" s="1"/>
  <c r="J131" i="2"/>
  <c r="B131" i="8" s="1"/>
  <c r="K131" i="2"/>
  <c r="C131" i="8" s="1"/>
  <c r="L131" i="2"/>
  <c r="D131" i="8" s="1"/>
  <c r="M131" i="2"/>
  <c r="B131" i="9" s="1"/>
  <c r="O131" i="2"/>
  <c r="B131" i="10" s="1"/>
  <c r="B132" i="2"/>
  <c r="B132" i="7" s="1"/>
  <c r="C132" i="2"/>
  <c r="C132" i="7" s="1"/>
  <c r="D132" i="2"/>
  <c r="D132" i="7" s="1"/>
  <c r="E132" i="2"/>
  <c r="E132" i="7" s="1"/>
  <c r="F132" i="2"/>
  <c r="F132" i="7" s="1"/>
  <c r="G132" i="2"/>
  <c r="B132" i="6" s="1"/>
  <c r="H132" i="2"/>
  <c r="C132" i="6" s="1"/>
  <c r="J132" i="2"/>
  <c r="B132" i="8" s="1"/>
  <c r="K132" i="2"/>
  <c r="C132" i="8" s="1"/>
  <c r="L132" i="2"/>
  <c r="D132" i="8" s="1"/>
  <c r="M132" i="2"/>
  <c r="B132" i="9" s="1"/>
  <c r="N132" i="2"/>
  <c r="C132" i="9" s="1"/>
  <c r="O132" i="2"/>
  <c r="B132" i="10" s="1"/>
  <c r="P132" i="2"/>
  <c r="C132" i="10" s="1"/>
  <c r="B133" i="2"/>
  <c r="B133" i="7" s="1"/>
  <c r="C133" i="2"/>
  <c r="C133" i="7" s="1"/>
  <c r="D133" i="2"/>
  <c r="D133" i="7" s="1"/>
  <c r="G133" i="2"/>
  <c r="B133" i="6" s="1"/>
  <c r="H133" i="2"/>
  <c r="C133" i="6" s="1"/>
  <c r="J133" i="2"/>
  <c r="B133" i="8" s="1"/>
  <c r="K133" i="2"/>
  <c r="C133" i="8" s="1"/>
  <c r="L133" i="2"/>
  <c r="D133" i="8" s="1"/>
  <c r="M133" i="2"/>
  <c r="B133" i="9" s="1"/>
  <c r="N133" i="2"/>
  <c r="C133" i="9" s="1"/>
  <c r="O133" i="2"/>
  <c r="B133" i="10" s="1"/>
  <c r="P133" i="2"/>
  <c r="C133" i="10" s="1"/>
  <c r="B134" i="2"/>
  <c r="B134" i="7" s="1"/>
  <c r="C134" i="2"/>
  <c r="C134" i="7" s="1"/>
  <c r="D134" i="2"/>
  <c r="D134" i="7" s="1"/>
  <c r="E134" i="2"/>
  <c r="E134" i="7" s="1"/>
  <c r="F134" i="2"/>
  <c r="F134" i="7" s="1"/>
  <c r="G134" i="2"/>
  <c r="B134" i="6" s="1"/>
  <c r="H134" i="2"/>
  <c r="C134" i="6" s="1"/>
  <c r="I134" i="2"/>
  <c r="D134" i="6" s="1"/>
  <c r="J134" i="2"/>
  <c r="B134" i="8" s="1"/>
  <c r="K134" i="2"/>
  <c r="C134" i="8" s="1"/>
  <c r="L134" i="2"/>
  <c r="D134" i="8" s="1"/>
  <c r="M134" i="2"/>
  <c r="B134" i="9" s="1"/>
  <c r="N134" i="2"/>
  <c r="C134" i="9" s="1"/>
  <c r="O134" i="2"/>
  <c r="B134" i="10" s="1"/>
  <c r="P134" i="2"/>
  <c r="C134" i="10" s="1"/>
  <c r="B135" i="2"/>
  <c r="B135" i="7" s="1"/>
  <c r="C135" i="2"/>
  <c r="C135" i="7" s="1"/>
  <c r="D135" i="2"/>
  <c r="D135" i="7" s="1"/>
  <c r="F135" i="2"/>
  <c r="F135" i="7" s="1"/>
  <c r="G135" i="2"/>
  <c r="B135" i="6" s="1"/>
  <c r="H135" i="2"/>
  <c r="C135" i="6" s="1"/>
  <c r="I135" i="2"/>
  <c r="D135" i="6" s="1"/>
  <c r="J135" i="2"/>
  <c r="B135" i="8" s="1"/>
  <c r="K135" i="2"/>
  <c r="C135" i="8" s="1"/>
  <c r="M135" i="2"/>
  <c r="B135" i="9" s="1"/>
  <c r="N135" i="2"/>
  <c r="C135" i="9" s="1"/>
  <c r="O135" i="2"/>
  <c r="B135" i="10" s="1"/>
  <c r="P135" i="2"/>
  <c r="C135" i="10" s="1"/>
  <c r="B136" i="2"/>
  <c r="B136" i="7" s="1"/>
  <c r="C136" i="2"/>
  <c r="C136" i="7" s="1"/>
  <c r="D136" i="2"/>
  <c r="D136" i="7" s="1"/>
  <c r="G136" i="2"/>
  <c r="B136" i="6" s="1"/>
  <c r="H136" i="2"/>
  <c r="C136" i="6" s="1"/>
  <c r="I136" i="2"/>
  <c r="D136" i="6" s="1"/>
  <c r="J136" i="2"/>
  <c r="B136" i="8" s="1"/>
  <c r="K136" i="2"/>
  <c r="C136" i="8" s="1"/>
  <c r="L136" i="2"/>
  <c r="D136" i="8" s="1"/>
  <c r="M136" i="2"/>
  <c r="B136" i="9" s="1"/>
  <c r="N136" i="2"/>
  <c r="C136" i="9" s="1"/>
  <c r="O136" i="2"/>
  <c r="B136" i="10" s="1"/>
  <c r="P136" i="2"/>
  <c r="C136" i="10" s="1"/>
  <c r="B137" i="2"/>
  <c r="B137" i="7" s="1"/>
  <c r="C137" i="2"/>
  <c r="C137" i="7" s="1"/>
  <c r="D137" i="2"/>
  <c r="D137" i="7" s="1"/>
  <c r="E137" i="2"/>
  <c r="E137" i="7" s="1"/>
  <c r="F137" i="2"/>
  <c r="F137" i="7" s="1"/>
  <c r="G137" i="2"/>
  <c r="B137" i="6" s="1"/>
  <c r="H137" i="2"/>
  <c r="C137" i="6" s="1"/>
  <c r="I137" i="2"/>
  <c r="D137" i="6" s="1"/>
  <c r="J137" i="2"/>
  <c r="B137" i="8" s="1"/>
  <c r="K137" i="2"/>
  <c r="C137" i="8" s="1"/>
  <c r="M137" i="2"/>
  <c r="B137" i="9" s="1"/>
  <c r="O137" i="2"/>
  <c r="B137" i="10" s="1"/>
  <c r="P137" i="2"/>
  <c r="C137" i="10" s="1"/>
  <c r="B138" i="2"/>
  <c r="B138" i="7" s="1"/>
  <c r="C138" i="2"/>
  <c r="C138" i="7" s="1"/>
  <c r="D138" i="2"/>
  <c r="D138" i="7" s="1"/>
  <c r="G138" i="2"/>
  <c r="B138" i="6" s="1"/>
  <c r="H138" i="2"/>
  <c r="C138" i="6" s="1"/>
  <c r="I138" i="2"/>
  <c r="D138" i="6" s="1"/>
  <c r="J138" i="2"/>
  <c r="B138" i="8" s="1"/>
  <c r="K138" i="2"/>
  <c r="C138" i="8" s="1"/>
  <c r="L138" i="2"/>
  <c r="D138" i="8" s="1"/>
  <c r="M138" i="2"/>
  <c r="B138" i="9" s="1"/>
  <c r="N138" i="2"/>
  <c r="C138" i="9" s="1"/>
  <c r="O138" i="2"/>
  <c r="B138" i="10" s="1"/>
  <c r="P138" i="2"/>
  <c r="C138" i="10" s="1"/>
  <c r="B139" i="2"/>
  <c r="B139" i="7" s="1"/>
  <c r="C139" i="2"/>
  <c r="C139" i="7" s="1"/>
  <c r="D139" i="2"/>
  <c r="D139" i="7" s="1"/>
  <c r="E139" i="2"/>
  <c r="E139" i="7" s="1"/>
  <c r="F139" i="2"/>
  <c r="F139" i="7" s="1"/>
  <c r="G139" i="2"/>
  <c r="B139" i="6" s="1"/>
  <c r="H139" i="2"/>
  <c r="C139" i="6" s="1"/>
  <c r="I139" i="2"/>
  <c r="D139" i="6" s="1"/>
  <c r="J139" i="2"/>
  <c r="B139" i="8" s="1"/>
  <c r="K139" i="2"/>
  <c r="C139" i="8" s="1"/>
  <c r="L139" i="2"/>
  <c r="D139" i="8" s="1"/>
  <c r="M139" i="2"/>
  <c r="B139" i="9" s="1"/>
  <c r="O139" i="2"/>
  <c r="B139" i="10" s="1"/>
  <c r="B140" i="2"/>
  <c r="B140" i="7" s="1"/>
  <c r="C140" i="2"/>
  <c r="C140" i="7" s="1"/>
  <c r="D140" i="2"/>
  <c r="D140" i="7" s="1"/>
  <c r="E140" i="2"/>
  <c r="E140" i="7" s="1"/>
  <c r="F140" i="2"/>
  <c r="F140" i="7" s="1"/>
  <c r="G140" i="2"/>
  <c r="B140" i="6" s="1"/>
  <c r="H140" i="2"/>
  <c r="C140" i="6" s="1"/>
  <c r="J140" i="2"/>
  <c r="B140" i="8" s="1"/>
  <c r="K140" i="2"/>
  <c r="C140" i="8" s="1"/>
  <c r="L140" i="2"/>
  <c r="D140" i="8" s="1"/>
  <c r="M140" i="2"/>
  <c r="B140" i="9" s="1"/>
  <c r="N140" i="2"/>
  <c r="C140" i="9" s="1"/>
  <c r="O140" i="2"/>
  <c r="B140" i="10" s="1"/>
  <c r="P140" i="2"/>
  <c r="C140" i="10" s="1"/>
  <c r="B141" i="2"/>
  <c r="B141" i="7" s="1"/>
  <c r="C141" i="2"/>
  <c r="C141" i="7" s="1"/>
  <c r="D141" i="2"/>
  <c r="D141" i="7" s="1"/>
  <c r="G141" i="2"/>
  <c r="B141" i="6" s="1"/>
  <c r="H141" i="2"/>
  <c r="C141" i="6" s="1"/>
  <c r="J141" i="2"/>
  <c r="B141" i="8" s="1"/>
  <c r="K141" i="2"/>
  <c r="C141" i="8" s="1"/>
  <c r="L141" i="2"/>
  <c r="D141" i="8" s="1"/>
  <c r="M141" i="2"/>
  <c r="B141" i="9" s="1"/>
  <c r="N141" i="2"/>
  <c r="C141" i="9" s="1"/>
  <c r="O141" i="2"/>
  <c r="B141" i="10" s="1"/>
  <c r="P141" i="2"/>
  <c r="C141" i="10" s="1"/>
  <c r="B142" i="2"/>
  <c r="B142" i="7" s="1"/>
  <c r="C142" i="2"/>
  <c r="C142" i="7" s="1"/>
  <c r="D142" i="2"/>
  <c r="D142" i="7" s="1"/>
  <c r="E142" i="2"/>
  <c r="E142" i="7" s="1"/>
  <c r="F142" i="2"/>
  <c r="F142" i="7" s="1"/>
  <c r="G142" i="2"/>
  <c r="B142" i="6" s="1"/>
  <c r="H142" i="2"/>
  <c r="C142" i="6" s="1"/>
  <c r="I142" i="2"/>
  <c r="D142" i="6" s="1"/>
  <c r="J142" i="2"/>
  <c r="B142" i="8" s="1"/>
  <c r="K142" i="2"/>
  <c r="C142" i="8" s="1"/>
  <c r="L142" i="2"/>
  <c r="D142" i="8" s="1"/>
  <c r="M142" i="2"/>
  <c r="B142" i="9" s="1"/>
  <c r="N142" i="2"/>
  <c r="C142" i="9" s="1"/>
  <c r="O142" i="2"/>
  <c r="B142" i="10" s="1"/>
  <c r="P142" i="2"/>
  <c r="C142" i="10" s="1"/>
  <c r="B143" i="2"/>
  <c r="B143" i="7" s="1"/>
  <c r="C143" i="2"/>
  <c r="C143" i="7" s="1"/>
  <c r="D143" i="2"/>
  <c r="D143" i="7" s="1"/>
  <c r="F143" i="2"/>
  <c r="F143" i="7" s="1"/>
  <c r="G143" i="2"/>
  <c r="B143" i="6" s="1"/>
  <c r="H143" i="2"/>
  <c r="C143" i="6" s="1"/>
  <c r="I143" i="2"/>
  <c r="D143" i="6" s="1"/>
  <c r="J143" i="2"/>
  <c r="B143" i="8" s="1"/>
  <c r="K143" i="2"/>
  <c r="C143" i="8" s="1"/>
  <c r="M143" i="2"/>
  <c r="B143" i="9" s="1"/>
  <c r="N143" i="2"/>
  <c r="C143" i="9" s="1"/>
  <c r="O143" i="2"/>
  <c r="B143" i="10" s="1"/>
  <c r="P143" i="2"/>
  <c r="C143" i="10" s="1"/>
  <c r="B144" i="2"/>
  <c r="B144" i="7" s="1"/>
  <c r="C144" i="2"/>
  <c r="C144" i="7" s="1"/>
  <c r="D144" i="2"/>
  <c r="D144" i="7" s="1"/>
  <c r="G144" i="2"/>
  <c r="B144" i="6" s="1"/>
  <c r="H144" i="2"/>
  <c r="C144" i="6" s="1"/>
  <c r="I144" i="2"/>
  <c r="D144" i="6" s="1"/>
  <c r="J144" i="2"/>
  <c r="B144" i="8" s="1"/>
  <c r="K144" i="2"/>
  <c r="C144" i="8" s="1"/>
  <c r="L144" i="2"/>
  <c r="D144" i="8" s="1"/>
  <c r="M144" i="2"/>
  <c r="B144" i="9" s="1"/>
  <c r="N144" i="2"/>
  <c r="C144" i="9" s="1"/>
  <c r="O144" i="2"/>
  <c r="B144" i="10" s="1"/>
  <c r="P144" i="2"/>
  <c r="C144" i="10" s="1"/>
  <c r="B145" i="2"/>
  <c r="B145" i="7" s="1"/>
  <c r="C145" i="2"/>
  <c r="C145" i="7" s="1"/>
  <c r="D145" i="2"/>
  <c r="D145" i="7" s="1"/>
  <c r="E145" i="2"/>
  <c r="E145" i="7" s="1"/>
  <c r="F145" i="2"/>
  <c r="F145" i="7" s="1"/>
  <c r="G145" i="2"/>
  <c r="B145" i="6" s="1"/>
  <c r="H145" i="2"/>
  <c r="C145" i="6" s="1"/>
  <c r="I145" i="2"/>
  <c r="D145" i="6" s="1"/>
  <c r="J145" i="2"/>
  <c r="B145" i="8" s="1"/>
  <c r="K145" i="2"/>
  <c r="C145" i="8" s="1"/>
  <c r="M145" i="2"/>
  <c r="B145" i="9" s="1"/>
  <c r="O145" i="2"/>
  <c r="B145" i="10" s="1"/>
  <c r="P145" i="2"/>
  <c r="C145" i="10" s="1"/>
  <c r="B146" i="2"/>
  <c r="B146" i="7" s="1"/>
  <c r="C146" i="2"/>
  <c r="C146" i="7" s="1"/>
  <c r="D146" i="2"/>
  <c r="D146" i="7" s="1"/>
  <c r="G146" i="2"/>
  <c r="B146" i="6" s="1"/>
  <c r="H146" i="2"/>
  <c r="C146" i="6" s="1"/>
  <c r="I146" i="2"/>
  <c r="D146" i="6" s="1"/>
  <c r="J146" i="2"/>
  <c r="B146" i="8" s="1"/>
  <c r="K146" i="2"/>
  <c r="C146" i="8" s="1"/>
  <c r="L146" i="2"/>
  <c r="D146" i="8" s="1"/>
  <c r="M146" i="2"/>
  <c r="B146" i="9" s="1"/>
  <c r="N146" i="2"/>
  <c r="C146" i="9" s="1"/>
  <c r="O146" i="2"/>
  <c r="B146" i="10" s="1"/>
  <c r="P146" i="2"/>
  <c r="C146" i="10" s="1"/>
  <c r="B147" i="2"/>
  <c r="B147" i="7" s="1"/>
  <c r="C147" i="2"/>
  <c r="C147" i="7" s="1"/>
  <c r="D147" i="2"/>
  <c r="D147" i="7" s="1"/>
  <c r="E147" i="2"/>
  <c r="E147" i="7" s="1"/>
  <c r="F147" i="2"/>
  <c r="F147" i="7" s="1"/>
  <c r="G147" i="2"/>
  <c r="B147" i="6" s="1"/>
  <c r="H147" i="2"/>
  <c r="C147" i="6" s="1"/>
  <c r="I147" i="2"/>
  <c r="D147" i="6" s="1"/>
  <c r="J147" i="2"/>
  <c r="B147" i="8" s="1"/>
  <c r="K147" i="2"/>
  <c r="C147" i="8" s="1"/>
  <c r="L147" i="2"/>
  <c r="D147" i="8" s="1"/>
  <c r="M147" i="2"/>
  <c r="B147" i="9" s="1"/>
  <c r="O147" i="2"/>
  <c r="B147" i="10" s="1"/>
  <c r="B148" i="2"/>
  <c r="B148" i="7" s="1"/>
  <c r="C148" i="2"/>
  <c r="C148" i="7" s="1"/>
  <c r="D148" i="2"/>
  <c r="D148" i="7" s="1"/>
  <c r="E148" i="2"/>
  <c r="E148" i="7" s="1"/>
  <c r="F148" i="2"/>
  <c r="F148" i="7" s="1"/>
  <c r="G148" i="2"/>
  <c r="B148" i="6" s="1"/>
  <c r="H148" i="2"/>
  <c r="C148" i="6" s="1"/>
  <c r="J148" i="2"/>
  <c r="B148" i="8" s="1"/>
  <c r="K148" i="2"/>
  <c r="C148" i="8" s="1"/>
  <c r="L148" i="2"/>
  <c r="D148" i="8" s="1"/>
  <c r="M148" i="2"/>
  <c r="B148" i="9" s="1"/>
  <c r="N148" i="2"/>
  <c r="C148" i="9" s="1"/>
  <c r="O148" i="2"/>
  <c r="B148" i="10" s="1"/>
  <c r="P148" i="2"/>
  <c r="C148" i="10" s="1"/>
  <c r="B149" i="2"/>
  <c r="B149" i="7" s="1"/>
  <c r="C149" i="2"/>
  <c r="C149" i="7" s="1"/>
  <c r="D149" i="2"/>
  <c r="D149" i="7" s="1"/>
  <c r="G149" i="2"/>
  <c r="B149" i="6" s="1"/>
  <c r="H149" i="2"/>
  <c r="C149" i="6" s="1"/>
  <c r="J149" i="2"/>
  <c r="B149" i="8" s="1"/>
  <c r="K149" i="2"/>
  <c r="C149" i="8" s="1"/>
  <c r="L149" i="2"/>
  <c r="D149" i="8" s="1"/>
  <c r="M149" i="2"/>
  <c r="B149" i="9" s="1"/>
  <c r="N149" i="2"/>
  <c r="C149" i="9" s="1"/>
  <c r="O149" i="2"/>
  <c r="B149" i="10" s="1"/>
  <c r="P149" i="2"/>
  <c r="C149" i="10" s="1"/>
  <c r="B150" i="2"/>
  <c r="B150" i="7" s="1"/>
  <c r="C150" i="2"/>
  <c r="C150" i="7" s="1"/>
  <c r="D150" i="2"/>
  <c r="D150" i="7" s="1"/>
  <c r="E150" i="2"/>
  <c r="E150" i="7" s="1"/>
  <c r="F150" i="2"/>
  <c r="F150" i="7" s="1"/>
  <c r="G150" i="2"/>
  <c r="B150" i="6" s="1"/>
  <c r="H150" i="2"/>
  <c r="C150" i="6" s="1"/>
  <c r="I150" i="2"/>
  <c r="D150" i="6" s="1"/>
  <c r="J150" i="2"/>
  <c r="B150" i="8" s="1"/>
  <c r="K150" i="2"/>
  <c r="C150" i="8" s="1"/>
  <c r="L150" i="2"/>
  <c r="D150" i="8" s="1"/>
  <c r="M150" i="2"/>
  <c r="B150" i="9" s="1"/>
  <c r="N150" i="2"/>
  <c r="C150" i="9" s="1"/>
  <c r="O150" i="2"/>
  <c r="B150" i="10" s="1"/>
  <c r="P150" i="2"/>
  <c r="C150" i="10" s="1"/>
  <c r="B151" i="2"/>
  <c r="B151" i="7" s="1"/>
  <c r="C151" i="2"/>
  <c r="C151" i="7" s="1"/>
  <c r="D151" i="2"/>
  <c r="D151" i="7" s="1"/>
  <c r="F151" i="2"/>
  <c r="F151" i="7" s="1"/>
  <c r="G151" i="2"/>
  <c r="B151" i="6" s="1"/>
  <c r="H151" i="2"/>
  <c r="C151" i="6" s="1"/>
  <c r="I151" i="2"/>
  <c r="D151" i="6" s="1"/>
  <c r="J151" i="2"/>
  <c r="B151" i="8" s="1"/>
  <c r="K151" i="2"/>
  <c r="C151" i="8" s="1"/>
  <c r="M151" i="2"/>
  <c r="B151" i="9" s="1"/>
  <c r="N151" i="2"/>
  <c r="C151" i="9" s="1"/>
  <c r="O151" i="2"/>
  <c r="B151" i="10" s="1"/>
  <c r="P151" i="2"/>
  <c r="C151" i="10" s="1"/>
  <c r="B152" i="2"/>
  <c r="B152" i="7" s="1"/>
  <c r="C152" i="2"/>
  <c r="C152" i="7" s="1"/>
  <c r="D152" i="2"/>
  <c r="D152" i="7" s="1"/>
  <c r="G152" i="2"/>
  <c r="B152" i="6" s="1"/>
  <c r="H152" i="2"/>
  <c r="C152" i="6" s="1"/>
  <c r="I152" i="2"/>
  <c r="D152" i="6" s="1"/>
  <c r="J152" i="2"/>
  <c r="B152" i="8" s="1"/>
  <c r="K152" i="2"/>
  <c r="C152" i="8" s="1"/>
  <c r="L152" i="2"/>
  <c r="D152" i="8" s="1"/>
  <c r="M152" i="2"/>
  <c r="B152" i="9" s="1"/>
  <c r="N152" i="2"/>
  <c r="C152" i="9" s="1"/>
  <c r="O152" i="2"/>
  <c r="B152" i="10" s="1"/>
  <c r="P152" i="2"/>
  <c r="C152" i="10" s="1"/>
  <c r="B153" i="2"/>
  <c r="B153" i="7" s="1"/>
  <c r="C153" i="2"/>
  <c r="C153" i="7" s="1"/>
  <c r="D153" i="2"/>
  <c r="D153" i="7" s="1"/>
  <c r="E153" i="2"/>
  <c r="E153" i="7" s="1"/>
  <c r="F153" i="2"/>
  <c r="F153" i="7" s="1"/>
  <c r="G153" i="2"/>
  <c r="B153" i="6" s="1"/>
  <c r="H153" i="2"/>
  <c r="C153" i="6" s="1"/>
  <c r="I153" i="2"/>
  <c r="D153" i="6" s="1"/>
  <c r="J153" i="2"/>
  <c r="B153" i="8" s="1"/>
  <c r="K153" i="2"/>
  <c r="C153" i="8" s="1"/>
  <c r="M153" i="2"/>
  <c r="B153" i="9" s="1"/>
  <c r="O153" i="2"/>
  <c r="B153" i="10" s="1"/>
  <c r="P153" i="2"/>
  <c r="C153" i="10" s="1"/>
  <c r="B154" i="2"/>
  <c r="B154" i="7" s="1"/>
  <c r="C154" i="2"/>
  <c r="C154" i="7" s="1"/>
  <c r="D154" i="2"/>
  <c r="D154" i="7" s="1"/>
  <c r="G154" i="2"/>
  <c r="B154" i="6" s="1"/>
  <c r="H154" i="2"/>
  <c r="C154" i="6" s="1"/>
  <c r="I154" i="2"/>
  <c r="D154" i="6" s="1"/>
  <c r="J154" i="2"/>
  <c r="B154" i="8" s="1"/>
  <c r="K154" i="2"/>
  <c r="C154" i="8" s="1"/>
  <c r="L154" i="2"/>
  <c r="D154" i="8" s="1"/>
  <c r="M154" i="2"/>
  <c r="B154" i="9" s="1"/>
  <c r="N154" i="2"/>
  <c r="C154" i="9" s="1"/>
  <c r="O154" i="2"/>
  <c r="B154" i="10" s="1"/>
  <c r="P154" i="2"/>
  <c r="C154" i="10" s="1"/>
  <c r="B155" i="2"/>
  <c r="B155" i="7" s="1"/>
  <c r="C155" i="2"/>
  <c r="C155" i="7" s="1"/>
  <c r="D155" i="2"/>
  <c r="D155" i="7" s="1"/>
  <c r="E155" i="2"/>
  <c r="E155" i="7" s="1"/>
  <c r="F155" i="2"/>
  <c r="F155" i="7" s="1"/>
  <c r="G155" i="2"/>
  <c r="B155" i="6" s="1"/>
  <c r="H155" i="2"/>
  <c r="C155" i="6" s="1"/>
  <c r="I155" i="2"/>
  <c r="D155" i="6" s="1"/>
  <c r="J155" i="2"/>
  <c r="B155" i="8" s="1"/>
  <c r="K155" i="2"/>
  <c r="C155" i="8" s="1"/>
  <c r="L155" i="2"/>
  <c r="D155" i="8" s="1"/>
  <c r="M155" i="2"/>
  <c r="B155" i="9" s="1"/>
  <c r="O155" i="2"/>
  <c r="B155" i="10" s="1"/>
  <c r="B156" i="2"/>
  <c r="B156" i="7" s="1"/>
  <c r="C156" i="2"/>
  <c r="C156" i="7" s="1"/>
  <c r="D156" i="2"/>
  <c r="D156" i="7" s="1"/>
  <c r="E156" i="2"/>
  <c r="E156" i="7" s="1"/>
  <c r="F156" i="2"/>
  <c r="F156" i="7" s="1"/>
  <c r="G156" i="2"/>
  <c r="B156" i="6" s="1"/>
  <c r="H156" i="2"/>
  <c r="C156" i="6" s="1"/>
  <c r="J156" i="2"/>
  <c r="B156" i="8" s="1"/>
  <c r="K156" i="2"/>
  <c r="C156" i="8" s="1"/>
  <c r="L156" i="2"/>
  <c r="D156" i="8" s="1"/>
  <c r="M156" i="2"/>
  <c r="B156" i="9" s="1"/>
  <c r="N156" i="2"/>
  <c r="C156" i="9" s="1"/>
  <c r="O156" i="2"/>
  <c r="B156" i="10" s="1"/>
  <c r="P156" i="2"/>
  <c r="C156" i="10" s="1"/>
  <c r="B157" i="2"/>
  <c r="B157" i="7" s="1"/>
  <c r="C157" i="2"/>
  <c r="C157" i="7" s="1"/>
  <c r="D157" i="2"/>
  <c r="D157" i="7" s="1"/>
  <c r="G157" i="2"/>
  <c r="B157" i="6" s="1"/>
  <c r="H157" i="2"/>
  <c r="C157" i="6" s="1"/>
  <c r="J157" i="2"/>
  <c r="B157" i="8" s="1"/>
  <c r="K157" i="2"/>
  <c r="C157" i="8" s="1"/>
  <c r="L157" i="2"/>
  <c r="D157" i="8" s="1"/>
  <c r="M157" i="2"/>
  <c r="B157" i="9" s="1"/>
  <c r="N157" i="2"/>
  <c r="C157" i="9" s="1"/>
  <c r="O157" i="2"/>
  <c r="B157" i="10" s="1"/>
  <c r="P157" i="2"/>
  <c r="C157" i="10" s="1"/>
  <c r="B158" i="2"/>
  <c r="B158" i="7" s="1"/>
  <c r="C158" i="2"/>
  <c r="C158" i="7" s="1"/>
  <c r="D158" i="2"/>
  <c r="D158" i="7" s="1"/>
  <c r="E158" i="2"/>
  <c r="E158" i="7" s="1"/>
  <c r="F158" i="2"/>
  <c r="F158" i="7" s="1"/>
  <c r="G158" i="2"/>
  <c r="B158" i="6" s="1"/>
  <c r="H158" i="2"/>
  <c r="C158" i="6" s="1"/>
  <c r="I158" i="2"/>
  <c r="D158" i="6" s="1"/>
  <c r="J158" i="2"/>
  <c r="B158" i="8" s="1"/>
  <c r="K158" i="2"/>
  <c r="C158" i="8" s="1"/>
  <c r="L158" i="2"/>
  <c r="D158" i="8" s="1"/>
  <c r="M158" i="2"/>
  <c r="B158" i="9" s="1"/>
  <c r="N158" i="2"/>
  <c r="C158" i="9" s="1"/>
  <c r="O158" i="2"/>
  <c r="B158" i="10" s="1"/>
  <c r="P158" i="2"/>
  <c r="C158" i="10" s="1"/>
  <c r="B159" i="2"/>
  <c r="B159" i="7" s="1"/>
  <c r="C159" i="2"/>
  <c r="C159" i="7" s="1"/>
  <c r="D159" i="2"/>
  <c r="D159" i="7" s="1"/>
  <c r="E159" i="2"/>
  <c r="E159" i="7" s="1"/>
  <c r="F159" i="2"/>
  <c r="F159" i="7" s="1"/>
  <c r="G159" i="2"/>
  <c r="B159" i="6" s="1"/>
  <c r="H159" i="2"/>
  <c r="C159" i="6" s="1"/>
  <c r="I159" i="2"/>
  <c r="D159" i="6" s="1"/>
  <c r="J159" i="2"/>
  <c r="B159" i="8" s="1"/>
  <c r="K159" i="2"/>
  <c r="C159" i="8" s="1"/>
  <c r="M159" i="2"/>
  <c r="B159" i="9" s="1"/>
  <c r="N159" i="2"/>
  <c r="C159" i="9" s="1"/>
  <c r="O159" i="2"/>
  <c r="B159" i="10" s="1"/>
  <c r="P159" i="2"/>
  <c r="C159" i="10" s="1"/>
  <c r="B160" i="2"/>
  <c r="B160" i="7" s="1"/>
  <c r="C160" i="2"/>
  <c r="C160" i="7" s="1"/>
  <c r="D160" i="2"/>
  <c r="D160" i="7" s="1"/>
  <c r="G160" i="2"/>
  <c r="B160" i="6" s="1"/>
  <c r="H160" i="2"/>
  <c r="C160" i="6" s="1"/>
  <c r="I160" i="2"/>
  <c r="D160" i="6" s="1"/>
  <c r="J160" i="2"/>
  <c r="B160" i="8" s="1"/>
  <c r="K160" i="2"/>
  <c r="C160" i="8" s="1"/>
  <c r="L160" i="2"/>
  <c r="D160" i="8" s="1"/>
  <c r="M160" i="2"/>
  <c r="B160" i="9" s="1"/>
  <c r="N160" i="2"/>
  <c r="C160" i="9" s="1"/>
  <c r="O160" i="2"/>
  <c r="B160" i="10" s="1"/>
  <c r="P160" i="2"/>
  <c r="C160" i="10" s="1"/>
  <c r="B161" i="2"/>
  <c r="B161" i="7" s="1"/>
  <c r="C161" i="2"/>
  <c r="C161" i="7" s="1"/>
  <c r="D161" i="2"/>
  <c r="D161" i="7" s="1"/>
  <c r="E161" i="2"/>
  <c r="E161" i="7" s="1"/>
  <c r="F161" i="2"/>
  <c r="F161" i="7" s="1"/>
  <c r="G161" i="2"/>
  <c r="B161" i="6" s="1"/>
  <c r="H161" i="2"/>
  <c r="C161" i="6" s="1"/>
  <c r="I161" i="2"/>
  <c r="D161" i="6" s="1"/>
  <c r="J161" i="2"/>
  <c r="B161" i="8" s="1"/>
  <c r="K161" i="2"/>
  <c r="C161" i="8" s="1"/>
  <c r="L161" i="2"/>
  <c r="D161" i="8" s="1"/>
  <c r="M161" i="2"/>
  <c r="B161" i="9" s="1"/>
  <c r="O161" i="2"/>
  <c r="B161" i="10" s="1"/>
  <c r="P161" i="2"/>
  <c r="C161" i="10" s="1"/>
  <c r="B162" i="2"/>
  <c r="B162" i="7" s="1"/>
  <c r="C162" i="2"/>
  <c r="C162" i="7" s="1"/>
  <c r="D162" i="2"/>
  <c r="D162" i="7" s="1"/>
  <c r="E162" i="2"/>
  <c r="E162" i="7" s="1"/>
  <c r="G162" i="2"/>
  <c r="B162" i="6" s="1"/>
  <c r="H162" i="2"/>
  <c r="C162" i="6" s="1"/>
  <c r="I162" i="2"/>
  <c r="D162" i="6" s="1"/>
  <c r="J162" i="2"/>
  <c r="B162" i="8" s="1"/>
  <c r="K162" i="2"/>
  <c r="C162" i="8" s="1"/>
  <c r="L162" i="2"/>
  <c r="D162" i="8" s="1"/>
  <c r="M162" i="2"/>
  <c r="B162" i="9" s="1"/>
  <c r="N162" i="2"/>
  <c r="C162" i="9" s="1"/>
  <c r="O162" i="2"/>
  <c r="B162" i="10" s="1"/>
  <c r="P162" i="2"/>
  <c r="C162" i="10" s="1"/>
  <c r="B163" i="2"/>
  <c r="B163" i="7" s="1"/>
  <c r="C163" i="2"/>
  <c r="C163" i="7" s="1"/>
  <c r="D163" i="2"/>
  <c r="D163" i="7" s="1"/>
  <c r="E163" i="2"/>
  <c r="E163" i="7" s="1"/>
  <c r="F163" i="2"/>
  <c r="F163" i="7" s="1"/>
  <c r="G163" i="2"/>
  <c r="B163" i="6" s="1"/>
  <c r="H163" i="2"/>
  <c r="C163" i="6" s="1"/>
  <c r="I163" i="2"/>
  <c r="D163" i="6" s="1"/>
  <c r="J163" i="2"/>
  <c r="B163" i="8" s="1"/>
  <c r="K163" i="2"/>
  <c r="C163" i="8" s="1"/>
  <c r="L163" i="2"/>
  <c r="D163" i="8" s="1"/>
  <c r="M163" i="2"/>
  <c r="B163" i="9" s="1"/>
  <c r="N163" i="2"/>
  <c r="C163" i="9" s="1"/>
  <c r="O163" i="2"/>
  <c r="B163" i="10" s="1"/>
  <c r="B164" i="2"/>
  <c r="B164" i="7" s="1"/>
  <c r="C164" i="2"/>
  <c r="C164" i="7" s="1"/>
  <c r="D164" i="2"/>
  <c r="D164" i="7" s="1"/>
  <c r="E164" i="2"/>
  <c r="E164" i="7" s="1"/>
  <c r="F164" i="2"/>
  <c r="F164" i="7" s="1"/>
  <c r="G164" i="2"/>
  <c r="B164" i="6" s="1"/>
  <c r="H164" i="2"/>
  <c r="C164" i="6" s="1"/>
  <c r="J164" i="2"/>
  <c r="B164" i="8" s="1"/>
  <c r="K164" i="2"/>
  <c r="C164" i="8" s="1"/>
  <c r="L164" i="2"/>
  <c r="D164" i="8" s="1"/>
  <c r="M164" i="2"/>
  <c r="B164" i="9" s="1"/>
  <c r="N164" i="2"/>
  <c r="C164" i="9" s="1"/>
  <c r="O164" i="2"/>
  <c r="B164" i="10" s="1"/>
  <c r="P164" i="2"/>
  <c r="C164" i="10" s="1"/>
  <c r="B165" i="2"/>
  <c r="B165" i="7" s="1"/>
  <c r="C165" i="2"/>
  <c r="C165" i="7" s="1"/>
  <c r="D165" i="2"/>
  <c r="D165" i="7" s="1"/>
  <c r="E165" i="2"/>
  <c r="E165" i="7" s="1"/>
  <c r="F165" i="2"/>
  <c r="F165" i="7" s="1"/>
  <c r="G165" i="2"/>
  <c r="B165" i="6" s="1"/>
  <c r="H165" i="2"/>
  <c r="C165" i="6" s="1"/>
  <c r="J165" i="2"/>
  <c r="B165" i="8" s="1"/>
  <c r="K165" i="2"/>
  <c r="C165" i="8" s="1"/>
  <c r="L165" i="2"/>
  <c r="D165" i="8" s="1"/>
  <c r="M165" i="2"/>
  <c r="B165" i="9" s="1"/>
  <c r="N165" i="2"/>
  <c r="C165" i="9" s="1"/>
  <c r="O165" i="2"/>
  <c r="B165" i="10" s="1"/>
  <c r="P165" i="2"/>
  <c r="C165" i="10" s="1"/>
  <c r="B166" i="2"/>
  <c r="B166" i="7" s="1"/>
  <c r="C166" i="2"/>
  <c r="C166" i="7" s="1"/>
  <c r="D166" i="2"/>
  <c r="D166" i="7" s="1"/>
  <c r="E166" i="2"/>
  <c r="E166" i="7" s="1"/>
  <c r="F166" i="2"/>
  <c r="F166" i="7" s="1"/>
  <c r="G166" i="2"/>
  <c r="B166" i="6" s="1"/>
  <c r="H166" i="2"/>
  <c r="C166" i="6" s="1"/>
  <c r="I166" i="2"/>
  <c r="D166" i="6" s="1"/>
  <c r="J166" i="2"/>
  <c r="B166" i="8" s="1"/>
  <c r="K166" i="2"/>
  <c r="C166" i="8" s="1"/>
  <c r="L166" i="2"/>
  <c r="D166" i="8" s="1"/>
  <c r="M166" i="2"/>
  <c r="B166" i="9" s="1"/>
  <c r="N166" i="2"/>
  <c r="C166" i="9" s="1"/>
  <c r="O166" i="2"/>
  <c r="B166" i="10" s="1"/>
  <c r="P166" i="2"/>
  <c r="C166" i="10" s="1"/>
  <c r="B167" i="2"/>
  <c r="B167" i="7" s="1"/>
  <c r="C167" i="2"/>
  <c r="C167" i="7" s="1"/>
  <c r="D167" i="2"/>
  <c r="D167" i="7" s="1"/>
  <c r="E167" i="2"/>
  <c r="E167" i="7" s="1"/>
  <c r="F167" i="2"/>
  <c r="F167" i="7" s="1"/>
  <c r="G167" i="2"/>
  <c r="B167" i="6" s="1"/>
  <c r="H167" i="2"/>
  <c r="C167" i="6" s="1"/>
  <c r="I167" i="2"/>
  <c r="D167" i="6" s="1"/>
  <c r="J167" i="2"/>
  <c r="B167" i="8" s="1"/>
  <c r="K167" i="2"/>
  <c r="C167" i="8" s="1"/>
  <c r="M167" i="2"/>
  <c r="B167" i="9" s="1"/>
  <c r="N167" i="2"/>
  <c r="C167" i="9" s="1"/>
  <c r="O167" i="2"/>
  <c r="B167" i="10" s="1"/>
  <c r="P167" i="2"/>
  <c r="C167" i="10" s="1"/>
  <c r="B168" i="2"/>
  <c r="B168" i="7" s="1"/>
  <c r="C168" i="2"/>
  <c r="C168" i="7" s="1"/>
  <c r="D168" i="2"/>
  <c r="D168" i="7" s="1"/>
  <c r="G168" i="2"/>
  <c r="B168" i="6" s="1"/>
  <c r="H168" i="2"/>
  <c r="C168" i="6" s="1"/>
  <c r="I168" i="2"/>
  <c r="D168" i="6" s="1"/>
  <c r="J168" i="2"/>
  <c r="B168" i="8" s="1"/>
  <c r="K168" i="2"/>
  <c r="C168" i="8" s="1"/>
  <c r="L168" i="2"/>
  <c r="D168" i="8" s="1"/>
  <c r="M168" i="2"/>
  <c r="B168" i="9" s="1"/>
  <c r="N168" i="2"/>
  <c r="C168" i="9" s="1"/>
  <c r="O168" i="2"/>
  <c r="B168" i="10" s="1"/>
  <c r="P168" i="2"/>
  <c r="C168" i="10" s="1"/>
  <c r="B169" i="2"/>
  <c r="B169" i="7" s="1"/>
  <c r="C169" i="2"/>
  <c r="C169" i="7" s="1"/>
  <c r="D169" i="2"/>
  <c r="D169" i="7" s="1"/>
  <c r="E169" i="2"/>
  <c r="E169" i="7" s="1"/>
  <c r="F169" i="2"/>
  <c r="F169" i="7" s="1"/>
  <c r="G169" i="2"/>
  <c r="B169" i="6" s="1"/>
  <c r="H169" i="2"/>
  <c r="C169" i="6" s="1"/>
  <c r="I169" i="2"/>
  <c r="D169" i="6" s="1"/>
  <c r="J169" i="2"/>
  <c r="B169" i="8" s="1"/>
  <c r="K169" i="2"/>
  <c r="C169" i="8" s="1"/>
  <c r="L169" i="2"/>
  <c r="D169" i="8" s="1"/>
  <c r="M169" i="2"/>
  <c r="B169" i="9" s="1"/>
  <c r="O169" i="2"/>
  <c r="B169" i="10" s="1"/>
  <c r="P169" i="2"/>
  <c r="C169" i="10" s="1"/>
  <c r="B170" i="2"/>
  <c r="B170" i="7" s="1"/>
  <c r="C170" i="2"/>
  <c r="C170" i="7" s="1"/>
  <c r="D170" i="2"/>
  <c r="D170" i="7" s="1"/>
  <c r="E170" i="2"/>
  <c r="E170" i="7" s="1"/>
  <c r="F170" i="2"/>
  <c r="F170" i="7" s="1"/>
  <c r="G170" i="2"/>
  <c r="B170" i="6" s="1"/>
  <c r="H170" i="2"/>
  <c r="C170" i="6" s="1"/>
  <c r="I170" i="2"/>
  <c r="D170" i="6" s="1"/>
  <c r="J170" i="2"/>
  <c r="B170" i="8" s="1"/>
  <c r="K170" i="2"/>
  <c r="C170" i="8" s="1"/>
  <c r="L170" i="2"/>
  <c r="D170" i="8" s="1"/>
  <c r="M170" i="2"/>
  <c r="B170" i="9" s="1"/>
  <c r="N170" i="2"/>
  <c r="C170" i="9" s="1"/>
  <c r="O170" i="2"/>
  <c r="B170" i="10" s="1"/>
  <c r="P170" i="2"/>
  <c r="C170" i="10" s="1"/>
  <c r="B171" i="2"/>
  <c r="B171" i="7" s="1"/>
  <c r="C171" i="2"/>
  <c r="C171" i="7" s="1"/>
  <c r="D171" i="2"/>
  <c r="D171" i="7" s="1"/>
  <c r="E171" i="2"/>
  <c r="E171" i="7" s="1"/>
  <c r="F171" i="2"/>
  <c r="F171" i="7" s="1"/>
  <c r="G171" i="2"/>
  <c r="B171" i="6" s="1"/>
  <c r="H171" i="2"/>
  <c r="C171" i="6" s="1"/>
  <c r="I171" i="2"/>
  <c r="D171" i="6" s="1"/>
  <c r="J171" i="2"/>
  <c r="B171" i="8" s="1"/>
  <c r="K171" i="2"/>
  <c r="C171" i="8" s="1"/>
  <c r="L171" i="2"/>
  <c r="D171" i="8" s="1"/>
  <c r="M171" i="2"/>
  <c r="B171" i="9" s="1"/>
  <c r="N171" i="2"/>
  <c r="C171" i="9" s="1"/>
  <c r="O171" i="2"/>
  <c r="B171" i="10" s="1"/>
  <c r="B172" i="2"/>
  <c r="B172" i="7" s="1"/>
  <c r="C172" i="2"/>
  <c r="C172" i="7" s="1"/>
  <c r="D172" i="2"/>
  <c r="D172" i="7" s="1"/>
  <c r="E172" i="2"/>
  <c r="E172" i="7" s="1"/>
  <c r="F172" i="2"/>
  <c r="F172" i="7" s="1"/>
  <c r="G172" i="2"/>
  <c r="B172" i="6" s="1"/>
  <c r="H172" i="2"/>
  <c r="C172" i="6" s="1"/>
  <c r="J172" i="2"/>
  <c r="B172" i="8" s="1"/>
  <c r="K172" i="2"/>
  <c r="C172" i="8" s="1"/>
  <c r="L172" i="2"/>
  <c r="D172" i="8" s="1"/>
  <c r="M172" i="2"/>
  <c r="B172" i="9" s="1"/>
  <c r="N172" i="2"/>
  <c r="C172" i="9" s="1"/>
  <c r="O172" i="2"/>
  <c r="B172" i="10" s="1"/>
  <c r="P172" i="2"/>
  <c r="C172" i="10" s="1"/>
  <c r="B173" i="2"/>
  <c r="B173" i="7" s="1"/>
  <c r="C173" i="2"/>
  <c r="C173" i="7" s="1"/>
  <c r="D173" i="2"/>
  <c r="D173" i="7" s="1"/>
  <c r="E173" i="2"/>
  <c r="E173" i="7" s="1"/>
  <c r="F173" i="2"/>
  <c r="F173" i="7" s="1"/>
  <c r="G173" i="2"/>
  <c r="B173" i="6" s="1"/>
  <c r="H173" i="2"/>
  <c r="C173" i="6" s="1"/>
  <c r="J173" i="2"/>
  <c r="B173" i="8" s="1"/>
  <c r="K173" i="2"/>
  <c r="C173" i="8" s="1"/>
  <c r="L173" i="2"/>
  <c r="D173" i="8" s="1"/>
  <c r="M173" i="2"/>
  <c r="B173" i="9" s="1"/>
  <c r="N173" i="2"/>
  <c r="C173" i="9" s="1"/>
  <c r="O173" i="2"/>
  <c r="B173" i="10" s="1"/>
  <c r="P173" i="2"/>
  <c r="C173" i="10" s="1"/>
  <c r="B174" i="2"/>
  <c r="B174" i="7" s="1"/>
  <c r="C174" i="2"/>
  <c r="C174" i="7" s="1"/>
  <c r="D174" i="2"/>
  <c r="D174" i="7" s="1"/>
  <c r="E174" i="2"/>
  <c r="E174" i="7" s="1"/>
  <c r="F174" i="2"/>
  <c r="F174" i="7" s="1"/>
  <c r="G174" i="2"/>
  <c r="B174" i="6" s="1"/>
  <c r="H174" i="2"/>
  <c r="C174" i="6" s="1"/>
  <c r="I174" i="2"/>
  <c r="D174" i="6" s="1"/>
  <c r="J174" i="2"/>
  <c r="B174" i="8" s="1"/>
  <c r="K174" i="2"/>
  <c r="C174" i="8" s="1"/>
  <c r="L174" i="2"/>
  <c r="D174" i="8" s="1"/>
  <c r="M174" i="2"/>
  <c r="B174" i="9" s="1"/>
  <c r="N174" i="2"/>
  <c r="C174" i="9" s="1"/>
  <c r="O174" i="2"/>
  <c r="B174" i="10" s="1"/>
  <c r="P174" i="2"/>
  <c r="C174" i="10" s="1"/>
  <c r="B175" i="2"/>
  <c r="B175" i="7" s="1"/>
  <c r="C175" i="2"/>
  <c r="C175" i="7" s="1"/>
  <c r="D175" i="2"/>
  <c r="D175" i="7" s="1"/>
  <c r="E175" i="2"/>
  <c r="E175" i="7" s="1"/>
  <c r="F175" i="2"/>
  <c r="F175" i="7" s="1"/>
  <c r="G175" i="2"/>
  <c r="B175" i="6" s="1"/>
  <c r="H175" i="2"/>
  <c r="C175" i="6" s="1"/>
  <c r="I175" i="2"/>
  <c r="D175" i="6" s="1"/>
  <c r="J175" i="2"/>
  <c r="B175" i="8" s="1"/>
  <c r="K175" i="2"/>
  <c r="C175" i="8" s="1"/>
  <c r="M175" i="2"/>
  <c r="B175" i="9" s="1"/>
  <c r="N175" i="2"/>
  <c r="C175" i="9" s="1"/>
  <c r="O175" i="2"/>
  <c r="B175" i="10" s="1"/>
  <c r="P175" i="2"/>
  <c r="C175" i="10" s="1"/>
  <c r="B176" i="2"/>
  <c r="B176" i="7" s="1"/>
  <c r="C176" i="2"/>
  <c r="C176" i="7" s="1"/>
  <c r="D176" i="2"/>
  <c r="D176" i="7" s="1"/>
  <c r="G176" i="2"/>
  <c r="B176" i="6" s="1"/>
  <c r="H176" i="2"/>
  <c r="C176" i="6" s="1"/>
  <c r="I176" i="2"/>
  <c r="D176" i="6" s="1"/>
  <c r="J176" i="2"/>
  <c r="B176" i="8" s="1"/>
  <c r="K176" i="2"/>
  <c r="C176" i="8" s="1"/>
  <c r="L176" i="2"/>
  <c r="D176" i="8" s="1"/>
  <c r="M176" i="2"/>
  <c r="B176" i="9" s="1"/>
  <c r="N176" i="2"/>
  <c r="C176" i="9" s="1"/>
  <c r="O176" i="2"/>
  <c r="B176" i="10" s="1"/>
  <c r="P176" i="2"/>
  <c r="C176" i="10" s="1"/>
  <c r="B177" i="2"/>
  <c r="B177" i="7" s="1"/>
  <c r="C177" i="2"/>
  <c r="C177" i="7" s="1"/>
  <c r="D177" i="2"/>
  <c r="D177" i="7" s="1"/>
  <c r="E177" i="2"/>
  <c r="E177" i="7" s="1"/>
  <c r="F177" i="2"/>
  <c r="F177" i="7" s="1"/>
  <c r="G177" i="2"/>
  <c r="B177" i="6" s="1"/>
  <c r="H177" i="2"/>
  <c r="C177" i="6" s="1"/>
  <c r="I177" i="2"/>
  <c r="D177" i="6" s="1"/>
  <c r="J177" i="2"/>
  <c r="B177" i="8" s="1"/>
  <c r="K177" i="2"/>
  <c r="C177" i="8" s="1"/>
  <c r="L177" i="2"/>
  <c r="D177" i="8" s="1"/>
  <c r="M177" i="2"/>
  <c r="B177" i="9" s="1"/>
  <c r="O177" i="2"/>
  <c r="B177" i="10" s="1"/>
  <c r="P177" i="2"/>
  <c r="C177" i="10" s="1"/>
  <c r="B178" i="2"/>
  <c r="B178" i="7" s="1"/>
  <c r="C178" i="2"/>
  <c r="C178" i="7" s="1"/>
  <c r="D178" i="2"/>
  <c r="D178" i="7" s="1"/>
  <c r="E178" i="2"/>
  <c r="E178" i="7" s="1"/>
  <c r="F178" i="2"/>
  <c r="F178" i="7" s="1"/>
  <c r="G178" i="2"/>
  <c r="B178" i="6" s="1"/>
  <c r="H178" i="2"/>
  <c r="C178" i="6" s="1"/>
  <c r="I178" i="2"/>
  <c r="D178" i="6" s="1"/>
  <c r="J178" i="2"/>
  <c r="B178" i="8" s="1"/>
  <c r="K178" i="2"/>
  <c r="C178" i="8" s="1"/>
  <c r="L178" i="2"/>
  <c r="D178" i="8" s="1"/>
  <c r="M178" i="2"/>
  <c r="B178" i="9" s="1"/>
  <c r="N178" i="2"/>
  <c r="C178" i="9" s="1"/>
  <c r="O178" i="2"/>
  <c r="B178" i="10" s="1"/>
  <c r="P178" i="2"/>
  <c r="C178" i="10" s="1"/>
  <c r="B179" i="2"/>
  <c r="B179" i="7" s="1"/>
  <c r="C179" i="2"/>
  <c r="C179" i="7" s="1"/>
  <c r="D179" i="2"/>
  <c r="D179" i="7" s="1"/>
  <c r="E179" i="2"/>
  <c r="E179" i="7" s="1"/>
  <c r="F179" i="2"/>
  <c r="F179" i="7" s="1"/>
  <c r="G179" i="2"/>
  <c r="B179" i="6" s="1"/>
  <c r="H179" i="2"/>
  <c r="C179" i="6" s="1"/>
  <c r="I179" i="2"/>
  <c r="D179" i="6" s="1"/>
  <c r="J179" i="2"/>
  <c r="B179" i="8" s="1"/>
  <c r="K179" i="2"/>
  <c r="C179" i="8" s="1"/>
  <c r="L179" i="2"/>
  <c r="D179" i="8" s="1"/>
  <c r="M179" i="2"/>
  <c r="B179" i="9" s="1"/>
  <c r="N179" i="2"/>
  <c r="C179" i="9" s="1"/>
  <c r="O179" i="2"/>
  <c r="B179" i="10" s="1"/>
  <c r="B180" i="2"/>
  <c r="B180" i="7" s="1"/>
  <c r="C180" i="2"/>
  <c r="C180" i="7" s="1"/>
  <c r="D180" i="2"/>
  <c r="D180" i="7" s="1"/>
  <c r="E180" i="2"/>
  <c r="E180" i="7" s="1"/>
  <c r="F180" i="2"/>
  <c r="F180" i="7" s="1"/>
  <c r="G180" i="2"/>
  <c r="B180" i="6" s="1"/>
  <c r="H180" i="2"/>
  <c r="C180" i="6" s="1"/>
  <c r="J180" i="2"/>
  <c r="B180" i="8" s="1"/>
  <c r="K180" i="2"/>
  <c r="C180" i="8" s="1"/>
  <c r="L180" i="2"/>
  <c r="D180" i="8" s="1"/>
  <c r="M180" i="2"/>
  <c r="B180" i="9" s="1"/>
  <c r="N180" i="2"/>
  <c r="C180" i="9" s="1"/>
  <c r="O180" i="2"/>
  <c r="B180" i="10" s="1"/>
  <c r="P180" i="2"/>
  <c r="C180" i="10" s="1"/>
  <c r="B181" i="2"/>
  <c r="B181" i="7" s="1"/>
  <c r="C181" i="2"/>
  <c r="C181" i="7" s="1"/>
  <c r="D181" i="2"/>
  <c r="D181" i="7" s="1"/>
  <c r="E181" i="2"/>
  <c r="E181" i="7" s="1"/>
  <c r="F181" i="2"/>
  <c r="F181" i="7" s="1"/>
  <c r="G181" i="2"/>
  <c r="B181" i="6" s="1"/>
  <c r="H181" i="2"/>
  <c r="C181" i="6" s="1"/>
  <c r="J181" i="2"/>
  <c r="B181" i="8" s="1"/>
  <c r="K181" i="2"/>
  <c r="C181" i="8" s="1"/>
  <c r="L181" i="2"/>
  <c r="D181" i="8" s="1"/>
  <c r="M181" i="2"/>
  <c r="B181" i="9" s="1"/>
  <c r="N181" i="2"/>
  <c r="C181" i="9" s="1"/>
  <c r="O181" i="2"/>
  <c r="B181" i="10" s="1"/>
  <c r="P181" i="2"/>
  <c r="C181" i="10" s="1"/>
  <c r="B182" i="2"/>
  <c r="B182" i="7" s="1"/>
  <c r="C182" i="2"/>
  <c r="C182" i="7" s="1"/>
  <c r="D182" i="2"/>
  <c r="D182" i="7" s="1"/>
  <c r="E182" i="2"/>
  <c r="E182" i="7" s="1"/>
  <c r="F182" i="2"/>
  <c r="F182" i="7" s="1"/>
  <c r="G182" i="2"/>
  <c r="B182" i="6" s="1"/>
  <c r="H182" i="2"/>
  <c r="C182" i="6" s="1"/>
  <c r="I182" i="2"/>
  <c r="D182" i="6" s="1"/>
  <c r="J182" i="2"/>
  <c r="B182" i="8" s="1"/>
  <c r="K182" i="2"/>
  <c r="C182" i="8" s="1"/>
  <c r="L182" i="2"/>
  <c r="D182" i="8" s="1"/>
  <c r="M182" i="2"/>
  <c r="B182" i="9" s="1"/>
  <c r="N182" i="2"/>
  <c r="C182" i="9" s="1"/>
  <c r="O182" i="2"/>
  <c r="B182" i="10" s="1"/>
  <c r="P182" i="2"/>
  <c r="C182" i="10" s="1"/>
  <c r="L75" i="2"/>
  <c r="D75" i="8" s="1"/>
  <c r="L76" i="2"/>
  <c r="D76" i="8" s="1"/>
  <c r="L77" i="2"/>
  <c r="D77" i="8" s="1"/>
  <c r="L78" i="2"/>
  <c r="D78" i="8" s="1"/>
  <c r="L79" i="2"/>
  <c r="D79" i="8" s="1"/>
  <c r="L80" i="2"/>
  <c r="D80" i="8" s="1"/>
  <c r="L81" i="2"/>
  <c r="D81" i="8" s="1"/>
  <c r="L82" i="2"/>
  <c r="D82" i="8" s="1"/>
  <c r="L83" i="2"/>
  <c r="D83" i="8" s="1"/>
  <c r="L84" i="2"/>
  <c r="D84" i="8" s="1"/>
  <c r="L85" i="2"/>
  <c r="D85" i="8" s="1"/>
  <c r="L86" i="2"/>
  <c r="D86" i="8" s="1"/>
  <c r="L87" i="2"/>
  <c r="D87" i="8" s="1"/>
  <c r="L88" i="2"/>
  <c r="D88" i="8" s="1"/>
  <c r="L89" i="2"/>
  <c r="D89" i="8" s="1"/>
  <c r="L90" i="2"/>
  <c r="D90" i="8" s="1"/>
  <c r="L91" i="2"/>
  <c r="D91" i="8" s="1"/>
  <c r="L92" i="2"/>
  <c r="D92" i="8" s="1"/>
  <c r="L93" i="2"/>
  <c r="D93" i="8" s="1"/>
  <c r="L94" i="2"/>
  <c r="D94" i="8" s="1"/>
  <c r="L95" i="2"/>
  <c r="D95" i="8" s="1"/>
  <c r="L96" i="2"/>
  <c r="D96" i="8" s="1"/>
  <c r="L97" i="2"/>
  <c r="D97" i="8" s="1"/>
  <c r="L98" i="2"/>
  <c r="D98" i="8" s="1"/>
  <c r="L99" i="2"/>
  <c r="D99" i="8" s="1"/>
  <c r="L100" i="2"/>
  <c r="D100" i="8" s="1"/>
  <c r="L101" i="2"/>
  <c r="D101" i="8" s="1"/>
  <c r="L102" i="2"/>
  <c r="D102" i="8" s="1"/>
  <c r="L103" i="2"/>
  <c r="D103" i="8" s="1"/>
  <c r="L104" i="2"/>
  <c r="D104" i="8" s="1"/>
  <c r="L105" i="2"/>
  <c r="D105" i="8" s="1"/>
  <c r="L106" i="2"/>
  <c r="D106" i="8" s="1"/>
  <c r="L107" i="2"/>
  <c r="D107" i="8" s="1"/>
  <c r="L108" i="2"/>
  <c r="D108" i="8" s="1"/>
  <c r="L109" i="2"/>
  <c r="D109" i="8" s="1"/>
  <c r="L110" i="2"/>
  <c r="D110" i="8" s="1"/>
  <c r="L111" i="2"/>
  <c r="D111" i="8" s="1"/>
  <c r="L112" i="2"/>
  <c r="D112" i="8" s="1"/>
  <c r="L113" i="2"/>
  <c r="D113" i="8" s="1"/>
  <c r="L114" i="2"/>
  <c r="D114" i="8" s="1"/>
  <c r="L115" i="2"/>
  <c r="D115" i="8" s="1"/>
  <c r="L116" i="2"/>
  <c r="D116" i="8" s="1"/>
  <c r="L117" i="2"/>
  <c r="D117" i="8" s="1"/>
  <c r="L118" i="2"/>
  <c r="D118" i="8" s="1"/>
  <c r="L119" i="2"/>
  <c r="D119" i="8" s="1"/>
  <c r="L120" i="2"/>
  <c r="D120" i="8" s="1"/>
  <c r="L121" i="2"/>
  <c r="D121" i="8" s="1"/>
  <c r="L122" i="2"/>
  <c r="D122" i="8" s="1"/>
  <c r="L123" i="2"/>
  <c r="D123" i="8" s="1"/>
  <c r="L124" i="2"/>
  <c r="D124" i="8" s="1"/>
  <c r="L125" i="2"/>
  <c r="D125" i="8" s="1"/>
  <c r="J7" i="2"/>
  <c r="B7" i="8" s="1"/>
  <c r="K7" i="2"/>
  <c r="C7" i="8" s="1"/>
  <c r="M7" i="2"/>
  <c r="B7" i="9" s="1"/>
  <c r="O7" i="2"/>
  <c r="B7" i="10" s="1"/>
  <c r="J8" i="2"/>
  <c r="B8" i="8" s="1"/>
  <c r="K8" i="2"/>
  <c r="C8" i="8" s="1"/>
  <c r="M8" i="2"/>
  <c r="B8" i="9" s="1"/>
  <c r="O8" i="2"/>
  <c r="B8" i="10" s="1"/>
  <c r="J9" i="2"/>
  <c r="B9" i="8" s="1"/>
  <c r="K9" i="2"/>
  <c r="C9" i="8" s="1"/>
  <c r="M9" i="2"/>
  <c r="B9" i="9" s="1"/>
  <c r="O9" i="2"/>
  <c r="B9" i="10" s="1"/>
  <c r="J10" i="2"/>
  <c r="B10" i="8" s="1"/>
  <c r="K10" i="2"/>
  <c r="C10" i="8" s="1"/>
  <c r="M10" i="2"/>
  <c r="B10" i="9" s="1"/>
  <c r="O10" i="2"/>
  <c r="B10" i="10" s="1"/>
  <c r="J11" i="2"/>
  <c r="B11" i="8" s="1"/>
  <c r="K11" i="2"/>
  <c r="C11" i="8" s="1"/>
  <c r="M11" i="2"/>
  <c r="B11" i="9" s="1"/>
  <c r="O11" i="2"/>
  <c r="B11" i="10" s="1"/>
  <c r="J12" i="2"/>
  <c r="B12" i="8" s="1"/>
  <c r="K12" i="2"/>
  <c r="C12" i="8" s="1"/>
  <c r="M12" i="2"/>
  <c r="B12" i="9" s="1"/>
  <c r="O12" i="2"/>
  <c r="B12" i="10" s="1"/>
  <c r="J13" i="2"/>
  <c r="B13" i="8" s="1"/>
  <c r="K13" i="2"/>
  <c r="C13" i="8" s="1"/>
  <c r="M13" i="2"/>
  <c r="B13" i="9" s="1"/>
  <c r="O13" i="2"/>
  <c r="B13" i="10" s="1"/>
  <c r="J14" i="2"/>
  <c r="B14" i="8" s="1"/>
  <c r="K14" i="2"/>
  <c r="C14" i="8" s="1"/>
  <c r="M14" i="2"/>
  <c r="B14" i="9" s="1"/>
  <c r="O14" i="2"/>
  <c r="B14" i="10" s="1"/>
  <c r="J15" i="2"/>
  <c r="B15" i="8" s="1"/>
  <c r="K15" i="2"/>
  <c r="C15" i="8" s="1"/>
  <c r="M15" i="2"/>
  <c r="B15" i="9" s="1"/>
  <c r="O15" i="2"/>
  <c r="B15" i="10" s="1"/>
  <c r="J16" i="2"/>
  <c r="B16" i="8" s="1"/>
  <c r="K16" i="2"/>
  <c r="C16" i="8" s="1"/>
  <c r="M16" i="2"/>
  <c r="B16" i="9" s="1"/>
  <c r="O16" i="2"/>
  <c r="B16" i="10" s="1"/>
  <c r="J17" i="2"/>
  <c r="B17" i="8" s="1"/>
  <c r="K17" i="2"/>
  <c r="C17" i="8" s="1"/>
  <c r="M17" i="2"/>
  <c r="B17" i="9" s="1"/>
  <c r="O17" i="2"/>
  <c r="B17" i="10" s="1"/>
  <c r="J18" i="2"/>
  <c r="B18" i="8" s="1"/>
  <c r="K18" i="2"/>
  <c r="C18" i="8" s="1"/>
  <c r="M18" i="2"/>
  <c r="B18" i="9" s="1"/>
  <c r="O18" i="2"/>
  <c r="B18" i="10" s="1"/>
  <c r="J19" i="2"/>
  <c r="B19" i="8" s="1"/>
  <c r="K19" i="2"/>
  <c r="C19" i="8" s="1"/>
  <c r="M19" i="2"/>
  <c r="B19" i="9" s="1"/>
  <c r="O19" i="2"/>
  <c r="B19" i="10" s="1"/>
  <c r="J20" i="2"/>
  <c r="B20" i="8" s="1"/>
  <c r="K20" i="2"/>
  <c r="C20" i="8" s="1"/>
  <c r="M20" i="2"/>
  <c r="B20" i="9" s="1"/>
  <c r="O20" i="2"/>
  <c r="B20" i="10" s="1"/>
  <c r="J21" i="2"/>
  <c r="B21" i="8" s="1"/>
  <c r="K21" i="2"/>
  <c r="C21" i="8" s="1"/>
  <c r="M21" i="2"/>
  <c r="B21" i="9" s="1"/>
  <c r="O21" i="2"/>
  <c r="B21" i="10" s="1"/>
  <c r="J22" i="2"/>
  <c r="B22" i="8" s="1"/>
  <c r="K22" i="2"/>
  <c r="C22" i="8" s="1"/>
  <c r="M22" i="2"/>
  <c r="B22" i="9" s="1"/>
  <c r="O22" i="2"/>
  <c r="B22" i="10" s="1"/>
  <c r="J23" i="2"/>
  <c r="B23" i="8" s="1"/>
  <c r="K23" i="2"/>
  <c r="C23" i="8" s="1"/>
  <c r="M23" i="2"/>
  <c r="B23" i="9" s="1"/>
  <c r="O23" i="2"/>
  <c r="B23" i="10" s="1"/>
  <c r="J24" i="2"/>
  <c r="B24" i="8" s="1"/>
  <c r="K24" i="2"/>
  <c r="C24" i="8" s="1"/>
  <c r="M24" i="2"/>
  <c r="B24" i="9" s="1"/>
  <c r="O24" i="2"/>
  <c r="B24" i="10" s="1"/>
  <c r="J25" i="2"/>
  <c r="B25" i="8" s="1"/>
  <c r="K25" i="2"/>
  <c r="C25" i="8" s="1"/>
  <c r="M25" i="2"/>
  <c r="B25" i="9" s="1"/>
  <c r="O25" i="2"/>
  <c r="B25" i="10" s="1"/>
  <c r="J26" i="2"/>
  <c r="B26" i="8" s="1"/>
  <c r="K26" i="2"/>
  <c r="C26" i="8" s="1"/>
  <c r="M26" i="2"/>
  <c r="B26" i="9" s="1"/>
  <c r="O26" i="2"/>
  <c r="B26" i="10" s="1"/>
  <c r="J27" i="2"/>
  <c r="B27" i="8" s="1"/>
  <c r="K27" i="2"/>
  <c r="C27" i="8" s="1"/>
  <c r="M27" i="2"/>
  <c r="B27" i="9" s="1"/>
  <c r="O27" i="2"/>
  <c r="B27" i="10" s="1"/>
  <c r="J28" i="2"/>
  <c r="B28" i="8" s="1"/>
  <c r="K28" i="2"/>
  <c r="C28" i="8" s="1"/>
  <c r="M28" i="2"/>
  <c r="B28" i="9" s="1"/>
  <c r="O28" i="2"/>
  <c r="B28" i="10" s="1"/>
  <c r="J29" i="2"/>
  <c r="B29" i="8" s="1"/>
  <c r="K29" i="2"/>
  <c r="C29" i="8" s="1"/>
  <c r="M29" i="2"/>
  <c r="B29" i="9" s="1"/>
  <c r="O29" i="2"/>
  <c r="B29" i="10" s="1"/>
  <c r="J30" i="2"/>
  <c r="B30" i="8" s="1"/>
  <c r="K30" i="2"/>
  <c r="C30" i="8" s="1"/>
  <c r="M30" i="2"/>
  <c r="B30" i="9" s="1"/>
  <c r="O30" i="2"/>
  <c r="B30" i="10" s="1"/>
  <c r="J31" i="2"/>
  <c r="B31" i="8" s="1"/>
  <c r="K31" i="2"/>
  <c r="C31" i="8" s="1"/>
  <c r="M31" i="2"/>
  <c r="B31" i="9" s="1"/>
  <c r="O31" i="2"/>
  <c r="B31" i="10" s="1"/>
  <c r="J32" i="2"/>
  <c r="B32" i="8" s="1"/>
  <c r="K32" i="2"/>
  <c r="C32" i="8" s="1"/>
  <c r="M32" i="2"/>
  <c r="B32" i="9" s="1"/>
  <c r="O32" i="2"/>
  <c r="B32" i="10" s="1"/>
  <c r="J33" i="2"/>
  <c r="B33" i="8" s="1"/>
  <c r="K33" i="2"/>
  <c r="C33" i="8" s="1"/>
  <c r="M33" i="2"/>
  <c r="B33" i="9" s="1"/>
  <c r="O33" i="2"/>
  <c r="B33" i="10" s="1"/>
  <c r="J34" i="2"/>
  <c r="B34" i="8" s="1"/>
  <c r="K34" i="2"/>
  <c r="C34" i="8" s="1"/>
  <c r="M34" i="2"/>
  <c r="B34" i="9" s="1"/>
  <c r="O34" i="2"/>
  <c r="B34" i="10" s="1"/>
  <c r="J35" i="2"/>
  <c r="B35" i="8" s="1"/>
  <c r="K35" i="2"/>
  <c r="C35" i="8" s="1"/>
  <c r="M35" i="2"/>
  <c r="B35" i="9" s="1"/>
  <c r="O35" i="2"/>
  <c r="B35" i="10" s="1"/>
  <c r="J36" i="2"/>
  <c r="B36" i="8" s="1"/>
  <c r="K36" i="2"/>
  <c r="C36" i="8" s="1"/>
  <c r="M36" i="2"/>
  <c r="B36" i="9" s="1"/>
  <c r="O36" i="2"/>
  <c r="B36" i="10" s="1"/>
  <c r="J37" i="2"/>
  <c r="B37" i="8" s="1"/>
  <c r="K37" i="2"/>
  <c r="C37" i="8" s="1"/>
  <c r="M37" i="2"/>
  <c r="B37" i="9" s="1"/>
  <c r="O37" i="2"/>
  <c r="B37" i="10" s="1"/>
  <c r="J38" i="2"/>
  <c r="B38" i="8" s="1"/>
  <c r="K38" i="2"/>
  <c r="C38" i="8" s="1"/>
  <c r="M38" i="2"/>
  <c r="B38" i="9" s="1"/>
  <c r="O38" i="2"/>
  <c r="B38" i="10" s="1"/>
  <c r="J39" i="2"/>
  <c r="B39" i="8" s="1"/>
  <c r="K39" i="2"/>
  <c r="C39" i="8" s="1"/>
  <c r="M39" i="2"/>
  <c r="B39" i="9" s="1"/>
  <c r="O39" i="2"/>
  <c r="B39" i="10" s="1"/>
  <c r="J40" i="2"/>
  <c r="B40" i="8" s="1"/>
  <c r="K40" i="2"/>
  <c r="C40" i="8" s="1"/>
  <c r="M40" i="2"/>
  <c r="B40" i="9" s="1"/>
  <c r="O40" i="2"/>
  <c r="B40" i="10" s="1"/>
  <c r="J41" i="2"/>
  <c r="B41" i="8" s="1"/>
  <c r="K41" i="2"/>
  <c r="C41" i="8" s="1"/>
  <c r="M41" i="2"/>
  <c r="B41" i="9" s="1"/>
  <c r="O41" i="2"/>
  <c r="B41" i="10" s="1"/>
  <c r="J42" i="2"/>
  <c r="B42" i="8" s="1"/>
  <c r="K42" i="2"/>
  <c r="C42" i="8" s="1"/>
  <c r="M42" i="2"/>
  <c r="B42" i="9" s="1"/>
  <c r="O42" i="2"/>
  <c r="B42" i="10" s="1"/>
  <c r="J43" i="2"/>
  <c r="B43" i="8" s="1"/>
  <c r="K43" i="2"/>
  <c r="C43" i="8" s="1"/>
  <c r="M43" i="2"/>
  <c r="B43" i="9" s="1"/>
  <c r="O43" i="2"/>
  <c r="B43" i="10" s="1"/>
  <c r="J44" i="2"/>
  <c r="B44" i="8" s="1"/>
  <c r="K44" i="2"/>
  <c r="C44" i="8" s="1"/>
  <c r="M44" i="2"/>
  <c r="B44" i="9" s="1"/>
  <c r="O44" i="2"/>
  <c r="B44" i="10" s="1"/>
  <c r="J45" i="2"/>
  <c r="B45" i="8" s="1"/>
  <c r="K45" i="2"/>
  <c r="C45" i="8" s="1"/>
  <c r="M45" i="2"/>
  <c r="B45" i="9" s="1"/>
  <c r="O45" i="2"/>
  <c r="B45" i="10" s="1"/>
  <c r="J46" i="2"/>
  <c r="B46" i="8" s="1"/>
  <c r="K46" i="2"/>
  <c r="C46" i="8" s="1"/>
  <c r="M46" i="2"/>
  <c r="B46" i="9" s="1"/>
  <c r="O46" i="2"/>
  <c r="B46" i="10" s="1"/>
  <c r="J47" i="2"/>
  <c r="B47" i="8" s="1"/>
  <c r="K47" i="2"/>
  <c r="C47" i="8" s="1"/>
  <c r="M47" i="2"/>
  <c r="B47" i="9" s="1"/>
  <c r="O47" i="2"/>
  <c r="B47" i="10" s="1"/>
  <c r="J48" i="2"/>
  <c r="B48" i="8" s="1"/>
  <c r="K48" i="2"/>
  <c r="C48" i="8" s="1"/>
  <c r="M48" i="2"/>
  <c r="B48" i="9" s="1"/>
  <c r="O48" i="2"/>
  <c r="B48" i="10" s="1"/>
  <c r="J49" i="2"/>
  <c r="B49" i="8" s="1"/>
  <c r="K49" i="2"/>
  <c r="C49" i="8" s="1"/>
  <c r="M49" i="2"/>
  <c r="B49" i="9" s="1"/>
  <c r="O49" i="2"/>
  <c r="B49" i="10" s="1"/>
  <c r="J50" i="2"/>
  <c r="B50" i="8" s="1"/>
  <c r="K50" i="2"/>
  <c r="C50" i="8" s="1"/>
  <c r="M50" i="2"/>
  <c r="B50" i="9" s="1"/>
  <c r="O50" i="2"/>
  <c r="B50" i="10" s="1"/>
  <c r="J51" i="2"/>
  <c r="B51" i="8" s="1"/>
  <c r="K51" i="2"/>
  <c r="C51" i="8" s="1"/>
  <c r="M51" i="2"/>
  <c r="B51" i="9" s="1"/>
  <c r="O51" i="2"/>
  <c r="B51" i="10" s="1"/>
  <c r="J52" i="2"/>
  <c r="B52" i="8" s="1"/>
  <c r="K52" i="2"/>
  <c r="C52" i="8" s="1"/>
  <c r="M52" i="2"/>
  <c r="B52" i="9" s="1"/>
  <c r="O52" i="2"/>
  <c r="B52" i="10" s="1"/>
  <c r="J53" i="2"/>
  <c r="B53" i="8" s="1"/>
  <c r="K53" i="2"/>
  <c r="C53" i="8" s="1"/>
  <c r="M53" i="2"/>
  <c r="B53" i="9" s="1"/>
  <c r="O53" i="2"/>
  <c r="B53" i="10" s="1"/>
  <c r="J54" i="2"/>
  <c r="B54" i="8" s="1"/>
  <c r="K54" i="2"/>
  <c r="C54" i="8" s="1"/>
  <c r="M54" i="2"/>
  <c r="B54" i="9" s="1"/>
  <c r="O54" i="2"/>
  <c r="B54" i="10" s="1"/>
  <c r="J55" i="2"/>
  <c r="B55" i="8" s="1"/>
  <c r="K55" i="2"/>
  <c r="C55" i="8" s="1"/>
  <c r="M55" i="2"/>
  <c r="B55" i="9" s="1"/>
  <c r="O55" i="2"/>
  <c r="B55" i="10" s="1"/>
  <c r="J56" i="2"/>
  <c r="B56" i="8" s="1"/>
  <c r="K56" i="2"/>
  <c r="C56" i="8" s="1"/>
  <c r="M56" i="2"/>
  <c r="B56" i="9" s="1"/>
  <c r="O56" i="2"/>
  <c r="B56" i="10" s="1"/>
  <c r="J57" i="2"/>
  <c r="B57" i="8" s="1"/>
  <c r="K57" i="2"/>
  <c r="C57" i="8" s="1"/>
  <c r="M57" i="2"/>
  <c r="B57" i="9" s="1"/>
  <c r="O57" i="2"/>
  <c r="B57" i="10" s="1"/>
  <c r="J58" i="2"/>
  <c r="B58" i="8" s="1"/>
  <c r="K58" i="2"/>
  <c r="C58" i="8" s="1"/>
  <c r="M58" i="2"/>
  <c r="B58" i="9" s="1"/>
  <c r="O58" i="2"/>
  <c r="B58" i="10" s="1"/>
  <c r="J59" i="2"/>
  <c r="B59" i="8" s="1"/>
  <c r="K59" i="2"/>
  <c r="C59" i="8" s="1"/>
  <c r="M59" i="2"/>
  <c r="B59" i="9" s="1"/>
  <c r="O59" i="2"/>
  <c r="B59" i="10" s="1"/>
  <c r="J60" i="2"/>
  <c r="B60" i="8" s="1"/>
  <c r="K60" i="2"/>
  <c r="C60" i="8" s="1"/>
  <c r="M60" i="2"/>
  <c r="B60" i="9" s="1"/>
  <c r="O60" i="2"/>
  <c r="B60" i="10" s="1"/>
  <c r="J61" i="2"/>
  <c r="B61" i="8" s="1"/>
  <c r="K61" i="2"/>
  <c r="C61" i="8" s="1"/>
  <c r="M61" i="2"/>
  <c r="B61" i="9" s="1"/>
  <c r="O61" i="2"/>
  <c r="B61" i="10" s="1"/>
  <c r="J62" i="2"/>
  <c r="B62" i="8" s="1"/>
  <c r="K62" i="2"/>
  <c r="C62" i="8" s="1"/>
  <c r="M62" i="2"/>
  <c r="B62" i="9" s="1"/>
  <c r="O62" i="2"/>
  <c r="B62" i="10" s="1"/>
  <c r="J63" i="2"/>
  <c r="B63" i="8" s="1"/>
  <c r="K63" i="2"/>
  <c r="C63" i="8" s="1"/>
  <c r="M63" i="2"/>
  <c r="B63" i="9" s="1"/>
  <c r="O63" i="2"/>
  <c r="B63" i="10" s="1"/>
  <c r="J64" i="2"/>
  <c r="B64" i="8" s="1"/>
  <c r="K64" i="2"/>
  <c r="C64" i="8" s="1"/>
  <c r="M64" i="2"/>
  <c r="B64" i="9" s="1"/>
  <c r="O64" i="2"/>
  <c r="B64" i="10" s="1"/>
  <c r="J65" i="2"/>
  <c r="B65" i="8" s="1"/>
  <c r="K65" i="2"/>
  <c r="C65" i="8" s="1"/>
  <c r="M65" i="2"/>
  <c r="B65" i="9" s="1"/>
  <c r="O65" i="2"/>
  <c r="B65" i="10" s="1"/>
  <c r="J66" i="2"/>
  <c r="B66" i="8" s="1"/>
  <c r="K66" i="2"/>
  <c r="C66" i="8" s="1"/>
  <c r="M66" i="2"/>
  <c r="B66" i="9" s="1"/>
  <c r="O66" i="2"/>
  <c r="B66" i="10" s="1"/>
  <c r="J67" i="2"/>
  <c r="B67" i="8" s="1"/>
  <c r="K67" i="2"/>
  <c r="C67" i="8" s="1"/>
  <c r="M67" i="2"/>
  <c r="B67" i="9" s="1"/>
  <c r="O67" i="2"/>
  <c r="B67" i="10" s="1"/>
  <c r="J68" i="2"/>
  <c r="B68" i="8" s="1"/>
  <c r="K68" i="2"/>
  <c r="C68" i="8" s="1"/>
  <c r="M68" i="2"/>
  <c r="B68" i="9" s="1"/>
  <c r="O68" i="2"/>
  <c r="B68" i="10" s="1"/>
  <c r="J69" i="2"/>
  <c r="B69" i="8" s="1"/>
  <c r="K69" i="2"/>
  <c r="C69" i="8" s="1"/>
  <c r="M69" i="2"/>
  <c r="B69" i="9" s="1"/>
  <c r="O69" i="2"/>
  <c r="B69" i="10" s="1"/>
  <c r="J70" i="2"/>
  <c r="B70" i="8" s="1"/>
  <c r="K70" i="2"/>
  <c r="C70" i="8" s="1"/>
  <c r="M70" i="2"/>
  <c r="B70" i="9" s="1"/>
  <c r="O70" i="2"/>
  <c r="B70" i="10" s="1"/>
  <c r="J71" i="2"/>
  <c r="B71" i="8" s="1"/>
  <c r="K71" i="2"/>
  <c r="C71" i="8" s="1"/>
  <c r="M71" i="2"/>
  <c r="B71" i="9" s="1"/>
  <c r="O71" i="2"/>
  <c r="B71" i="10" s="1"/>
  <c r="J72" i="2"/>
  <c r="B72" i="8" s="1"/>
  <c r="K72" i="2"/>
  <c r="C72" i="8" s="1"/>
  <c r="M72" i="2"/>
  <c r="B72" i="9" s="1"/>
  <c r="O72" i="2"/>
  <c r="B72" i="10" s="1"/>
  <c r="J73" i="2"/>
  <c r="B73" i="8" s="1"/>
  <c r="K73" i="2"/>
  <c r="C73" i="8" s="1"/>
  <c r="M73" i="2"/>
  <c r="B73" i="9" s="1"/>
  <c r="O73" i="2"/>
  <c r="B73" i="10" s="1"/>
  <c r="J74" i="2"/>
  <c r="B74" i="8" s="1"/>
  <c r="K74" i="2"/>
  <c r="C74" i="8" s="1"/>
  <c r="M74" i="2"/>
  <c r="B74" i="9" s="1"/>
  <c r="O74" i="2"/>
  <c r="B74" i="10" s="1"/>
  <c r="I75" i="2"/>
  <c r="D75" i="6" s="1"/>
  <c r="J75" i="2"/>
  <c r="B75" i="8" s="1"/>
  <c r="K75" i="2"/>
  <c r="C75" i="8" s="1"/>
  <c r="M75" i="2"/>
  <c r="B75" i="9" s="1"/>
  <c r="N75" i="2"/>
  <c r="C75" i="9" s="1"/>
  <c r="O75" i="2"/>
  <c r="B75" i="10" s="1"/>
  <c r="P75" i="2"/>
  <c r="C75" i="10" s="1"/>
  <c r="I76" i="2"/>
  <c r="D76" i="6" s="1"/>
  <c r="J76" i="2"/>
  <c r="B76" i="8" s="1"/>
  <c r="K76" i="2"/>
  <c r="C76" i="8" s="1"/>
  <c r="M76" i="2"/>
  <c r="B76" i="9" s="1"/>
  <c r="N76" i="2"/>
  <c r="C76" i="9" s="1"/>
  <c r="O76" i="2"/>
  <c r="B76" i="10" s="1"/>
  <c r="P76" i="2"/>
  <c r="C76" i="10" s="1"/>
  <c r="I77" i="2"/>
  <c r="D77" i="6" s="1"/>
  <c r="J77" i="2"/>
  <c r="B77" i="8" s="1"/>
  <c r="K77" i="2"/>
  <c r="C77" i="8" s="1"/>
  <c r="M77" i="2"/>
  <c r="B77" i="9" s="1"/>
  <c r="N77" i="2"/>
  <c r="C77" i="9" s="1"/>
  <c r="O77" i="2"/>
  <c r="B77" i="10" s="1"/>
  <c r="P77" i="2"/>
  <c r="C77" i="10" s="1"/>
  <c r="I78" i="2"/>
  <c r="D78" i="6" s="1"/>
  <c r="J78" i="2"/>
  <c r="B78" i="8" s="1"/>
  <c r="K78" i="2"/>
  <c r="C78" i="8" s="1"/>
  <c r="M78" i="2"/>
  <c r="B78" i="9" s="1"/>
  <c r="N78" i="2"/>
  <c r="C78" i="9" s="1"/>
  <c r="O78" i="2"/>
  <c r="B78" i="10" s="1"/>
  <c r="P78" i="2"/>
  <c r="C78" i="10" s="1"/>
  <c r="I79" i="2"/>
  <c r="D79" i="6" s="1"/>
  <c r="J79" i="2"/>
  <c r="B79" i="8" s="1"/>
  <c r="K79" i="2"/>
  <c r="C79" i="8" s="1"/>
  <c r="M79" i="2"/>
  <c r="B79" i="9" s="1"/>
  <c r="N79" i="2"/>
  <c r="C79" i="9" s="1"/>
  <c r="O79" i="2"/>
  <c r="B79" i="10" s="1"/>
  <c r="P79" i="2"/>
  <c r="C79" i="10" s="1"/>
  <c r="I80" i="2"/>
  <c r="D80" i="6" s="1"/>
  <c r="J80" i="2"/>
  <c r="B80" i="8" s="1"/>
  <c r="K80" i="2"/>
  <c r="C80" i="8" s="1"/>
  <c r="M80" i="2"/>
  <c r="B80" i="9" s="1"/>
  <c r="N80" i="2"/>
  <c r="C80" i="9" s="1"/>
  <c r="O80" i="2"/>
  <c r="B80" i="10" s="1"/>
  <c r="P80" i="2"/>
  <c r="C80" i="10" s="1"/>
  <c r="I81" i="2"/>
  <c r="D81" i="6" s="1"/>
  <c r="J81" i="2"/>
  <c r="B81" i="8" s="1"/>
  <c r="K81" i="2"/>
  <c r="C81" i="8" s="1"/>
  <c r="M81" i="2"/>
  <c r="B81" i="9" s="1"/>
  <c r="N81" i="2"/>
  <c r="C81" i="9" s="1"/>
  <c r="O81" i="2"/>
  <c r="B81" i="10" s="1"/>
  <c r="P81" i="2"/>
  <c r="C81" i="10" s="1"/>
  <c r="I82" i="2"/>
  <c r="D82" i="6" s="1"/>
  <c r="J82" i="2"/>
  <c r="B82" i="8" s="1"/>
  <c r="K82" i="2"/>
  <c r="C82" i="8" s="1"/>
  <c r="M82" i="2"/>
  <c r="B82" i="9" s="1"/>
  <c r="N82" i="2"/>
  <c r="C82" i="9" s="1"/>
  <c r="O82" i="2"/>
  <c r="B82" i="10" s="1"/>
  <c r="P82" i="2"/>
  <c r="C82" i="10" s="1"/>
  <c r="I83" i="2"/>
  <c r="D83" i="6" s="1"/>
  <c r="J83" i="2"/>
  <c r="B83" i="8" s="1"/>
  <c r="K83" i="2"/>
  <c r="C83" i="8" s="1"/>
  <c r="M83" i="2"/>
  <c r="B83" i="9" s="1"/>
  <c r="N83" i="2"/>
  <c r="C83" i="9" s="1"/>
  <c r="O83" i="2"/>
  <c r="B83" i="10" s="1"/>
  <c r="P83" i="2"/>
  <c r="C83" i="10" s="1"/>
  <c r="I84" i="2"/>
  <c r="D84" i="6" s="1"/>
  <c r="J84" i="2"/>
  <c r="B84" i="8" s="1"/>
  <c r="K84" i="2"/>
  <c r="C84" i="8" s="1"/>
  <c r="M84" i="2"/>
  <c r="B84" i="9" s="1"/>
  <c r="N84" i="2"/>
  <c r="C84" i="9" s="1"/>
  <c r="O84" i="2"/>
  <c r="B84" i="10" s="1"/>
  <c r="P84" i="2"/>
  <c r="C84" i="10" s="1"/>
  <c r="I85" i="2"/>
  <c r="D85" i="6" s="1"/>
  <c r="J85" i="2"/>
  <c r="B85" i="8" s="1"/>
  <c r="K85" i="2"/>
  <c r="C85" i="8" s="1"/>
  <c r="M85" i="2"/>
  <c r="B85" i="9" s="1"/>
  <c r="N85" i="2"/>
  <c r="C85" i="9" s="1"/>
  <c r="O85" i="2"/>
  <c r="B85" i="10" s="1"/>
  <c r="P85" i="2"/>
  <c r="C85" i="10" s="1"/>
  <c r="I86" i="2"/>
  <c r="D86" i="6" s="1"/>
  <c r="J86" i="2"/>
  <c r="B86" i="8" s="1"/>
  <c r="K86" i="2"/>
  <c r="C86" i="8" s="1"/>
  <c r="M86" i="2"/>
  <c r="B86" i="9" s="1"/>
  <c r="N86" i="2"/>
  <c r="C86" i="9" s="1"/>
  <c r="O86" i="2"/>
  <c r="B86" i="10" s="1"/>
  <c r="P86" i="2"/>
  <c r="C86" i="10" s="1"/>
  <c r="I87" i="2"/>
  <c r="D87" i="6" s="1"/>
  <c r="J87" i="2"/>
  <c r="B87" i="8" s="1"/>
  <c r="K87" i="2"/>
  <c r="C87" i="8" s="1"/>
  <c r="M87" i="2"/>
  <c r="B87" i="9" s="1"/>
  <c r="N87" i="2"/>
  <c r="C87" i="9" s="1"/>
  <c r="O87" i="2"/>
  <c r="B87" i="10" s="1"/>
  <c r="P87" i="2"/>
  <c r="C87" i="10" s="1"/>
  <c r="I88" i="2"/>
  <c r="D88" i="6" s="1"/>
  <c r="J88" i="2"/>
  <c r="B88" i="8" s="1"/>
  <c r="K88" i="2"/>
  <c r="C88" i="8" s="1"/>
  <c r="M88" i="2"/>
  <c r="B88" i="9" s="1"/>
  <c r="N88" i="2"/>
  <c r="C88" i="9" s="1"/>
  <c r="O88" i="2"/>
  <c r="B88" i="10" s="1"/>
  <c r="P88" i="2"/>
  <c r="C88" i="10" s="1"/>
  <c r="I89" i="2"/>
  <c r="D89" i="6" s="1"/>
  <c r="J89" i="2"/>
  <c r="B89" i="8" s="1"/>
  <c r="K89" i="2"/>
  <c r="C89" i="8" s="1"/>
  <c r="M89" i="2"/>
  <c r="B89" i="9" s="1"/>
  <c r="N89" i="2"/>
  <c r="C89" i="9" s="1"/>
  <c r="O89" i="2"/>
  <c r="B89" i="10" s="1"/>
  <c r="P89" i="2"/>
  <c r="C89" i="10" s="1"/>
  <c r="I90" i="2"/>
  <c r="D90" i="6" s="1"/>
  <c r="J90" i="2"/>
  <c r="B90" i="8" s="1"/>
  <c r="K90" i="2"/>
  <c r="C90" i="8" s="1"/>
  <c r="M90" i="2"/>
  <c r="B90" i="9" s="1"/>
  <c r="N90" i="2"/>
  <c r="C90" i="9" s="1"/>
  <c r="O90" i="2"/>
  <c r="B90" i="10" s="1"/>
  <c r="P90" i="2"/>
  <c r="C90" i="10" s="1"/>
  <c r="I91" i="2"/>
  <c r="D91" i="6" s="1"/>
  <c r="J91" i="2"/>
  <c r="B91" i="8" s="1"/>
  <c r="K91" i="2"/>
  <c r="C91" i="8" s="1"/>
  <c r="M91" i="2"/>
  <c r="B91" i="9" s="1"/>
  <c r="N91" i="2"/>
  <c r="C91" i="9" s="1"/>
  <c r="O91" i="2"/>
  <c r="B91" i="10" s="1"/>
  <c r="P91" i="2"/>
  <c r="C91" i="10" s="1"/>
  <c r="I92" i="2"/>
  <c r="D92" i="6" s="1"/>
  <c r="J92" i="2"/>
  <c r="B92" i="8" s="1"/>
  <c r="K92" i="2"/>
  <c r="C92" i="8" s="1"/>
  <c r="M92" i="2"/>
  <c r="B92" i="9" s="1"/>
  <c r="N92" i="2"/>
  <c r="C92" i="9" s="1"/>
  <c r="O92" i="2"/>
  <c r="B92" i="10" s="1"/>
  <c r="P92" i="2"/>
  <c r="C92" i="10" s="1"/>
  <c r="I93" i="2"/>
  <c r="D93" i="6" s="1"/>
  <c r="J93" i="2"/>
  <c r="B93" i="8" s="1"/>
  <c r="K93" i="2"/>
  <c r="C93" i="8" s="1"/>
  <c r="M93" i="2"/>
  <c r="B93" i="9" s="1"/>
  <c r="N93" i="2"/>
  <c r="C93" i="9" s="1"/>
  <c r="O93" i="2"/>
  <c r="B93" i="10" s="1"/>
  <c r="P93" i="2"/>
  <c r="C93" i="10" s="1"/>
  <c r="I94" i="2"/>
  <c r="D94" i="6" s="1"/>
  <c r="J94" i="2"/>
  <c r="B94" i="8" s="1"/>
  <c r="K94" i="2"/>
  <c r="C94" i="8" s="1"/>
  <c r="M94" i="2"/>
  <c r="B94" i="9" s="1"/>
  <c r="N94" i="2"/>
  <c r="C94" i="9" s="1"/>
  <c r="O94" i="2"/>
  <c r="B94" i="10" s="1"/>
  <c r="P94" i="2"/>
  <c r="C94" i="10" s="1"/>
  <c r="I95" i="2"/>
  <c r="D95" i="6" s="1"/>
  <c r="J95" i="2"/>
  <c r="B95" i="8" s="1"/>
  <c r="K95" i="2"/>
  <c r="C95" i="8" s="1"/>
  <c r="M95" i="2"/>
  <c r="B95" i="9" s="1"/>
  <c r="N95" i="2"/>
  <c r="C95" i="9" s="1"/>
  <c r="O95" i="2"/>
  <c r="B95" i="10" s="1"/>
  <c r="P95" i="2"/>
  <c r="C95" i="10" s="1"/>
  <c r="I96" i="2"/>
  <c r="D96" i="6" s="1"/>
  <c r="J96" i="2"/>
  <c r="B96" i="8" s="1"/>
  <c r="K96" i="2"/>
  <c r="C96" i="8" s="1"/>
  <c r="M96" i="2"/>
  <c r="B96" i="9" s="1"/>
  <c r="N96" i="2"/>
  <c r="C96" i="9" s="1"/>
  <c r="O96" i="2"/>
  <c r="B96" i="10" s="1"/>
  <c r="P96" i="2"/>
  <c r="C96" i="10" s="1"/>
  <c r="I97" i="2"/>
  <c r="D97" i="6" s="1"/>
  <c r="J97" i="2"/>
  <c r="B97" i="8" s="1"/>
  <c r="K97" i="2"/>
  <c r="C97" i="8" s="1"/>
  <c r="M97" i="2"/>
  <c r="B97" i="9" s="1"/>
  <c r="N97" i="2"/>
  <c r="C97" i="9" s="1"/>
  <c r="O97" i="2"/>
  <c r="B97" i="10" s="1"/>
  <c r="P97" i="2"/>
  <c r="C97" i="10" s="1"/>
  <c r="I98" i="2"/>
  <c r="D98" i="6" s="1"/>
  <c r="J98" i="2"/>
  <c r="B98" i="8" s="1"/>
  <c r="K98" i="2"/>
  <c r="C98" i="8" s="1"/>
  <c r="M98" i="2"/>
  <c r="B98" i="9" s="1"/>
  <c r="N98" i="2"/>
  <c r="C98" i="9" s="1"/>
  <c r="O98" i="2"/>
  <c r="B98" i="10" s="1"/>
  <c r="P98" i="2"/>
  <c r="C98" i="10" s="1"/>
  <c r="I99" i="2"/>
  <c r="D99" i="6" s="1"/>
  <c r="J99" i="2"/>
  <c r="B99" i="8" s="1"/>
  <c r="K99" i="2"/>
  <c r="C99" i="8" s="1"/>
  <c r="M99" i="2"/>
  <c r="B99" i="9" s="1"/>
  <c r="N99" i="2"/>
  <c r="C99" i="9" s="1"/>
  <c r="O99" i="2"/>
  <c r="B99" i="10" s="1"/>
  <c r="P99" i="2"/>
  <c r="C99" i="10" s="1"/>
  <c r="I100" i="2"/>
  <c r="D100" i="6" s="1"/>
  <c r="J100" i="2"/>
  <c r="B100" i="8" s="1"/>
  <c r="K100" i="2"/>
  <c r="C100" i="8" s="1"/>
  <c r="M100" i="2"/>
  <c r="B100" i="9" s="1"/>
  <c r="N100" i="2"/>
  <c r="C100" i="9" s="1"/>
  <c r="O100" i="2"/>
  <c r="B100" i="10" s="1"/>
  <c r="P100" i="2"/>
  <c r="C100" i="10" s="1"/>
  <c r="I101" i="2"/>
  <c r="D101" i="6" s="1"/>
  <c r="J101" i="2"/>
  <c r="B101" i="8" s="1"/>
  <c r="K101" i="2"/>
  <c r="C101" i="8" s="1"/>
  <c r="M101" i="2"/>
  <c r="B101" i="9" s="1"/>
  <c r="N101" i="2"/>
  <c r="C101" i="9" s="1"/>
  <c r="O101" i="2"/>
  <c r="B101" i="10" s="1"/>
  <c r="P101" i="2"/>
  <c r="C101" i="10" s="1"/>
  <c r="I102" i="2"/>
  <c r="D102" i="6" s="1"/>
  <c r="J102" i="2"/>
  <c r="B102" i="8" s="1"/>
  <c r="K102" i="2"/>
  <c r="C102" i="8" s="1"/>
  <c r="M102" i="2"/>
  <c r="B102" i="9" s="1"/>
  <c r="N102" i="2"/>
  <c r="C102" i="9" s="1"/>
  <c r="O102" i="2"/>
  <c r="B102" i="10" s="1"/>
  <c r="P102" i="2"/>
  <c r="C102" i="10" s="1"/>
  <c r="I103" i="2"/>
  <c r="D103" i="6" s="1"/>
  <c r="J103" i="2"/>
  <c r="B103" i="8" s="1"/>
  <c r="K103" i="2"/>
  <c r="C103" i="8" s="1"/>
  <c r="M103" i="2"/>
  <c r="B103" i="9" s="1"/>
  <c r="N103" i="2"/>
  <c r="C103" i="9" s="1"/>
  <c r="O103" i="2"/>
  <c r="B103" i="10" s="1"/>
  <c r="P103" i="2"/>
  <c r="C103" i="10" s="1"/>
  <c r="I104" i="2"/>
  <c r="D104" i="6" s="1"/>
  <c r="J104" i="2"/>
  <c r="B104" i="8" s="1"/>
  <c r="K104" i="2"/>
  <c r="C104" i="8" s="1"/>
  <c r="M104" i="2"/>
  <c r="B104" i="9" s="1"/>
  <c r="N104" i="2"/>
  <c r="C104" i="9" s="1"/>
  <c r="O104" i="2"/>
  <c r="B104" i="10" s="1"/>
  <c r="P104" i="2"/>
  <c r="C104" i="10" s="1"/>
  <c r="I105" i="2"/>
  <c r="D105" i="6" s="1"/>
  <c r="J105" i="2"/>
  <c r="B105" i="8" s="1"/>
  <c r="K105" i="2"/>
  <c r="C105" i="8" s="1"/>
  <c r="M105" i="2"/>
  <c r="B105" i="9" s="1"/>
  <c r="N105" i="2"/>
  <c r="C105" i="9" s="1"/>
  <c r="O105" i="2"/>
  <c r="B105" i="10" s="1"/>
  <c r="P105" i="2"/>
  <c r="C105" i="10" s="1"/>
  <c r="I106" i="2"/>
  <c r="D106" i="6" s="1"/>
  <c r="J106" i="2"/>
  <c r="B106" i="8" s="1"/>
  <c r="K106" i="2"/>
  <c r="C106" i="8" s="1"/>
  <c r="M106" i="2"/>
  <c r="B106" i="9" s="1"/>
  <c r="N106" i="2"/>
  <c r="C106" i="9" s="1"/>
  <c r="O106" i="2"/>
  <c r="B106" i="10" s="1"/>
  <c r="P106" i="2"/>
  <c r="C106" i="10" s="1"/>
  <c r="I107" i="2"/>
  <c r="D107" i="6" s="1"/>
  <c r="J107" i="2"/>
  <c r="B107" i="8" s="1"/>
  <c r="K107" i="2"/>
  <c r="C107" i="8" s="1"/>
  <c r="M107" i="2"/>
  <c r="B107" i="9" s="1"/>
  <c r="N107" i="2"/>
  <c r="C107" i="9" s="1"/>
  <c r="O107" i="2"/>
  <c r="B107" i="10" s="1"/>
  <c r="P107" i="2"/>
  <c r="C107" i="10" s="1"/>
  <c r="I108" i="2"/>
  <c r="D108" i="6" s="1"/>
  <c r="J108" i="2"/>
  <c r="B108" i="8" s="1"/>
  <c r="K108" i="2"/>
  <c r="C108" i="8" s="1"/>
  <c r="M108" i="2"/>
  <c r="B108" i="9" s="1"/>
  <c r="N108" i="2"/>
  <c r="C108" i="9" s="1"/>
  <c r="O108" i="2"/>
  <c r="B108" i="10" s="1"/>
  <c r="P108" i="2"/>
  <c r="C108" i="10" s="1"/>
  <c r="I109" i="2"/>
  <c r="D109" i="6" s="1"/>
  <c r="J109" i="2"/>
  <c r="B109" i="8" s="1"/>
  <c r="K109" i="2"/>
  <c r="C109" i="8" s="1"/>
  <c r="M109" i="2"/>
  <c r="B109" i="9" s="1"/>
  <c r="N109" i="2"/>
  <c r="C109" i="9" s="1"/>
  <c r="O109" i="2"/>
  <c r="B109" i="10" s="1"/>
  <c r="P109" i="2"/>
  <c r="C109" i="10" s="1"/>
  <c r="I110" i="2"/>
  <c r="D110" i="6" s="1"/>
  <c r="J110" i="2"/>
  <c r="B110" i="8" s="1"/>
  <c r="K110" i="2"/>
  <c r="C110" i="8" s="1"/>
  <c r="M110" i="2"/>
  <c r="B110" i="9" s="1"/>
  <c r="N110" i="2"/>
  <c r="C110" i="9" s="1"/>
  <c r="O110" i="2"/>
  <c r="B110" i="10" s="1"/>
  <c r="P110" i="2"/>
  <c r="C110" i="10" s="1"/>
  <c r="I111" i="2"/>
  <c r="D111" i="6" s="1"/>
  <c r="J111" i="2"/>
  <c r="B111" i="8" s="1"/>
  <c r="K111" i="2"/>
  <c r="C111" i="8" s="1"/>
  <c r="M111" i="2"/>
  <c r="B111" i="9" s="1"/>
  <c r="N111" i="2"/>
  <c r="C111" i="9" s="1"/>
  <c r="O111" i="2"/>
  <c r="B111" i="10" s="1"/>
  <c r="P111" i="2"/>
  <c r="C111" i="10" s="1"/>
  <c r="I112" i="2"/>
  <c r="D112" i="6" s="1"/>
  <c r="J112" i="2"/>
  <c r="B112" i="8" s="1"/>
  <c r="K112" i="2"/>
  <c r="C112" i="8" s="1"/>
  <c r="M112" i="2"/>
  <c r="B112" i="9" s="1"/>
  <c r="N112" i="2"/>
  <c r="C112" i="9" s="1"/>
  <c r="O112" i="2"/>
  <c r="B112" i="10" s="1"/>
  <c r="P112" i="2"/>
  <c r="C112" i="10" s="1"/>
  <c r="I113" i="2"/>
  <c r="D113" i="6" s="1"/>
  <c r="J113" i="2"/>
  <c r="B113" i="8" s="1"/>
  <c r="K113" i="2"/>
  <c r="C113" i="8" s="1"/>
  <c r="M113" i="2"/>
  <c r="B113" i="9" s="1"/>
  <c r="N113" i="2"/>
  <c r="C113" i="9" s="1"/>
  <c r="O113" i="2"/>
  <c r="B113" i="10" s="1"/>
  <c r="P113" i="2"/>
  <c r="C113" i="10" s="1"/>
  <c r="I114" i="2"/>
  <c r="D114" i="6" s="1"/>
  <c r="J114" i="2"/>
  <c r="B114" i="8" s="1"/>
  <c r="K114" i="2"/>
  <c r="C114" i="8" s="1"/>
  <c r="M114" i="2"/>
  <c r="B114" i="9" s="1"/>
  <c r="N114" i="2"/>
  <c r="C114" i="9" s="1"/>
  <c r="O114" i="2"/>
  <c r="B114" i="10" s="1"/>
  <c r="P114" i="2"/>
  <c r="C114" i="10" s="1"/>
  <c r="I115" i="2"/>
  <c r="D115" i="6" s="1"/>
  <c r="J115" i="2"/>
  <c r="B115" i="8" s="1"/>
  <c r="K115" i="2"/>
  <c r="C115" i="8" s="1"/>
  <c r="M115" i="2"/>
  <c r="B115" i="9" s="1"/>
  <c r="N115" i="2"/>
  <c r="C115" i="9" s="1"/>
  <c r="O115" i="2"/>
  <c r="B115" i="10" s="1"/>
  <c r="P115" i="2"/>
  <c r="C115" i="10" s="1"/>
  <c r="I116" i="2"/>
  <c r="D116" i="6" s="1"/>
  <c r="J116" i="2"/>
  <c r="B116" i="8" s="1"/>
  <c r="K116" i="2"/>
  <c r="C116" i="8" s="1"/>
  <c r="M116" i="2"/>
  <c r="B116" i="9" s="1"/>
  <c r="N116" i="2"/>
  <c r="C116" i="9" s="1"/>
  <c r="O116" i="2"/>
  <c r="B116" i="10" s="1"/>
  <c r="P116" i="2"/>
  <c r="C116" i="10" s="1"/>
  <c r="I117" i="2"/>
  <c r="D117" i="6" s="1"/>
  <c r="J117" i="2"/>
  <c r="B117" i="8" s="1"/>
  <c r="K117" i="2"/>
  <c r="C117" i="8" s="1"/>
  <c r="M117" i="2"/>
  <c r="B117" i="9" s="1"/>
  <c r="N117" i="2"/>
  <c r="C117" i="9" s="1"/>
  <c r="O117" i="2"/>
  <c r="B117" i="10" s="1"/>
  <c r="P117" i="2"/>
  <c r="C117" i="10" s="1"/>
  <c r="I118" i="2"/>
  <c r="D118" i="6" s="1"/>
  <c r="J118" i="2"/>
  <c r="B118" i="8" s="1"/>
  <c r="K118" i="2"/>
  <c r="C118" i="8" s="1"/>
  <c r="M118" i="2"/>
  <c r="B118" i="9" s="1"/>
  <c r="N118" i="2"/>
  <c r="C118" i="9" s="1"/>
  <c r="O118" i="2"/>
  <c r="B118" i="10" s="1"/>
  <c r="P118" i="2"/>
  <c r="C118" i="10" s="1"/>
  <c r="I119" i="2"/>
  <c r="D119" i="6" s="1"/>
  <c r="J119" i="2"/>
  <c r="B119" i="8" s="1"/>
  <c r="K119" i="2"/>
  <c r="C119" i="8" s="1"/>
  <c r="M119" i="2"/>
  <c r="B119" i="9" s="1"/>
  <c r="N119" i="2"/>
  <c r="C119" i="9" s="1"/>
  <c r="O119" i="2"/>
  <c r="B119" i="10" s="1"/>
  <c r="P119" i="2"/>
  <c r="C119" i="10" s="1"/>
  <c r="I120" i="2"/>
  <c r="D120" i="6" s="1"/>
  <c r="J120" i="2"/>
  <c r="B120" i="8" s="1"/>
  <c r="K120" i="2"/>
  <c r="C120" i="8" s="1"/>
  <c r="M120" i="2"/>
  <c r="B120" i="9" s="1"/>
  <c r="N120" i="2"/>
  <c r="C120" i="9" s="1"/>
  <c r="O120" i="2"/>
  <c r="B120" i="10" s="1"/>
  <c r="P120" i="2"/>
  <c r="C120" i="10" s="1"/>
  <c r="I121" i="2"/>
  <c r="D121" i="6" s="1"/>
  <c r="J121" i="2"/>
  <c r="B121" i="8" s="1"/>
  <c r="K121" i="2"/>
  <c r="C121" i="8" s="1"/>
  <c r="M121" i="2"/>
  <c r="B121" i="9" s="1"/>
  <c r="N121" i="2"/>
  <c r="C121" i="9" s="1"/>
  <c r="O121" i="2"/>
  <c r="B121" i="10" s="1"/>
  <c r="P121" i="2"/>
  <c r="C121" i="10" s="1"/>
  <c r="I122" i="2"/>
  <c r="D122" i="6" s="1"/>
  <c r="J122" i="2"/>
  <c r="B122" i="8" s="1"/>
  <c r="K122" i="2"/>
  <c r="C122" i="8" s="1"/>
  <c r="M122" i="2"/>
  <c r="B122" i="9" s="1"/>
  <c r="N122" i="2"/>
  <c r="C122" i="9" s="1"/>
  <c r="O122" i="2"/>
  <c r="B122" i="10" s="1"/>
  <c r="P122" i="2"/>
  <c r="C122" i="10" s="1"/>
  <c r="I123" i="2"/>
  <c r="D123" i="6" s="1"/>
  <c r="J123" i="2"/>
  <c r="B123" i="8" s="1"/>
  <c r="K123" i="2"/>
  <c r="C123" i="8" s="1"/>
  <c r="M123" i="2"/>
  <c r="B123" i="9" s="1"/>
  <c r="N123" i="2"/>
  <c r="C123" i="9" s="1"/>
  <c r="O123" i="2"/>
  <c r="B123" i="10" s="1"/>
  <c r="P123" i="2"/>
  <c r="C123" i="10" s="1"/>
  <c r="I124" i="2"/>
  <c r="D124" i="6" s="1"/>
  <c r="J124" i="2"/>
  <c r="B124" i="8" s="1"/>
  <c r="K124" i="2"/>
  <c r="C124" i="8" s="1"/>
  <c r="M124" i="2"/>
  <c r="B124" i="9" s="1"/>
  <c r="N124" i="2"/>
  <c r="C124" i="9" s="1"/>
  <c r="O124" i="2"/>
  <c r="B124" i="10" s="1"/>
  <c r="P124" i="2"/>
  <c r="C124" i="10" s="1"/>
  <c r="I125" i="2"/>
  <c r="D125" i="6" s="1"/>
  <c r="J125" i="2"/>
  <c r="B125" i="8" s="1"/>
  <c r="K125" i="2"/>
  <c r="C125" i="8" s="1"/>
  <c r="M125" i="2"/>
  <c r="B125" i="9" s="1"/>
  <c r="N125" i="2"/>
  <c r="C125" i="9" s="1"/>
  <c r="O125" i="2"/>
  <c r="B125" i="10" s="1"/>
  <c r="P125" i="2"/>
  <c r="C125" i="10" s="1"/>
  <c r="J6" i="2"/>
  <c r="B6" i="8" s="1"/>
  <c r="K6" i="2"/>
  <c r="C6" i="8" s="1"/>
  <c r="M6" i="2"/>
  <c r="B6" i="9" s="1"/>
  <c r="O6" i="2"/>
  <c r="B6" i="10" s="1"/>
  <c r="O5" i="2"/>
  <c r="B5" i="10" s="1"/>
  <c r="M5" i="2"/>
  <c r="B5" i="9" s="1"/>
  <c r="K5" i="2"/>
  <c r="C5" i="8" s="1"/>
  <c r="J5" i="2"/>
  <c r="B5" i="8" s="1"/>
  <c r="H9" i="2"/>
  <c r="C9" i="6" s="1"/>
  <c r="H10" i="2"/>
  <c r="C10" i="6" s="1"/>
  <c r="H11" i="2"/>
  <c r="C11" i="6" s="1"/>
  <c r="H12" i="2"/>
  <c r="C12" i="6" s="1"/>
  <c r="H13" i="2"/>
  <c r="C13" i="6" s="1"/>
  <c r="H14" i="2"/>
  <c r="C14" i="6" s="1"/>
  <c r="H15" i="2"/>
  <c r="C15" i="6" s="1"/>
  <c r="H16" i="2"/>
  <c r="C16" i="6" s="1"/>
  <c r="H17" i="2"/>
  <c r="C17" i="6" s="1"/>
  <c r="H18" i="2"/>
  <c r="C18" i="6" s="1"/>
  <c r="H19" i="2"/>
  <c r="C19" i="6" s="1"/>
  <c r="H20" i="2"/>
  <c r="C20" i="6" s="1"/>
  <c r="H21" i="2"/>
  <c r="C21" i="6" s="1"/>
  <c r="H22" i="2"/>
  <c r="C22" i="6" s="1"/>
  <c r="H23" i="2"/>
  <c r="C23" i="6" s="1"/>
  <c r="H24" i="2"/>
  <c r="C24" i="6" s="1"/>
  <c r="H25" i="2"/>
  <c r="C25" i="6" s="1"/>
  <c r="H26" i="2"/>
  <c r="C26" i="6" s="1"/>
  <c r="H27" i="2"/>
  <c r="C27" i="6" s="1"/>
  <c r="H28" i="2"/>
  <c r="C28" i="6" s="1"/>
  <c r="H29" i="2"/>
  <c r="C29" i="6" s="1"/>
  <c r="H30" i="2"/>
  <c r="C30" i="6" s="1"/>
  <c r="H31" i="2"/>
  <c r="C31" i="6" s="1"/>
  <c r="H32" i="2"/>
  <c r="C32" i="6" s="1"/>
  <c r="H33" i="2"/>
  <c r="C33" i="6" s="1"/>
  <c r="H34" i="2"/>
  <c r="C34" i="6" s="1"/>
  <c r="H35" i="2"/>
  <c r="C35" i="6" s="1"/>
  <c r="H36" i="2"/>
  <c r="C36" i="6" s="1"/>
  <c r="H37" i="2"/>
  <c r="C37" i="6" s="1"/>
  <c r="H38" i="2"/>
  <c r="C38" i="6" s="1"/>
  <c r="H39" i="2"/>
  <c r="C39" i="6" s="1"/>
  <c r="H40" i="2"/>
  <c r="C40" i="6" s="1"/>
  <c r="H41" i="2"/>
  <c r="C41" i="6" s="1"/>
  <c r="H42" i="2"/>
  <c r="C42" i="6" s="1"/>
  <c r="H43" i="2"/>
  <c r="C43" i="6" s="1"/>
  <c r="H44" i="2"/>
  <c r="C44" i="6" s="1"/>
  <c r="H45" i="2"/>
  <c r="C45" i="6" s="1"/>
  <c r="H46" i="2"/>
  <c r="C46" i="6" s="1"/>
  <c r="H47" i="2"/>
  <c r="C47" i="6" s="1"/>
  <c r="H48" i="2"/>
  <c r="C48" i="6" s="1"/>
  <c r="H49" i="2"/>
  <c r="C49" i="6" s="1"/>
  <c r="H50" i="2"/>
  <c r="C50" i="6" s="1"/>
  <c r="H51" i="2"/>
  <c r="C51" i="6" s="1"/>
  <c r="H52" i="2"/>
  <c r="C52" i="6" s="1"/>
  <c r="H53" i="2"/>
  <c r="C53" i="6" s="1"/>
  <c r="H54" i="2"/>
  <c r="C54" i="6" s="1"/>
  <c r="H55" i="2"/>
  <c r="C55" i="6" s="1"/>
  <c r="H56" i="2"/>
  <c r="C56" i="6" s="1"/>
  <c r="H57" i="2"/>
  <c r="C57" i="6" s="1"/>
  <c r="H58" i="2"/>
  <c r="C58" i="6" s="1"/>
  <c r="H59" i="2"/>
  <c r="C59" i="6" s="1"/>
  <c r="H60" i="2"/>
  <c r="C60" i="6" s="1"/>
  <c r="H61" i="2"/>
  <c r="C61" i="6" s="1"/>
  <c r="H62" i="2"/>
  <c r="C62" i="6" s="1"/>
  <c r="H63" i="2"/>
  <c r="C63" i="6" s="1"/>
  <c r="H64" i="2"/>
  <c r="C64" i="6" s="1"/>
  <c r="H65" i="2"/>
  <c r="C65" i="6" s="1"/>
  <c r="H66" i="2"/>
  <c r="C66" i="6" s="1"/>
  <c r="H67" i="2"/>
  <c r="C67" i="6" s="1"/>
  <c r="H68" i="2"/>
  <c r="C68" i="6" s="1"/>
  <c r="H69" i="2"/>
  <c r="C69" i="6" s="1"/>
  <c r="H70" i="2"/>
  <c r="C70" i="6" s="1"/>
  <c r="H71" i="2"/>
  <c r="C71" i="6" s="1"/>
  <c r="H72" i="2"/>
  <c r="C72" i="6" s="1"/>
  <c r="H73" i="2"/>
  <c r="C73" i="6" s="1"/>
  <c r="H74" i="2"/>
  <c r="C74" i="6" s="1"/>
  <c r="H75" i="2"/>
  <c r="C75" i="6" s="1"/>
  <c r="H76" i="2"/>
  <c r="C76" i="6" s="1"/>
  <c r="H77" i="2"/>
  <c r="C77" i="6" s="1"/>
  <c r="H78" i="2"/>
  <c r="C78" i="6" s="1"/>
  <c r="H79" i="2"/>
  <c r="C79" i="6" s="1"/>
  <c r="H80" i="2"/>
  <c r="C80" i="6" s="1"/>
  <c r="H81" i="2"/>
  <c r="C81" i="6" s="1"/>
  <c r="H82" i="2"/>
  <c r="C82" i="6" s="1"/>
  <c r="H83" i="2"/>
  <c r="C83" i="6" s="1"/>
  <c r="H84" i="2"/>
  <c r="C84" i="6" s="1"/>
  <c r="H85" i="2"/>
  <c r="C85" i="6" s="1"/>
  <c r="H86" i="2"/>
  <c r="C86" i="6" s="1"/>
  <c r="H87" i="2"/>
  <c r="C87" i="6" s="1"/>
  <c r="H88" i="2"/>
  <c r="C88" i="6" s="1"/>
  <c r="H89" i="2"/>
  <c r="C89" i="6" s="1"/>
  <c r="H90" i="2"/>
  <c r="C90" i="6" s="1"/>
  <c r="H91" i="2"/>
  <c r="C91" i="6" s="1"/>
  <c r="H92" i="2"/>
  <c r="C92" i="6" s="1"/>
  <c r="H93" i="2"/>
  <c r="C93" i="6" s="1"/>
  <c r="H94" i="2"/>
  <c r="C94" i="6" s="1"/>
  <c r="H95" i="2"/>
  <c r="C95" i="6" s="1"/>
  <c r="H96" i="2"/>
  <c r="C96" i="6" s="1"/>
  <c r="H97" i="2"/>
  <c r="C97" i="6" s="1"/>
  <c r="H98" i="2"/>
  <c r="C98" i="6" s="1"/>
  <c r="H99" i="2"/>
  <c r="C99" i="6" s="1"/>
  <c r="H100" i="2"/>
  <c r="C100" i="6" s="1"/>
  <c r="H101" i="2"/>
  <c r="C101" i="6" s="1"/>
  <c r="H102" i="2"/>
  <c r="C102" i="6" s="1"/>
  <c r="H103" i="2"/>
  <c r="C103" i="6" s="1"/>
  <c r="H104" i="2"/>
  <c r="C104" i="6" s="1"/>
  <c r="H105" i="2"/>
  <c r="C105" i="6" s="1"/>
  <c r="H106" i="2"/>
  <c r="C106" i="6" s="1"/>
  <c r="H107" i="2"/>
  <c r="C107" i="6" s="1"/>
  <c r="H108" i="2"/>
  <c r="C108" i="6" s="1"/>
  <c r="H109" i="2"/>
  <c r="C109" i="6" s="1"/>
  <c r="H110" i="2"/>
  <c r="C110" i="6" s="1"/>
  <c r="H111" i="2"/>
  <c r="C111" i="6" s="1"/>
  <c r="H112" i="2"/>
  <c r="C112" i="6" s="1"/>
  <c r="H113" i="2"/>
  <c r="C113" i="6" s="1"/>
  <c r="H114" i="2"/>
  <c r="C114" i="6" s="1"/>
  <c r="H115" i="2"/>
  <c r="C115" i="6" s="1"/>
  <c r="H116" i="2"/>
  <c r="C116" i="6" s="1"/>
  <c r="H117" i="2"/>
  <c r="C117" i="6" s="1"/>
  <c r="H118" i="2"/>
  <c r="C118" i="6" s="1"/>
  <c r="H119" i="2"/>
  <c r="C119" i="6" s="1"/>
  <c r="H120" i="2"/>
  <c r="C120" i="6" s="1"/>
  <c r="H121" i="2"/>
  <c r="C121" i="6" s="1"/>
  <c r="H122" i="2"/>
  <c r="C122" i="6" s="1"/>
  <c r="H123" i="2"/>
  <c r="C123" i="6" s="1"/>
  <c r="H124" i="2"/>
  <c r="C124" i="6" s="1"/>
  <c r="H125" i="2"/>
  <c r="C125" i="6" s="1"/>
  <c r="H6" i="2"/>
  <c r="C6" i="6" s="1"/>
  <c r="H7" i="2"/>
  <c r="C7" i="6" s="1"/>
  <c r="H8" i="2"/>
  <c r="C8" i="6" s="1"/>
  <c r="H5" i="2"/>
  <c r="C5" i="6" s="1"/>
  <c r="G8" i="2"/>
  <c r="B8" i="6" s="1"/>
  <c r="G9" i="2"/>
  <c r="B9" i="6" s="1"/>
  <c r="G10" i="2"/>
  <c r="B10" i="6" s="1"/>
  <c r="G11" i="2"/>
  <c r="B11" i="6" s="1"/>
  <c r="G12" i="2"/>
  <c r="B12" i="6" s="1"/>
  <c r="G13" i="2"/>
  <c r="B13" i="6" s="1"/>
  <c r="G14" i="2"/>
  <c r="B14" i="6" s="1"/>
  <c r="G15" i="2"/>
  <c r="B15" i="6" s="1"/>
  <c r="G16" i="2"/>
  <c r="B16" i="6" s="1"/>
  <c r="G17" i="2"/>
  <c r="B17" i="6" s="1"/>
  <c r="G18" i="2"/>
  <c r="B18" i="6" s="1"/>
  <c r="G19" i="2"/>
  <c r="B19" i="6" s="1"/>
  <c r="G20" i="2"/>
  <c r="B20" i="6" s="1"/>
  <c r="G21" i="2"/>
  <c r="B21" i="6" s="1"/>
  <c r="G22" i="2"/>
  <c r="B22" i="6" s="1"/>
  <c r="G23" i="2"/>
  <c r="B23" i="6" s="1"/>
  <c r="G24" i="2"/>
  <c r="B24" i="6" s="1"/>
  <c r="G25" i="2"/>
  <c r="B25" i="6" s="1"/>
  <c r="G26" i="2"/>
  <c r="B26" i="6" s="1"/>
  <c r="G27" i="2"/>
  <c r="B27" i="6" s="1"/>
  <c r="G28" i="2"/>
  <c r="B28" i="6" s="1"/>
  <c r="G29" i="2"/>
  <c r="B29" i="6" s="1"/>
  <c r="G30" i="2"/>
  <c r="B30" i="6" s="1"/>
  <c r="G31" i="2"/>
  <c r="B31" i="6" s="1"/>
  <c r="G32" i="2"/>
  <c r="B32" i="6" s="1"/>
  <c r="G33" i="2"/>
  <c r="B33" i="6" s="1"/>
  <c r="G34" i="2"/>
  <c r="B34" i="6" s="1"/>
  <c r="G35" i="2"/>
  <c r="B35" i="6" s="1"/>
  <c r="G36" i="2"/>
  <c r="B36" i="6" s="1"/>
  <c r="G37" i="2"/>
  <c r="B37" i="6" s="1"/>
  <c r="G38" i="2"/>
  <c r="B38" i="6" s="1"/>
  <c r="G39" i="2"/>
  <c r="B39" i="6" s="1"/>
  <c r="G40" i="2"/>
  <c r="B40" i="6" s="1"/>
  <c r="G41" i="2"/>
  <c r="B41" i="6" s="1"/>
  <c r="G42" i="2"/>
  <c r="B42" i="6" s="1"/>
  <c r="G43" i="2"/>
  <c r="B43" i="6" s="1"/>
  <c r="G44" i="2"/>
  <c r="B44" i="6" s="1"/>
  <c r="G45" i="2"/>
  <c r="B45" i="6" s="1"/>
  <c r="G46" i="2"/>
  <c r="B46" i="6" s="1"/>
  <c r="G47" i="2"/>
  <c r="B47" i="6" s="1"/>
  <c r="G48" i="2"/>
  <c r="B48" i="6" s="1"/>
  <c r="G49" i="2"/>
  <c r="B49" i="6" s="1"/>
  <c r="G50" i="2"/>
  <c r="B50" i="6" s="1"/>
  <c r="G51" i="2"/>
  <c r="B51" i="6" s="1"/>
  <c r="G52" i="2"/>
  <c r="B52" i="6" s="1"/>
  <c r="G53" i="2"/>
  <c r="B53" i="6" s="1"/>
  <c r="G54" i="2"/>
  <c r="B54" i="6" s="1"/>
  <c r="G55" i="2"/>
  <c r="B55" i="6" s="1"/>
  <c r="G56" i="2"/>
  <c r="B56" i="6" s="1"/>
  <c r="G57" i="2"/>
  <c r="B57" i="6" s="1"/>
  <c r="G58" i="2"/>
  <c r="B58" i="6" s="1"/>
  <c r="G59" i="2"/>
  <c r="B59" i="6" s="1"/>
  <c r="G60" i="2"/>
  <c r="B60" i="6" s="1"/>
  <c r="G61" i="2"/>
  <c r="B61" i="6" s="1"/>
  <c r="G62" i="2"/>
  <c r="B62" i="6" s="1"/>
  <c r="G63" i="2"/>
  <c r="B63" i="6" s="1"/>
  <c r="G64" i="2"/>
  <c r="B64" i="6" s="1"/>
  <c r="G65" i="2"/>
  <c r="B65" i="6" s="1"/>
  <c r="G66" i="2"/>
  <c r="B66" i="6" s="1"/>
  <c r="G67" i="2"/>
  <c r="B67" i="6" s="1"/>
  <c r="G68" i="2"/>
  <c r="B68" i="6" s="1"/>
  <c r="G69" i="2"/>
  <c r="B69" i="6" s="1"/>
  <c r="G70" i="2"/>
  <c r="B70" i="6" s="1"/>
  <c r="G71" i="2"/>
  <c r="B71" i="6" s="1"/>
  <c r="G72" i="2"/>
  <c r="B72" i="6" s="1"/>
  <c r="G73" i="2"/>
  <c r="B73" i="6" s="1"/>
  <c r="G74" i="2"/>
  <c r="B74" i="6" s="1"/>
  <c r="G75" i="2"/>
  <c r="B75" i="6" s="1"/>
  <c r="G76" i="2"/>
  <c r="B76" i="6" s="1"/>
  <c r="G77" i="2"/>
  <c r="B77" i="6" s="1"/>
  <c r="G78" i="2"/>
  <c r="B78" i="6" s="1"/>
  <c r="G79" i="2"/>
  <c r="B79" i="6" s="1"/>
  <c r="G80" i="2"/>
  <c r="B80" i="6" s="1"/>
  <c r="G81" i="2"/>
  <c r="B81" i="6" s="1"/>
  <c r="G82" i="2"/>
  <c r="B82" i="6" s="1"/>
  <c r="G83" i="2"/>
  <c r="B83" i="6" s="1"/>
  <c r="G84" i="2"/>
  <c r="B84" i="6" s="1"/>
  <c r="G85" i="2"/>
  <c r="B85" i="6" s="1"/>
  <c r="G86" i="2"/>
  <c r="B86" i="6" s="1"/>
  <c r="G87" i="2"/>
  <c r="B87" i="6" s="1"/>
  <c r="G88" i="2"/>
  <c r="B88" i="6" s="1"/>
  <c r="G89" i="2"/>
  <c r="B89" i="6" s="1"/>
  <c r="G90" i="2"/>
  <c r="B90" i="6" s="1"/>
  <c r="G91" i="2"/>
  <c r="B91" i="6" s="1"/>
  <c r="G92" i="2"/>
  <c r="B92" i="6" s="1"/>
  <c r="G93" i="2"/>
  <c r="B93" i="6" s="1"/>
  <c r="G94" i="2"/>
  <c r="B94" i="6" s="1"/>
  <c r="G95" i="2"/>
  <c r="B95" i="6" s="1"/>
  <c r="G96" i="2"/>
  <c r="B96" i="6" s="1"/>
  <c r="G97" i="2"/>
  <c r="B97" i="6" s="1"/>
  <c r="G98" i="2"/>
  <c r="B98" i="6" s="1"/>
  <c r="G99" i="2"/>
  <c r="B99" i="6" s="1"/>
  <c r="G100" i="2"/>
  <c r="B100" i="6" s="1"/>
  <c r="G101" i="2"/>
  <c r="B101" i="6" s="1"/>
  <c r="G102" i="2"/>
  <c r="B102" i="6" s="1"/>
  <c r="G103" i="2"/>
  <c r="B103" i="6" s="1"/>
  <c r="G104" i="2"/>
  <c r="B104" i="6" s="1"/>
  <c r="G105" i="2"/>
  <c r="B105" i="6" s="1"/>
  <c r="G106" i="2"/>
  <c r="B106" i="6" s="1"/>
  <c r="G107" i="2"/>
  <c r="B107" i="6" s="1"/>
  <c r="G108" i="2"/>
  <c r="B108" i="6" s="1"/>
  <c r="G109" i="2"/>
  <c r="B109" i="6" s="1"/>
  <c r="G110" i="2"/>
  <c r="B110" i="6" s="1"/>
  <c r="G111" i="2"/>
  <c r="B111" i="6" s="1"/>
  <c r="G112" i="2"/>
  <c r="B112" i="6" s="1"/>
  <c r="G113" i="2"/>
  <c r="B113" i="6" s="1"/>
  <c r="G114" i="2"/>
  <c r="B114" i="6" s="1"/>
  <c r="G115" i="2"/>
  <c r="B115" i="6" s="1"/>
  <c r="G116" i="2"/>
  <c r="B116" i="6" s="1"/>
  <c r="G117" i="2"/>
  <c r="B117" i="6" s="1"/>
  <c r="G118" i="2"/>
  <c r="B118" i="6" s="1"/>
  <c r="G119" i="2"/>
  <c r="B119" i="6" s="1"/>
  <c r="G120" i="2"/>
  <c r="B120" i="6" s="1"/>
  <c r="G121" i="2"/>
  <c r="B121" i="6" s="1"/>
  <c r="G122" i="2"/>
  <c r="B122" i="6" s="1"/>
  <c r="G123" i="2"/>
  <c r="B123" i="6" s="1"/>
  <c r="G124" i="2"/>
  <c r="B124" i="6" s="1"/>
  <c r="G125" i="2"/>
  <c r="B125" i="6" s="1"/>
  <c r="G6" i="2"/>
  <c r="B6" i="6" s="1"/>
  <c r="G7" i="2"/>
  <c r="B7" i="6" s="1"/>
  <c r="G5" i="2"/>
  <c r="B5" i="6" s="1"/>
  <c r="F75" i="2"/>
  <c r="F75" i="7" s="1"/>
  <c r="F76" i="2"/>
  <c r="F76" i="7" s="1"/>
  <c r="F78" i="2"/>
  <c r="F78" i="7" s="1"/>
  <c r="F79" i="2"/>
  <c r="F79" i="7" s="1"/>
  <c r="F80" i="2"/>
  <c r="F80" i="7" s="1"/>
  <c r="F81" i="2"/>
  <c r="F81" i="7" s="1"/>
  <c r="F82" i="2"/>
  <c r="F82" i="7" s="1"/>
  <c r="F83" i="2"/>
  <c r="F83" i="7" s="1"/>
  <c r="F84" i="2"/>
  <c r="F84" i="7" s="1"/>
  <c r="F86" i="2"/>
  <c r="F86" i="7" s="1"/>
  <c r="F87" i="2"/>
  <c r="F87" i="7" s="1"/>
  <c r="F88" i="2"/>
  <c r="F88" i="7" s="1"/>
  <c r="F89" i="2"/>
  <c r="F89" i="7" s="1"/>
  <c r="F90" i="2"/>
  <c r="F90" i="7" s="1"/>
  <c r="F91" i="2"/>
  <c r="F91" i="7" s="1"/>
  <c r="F92" i="2"/>
  <c r="F92" i="7" s="1"/>
  <c r="F94" i="2"/>
  <c r="F94" i="7" s="1"/>
  <c r="F95" i="2"/>
  <c r="F95" i="7" s="1"/>
  <c r="F96" i="2"/>
  <c r="F96" i="7" s="1"/>
  <c r="F97" i="2"/>
  <c r="F97" i="7" s="1"/>
  <c r="F98" i="2"/>
  <c r="F98" i="7" s="1"/>
  <c r="F99" i="2"/>
  <c r="F99" i="7" s="1"/>
  <c r="F100" i="2"/>
  <c r="F100" i="7" s="1"/>
  <c r="F102" i="2"/>
  <c r="F102" i="7" s="1"/>
  <c r="F103" i="2"/>
  <c r="F103" i="7" s="1"/>
  <c r="F104" i="2"/>
  <c r="F104" i="7" s="1"/>
  <c r="F105" i="2"/>
  <c r="F105" i="7" s="1"/>
  <c r="F106" i="2"/>
  <c r="F106" i="7" s="1"/>
  <c r="F107" i="2"/>
  <c r="F107" i="7" s="1"/>
  <c r="F108" i="2"/>
  <c r="F108" i="7" s="1"/>
  <c r="F111" i="2"/>
  <c r="F111" i="7" s="1"/>
  <c r="F112" i="2"/>
  <c r="F112" i="7" s="1"/>
  <c r="F113" i="2"/>
  <c r="F113" i="7" s="1"/>
  <c r="F114" i="2"/>
  <c r="F114" i="7" s="1"/>
  <c r="F115" i="2"/>
  <c r="F115" i="7" s="1"/>
  <c r="F116" i="2"/>
  <c r="F116" i="7" s="1"/>
  <c r="F118" i="2"/>
  <c r="F118" i="7" s="1"/>
  <c r="F119" i="2"/>
  <c r="F119" i="7" s="1"/>
  <c r="F120" i="2"/>
  <c r="F120" i="7" s="1"/>
  <c r="F121" i="2"/>
  <c r="F121" i="7" s="1"/>
  <c r="F122" i="2"/>
  <c r="F122" i="7" s="1"/>
  <c r="F123" i="2"/>
  <c r="F123" i="7" s="1"/>
  <c r="F124" i="2"/>
  <c r="F124" i="7" s="1"/>
  <c r="F5" i="2"/>
  <c r="F5" i="7" s="1"/>
  <c r="E75" i="2"/>
  <c r="E75" i="7" s="1"/>
  <c r="E76" i="2"/>
  <c r="E76" i="7" s="1"/>
  <c r="E78" i="2"/>
  <c r="E78" i="7" s="1"/>
  <c r="E79" i="2"/>
  <c r="E79" i="7" s="1"/>
  <c r="E80" i="2"/>
  <c r="E80" i="7" s="1"/>
  <c r="E81" i="2"/>
  <c r="E81" i="7" s="1"/>
  <c r="E82" i="2"/>
  <c r="E82" i="7" s="1"/>
  <c r="E83" i="2"/>
  <c r="E83" i="7" s="1"/>
  <c r="E84" i="2"/>
  <c r="E84" i="7" s="1"/>
  <c r="E86" i="2"/>
  <c r="E86" i="7" s="1"/>
  <c r="E87" i="2"/>
  <c r="E87" i="7" s="1"/>
  <c r="E88" i="2"/>
  <c r="E88" i="7" s="1"/>
  <c r="E89" i="2"/>
  <c r="E89" i="7" s="1"/>
  <c r="E90" i="2"/>
  <c r="E90" i="7" s="1"/>
  <c r="E91" i="2"/>
  <c r="E91" i="7" s="1"/>
  <c r="E92" i="2"/>
  <c r="E92" i="7" s="1"/>
  <c r="E94" i="2"/>
  <c r="E94" i="7" s="1"/>
  <c r="E95" i="2"/>
  <c r="E95" i="7" s="1"/>
  <c r="E96" i="2"/>
  <c r="E96" i="7" s="1"/>
  <c r="E97" i="2"/>
  <c r="E97" i="7" s="1"/>
  <c r="E98" i="2"/>
  <c r="E98" i="7" s="1"/>
  <c r="E99" i="2"/>
  <c r="E99" i="7" s="1"/>
  <c r="E100" i="2"/>
  <c r="E100" i="7" s="1"/>
  <c r="E102" i="2"/>
  <c r="E102" i="7" s="1"/>
  <c r="E103" i="2"/>
  <c r="E103" i="7" s="1"/>
  <c r="E104" i="2"/>
  <c r="E104" i="7" s="1"/>
  <c r="E105" i="2"/>
  <c r="E105" i="7" s="1"/>
  <c r="E106" i="2"/>
  <c r="E106" i="7" s="1"/>
  <c r="E107" i="2"/>
  <c r="E107" i="7" s="1"/>
  <c r="E108" i="2"/>
  <c r="E108" i="7" s="1"/>
  <c r="E111" i="2"/>
  <c r="E111" i="7" s="1"/>
  <c r="E112" i="2"/>
  <c r="E112" i="7" s="1"/>
  <c r="E113" i="2"/>
  <c r="E113" i="7" s="1"/>
  <c r="E114" i="2"/>
  <c r="E114" i="7" s="1"/>
  <c r="E115" i="2"/>
  <c r="E115" i="7" s="1"/>
  <c r="E116" i="2"/>
  <c r="E116" i="7" s="1"/>
  <c r="E118" i="2"/>
  <c r="E118" i="7" s="1"/>
  <c r="E119" i="2"/>
  <c r="E119" i="7" s="1"/>
  <c r="E120" i="2"/>
  <c r="E120" i="7" s="1"/>
  <c r="E121" i="2"/>
  <c r="E121" i="7" s="1"/>
  <c r="E122" i="2"/>
  <c r="E122" i="7" s="1"/>
  <c r="E123" i="2"/>
  <c r="E123" i="7" s="1"/>
  <c r="E124" i="2"/>
  <c r="E124" i="7" s="1"/>
  <c r="E5" i="2"/>
  <c r="E5" i="7" s="1"/>
  <c r="D10" i="2"/>
  <c r="D10" i="7" s="1"/>
  <c r="D11" i="2"/>
  <c r="D11" i="7" s="1"/>
  <c r="D12" i="2"/>
  <c r="D12" i="7" s="1"/>
  <c r="D13" i="2"/>
  <c r="D13" i="7" s="1"/>
  <c r="D14" i="2"/>
  <c r="D14" i="7" s="1"/>
  <c r="D15" i="2"/>
  <c r="D15" i="7" s="1"/>
  <c r="D16" i="2"/>
  <c r="D16" i="7" s="1"/>
  <c r="D17" i="2"/>
  <c r="D17" i="7" s="1"/>
  <c r="D18" i="2"/>
  <c r="D18" i="7" s="1"/>
  <c r="D19" i="2"/>
  <c r="D19" i="7" s="1"/>
  <c r="D20" i="2"/>
  <c r="D20" i="7" s="1"/>
  <c r="D21" i="2"/>
  <c r="D21" i="7" s="1"/>
  <c r="D22" i="2"/>
  <c r="D22" i="7" s="1"/>
  <c r="D23" i="2"/>
  <c r="D23" i="7" s="1"/>
  <c r="D24" i="2"/>
  <c r="D24" i="7" s="1"/>
  <c r="D25" i="2"/>
  <c r="D25" i="7" s="1"/>
  <c r="D26" i="2"/>
  <c r="D26" i="7" s="1"/>
  <c r="D27" i="2"/>
  <c r="D27" i="7" s="1"/>
  <c r="D28" i="2"/>
  <c r="D28" i="7" s="1"/>
  <c r="D29" i="2"/>
  <c r="D29" i="7" s="1"/>
  <c r="D30" i="2"/>
  <c r="D30" i="7" s="1"/>
  <c r="D31" i="2"/>
  <c r="D31" i="7" s="1"/>
  <c r="D32" i="2"/>
  <c r="D32" i="7" s="1"/>
  <c r="D33" i="2"/>
  <c r="D33" i="7" s="1"/>
  <c r="D34" i="2"/>
  <c r="D34" i="7" s="1"/>
  <c r="D35" i="2"/>
  <c r="D35" i="7" s="1"/>
  <c r="D36" i="2"/>
  <c r="D36" i="7" s="1"/>
  <c r="D37" i="2"/>
  <c r="D37" i="7" s="1"/>
  <c r="D38" i="2"/>
  <c r="D38" i="7" s="1"/>
  <c r="D39" i="2"/>
  <c r="D39" i="7" s="1"/>
  <c r="D40" i="2"/>
  <c r="D40" i="7" s="1"/>
  <c r="D41" i="2"/>
  <c r="D41" i="7" s="1"/>
  <c r="D42" i="2"/>
  <c r="D42" i="7" s="1"/>
  <c r="D43" i="2"/>
  <c r="D43" i="7" s="1"/>
  <c r="D44" i="2"/>
  <c r="D44" i="7" s="1"/>
  <c r="D45" i="2"/>
  <c r="D45" i="7" s="1"/>
  <c r="D46" i="2"/>
  <c r="D46" i="7" s="1"/>
  <c r="D47" i="2"/>
  <c r="D47" i="7" s="1"/>
  <c r="D48" i="2"/>
  <c r="D48" i="7" s="1"/>
  <c r="D49" i="2"/>
  <c r="D49" i="7" s="1"/>
  <c r="D50" i="2"/>
  <c r="D50" i="7" s="1"/>
  <c r="D51" i="2"/>
  <c r="D51" i="7" s="1"/>
  <c r="D52" i="2"/>
  <c r="D52" i="7" s="1"/>
  <c r="D53" i="2"/>
  <c r="D53" i="7" s="1"/>
  <c r="D54" i="2"/>
  <c r="D54" i="7" s="1"/>
  <c r="D55" i="2"/>
  <c r="D55" i="7" s="1"/>
  <c r="D56" i="2"/>
  <c r="D56" i="7" s="1"/>
  <c r="D57" i="2"/>
  <c r="D57" i="7" s="1"/>
  <c r="D58" i="2"/>
  <c r="D58" i="7" s="1"/>
  <c r="D59" i="2"/>
  <c r="D59" i="7" s="1"/>
  <c r="D60" i="2"/>
  <c r="D60" i="7" s="1"/>
  <c r="D61" i="2"/>
  <c r="D61" i="7" s="1"/>
  <c r="D62" i="2"/>
  <c r="D62" i="7" s="1"/>
  <c r="D63" i="2"/>
  <c r="D63" i="7" s="1"/>
  <c r="D64" i="2"/>
  <c r="D64" i="7" s="1"/>
  <c r="D65" i="2"/>
  <c r="D65" i="7" s="1"/>
  <c r="D66" i="2"/>
  <c r="D66" i="7" s="1"/>
  <c r="D67" i="2"/>
  <c r="D67" i="7" s="1"/>
  <c r="D68" i="2"/>
  <c r="D68" i="7" s="1"/>
  <c r="D69" i="2"/>
  <c r="D69" i="7" s="1"/>
  <c r="D70" i="2"/>
  <c r="D70" i="7" s="1"/>
  <c r="D71" i="2"/>
  <c r="D71" i="7" s="1"/>
  <c r="D72" i="2"/>
  <c r="D72" i="7" s="1"/>
  <c r="D73" i="2"/>
  <c r="D73" i="7" s="1"/>
  <c r="D74" i="2"/>
  <c r="D74" i="7" s="1"/>
  <c r="D75" i="2"/>
  <c r="D75" i="7" s="1"/>
  <c r="D76" i="2"/>
  <c r="D76" i="7" s="1"/>
  <c r="D77" i="2"/>
  <c r="D77" i="7" s="1"/>
  <c r="D78" i="2"/>
  <c r="D78" i="7" s="1"/>
  <c r="D79" i="2"/>
  <c r="D79" i="7" s="1"/>
  <c r="D80" i="2"/>
  <c r="D80" i="7" s="1"/>
  <c r="D81" i="2"/>
  <c r="D81" i="7" s="1"/>
  <c r="D82" i="2"/>
  <c r="D82" i="7" s="1"/>
  <c r="D83" i="2"/>
  <c r="D83" i="7" s="1"/>
  <c r="D84" i="2"/>
  <c r="D84" i="7" s="1"/>
  <c r="D85" i="2"/>
  <c r="D85" i="7" s="1"/>
  <c r="D86" i="2"/>
  <c r="D86" i="7" s="1"/>
  <c r="D87" i="2"/>
  <c r="D87" i="7" s="1"/>
  <c r="D88" i="2"/>
  <c r="D88" i="7" s="1"/>
  <c r="D89" i="2"/>
  <c r="D89" i="7" s="1"/>
  <c r="D90" i="2"/>
  <c r="D90" i="7" s="1"/>
  <c r="D91" i="2"/>
  <c r="D91" i="7" s="1"/>
  <c r="D92" i="2"/>
  <c r="D92" i="7" s="1"/>
  <c r="D93" i="2"/>
  <c r="D93" i="7" s="1"/>
  <c r="D94" i="2"/>
  <c r="D94" i="7" s="1"/>
  <c r="D95" i="2"/>
  <c r="D95" i="7" s="1"/>
  <c r="D96" i="2"/>
  <c r="D96" i="7" s="1"/>
  <c r="D97" i="2"/>
  <c r="D97" i="7" s="1"/>
  <c r="D98" i="2"/>
  <c r="D98" i="7" s="1"/>
  <c r="D99" i="2"/>
  <c r="D99" i="7" s="1"/>
  <c r="D100" i="2"/>
  <c r="D100" i="7" s="1"/>
  <c r="D101" i="2"/>
  <c r="D101" i="7" s="1"/>
  <c r="D102" i="2"/>
  <c r="D102" i="7" s="1"/>
  <c r="D103" i="2"/>
  <c r="D103" i="7" s="1"/>
  <c r="D104" i="2"/>
  <c r="D104" i="7" s="1"/>
  <c r="D105" i="2"/>
  <c r="D105" i="7" s="1"/>
  <c r="D106" i="2"/>
  <c r="D106" i="7" s="1"/>
  <c r="D107" i="2"/>
  <c r="D107" i="7" s="1"/>
  <c r="D108" i="2"/>
  <c r="D108" i="7" s="1"/>
  <c r="D109" i="2"/>
  <c r="D109" i="7" s="1"/>
  <c r="D110" i="2"/>
  <c r="D110" i="7" s="1"/>
  <c r="D111" i="2"/>
  <c r="D111" i="7" s="1"/>
  <c r="D112" i="2"/>
  <c r="D112" i="7" s="1"/>
  <c r="D113" i="2"/>
  <c r="D113" i="7" s="1"/>
  <c r="D114" i="2"/>
  <c r="D114" i="7" s="1"/>
  <c r="D115" i="2"/>
  <c r="D115" i="7" s="1"/>
  <c r="D116" i="2"/>
  <c r="D116" i="7" s="1"/>
  <c r="D117" i="2"/>
  <c r="D117" i="7" s="1"/>
  <c r="D118" i="2"/>
  <c r="D118" i="7" s="1"/>
  <c r="D119" i="2"/>
  <c r="D119" i="7" s="1"/>
  <c r="D120" i="2"/>
  <c r="D120" i="7" s="1"/>
  <c r="D121" i="2"/>
  <c r="D121" i="7" s="1"/>
  <c r="D122" i="2"/>
  <c r="D122" i="7" s="1"/>
  <c r="D123" i="2"/>
  <c r="D123" i="7" s="1"/>
  <c r="D124" i="2"/>
  <c r="D124" i="7" s="1"/>
  <c r="D125" i="2"/>
  <c r="D125" i="7" s="1"/>
  <c r="D6" i="2"/>
  <c r="D6" i="7" s="1"/>
  <c r="D7" i="2"/>
  <c r="D7" i="7" s="1"/>
  <c r="D8" i="2"/>
  <c r="D8" i="7" s="1"/>
  <c r="D9" i="2"/>
  <c r="D9" i="7" s="1"/>
  <c r="D5" i="2"/>
  <c r="D5" i="7" s="1"/>
  <c r="C17" i="2"/>
  <c r="C17" i="7" s="1"/>
  <c r="C18" i="2"/>
  <c r="C18" i="7" s="1"/>
  <c r="C19" i="2"/>
  <c r="C19" i="7" s="1"/>
  <c r="C20" i="2"/>
  <c r="C20" i="7" s="1"/>
  <c r="C21" i="2"/>
  <c r="C21" i="7" s="1"/>
  <c r="C22" i="2"/>
  <c r="C22" i="7" s="1"/>
  <c r="C23" i="2"/>
  <c r="C23" i="7" s="1"/>
  <c r="C24" i="2"/>
  <c r="C24" i="7" s="1"/>
  <c r="C25" i="2"/>
  <c r="C25" i="7" s="1"/>
  <c r="C26" i="2"/>
  <c r="C26" i="7" s="1"/>
  <c r="C27" i="2"/>
  <c r="C27" i="7" s="1"/>
  <c r="C28" i="2"/>
  <c r="C28" i="7" s="1"/>
  <c r="C29" i="2"/>
  <c r="C29" i="7" s="1"/>
  <c r="C30" i="2"/>
  <c r="C30" i="7" s="1"/>
  <c r="C31" i="2"/>
  <c r="C31" i="7" s="1"/>
  <c r="C32" i="2"/>
  <c r="C32" i="7" s="1"/>
  <c r="C33" i="2"/>
  <c r="C33" i="7" s="1"/>
  <c r="C34" i="2"/>
  <c r="C34" i="7" s="1"/>
  <c r="C35" i="2"/>
  <c r="C35" i="7" s="1"/>
  <c r="C36" i="2"/>
  <c r="C36" i="7" s="1"/>
  <c r="C37" i="2"/>
  <c r="C37" i="7" s="1"/>
  <c r="C38" i="2"/>
  <c r="C38" i="7" s="1"/>
  <c r="C39" i="2"/>
  <c r="C39" i="7" s="1"/>
  <c r="C40" i="2"/>
  <c r="C40" i="7" s="1"/>
  <c r="C41" i="2"/>
  <c r="C41" i="7" s="1"/>
  <c r="C42" i="2"/>
  <c r="C42" i="7" s="1"/>
  <c r="C43" i="2"/>
  <c r="C43" i="7" s="1"/>
  <c r="C44" i="2"/>
  <c r="C44" i="7" s="1"/>
  <c r="C45" i="2"/>
  <c r="C45" i="7" s="1"/>
  <c r="C46" i="2"/>
  <c r="C46" i="7" s="1"/>
  <c r="C47" i="2"/>
  <c r="C47" i="7" s="1"/>
  <c r="C48" i="2"/>
  <c r="C48" i="7" s="1"/>
  <c r="C49" i="2"/>
  <c r="C49" i="7" s="1"/>
  <c r="C50" i="2"/>
  <c r="C50" i="7" s="1"/>
  <c r="C51" i="2"/>
  <c r="C51" i="7" s="1"/>
  <c r="C52" i="2"/>
  <c r="C52" i="7" s="1"/>
  <c r="C53" i="2"/>
  <c r="C53" i="7" s="1"/>
  <c r="C54" i="2"/>
  <c r="C54" i="7" s="1"/>
  <c r="C55" i="2"/>
  <c r="C55" i="7" s="1"/>
  <c r="C56" i="2"/>
  <c r="C56" i="7" s="1"/>
  <c r="C57" i="2"/>
  <c r="C57" i="7" s="1"/>
  <c r="C58" i="2"/>
  <c r="C58" i="7" s="1"/>
  <c r="C59" i="2"/>
  <c r="C59" i="7" s="1"/>
  <c r="C60" i="2"/>
  <c r="C60" i="7" s="1"/>
  <c r="C61" i="2"/>
  <c r="C61" i="7" s="1"/>
  <c r="C62" i="2"/>
  <c r="C62" i="7" s="1"/>
  <c r="C63" i="2"/>
  <c r="C63" i="7" s="1"/>
  <c r="C64" i="2"/>
  <c r="C64" i="7" s="1"/>
  <c r="C65" i="2"/>
  <c r="C65" i="7" s="1"/>
  <c r="C66" i="2"/>
  <c r="C66" i="7" s="1"/>
  <c r="C67" i="2"/>
  <c r="C67" i="7" s="1"/>
  <c r="C68" i="2"/>
  <c r="C68" i="7" s="1"/>
  <c r="C69" i="2"/>
  <c r="C69" i="7" s="1"/>
  <c r="C70" i="2"/>
  <c r="C70" i="7" s="1"/>
  <c r="C71" i="2"/>
  <c r="C71" i="7" s="1"/>
  <c r="C72" i="2"/>
  <c r="C72" i="7" s="1"/>
  <c r="C73" i="2"/>
  <c r="C73" i="7" s="1"/>
  <c r="C74" i="2"/>
  <c r="C74" i="7" s="1"/>
  <c r="C75" i="2"/>
  <c r="C75" i="7" s="1"/>
  <c r="C76" i="2"/>
  <c r="C76" i="7" s="1"/>
  <c r="C77" i="2"/>
  <c r="C77" i="7" s="1"/>
  <c r="C78" i="2"/>
  <c r="C78" i="7" s="1"/>
  <c r="C79" i="2"/>
  <c r="C79" i="7" s="1"/>
  <c r="C80" i="2"/>
  <c r="C80" i="7" s="1"/>
  <c r="C81" i="2"/>
  <c r="C81" i="7" s="1"/>
  <c r="C82" i="2"/>
  <c r="C82" i="7" s="1"/>
  <c r="C83" i="2"/>
  <c r="C83" i="7" s="1"/>
  <c r="C84" i="2"/>
  <c r="C84" i="7" s="1"/>
  <c r="C85" i="2"/>
  <c r="C85" i="7" s="1"/>
  <c r="C86" i="2"/>
  <c r="C86" i="7" s="1"/>
  <c r="C87" i="2"/>
  <c r="C87" i="7" s="1"/>
  <c r="C88" i="2"/>
  <c r="C88" i="7" s="1"/>
  <c r="C89" i="2"/>
  <c r="C89" i="7" s="1"/>
  <c r="C90" i="2"/>
  <c r="C90" i="7" s="1"/>
  <c r="C91" i="2"/>
  <c r="C91" i="7" s="1"/>
  <c r="C92" i="2"/>
  <c r="C92" i="7" s="1"/>
  <c r="C93" i="2"/>
  <c r="C93" i="7" s="1"/>
  <c r="C94" i="2"/>
  <c r="C94" i="7" s="1"/>
  <c r="C95" i="2"/>
  <c r="C95" i="7" s="1"/>
  <c r="C96" i="2"/>
  <c r="C96" i="7" s="1"/>
  <c r="C97" i="2"/>
  <c r="C97" i="7" s="1"/>
  <c r="C98" i="2"/>
  <c r="C98" i="7" s="1"/>
  <c r="C99" i="2"/>
  <c r="C99" i="7" s="1"/>
  <c r="C100" i="2"/>
  <c r="C100" i="7" s="1"/>
  <c r="C101" i="2"/>
  <c r="C101" i="7" s="1"/>
  <c r="C102" i="2"/>
  <c r="C102" i="7" s="1"/>
  <c r="C103" i="2"/>
  <c r="C103" i="7" s="1"/>
  <c r="C104" i="2"/>
  <c r="C104" i="7" s="1"/>
  <c r="C105" i="2"/>
  <c r="C105" i="7" s="1"/>
  <c r="C106" i="2"/>
  <c r="C106" i="7" s="1"/>
  <c r="C107" i="2"/>
  <c r="C107" i="7" s="1"/>
  <c r="C108" i="2"/>
  <c r="C108" i="7" s="1"/>
  <c r="C109" i="2"/>
  <c r="C109" i="7" s="1"/>
  <c r="C110" i="2"/>
  <c r="C110" i="7" s="1"/>
  <c r="C111" i="2"/>
  <c r="C111" i="7" s="1"/>
  <c r="C112" i="2"/>
  <c r="C112" i="7" s="1"/>
  <c r="C113" i="2"/>
  <c r="C113" i="7" s="1"/>
  <c r="C114" i="2"/>
  <c r="C114" i="7" s="1"/>
  <c r="C115" i="2"/>
  <c r="C115" i="7" s="1"/>
  <c r="C116" i="2"/>
  <c r="C116" i="7" s="1"/>
  <c r="C117" i="2"/>
  <c r="C117" i="7" s="1"/>
  <c r="C118" i="2"/>
  <c r="C118" i="7" s="1"/>
  <c r="C119" i="2"/>
  <c r="C119" i="7" s="1"/>
  <c r="C120" i="2"/>
  <c r="C120" i="7" s="1"/>
  <c r="C121" i="2"/>
  <c r="C121" i="7" s="1"/>
  <c r="C122" i="2"/>
  <c r="C122" i="7" s="1"/>
  <c r="C123" i="2"/>
  <c r="C123" i="7" s="1"/>
  <c r="C124" i="2"/>
  <c r="C124" i="7" s="1"/>
  <c r="C125" i="2"/>
  <c r="C125" i="7" s="1"/>
  <c r="C10" i="2"/>
  <c r="C10" i="7" s="1"/>
  <c r="C11" i="2"/>
  <c r="C11" i="7" s="1"/>
  <c r="C12" i="2"/>
  <c r="C12" i="7" s="1"/>
  <c r="C13" i="2"/>
  <c r="C13" i="7" s="1"/>
  <c r="C14" i="2"/>
  <c r="C14" i="7" s="1"/>
  <c r="C15" i="2"/>
  <c r="C15" i="7" s="1"/>
  <c r="C16" i="2"/>
  <c r="C16" i="7" s="1"/>
  <c r="C6" i="2"/>
  <c r="C6" i="7" s="1"/>
  <c r="C7" i="2"/>
  <c r="C7" i="7" s="1"/>
  <c r="C8" i="2"/>
  <c r="C8" i="7" s="1"/>
  <c r="C9" i="2"/>
  <c r="C9" i="7" s="1"/>
  <c r="C5" i="2"/>
  <c r="C5" i="7" s="1"/>
  <c r="B5" i="2"/>
  <c r="B5" i="7" s="1"/>
  <c r="B6" i="2"/>
  <c r="B6" i="7" s="1"/>
  <c r="B7" i="2"/>
  <c r="B7" i="7" s="1"/>
  <c r="B36" i="2"/>
  <c r="B36" i="7" s="1"/>
  <c r="B37" i="2"/>
  <c r="B37" i="7" s="1"/>
  <c r="B38" i="2"/>
  <c r="B38" i="7" s="1"/>
  <c r="B39" i="2"/>
  <c r="B39" i="7" s="1"/>
  <c r="B40" i="2"/>
  <c r="B40" i="7" s="1"/>
  <c r="B41" i="2"/>
  <c r="B41" i="7" s="1"/>
  <c r="B42" i="2"/>
  <c r="B42" i="7" s="1"/>
  <c r="B43" i="2"/>
  <c r="B43" i="7" s="1"/>
  <c r="B44" i="2"/>
  <c r="B44" i="7" s="1"/>
  <c r="B45" i="2"/>
  <c r="B45" i="7" s="1"/>
  <c r="B46" i="2"/>
  <c r="B46" i="7" s="1"/>
  <c r="B47" i="2"/>
  <c r="B47" i="7" s="1"/>
  <c r="B48" i="2"/>
  <c r="B48" i="7" s="1"/>
  <c r="B49" i="2"/>
  <c r="B49" i="7" s="1"/>
  <c r="B50" i="2"/>
  <c r="B50" i="7" s="1"/>
  <c r="B51" i="2"/>
  <c r="B51" i="7" s="1"/>
  <c r="B52" i="2"/>
  <c r="B52" i="7" s="1"/>
  <c r="B53" i="2"/>
  <c r="B53" i="7" s="1"/>
  <c r="B54" i="2"/>
  <c r="B54" i="7" s="1"/>
  <c r="B55" i="2"/>
  <c r="B55" i="7" s="1"/>
  <c r="B56" i="2"/>
  <c r="B56" i="7" s="1"/>
  <c r="B57" i="2"/>
  <c r="B57" i="7" s="1"/>
  <c r="B58" i="2"/>
  <c r="B58" i="7" s="1"/>
  <c r="B59" i="2"/>
  <c r="B59" i="7" s="1"/>
  <c r="B60" i="2"/>
  <c r="B60" i="7" s="1"/>
  <c r="B61" i="2"/>
  <c r="B61" i="7" s="1"/>
  <c r="B62" i="2"/>
  <c r="B62" i="7" s="1"/>
  <c r="B63" i="2"/>
  <c r="B63" i="7" s="1"/>
  <c r="B64" i="2"/>
  <c r="B64" i="7" s="1"/>
  <c r="B65" i="2"/>
  <c r="B65" i="7" s="1"/>
  <c r="B66" i="2"/>
  <c r="B66" i="7" s="1"/>
  <c r="B67" i="2"/>
  <c r="B67" i="7" s="1"/>
  <c r="B68" i="2"/>
  <c r="B68" i="7" s="1"/>
  <c r="B69" i="2"/>
  <c r="B69" i="7" s="1"/>
  <c r="B70" i="2"/>
  <c r="B70" i="7" s="1"/>
  <c r="B71" i="2"/>
  <c r="B71" i="7" s="1"/>
  <c r="B72" i="2"/>
  <c r="B72" i="7" s="1"/>
  <c r="B73" i="2"/>
  <c r="B73" i="7" s="1"/>
  <c r="B74" i="2"/>
  <c r="B74" i="7" s="1"/>
  <c r="B75" i="2"/>
  <c r="B75" i="7" s="1"/>
  <c r="B76" i="2"/>
  <c r="B76" i="7" s="1"/>
  <c r="B77" i="2"/>
  <c r="B77" i="7" s="1"/>
  <c r="B78" i="2"/>
  <c r="B78" i="7" s="1"/>
  <c r="B79" i="2"/>
  <c r="B79" i="7" s="1"/>
  <c r="B80" i="2"/>
  <c r="B80" i="7" s="1"/>
  <c r="B81" i="2"/>
  <c r="B81" i="7" s="1"/>
  <c r="B82" i="2"/>
  <c r="B82" i="7" s="1"/>
  <c r="B83" i="2"/>
  <c r="B83" i="7" s="1"/>
  <c r="B84" i="2"/>
  <c r="B84" i="7" s="1"/>
  <c r="B85" i="2"/>
  <c r="B85" i="7" s="1"/>
  <c r="B86" i="2"/>
  <c r="B86" i="7" s="1"/>
  <c r="B87" i="2"/>
  <c r="B87" i="7" s="1"/>
  <c r="B88" i="2"/>
  <c r="B88" i="7" s="1"/>
  <c r="B89" i="2"/>
  <c r="B89" i="7" s="1"/>
  <c r="B90" i="2"/>
  <c r="B90" i="7" s="1"/>
  <c r="B91" i="2"/>
  <c r="B91" i="7" s="1"/>
  <c r="B92" i="2"/>
  <c r="B92" i="7" s="1"/>
  <c r="B93" i="2"/>
  <c r="B93" i="7" s="1"/>
  <c r="B94" i="2"/>
  <c r="B94" i="7" s="1"/>
  <c r="B95" i="2"/>
  <c r="B95" i="7" s="1"/>
  <c r="B96" i="2"/>
  <c r="B96" i="7" s="1"/>
  <c r="B97" i="2"/>
  <c r="B97" i="7" s="1"/>
  <c r="B98" i="2"/>
  <c r="B98" i="7" s="1"/>
  <c r="B99" i="2"/>
  <c r="B99" i="7" s="1"/>
  <c r="B100" i="2"/>
  <c r="B100" i="7" s="1"/>
  <c r="B101" i="2"/>
  <c r="B101" i="7" s="1"/>
  <c r="B102" i="2"/>
  <c r="B102" i="7" s="1"/>
  <c r="B103" i="2"/>
  <c r="B103" i="7" s="1"/>
  <c r="B104" i="2"/>
  <c r="B104" i="7" s="1"/>
  <c r="B105" i="2"/>
  <c r="B105" i="7" s="1"/>
  <c r="B106" i="2"/>
  <c r="B106" i="7" s="1"/>
  <c r="B107" i="2"/>
  <c r="B107" i="7" s="1"/>
  <c r="B108" i="2"/>
  <c r="B108" i="7" s="1"/>
  <c r="B109" i="2"/>
  <c r="B109" i="7" s="1"/>
  <c r="B110" i="2"/>
  <c r="B110" i="7" s="1"/>
  <c r="B111" i="2"/>
  <c r="B111" i="7" s="1"/>
  <c r="B112" i="2"/>
  <c r="B112" i="7" s="1"/>
  <c r="B113" i="2"/>
  <c r="B113" i="7" s="1"/>
  <c r="B114" i="2"/>
  <c r="B114" i="7" s="1"/>
  <c r="B115" i="2"/>
  <c r="B115" i="7" s="1"/>
  <c r="B116" i="2"/>
  <c r="B116" i="7" s="1"/>
  <c r="B117" i="2"/>
  <c r="B117" i="7" s="1"/>
  <c r="B118" i="2"/>
  <c r="B118" i="7" s="1"/>
  <c r="B119" i="2"/>
  <c r="B119" i="7" s="1"/>
  <c r="B120" i="2"/>
  <c r="B120" i="7" s="1"/>
  <c r="B121" i="2"/>
  <c r="B121" i="7" s="1"/>
  <c r="B122" i="2"/>
  <c r="B122" i="7" s="1"/>
  <c r="B123" i="2"/>
  <c r="B123" i="7" s="1"/>
  <c r="B124" i="2"/>
  <c r="B124" i="7" s="1"/>
  <c r="B125" i="2"/>
  <c r="B125" i="7" s="1"/>
  <c r="B15" i="2"/>
  <c r="B15" i="7" s="1"/>
  <c r="B16" i="2"/>
  <c r="B16" i="7" s="1"/>
  <c r="B17" i="2"/>
  <c r="B17" i="7" s="1"/>
  <c r="B18" i="2"/>
  <c r="B18" i="7" s="1"/>
  <c r="B19" i="2"/>
  <c r="B19" i="7" s="1"/>
  <c r="B20" i="2"/>
  <c r="B20" i="7" s="1"/>
  <c r="B21" i="2"/>
  <c r="B21" i="7" s="1"/>
  <c r="B22" i="2"/>
  <c r="B22" i="7" s="1"/>
  <c r="B23" i="2"/>
  <c r="B23" i="7" s="1"/>
  <c r="B24" i="2"/>
  <c r="B24" i="7" s="1"/>
  <c r="B25" i="2"/>
  <c r="B25" i="7" s="1"/>
  <c r="B26" i="2"/>
  <c r="B26" i="7" s="1"/>
  <c r="B27" i="2"/>
  <c r="B27" i="7" s="1"/>
  <c r="B28" i="2"/>
  <c r="B28" i="7" s="1"/>
  <c r="B29" i="2"/>
  <c r="B29" i="7" s="1"/>
  <c r="B30" i="2"/>
  <c r="B30" i="7" s="1"/>
  <c r="B31" i="2"/>
  <c r="B31" i="7" s="1"/>
  <c r="B32" i="2"/>
  <c r="B32" i="7" s="1"/>
  <c r="B33" i="2"/>
  <c r="B33" i="7" s="1"/>
  <c r="B34" i="2"/>
  <c r="B34" i="7" s="1"/>
  <c r="B35" i="2"/>
  <c r="B35" i="7" s="1"/>
  <c r="B11" i="2"/>
  <c r="B11" i="7" s="1"/>
  <c r="B12" i="2"/>
  <c r="B12" i="7" s="1"/>
  <c r="B13" i="2"/>
  <c r="B13" i="7" s="1"/>
  <c r="B14" i="2"/>
  <c r="B14" i="7" s="1"/>
  <c r="B9" i="2"/>
  <c r="B9" i="7" s="1"/>
  <c r="B10" i="2"/>
  <c r="B10" i="7" s="1"/>
  <c r="B8" i="2"/>
  <c r="B8" i="7" s="1"/>
  <c r="J34" i="1"/>
  <c r="I34" i="2" s="1"/>
  <c r="D34" i="6" s="1"/>
  <c r="N34" i="1"/>
  <c r="L34" i="2" s="1"/>
  <c r="D34" i="8" s="1"/>
  <c r="R34" i="1"/>
  <c r="V34" i="1"/>
  <c r="N34" i="2" s="1"/>
  <c r="C34" i="9" s="1"/>
  <c r="Z34" i="1"/>
  <c r="P34" i="2" s="1"/>
  <c r="C34" i="10" s="1"/>
  <c r="AD34" i="1"/>
  <c r="AH34" i="1"/>
  <c r="AL34" i="1"/>
  <c r="AP34" i="1"/>
  <c r="AT34" i="1"/>
  <c r="F35" i="1"/>
  <c r="F35" i="2" s="1"/>
  <c r="F35" i="7" s="1"/>
  <c r="J35" i="1"/>
  <c r="I35" i="2" s="1"/>
  <c r="D35" i="6" s="1"/>
  <c r="N35" i="1"/>
  <c r="L35" i="2" s="1"/>
  <c r="D35" i="8" s="1"/>
  <c r="R35" i="1"/>
  <c r="V35" i="1"/>
  <c r="N35" i="2" s="1"/>
  <c r="C35" i="9" s="1"/>
  <c r="Z35" i="1"/>
  <c r="P35" i="2" s="1"/>
  <c r="C35" i="10" s="1"/>
  <c r="AD35" i="1"/>
  <c r="AH35" i="1"/>
  <c r="AL35" i="1"/>
  <c r="AP35" i="1"/>
  <c r="AT35" i="1"/>
  <c r="F36" i="1"/>
  <c r="F36" i="2" s="1"/>
  <c r="F36" i="7" s="1"/>
  <c r="J36" i="1"/>
  <c r="I36" i="2" s="1"/>
  <c r="D36" i="6" s="1"/>
  <c r="N36" i="1"/>
  <c r="L36" i="2" s="1"/>
  <c r="D36" i="8" s="1"/>
  <c r="R36" i="1"/>
  <c r="V36" i="1"/>
  <c r="N36" i="2" s="1"/>
  <c r="C36" i="9" s="1"/>
  <c r="Z36" i="1"/>
  <c r="P36" i="2" s="1"/>
  <c r="C36" i="10" s="1"/>
  <c r="AD36" i="1"/>
  <c r="AH36" i="1"/>
  <c r="AL36" i="1"/>
  <c r="AP36" i="1"/>
  <c r="AT36" i="1"/>
  <c r="F37" i="1"/>
  <c r="E37" i="2" s="1"/>
  <c r="E37" i="7" s="1"/>
  <c r="J37" i="1"/>
  <c r="I37" i="2" s="1"/>
  <c r="D37" i="6" s="1"/>
  <c r="N37" i="1"/>
  <c r="L37" i="2" s="1"/>
  <c r="D37" i="8" s="1"/>
  <c r="R37" i="1"/>
  <c r="V37" i="1"/>
  <c r="N37" i="2" s="1"/>
  <c r="C37" i="9" s="1"/>
  <c r="Z37" i="1"/>
  <c r="P37" i="2" s="1"/>
  <c r="C37" i="10" s="1"/>
  <c r="AD37" i="1"/>
  <c r="AH37" i="1"/>
  <c r="AL37" i="1"/>
  <c r="AP37" i="1"/>
  <c r="AT37" i="1"/>
  <c r="F38" i="1"/>
  <c r="F38" i="2" s="1"/>
  <c r="F38" i="7" s="1"/>
  <c r="J38" i="1"/>
  <c r="I38" i="2" s="1"/>
  <c r="D38" i="6" s="1"/>
  <c r="N38" i="1"/>
  <c r="L38" i="2" s="1"/>
  <c r="D38" i="8" s="1"/>
  <c r="R38" i="1"/>
  <c r="V38" i="1"/>
  <c r="N38" i="2" s="1"/>
  <c r="C38" i="9" s="1"/>
  <c r="Z38" i="1"/>
  <c r="P38" i="2" s="1"/>
  <c r="C38" i="10" s="1"/>
  <c r="AD38" i="1"/>
  <c r="AH38" i="1"/>
  <c r="AL38" i="1"/>
  <c r="AP38" i="1"/>
  <c r="AT38" i="1"/>
  <c r="F39" i="1"/>
  <c r="F39" i="2" s="1"/>
  <c r="F39" i="7" s="1"/>
  <c r="J39" i="1"/>
  <c r="I39" i="2" s="1"/>
  <c r="D39" i="6" s="1"/>
  <c r="N39" i="1"/>
  <c r="L39" i="2" s="1"/>
  <c r="D39" i="8" s="1"/>
  <c r="R39" i="1"/>
  <c r="V39" i="1"/>
  <c r="N39" i="2" s="1"/>
  <c r="C39" i="9" s="1"/>
  <c r="Z39" i="1"/>
  <c r="P39" i="2" s="1"/>
  <c r="C39" i="10" s="1"/>
  <c r="AD39" i="1"/>
  <c r="AH39" i="1"/>
  <c r="AL39" i="1"/>
  <c r="AP39" i="1"/>
  <c r="AT39" i="1"/>
  <c r="F40" i="1"/>
  <c r="F40" i="2" s="1"/>
  <c r="F40" i="7" s="1"/>
  <c r="J40" i="1"/>
  <c r="I40" i="2" s="1"/>
  <c r="D40" i="6" s="1"/>
  <c r="N40" i="1"/>
  <c r="L40" i="2" s="1"/>
  <c r="D40" i="8" s="1"/>
  <c r="R40" i="1"/>
  <c r="V40" i="1"/>
  <c r="N40" i="2" s="1"/>
  <c r="C40" i="9" s="1"/>
  <c r="Z40" i="1"/>
  <c r="P40" i="2" s="1"/>
  <c r="C40" i="10" s="1"/>
  <c r="AD40" i="1"/>
  <c r="AH40" i="1"/>
  <c r="AL40" i="1"/>
  <c r="AP40" i="1"/>
  <c r="AT40" i="1"/>
  <c r="F41" i="1"/>
  <c r="F41" i="2" s="1"/>
  <c r="F41" i="7" s="1"/>
  <c r="J41" i="1"/>
  <c r="I41" i="2" s="1"/>
  <c r="D41" i="6" s="1"/>
  <c r="N41" i="1"/>
  <c r="L41" i="2" s="1"/>
  <c r="D41" i="8" s="1"/>
  <c r="R41" i="1"/>
  <c r="V41" i="1"/>
  <c r="N41" i="2" s="1"/>
  <c r="C41" i="9" s="1"/>
  <c r="Z41" i="1"/>
  <c r="P41" i="2" s="1"/>
  <c r="C41" i="10" s="1"/>
  <c r="AD41" i="1"/>
  <c r="AH41" i="1"/>
  <c r="AL41" i="1"/>
  <c r="AP41" i="1"/>
  <c r="AT41" i="1"/>
  <c r="F42" i="1"/>
  <c r="F42" i="2" s="1"/>
  <c r="F42" i="7" s="1"/>
  <c r="J42" i="1"/>
  <c r="I42" i="2" s="1"/>
  <c r="D42" i="6" s="1"/>
  <c r="N42" i="1"/>
  <c r="L42" i="2" s="1"/>
  <c r="D42" i="8" s="1"/>
  <c r="R42" i="1"/>
  <c r="V42" i="1"/>
  <c r="N42" i="2" s="1"/>
  <c r="C42" i="9" s="1"/>
  <c r="Z42" i="1"/>
  <c r="P42" i="2" s="1"/>
  <c r="C42" i="10" s="1"/>
  <c r="AD42" i="1"/>
  <c r="AH42" i="1"/>
  <c r="AL42" i="1"/>
  <c r="AP42" i="1"/>
  <c r="AT42" i="1"/>
  <c r="F43" i="1"/>
  <c r="F43" i="2" s="1"/>
  <c r="F43" i="7" s="1"/>
  <c r="J43" i="1"/>
  <c r="I43" i="2" s="1"/>
  <c r="D43" i="6" s="1"/>
  <c r="N43" i="1"/>
  <c r="L43" i="2" s="1"/>
  <c r="D43" i="8" s="1"/>
  <c r="R43" i="1"/>
  <c r="V43" i="1"/>
  <c r="N43" i="2" s="1"/>
  <c r="C43" i="9" s="1"/>
  <c r="Z43" i="1"/>
  <c r="P43" i="2" s="1"/>
  <c r="C43" i="10" s="1"/>
  <c r="AD43" i="1"/>
  <c r="AH43" i="1"/>
  <c r="AL43" i="1"/>
  <c r="AP43" i="1"/>
  <c r="AT43" i="1"/>
  <c r="F44" i="1"/>
  <c r="F44" i="2" s="1"/>
  <c r="F44" i="7" s="1"/>
  <c r="J44" i="1"/>
  <c r="I44" i="2" s="1"/>
  <c r="D44" i="6" s="1"/>
  <c r="N44" i="1"/>
  <c r="L44" i="2" s="1"/>
  <c r="D44" i="8" s="1"/>
  <c r="R44" i="1"/>
  <c r="V44" i="1"/>
  <c r="N44" i="2" s="1"/>
  <c r="C44" i="9" s="1"/>
  <c r="Z44" i="1"/>
  <c r="P44" i="2" s="1"/>
  <c r="C44" i="10" s="1"/>
  <c r="AD44" i="1"/>
  <c r="AH44" i="1"/>
  <c r="AL44" i="1"/>
  <c r="AP44" i="1"/>
  <c r="AT44" i="1"/>
  <c r="F45" i="1"/>
  <c r="F45" i="2" s="1"/>
  <c r="F45" i="7" s="1"/>
  <c r="J45" i="1"/>
  <c r="I45" i="2" s="1"/>
  <c r="D45" i="6" s="1"/>
  <c r="N45" i="1"/>
  <c r="L45" i="2" s="1"/>
  <c r="D45" i="8" s="1"/>
  <c r="R45" i="1"/>
  <c r="V45" i="1"/>
  <c r="N45" i="2" s="1"/>
  <c r="C45" i="9" s="1"/>
  <c r="Z45" i="1"/>
  <c r="P45" i="2" s="1"/>
  <c r="C45" i="10" s="1"/>
  <c r="AD45" i="1"/>
  <c r="AH45" i="1"/>
  <c r="AL45" i="1"/>
  <c r="AP45" i="1"/>
  <c r="AT45" i="1"/>
  <c r="F46" i="1"/>
  <c r="F46" i="2" s="1"/>
  <c r="F46" i="7" s="1"/>
  <c r="J46" i="1"/>
  <c r="I46" i="2" s="1"/>
  <c r="D46" i="6" s="1"/>
  <c r="N46" i="1"/>
  <c r="L46" i="2" s="1"/>
  <c r="D46" i="8" s="1"/>
  <c r="R46" i="1"/>
  <c r="V46" i="1"/>
  <c r="N46" i="2" s="1"/>
  <c r="C46" i="9" s="1"/>
  <c r="Z46" i="1"/>
  <c r="P46" i="2" s="1"/>
  <c r="C46" i="10" s="1"/>
  <c r="AD46" i="1"/>
  <c r="AH46" i="1"/>
  <c r="AL46" i="1"/>
  <c r="AP46" i="1"/>
  <c r="AT46" i="1"/>
  <c r="F47" i="1"/>
  <c r="F47" i="2" s="1"/>
  <c r="F47" i="7" s="1"/>
  <c r="J47" i="1"/>
  <c r="I47" i="2" s="1"/>
  <c r="D47" i="6" s="1"/>
  <c r="N47" i="1"/>
  <c r="L47" i="2" s="1"/>
  <c r="D47" i="8" s="1"/>
  <c r="R47" i="1"/>
  <c r="V47" i="1"/>
  <c r="N47" i="2" s="1"/>
  <c r="C47" i="9" s="1"/>
  <c r="Z47" i="1"/>
  <c r="P47" i="2" s="1"/>
  <c r="C47" i="10" s="1"/>
  <c r="AD47" i="1"/>
  <c r="AH47" i="1"/>
  <c r="AL47" i="1"/>
  <c r="AP47" i="1"/>
  <c r="AT47" i="1"/>
  <c r="F48" i="1"/>
  <c r="F48" i="2" s="1"/>
  <c r="F48" i="7" s="1"/>
  <c r="J48" i="1"/>
  <c r="I48" i="2" s="1"/>
  <c r="D48" i="6" s="1"/>
  <c r="N48" i="1"/>
  <c r="L48" i="2" s="1"/>
  <c r="D48" i="8" s="1"/>
  <c r="R48" i="1"/>
  <c r="V48" i="1"/>
  <c r="N48" i="2" s="1"/>
  <c r="C48" i="9" s="1"/>
  <c r="Z48" i="1"/>
  <c r="P48" i="2" s="1"/>
  <c r="C48" i="10" s="1"/>
  <c r="AD48" i="1"/>
  <c r="AH48" i="1"/>
  <c r="AL48" i="1"/>
  <c r="AP48" i="1"/>
  <c r="AT48" i="1"/>
  <c r="F49" i="1"/>
  <c r="F49" i="2" s="1"/>
  <c r="F49" i="7" s="1"/>
  <c r="J49" i="1"/>
  <c r="I49" i="2" s="1"/>
  <c r="D49" i="6" s="1"/>
  <c r="N49" i="1"/>
  <c r="L49" i="2" s="1"/>
  <c r="D49" i="8" s="1"/>
  <c r="R49" i="1"/>
  <c r="V49" i="1"/>
  <c r="N49" i="2" s="1"/>
  <c r="C49" i="9" s="1"/>
  <c r="Z49" i="1"/>
  <c r="P49" i="2" s="1"/>
  <c r="C49" i="10" s="1"/>
  <c r="AD49" i="1"/>
  <c r="AH49" i="1"/>
  <c r="AL49" i="1"/>
  <c r="AP49" i="1"/>
  <c r="AT49" i="1"/>
  <c r="F50" i="1"/>
  <c r="F50" i="2" s="1"/>
  <c r="F50" i="7" s="1"/>
  <c r="J50" i="1"/>
  <c r="I50" i="2" s="1"/>
  <c r="D50" i="6" s="1"/>
  <c r="N50" i="1"/>
  <c r="L50" i="2" s="1"/>
  <c r="D50" i="8" s="1"/>
  <c r="R50" i="1"/>
  <c r="V50" i="1"/>
  <c r="N50" i="2" s="1"/>
  <c r="C50" i="9" s="1"/>
  <c r="Z50" i="1"/>
  <c r="P50" i="2" s="1"/>
  <c r="C50" i="10" s="1"/>
  <c r="AD50" i="1"/>
  <c r="AH50" i="1"/>
  <c r="AL50" i="1"/>
  <c r="AP50" i="1"/>
  <c r="AT50" i="1"/>
  <c r="F51" i="1"/>
  <c r="F51" i="2" s="1"/>
  <c r="F51" i="7" s="1"/>
  <c r="J51" i="1"/>
  <c r="I51" i="2" s="1"/>
  <c r="D51" i="6" s="1"/>
  <c r="N51" i="1"/>
  <c r="L51" i="2" s="1"/>
  <c r="D51" i="8" s="1"/>
  <c r="R51" i="1"/>
  <c r="V51" i="1"/>
  <c r="N51" i="2" s="1"/>
  <c r="C51" i="9" s="1"/>
  <c r="Z51" i="1"/>
  <c r="P51" i="2" s="1"/>
  <c r="C51" i="10" s="1"/>
  <c r="AD51" i="1"/>
  <c r="AH51" i="1"/>
  <c r="AL51" i="1"/>
  <c r="AP51" i="1"/>
  <c r="AT51" i="1"/>
  <c r="F52" i="1"/>
  <c r="F52" i="2" s="1"/>
  <c r="F52" i="7" s="1"/>
  <c r="J52" i="1"/>
  <c r="I52" i="2" s="1"/>
  <c r="D52" i="6" s="1"/>
  <c r="N52" i="1"/>
  <c r="L52" i="2" s="1"/>
  <c r="D52" i="8" s="1"/>
  <c r="R52" i="1"/>
  <c r="V52" i="1"/>
  <c r="N52" i="2" s="1"/>
  <c r="C52" i="9" s="1"/>
  <c r="Z52" i="1"/>
  <c r="P52" i="2" s="1"/>
  <c r="C52" i="10" s="1"/>
  <c r="AD52" i="1"/>
  <c r="AH52" i="1"/>
  <c r="AL52" i="1"/>
  <c r="AP52" i="1"/>
  <c r="AT52" i="1"/>
  <c r="F53" i="1"/>
  <c r="F53" i="2" s="1"/>
  <c r="F53" i="7" s="1"/>
  <c r="J53" i="1"/>
  <c r="I53" i="2" s="1"/>
  <c r="D53" i="6" s="1"/>
  <c r="N53" i="1"/>
  <c r="L53" i="2" s="1"/>
  <c r="D53" i="8" s="1"/>
  <c r="R53" i="1"/>
  <c r="V53" i="1"/>
  <c r="N53" i="2" s="1"/>
  <c r="C53" i="9" s="1"/>
  <c r="Z53" i="1"/>
  <c r="P53" i="2" s="1"/>
  <c r="C53" i="10" s="1"/>
  <c r="AD53" i="1"/>
  <c r="AH53" i="1"/>
  <c r="AL53" i="1"/>
  <c r="AP53" i="1"/>
  <c r="AT53" i="1"/>
  <c r="F54" i="1"/>
  <c r="F54" i="2" s="1"/>
  <c r="F54" i="7" s="1"/>
  <c r="J54" i="1"/>
  <c r="I54" i="2" s="1"/>
  <c r="D54" i="6" s="1"/>
  <c r="N54" i="1"/>
  <c r="L54" i="2" s="1"/>
  <c r="D54" i="8" s="1"/>
  <c r="R54" i="1"/>
  <c r="V54" i="1"/>
  <c r="N54" i="2" s="1"/>
  <c r="C54" i="9" s="1"/>
  <c r="Z54" i="1"/>
  <c r="P54" i="2" s="1"/>
  <c r="C54" i="10" s="1"/>
  <c r="AD54" i="1"/>
  <c r="AH54" i="1"/>
  <c r="AL54" i="1"/>
  <c r="AP54" i="1"/>
  <c r="AT54" i="1"/>
  <c r="F55" i="1"/>
  <c r="F55" i="2" s="1"/>
  <c r="F55" i="7" s="1"/>
  <c r="J55" i="1"/>
  <c r="I55" i="2" s="1"/>
  <c r="D55" i="6" s="1"/>
  <c r="N55" i="1"/>
  <c r="L55" i="2" s="1"/>
  <c r="D55" i="8" s="1"/>
  <c r="R55" i="1"/>
  <c r="V55" i="1"/>
  <c r="N55" i="2" s="1"/>
  <c r="C55" i="9" s="1"/>
  <c r="Z55" i="1"/>
  <c r="P55" i="2" s="1"/>
  <c r="C55" i="10" s="1"/>
  <c r="AD55" i="1"/>
  <c r="AH55" i="1"/>
  <c r="AL55" i="1"/>
  <c r="AP55" i="1"/>
  <c r="AT55" i="1"/>
  <c r="F56" i="1"/>
  <c r="F56" i="2" s="1"/>
  <c r="F56" i="7" s="1"/>
  <c r="J56" i="1"/>
  <c r="I56" i="2" s="1"/>
  <c r="D56" i="6" s="1"/>
  <c r="N56" i="1"/>
  <c r="L56" i="2" s="1"/>
  <c r="D56" i="8" s="1"/>
  <c r="R56" i="1"/>
  <c r="V56" i="1"/>
  <c r="N56" i="2" s="1"/>
  <c r="C56" i="9" s="1"/>
  <c r="Z56" i="1"/>
  <c r="P56" i="2" s="1"/>
  <c r="C56" i="10" s="1"/>
  <c r="AD56" i="1"/>
  <c r="AH56" i="1"/>
  <c r="AL56" i="1"/>
  <c r="AP56" i="1"/>
  <c r="AT56" i="1"/>
  <c r="F57" i="1"/>
  <c r="F57" i="2" s="1"/>
  <c r="F57" i="7" s="1"/>
  <c r="J57" i="1"/>
  <c r="I57" i="2" s="1"/>
  <c r="D57" i="6" s="1"/>
  <c r="N57" i="1"/>
  <c r="L57" i="2" s="1"/>
  <c r="D57" i="8" s="1"/>
  <c r="R57" i="1"/>
  <c r="V57" i="1"/>
  <c r="N57" i="2" s="1"/>
  <c r="C57" i="9" s="1"/>
  <c r="Z57" i="1"/>
  <c r="P57" i="2" s="1"/>
  <c r="C57" i="10" s="1"/>
  <c r="AD57" i="1"/>
  <c r="AH57" i="1"/>
  <c r="AL57" i="1"/>
  <c r="AP57" i="1"/>
  <c r="AT57" i="1"/>
  <c r="F58" i="1"/>
  <c r="F58" i="2" s="1"/>
  <c r="F58" i="7" s="1"/>
  <c r="J58" i="1"/>
  <c r="I58" i="2" s="1"/>
  <c r="D58" i="6" s="1"/>
  <c r="N58" i="1"/>
  <c r="L58" i="2" s="1"/>
  <c r="D58" i="8" s="1"/>
  <c r="R58" i="1"/>
  <c r="V58" i="1"/>
  <c r="N58" i="2" s="1"/>
  <c r="C58" i="9" s="1"/>
  <c r="Z58" i="1"/>
  <c r="P58" i="2" s="1"/>
  <c r="C58" i="10" s="1"/>
  <c r="AD58" i="1"/>
  <c r="AH58" i="1"/>
  <c r="AL58" i="1"/>
  <c r="AP58" i="1"/>
  <c r="AT58" i="1"/>
  <c r="F59" i="1"/>
  <c r="F59" i="2" s="1"/>
  <c r="F59" i="7" s="1"/>
  <c r="J59" i="1"/>
  <c r="I59" i="2" s="1"/>
  <c r="D59" i="6" s="1"/>
  <c r="N59" i="1"/>
  <c r="L59" i="2" s="1"/>
  <c r="D59" i="8" s="1"/>
  <c r="R59" i="1"/>
  <c r="V59" i="1"/>
  <c r="N59" i="2" s="1"/>
  <c r="C59" i="9" s="1"/>
  <c r="Z59" i="1"/>
  <c r="P59" i="2" s="1"/>
  <c r="C59" i="10" s="1"/>
  <c r="AD59" i="1"/>
  <c r="AH59" i="1"/>
  <c r="AL59" i="1"/>
  <c r="AP59" i="1"/>
  <c r="AT59" i="1"/>
  <c r="F60" i="1"/>
  <c r="F60" i="2" s="1"/>
  <c r="F60" i="7" s="1"/>
  <c r="J60" i="1"/>
  <c r="I60" i="2" s="1"/>
  <c r="D60" i="6" s="1"/>
  <c r="N60" i="1"/>
  <c r="L60" i="2" s="1"/>
  <c r="D60" i="8" s="1"/>
  <c r="R60" i="1"/>
  <c r="V60" i="1"/>
  <c r="N60" i="2" s="1"/>
  <c r="C60" i="9" s="1"/>
  <c r="Z60" i="1"/>
  <c r="P60" i="2" s="1"/>
  <c r="C60" i="10" s="1"/>
  <c r="AD60" i="1"/>
  <c r="AH60" i="1"/>
  <c r="AL60" i="1"/>
  <c r="AP60" i="1"/>
  <c r="AT60" i="1"/>
  <c r="F61" i="1"/>
  <c r="F61" i="2" s="1"/>
  <c r="F61" i="7" s="1"/>
  <c r="J61" i="1"/>
  <c r="I61" i="2" s="1"/>
  <c r="D61" i="6" s="1"/>
  <c r="N61" i="1"/>
  <c r="L61" i="2" s="1"/>
  <c r="D61" i="8" s="1"/>
  <c r="R61" i="1"/>
  <c r="V61" i="1"/>
  <c r="N61" i="2" s="1"/>
  <c r="C61" i="9" s="1"/>
  <c r="Z61" i="1"/>
  <c r="P61" i="2" s="1"/>
  <c r="C61" i="10" s="1"/>
  <c r="AD61" i="1"/>
  <c r="AH61" i="1"/>
  <c r="AL61" i="1"/>
  <c r="AP61" i="1"/>
  <c r="AT61" i="1"/>
  <c r="F62" i="1"/>
  <c r="F62" i="2" s="1"/>
  <c r="F62" i="7" s="1"/>
  <c r="J62" i="1"/>
  <c r="I62" i="2" s="1"/>
  <c r="D62" i="6" s="1"/>
  <c r="N62" i="1"/>
  <c r="L62" i="2" s="1"/>
  <c r="D62" i="8" s="1"/>
  <c r="R62" i="1"/>
  <c r="V62" i="1"/>
  <c r="N62" i="2" s="1"/>
  <c r="C62" i="9" s="1"/>
  <c r="Z62" i="1"/>
  <c r="P62" i="2" s="1"/>
  <c r="C62" i="10" s="1"/>
  <c r="AD62" i="1"/>
  <c r="AH62" i="1"/>
  <c r="AL62" i="1"/>
  <c r="AP62" i="1"/>
  <c r="AT62" i="1"/>
  <c r="F63" i="1"/>
  <c r="F63" i="2" s="1"/>
  <c r="F63" i="7" s="1"/>
  <c r="J63" i="1"/>
  <c r="I63" i="2" s="1"/>
  <c r="D63" i="6" s="1"/>
  <c r="N63" i="1"/>
  <c r="L63" i="2" s="1"/>
  <c r="D63" i="8" s="1"/>
  <c r="R63" i="1"/>
  <c r="V63" i="1"/>
  <c r="N63" i="2" s="1"/>
  <c r="C63" i="9" s="1"/>
  <c r="Z63" i="1"/>
  <c r="P63" i="2" s="1"/>
  <c r="C63" i="10" s="1"/>
  <c r="AD63" i="1"/>
  <c r="AH63" i="1"/>
  <c r="AL63" i="1"/>
  <c r="AP63" i="1"/>
  <c r="AT63" i="1"/>
  <c r="F64" i="1"/>
  <c r="F64" i="2" s="1"/>
  <c r="F64" i="7" s="1"/>
  <c r="J64" i="1"/>
  <c r="I64" i="2" s="1"/>
  <c r="D64" i="6" s="1"/>
  <c r="N64" i="1"/>
  <c r="L64" i="2" s="1"/>
  <c r="D64" i="8" s="1"/>
  <c r="R64" i="1"/>
  <c r="V64" i="1"/>
  <c r="N64" i="2" s="1"/>
  <c r="C64" i="9" s="1"/>
  <c r="Z64" i="1"/>
  <c r="P64" i="2" s="1"/>
  <c r="C64" i="10" s="1"/>
  <c r="AD64" i="1"/>
  <c r="AH64" i="1"/>
  <c r="AL64" i="1"/>
  <c r="AP64" i="1"/>
  <c r="AT64" i="1"/>
  <c r="F65" i="1"/>
  <c r="F65" i="2" s="1"/>
  <c r="F65" i="7" s="1"/>
  <c r="J65" i="1"/>
  <c r="I65" i="2" s="1"/>
  <c r="D65" i="6" s="1"/>
  <c r="N65" i="1"/>
  <c r="L65" i="2" s="1"/>
  <c r="D65" i="8" s="1"/>
  <c r="R65" i="1"/>
  <c r="V65" i="1"/>
  <c r="N65" i="2" s="1"/>
  <c r="C65" i="9" s="1"/>
  <c r="Z65" i="1"/>
  <c r="P65" i="2" s="1"/>
  <c r="C65" i="10" s="1"/>
  <c r="AD65" i="1"/>
  <c r="AH65" i="1"/>
  <c r="AL65" i="1"/>
  <c r="AP65" i="1"/>
  <c r="AT65" i="1"/>
  <c r="F66" i="1"/>
  <c r="F66" i="2" s="1"/>
  <c r="F66" i="7" s="1"/>
  <c r="J66" i="1"/>
  <c r="I66" i="2" s="1"/>
  <c r="D66" i="6" s="1"/>
  <c r="N66" i="1"/>
  <c r="L66" i="2" s="1"/>
  <c r="D66" i="8" s="1"/>
  <c r="R66" i="1"/>
  <c r="V66" i="1"/>
  <c r="N66" i="2" s="1"/>
  <c r="C66" i="9" s="1"/>
  <c r="Z66" i="1"/>
  <c r="P66" i="2" s="1"/>
  <c r="C66" i="10" s="1"/>
  <c r="AD66" i="1"/>
  <c r="AH66" i="1"/>
  <c r="AL66" i="1"/>
  <c r="AP66" i="1"/>
  <c r="AT66" i="1"/>
  <c r="F67" i="1"/>
  <c r="F67" i="2" s="1"/>
  <c r="F67" i="7" s="1"/>
  <c r="J67" i="1"/>
  <c r="I67" i="2" s="1"/>
  <c r="D67" i="6" s="1"/>
  <c r="N67" i="1"/>
  <c r="L67" i="2" s="1"/>
  <c r="D67" i="8" s="1"/>
  <c r="R67" i="1"/>
  <c r="V67" i="1"/>
  <c r="N67" i="2" s="1"/>
  <c r="C67" i="9" s="1"/>
  <c r="Z67" i="1"/>
  <c r="P67" i="2" s="1"/>
  <c r="C67" i="10" s="1"/>
  <c r="AD67" i="1"/>
  <c r="AH67" i="1"/>
  <c r="AL67" i="1"/>
  <c r="AP67" i="1"/>
  <c r="AT67" i="1"/>
  <c r="F68" i="1"/>
  <c r="F68" i="2" s="1"/>
  <c r="F68" i="7" s="1"/>
  <c r="J68" i="1"/>
  <c r="I68" i="2" s="1"/>
  <c r="D68" i="6" s="1"/>
  <c r="N68" i="1"/>
  <c r="L68" i="2" s="1"/>
  <c r="D68" i="8" s="1"/>
  <c r="R68" i="1"/>
  <c r="V68" i="1"/>
  <c r="N68" i="2" s="1"/>
  <c r="C68" i="9" s="1"/>
  <c r="Z68" i="1"/>
  <c r="P68" i="2" s="1"/>
  <c r="C68" i="10" s="1"/>
  <c r="AD68" i="1"/>
  <c r="AH68" i="1"/>
  <c r="AL68" i="1"/>
  <c r="AP68" i="1"/>
  <c r="AT68" i="1"/>
  <c r="F69" i="1"/>
  <c r="E69" i="2" s="1"/>
  <c r="E69" i="7" s="1"/>
  <c r="J69" i="1"/>
  <c r="I69" i="2" s="1"/>
  <c r="D69" i="6" s="1"/>
  <c r="N69" i="1"/>
  <c r="L69" i="2" s="1"/>
  <c r="D69" i="8" s="1"/>
  <c r="R69" i="1"/>
  <c r="V69" i="1"/>
  <c r="N69" i="2" s="1"/>
  <c r="C69" i="9" s="1"/>
  <c r="Z69" i="1"/>
  <c r="P69" i="2" s="1"/>
  <c r="C69" i="10" s="1"/>
  <c r="AD69" i="1"/>
  <c r="AH69" i="1"/>
  <c r="AL69" i="1"/>
  <c r="AP69" i="1"/>
  <c r="AT69" i="1"/>
  <c r="F70" i="1"/>
  <c r="F70" i="2" s="1"/>
  <c r="F70" i="7" s="1"/>
  <c r="J70" i="1"/>
  <c r="I70" i="2" s="1"/>
  <c r="D70" i="6" s="1"/>
  <c r="N70" i="1"/>
  <c r="L70" i="2" s="1"/>
  <c r="D70" i="8" s="1"/>
  <c r="R70" i="1"/>
  <c r="V70" i="1"/>
  <c r="N70" i="2" s="1"/>
  <c r="C70" i="9" s="1"/>
  <c r="Z70" i="1"/>
  <c r="P70" i="2" s="1"/>
  <c r="C70" i="10" s="1"/>
  <c r="AD70" i="1"/>
  <c r="AH70" i="1"/>
  <c r="AL70" i="1"/>
  <c r="AP70" i="1"/>
  <c r="AT70" i="1"/>
  <c r="F71" i="1"/>
  <c r="F71" i="2" s="1"/>
  <c r="F71" i="7" s="1"/>
  <c r="J71" i="1"/>
  <c r="I71" i="2" s="1"/>
  <c r="D71" i="6" s="1"/>
  <c r="N71" i="1"/>
  <c r="L71" i="2" s="1"/>
  <c r="D71" i="8" s="1"/>
  <c r="R71" i="1"/>
  <c r="V71" i="1"/>
  <c r="N71" i="2" s="1"/>
  <c r="C71" i="9" s="1"/>
  <c r="Z71" i="1"/>
  <c r="P71" i="2" s="1"/>
  <c r="C71" i="10" s="1"/>
  <c r="AD71" i="1"/>
  <c r="AH71" i="1"/>
  <c r="AL71" i="1"/>
  <c r="AP71" i="1"/>
  <c r="AT71" i="1"/>
  <c r="F72" i="1"/>
  <c r="F72" i="2" s="1"/>
  <c r="F72" i="7" s="1"/>
  <c r="J72" i="1"/>
  <c r="I72" i="2" s="1"/>
  <c r="D72" i="6" s="1"/>
  <c r="N72" i="1"/>
  <c r="L72" i="2" s="1"/>
  <c r="D72" i="8" s="1"/>
  <c r="R72" i="1"/>
  <c r="V72" i="1"/>
  <c r="N72" i="2" s="1"/>
  <c r="C72" i="9" s="1"/>
  <c r="Z72" i="1"/>
  <c r="P72" i="2" s="1"/>
  <c r="C72" i="10" s="1"/>
  <c r="AD72" i="1"/>
  <c r="AH72" i="1"/>
  <c r="AL72" i="1"/>
  <c r="AP72" i="1"/>
  <c r="AT72" i="1"/>
  <c r="F73" i="1"/>
  <c r="F73" i="2" s="1"/>
  <c r="F73" i="7" s="1"/>
  <c r="J73" i="1"/>
  <c r="I73" i="2" s="1"/>
  <c r="D73" i="6" s="1"/>
  <c r="N73" i="1"/>
  <c r="L73" i="2" s="1"/>
  <c r="D73" i="8" s="1"/>
  <c r="R73" i="1"/>
  <c r="V73" i="1"/>
  <c r="N73" i="2" s="1"/>
  <c r="C73" i="9" s="1"/>
  <c r="Z73" i="1"/>
  <c r="P73" i="2" s="1"/>
  <c r="C73" i="10" s="1"/>
  <c r="AD73" i="1"/>
  <c r="AH73" i="1"/>
  <c r="AL73" i="1"/>
  <c r="AP73" i="1"/>
  <c r="AT73" i="1"/>
  <c r="F74" i="1"/>
  <c r="F74" i="2" s="1"/>
  <c r="F74" i="7" s="1"/>
  <c r="J74" i="1"/>
  <c r="I74" i="2" s="1"/>
  <c r="D74" i="6" s="1"/>
  <c r="N74" i="1"/>
  <c r="L74" i="2" s="1"/>
  <c r="D74" i="8" s="1"/>
  <c r="R74" i="1"/>
  <c r="V74" i="1"/>
  <c r="N74" i="2" s="1"/>
  <c r="C74" i="9" s="1"/>
  <c r="Z74" i="1"/>
  <c r="P74" i="2" s="1"/>
  <c r="C74" i="10" s="1"/>
  <c r="AD74" i="1"/>
  <c r="AH74" i="1"/>
  <c r="AL74" i="1"/>
  <c r="AP74" i="1"/>
  <c r="AT7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R33" i="1"/>
  <c r="R32" i="1"/>
  <c r="R31" i="1"/>
  <c r="R30" i="1"/>
  <c r="R29" i="1"/>
  <c r="R28" i="1"/>
  <c r="R27" i="1"/>
  <c r="R26" i="1"/>
  <c r="R25" i="1"/>
  <c r="R24" i="1"/>
  <c r="R23" i="1"/>
  <c r="R22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N33" i="1"/>
  <c r="L33" i="2" s="1"/>
  <c r="D33" i="8" s="1"/>
  <c r="N32" i="1"/>
  <c r="L32" i="2" s="1"/>
  <c r="D32" i="8" s="1"/>
  <c r="N31" i="1"/>
  <c r="L31" i="2" s="1"/>
  <c r="D31" i="8" s="1"/>
  <c r="N30" i="1"/>
  <c r="L30" i="2" s="1"/>
  <c r="D30" i="8" s="1"/>
  <c r="N29" i="1"/>
  <c r="L29" i="2" s="1"/>
  <c r="D29" i="8" s="1"/>
  <c r="N28" i="1"/>
  <c r="L28" i="2" s="1"/>
  <c r="D28" i="8" s="1"/>
  <c r="N27" i="1"/>
  <c r="L27" i="2" s="1"/>
  <c r="D27" i="8" s="1"/>
  <c r="N26" i="1"/>
  <c r="L26" i="2" s="1"/>
  <c r="D26" i="8" s="1"/>
  <c r="N25" i="1"/>
  <c r="L25" i="2" s="1"/>
  <c r="D25" i="8" s="1"/>
  <c r="N24" i="1"/>
  <c r="L24" i="2" s="1"/>
  <c r="D24" i="8" s="1"/>
  <c r="N23" i="1"/>
  <c r="L23" i="2" s="1"/>
  <c r="D23" i="8" s="1"/>
  <c r="N22" i="1"/>
  <c r="L22" i="2" s="1"/>
  <c r="D22" i="8" s="1"/>
  <c r="N20" i="1"/>
  <c r="L21" i="2" s="1"/>
  <c r="D21" i="8" s="1"/>
  <c r="N19" i="1"/>
  <c r="L20" i="2" s="1"/>
  <c r="D20" i="8" s="1"/>
  <c r="N18" i="1"/>
  <c r="L19" i="2" s="1"/>
  <c r="D19" i="8" s="1"/>
  <c r="N17" i="1"/>
  <c r="L18" i="2" s="1"/>
  <c r="D18" i="8" s="1"/>
  <c r="N16" i="1"/>
  <c r="L17" i="2" s="1"/>
  <c r="D17" i="8" s="1"/>
  <c r="N15" i="1"/>
  <c r="L16" i="2" s="1"/>
  <c r="D16" i="8" s="1"/>
  <c r="N14" i="1"/>
  <c r="L15" i="2" s="1"/>
  <c r="D15" i="8" s="1"/>
  <c r="N13" i="1"/>
  <c r="L14" i="2" s="1"/>
  <c r="D14" i="8" s="1"/>
  <c r="N12" i="1"/>
  <c r="L13" i="2" s="1"/>
  <c r="D13" i="8" s="1"/>
  <c r="N11" i="1"/>
  <c r="L12" i="2" s="1"/>
  <c r="D12" i="8" s="1"/>
  <c r="N10" i="1"/>
  <c r="L11" i="2" s="1"/>
  <c r="D11" i="8" s="1"/>
  <c r="N9" i="1"/>
  <c r="L10" i="2" s="1"/>
  <c r="D10" i="8" s="1"/>
  <c r="N8" i="1"/>
  <c r="L9" i="2" s="1"/>
  <c r="D9" i="8" s="1"/>
  <c r="N7" i="1"/>
  <c r="L8" i="2" s="1"/>
  <c r="D8" i="8" s="1"/>
  <c r="N6" i="1"/>
  <c r="L7" i="2" s="1"/>
  <c r="D7" i="8" s="1"/>
  <c r="N5" i="1"/>
  <c r="L6" i="2" s="1"/>
  <c r="D6" i="8" s="1"/>
  <c r="N4" i="1"/>
  <c r="L5" i="2" s="1"/>
  <c r="D5" i="8" s="1"/>
  <c r="Z33" i="1"/>
  <c r="P33" i="2" s="1"/>
  <c r="C33" i="10" s="1"/>
  <c r="V33" i="1"/>
  <c r="N33" i="2" s="1"/>
  <c r="C33" i="9" s="1"/>
  <c r="J33" i="1"/>
  <c r="I33" i="2" s="1"/>
  <c r="D33" i="6" s="1"/>
  <c r="F33" i="1"/>
  <c r="F33" i="2" s="1"/>
  <c r="F33" i="7" s="1"/>
  <c r="Z32" i="1"/>
  <c r="P32" i="2" s="1"/>
  <c r="C32" i="10" s="1"/>
  <c r="V32" i="1"/>
  <c r="N32" i="2" s="1"/>
  <c r="C32" i="9" s="1"/>
  <c r="J32" i="1"/>
  <c r="I32" i="2" s="1"/>
  <c r="D32" i="6" s="1"/>
  <c r="F32" i="1"/>
  <c r="F32" i="2" s="1"/>
  <c r="F32" i="7" s="1"/>
  <c r="Z31" i="1"/>
  <c r="P31" i="2" s="1"/>
  <c r="C31" i="10" s="1"/>
  <c r="V31" i="1"/>
  <c r="N31" i="2" s="1"/>
  <c r="C31" i="9" s="1"/>
  <c r="J31" i="1"/>
  <c r="I31" i="2" s="1"/>
  <c r="D31" i="6" s="1"/>
  <c r="F31" i="1"/>
  <c r="F31" i="2" s="1"/>
  <c r="F31" i="7" s="1"/>
  <c r="Z30" i="1"/>
  <c r="P30" i="2" s="1"/>
  <c r="C30" i="10" s="1"/>
  <c r="V30" i="1"/>
  <c r="N30" i="2" s="1"/>
  <c r="C30" i="9" s="1"/>
  <c r="J30" i="1"/>
  <c r="I30" i="2" s="1"/>
  <c r="D30" i="6" s="1"/>
  <c r="F30" i="1"/>
  <c r="F30" i="2" s="1"/>
  <c r="F30" i="7" s="1"/>
  <c r="Z29" i="1"/>
  <c r="P29" i="2" s="1"/>
  <c r="C29" i="10" s="1"/>
  <c r="V29" i="1"/>
  <c r="N29" i="2" s="1"/>
  <c r="C29" i="9" s="1"/>
  <c r="J29" i="1"/>
  <c r="I29" i="2" s="1"/>
  <c r="D29" i="6" s="1"/>
  <c r="F29" i="1"/>
  <c r="F29" i="2" s="1"/>
  <c r="F29" i="7" s="1"/>
  <c r="Z28" i="1"/>
  <c r="P28" i="2" s="1"/>
  <c r="C28" i="10" s="1"/>
  <c r="V28" i="1"/>
  <c r="N28" i="2" s="1"/>
  <c r="C28" i="9" s="1"/>
  <c r="J28" i="1"/>
  <c r="I28" i="2" s="1"/>
  <c r="D28" i="6" s="1"/>
  <c r="F28" i="1"/>
  <c r="F28" i="2" s="1"/>
  <c r="F28" i="7" s="1"/>
  <c r="Z27" i="1"/>
  <c r="P27" i="2" s="1"/>
  <c r="C27" i="10" s="1"/>
  <c r="V27" i="1"/>
  <c r="N27" i="2" s="1"/>
  <c r="C27" i="9" s="1"/>
  <c r="J27" i="1"/>
  <c r="I27" i="2" s="1"/>
  <c r="D27" i="6" s="1"/>
  <c r="F27" i="1"/>
  <c r="F27" i="2" s="1"/>
  <c r="F27" i="7" s="1"/>
  <c r="Z26" i="1"/>
  <c r="P26" i="2" s="1"/>
  <c r="C26" i="10" s="1"/>
  <c r="V26" i="1"/>
  <c r="N26" i="2" s="1"/>
  <c r="C26" i="9" s="1"/>
  <c r="J26" i="1"/>
  <c r="I26" i="2" s="1"/>
  <c r="D26" i="6" s="1"/>
  <c r="F26" i="1"/>
  <c r="F26" i="2" s="1"/>
  <c r="F26" i="7" s="1"/>
  <c r="Z25" i="1"/>
  <c r="P25" i="2" s="1"/>
  <c r="C25" i="10" s="1"/>
  <c r="V25" i="1"/>
  <c r="N25" i="2" s="1"/>
  <c r="C25" i="9" s="1"/>
  <c r="J25" i="1"/>
  <c r="I25" i="2" s="1"/>
  <c r="D25" i="6" s="1"/>
  <c r="F25" i="1"/>
  <c r="F25" i="2" s="1"/>
  <c r="F25" i="7" s="1"/>
  <c r="Z24" i="1"/>
  <c r="P24" i="2" s="1"/>
  <c r="C24" i="10" s="1"/>
  <c r="V24" i="1"/>
  <c r="N24" i="2" s="1"/>
  <c r="C24" i="9" s="1"/>
  <c r="J24" i="1"/>
  <c r="I24" i="2" s="1"/>
  <c r="D24" i="6" s="1"/>
  <c r="F24" i="1"/>
  <c r="F24" i="2" s="1"/>
  <c r="F24" i="7" s="1"/>
  <c r="Z23" i="1"/>
  <c r="P23" i="2" s="1"/>
  <c r="C23" i="10" s="1"/>
  <c r="V23" i="1"/>
  <c r="N23" i="2" s="1"/>
  <c r="C23" i="9" s="1"/>
  <c r="J23" i="1"/>
  <c r="I23" i="2" s="1"/>
  <c r="D23" i="6" s="1"/>
  <c r="F23" i="1"/>
  <c r="F23" i="2" s="1"/>
  <c r="F23" i="7" s="1"/>
  <c r="Z22" i="1"/>
  <c r="P22" i="2" s="1"/>
  <c r="C22" i="10" s="1"/>
  <c r="V22" i="1"/>
  <c r="N22" i="2" s="1"/>
  <c r="C22" i="9" s="1"/>
  <c r="J22" i="1"/>
  <c r="I22" i="2" s="1"/>
  <c r="D22" i="6" s="1"/>
  <c r="F22" i="1"/>
  <c r="F22" i="2" s="1"/>
  <c r="F22" i="7" s="1"/>
  <c r="Z20" i="1"/>
  <c r="P21" i="2" s="1"/>
  <c r="C21" i="10" s="1"/>
  <c r="V20" i="1"/>
  <c r="N21" i="2" s="1"/>
  <c r="C21" i="9" s="1"/>
  <c r="J20" i="1"/>
  <c r="I21" i="2" s="1"/>
  <c r="D21" i="6" s="1"/>
  <c r="F20" i="1"/>
  <c r="F21" i="2" s="1"/>
  <c r="F21" i="7" s="1"/>
  <c r="Z19" i="1"/>
  <c r="P20" i="2" s="1"/>
  <c r="C20" i="10" s="1"/>
  <c r="V19" i="1"/>
  <c r="N20" i="2" s="1"/>
  <c r="C20" i="9" s="1"/>
  <c r="J19" i="1"/>
  <c r="I20" i="2" s="1"/>
  <c r="D20" i="6" s="1"/>
  <c r="F19" i="1"/>
  <c r="F20" i="2" s="1"/>
  <c r="F20" i="7" s="1"/>
  <c r="Z18" i="1"/>
  <c r="P19" i="2" s="1"/>
  <c r="C19" i="10" s="1"/>
  <c r="V18" i="1"/>
  <c r="N19" i="2" s="1"/>
  <c r="C19" i="9" s="1"/>
  <c r="J18" i="1"/>
  <c r="I19" i="2" s="1"/>
  <c r="D19" i="6" s="1"/>
  <c r="F18" i="1"/>
  <c r="F19" i="2" s="1"/>
  <c r="F19" i="7" s="1"/>
  <c r="Z17" i="1"/>
  <c r="P18" i="2" s="1"/>
  <c r="C18" i="10" s="1"/>
  <c r="V17" i="1"/>
  <c r="N18" i="2" s="1"/>
  <c r="C18" i="9" s="1"/>
  <c r="J17" i="1"/>
  <c r="I18" i="2" s="1"/>
  <c r="D18" i="6" s="1"/>
  <c r="F17" i="1"/>
  <c r="F18" i="2" s="1"/>
  <c r="F18" i="7" s="1"/>
  <c r="Z16" i="1"/>
  <c r="P17" i="2" s="1"/>
  <c r="C17" i="10" s="1"/>
  <c r="V16" i="1"/>
  <c r="N17" i="2" s="1"/>
  <c r="C17" i="9" s="1"/>
  <c r="J16" i="1"/>
  <c r="I17" i="2" s="1"/>
  <c r="D17" i="6" s="1"/>
  <c r="F16" i="1"/>
  <c r="F17" i="2" s="1"/>
  <c r="F17" i="7" s="1"/>
  <c r="Z15" i="1"/>
  <c r="P16" i="2" s="1"/>
  <c r="C16" i="10" s="1"/>
  <c r="V15" i="1"/>
  <c r="N16" i="2" s="1"/>
  <c r="C16" i="9" s="1"/>
  <c r="J15" i="1"/>
  <c r="I16" i="2" s="1"/>
  <c r="D16" i="6" s="1"/>
  <c r="F15" i="1"/>
  <c r="F16" i="2" s="1"/>
  <c r="F16" i="7" s="1"/>
  <c r="Z14" i="1"/>
  <c r="P15" i="2" s="1"/>
  <c r="C15" i="10" s="1"/>
  <c r="V14" i="1"/>
  <c r="N15" i="2" s="1"/>
  <c r="C15" i="9" s="1"/>
  <c r="J14" i="1"/>
  <c r="I15" i="2" s="1"/>
  <c r="D15" i="6" s="1"/>
  <c r="F14" i="1"/>
  <c r="F15" i="2" s="1"/>
  <c r="F15" i="7" s="1"/>
  <c r="Z13" i="1"/>
  <c r="P14" i="2" s="1"/>
  <c r="C14" i="10" s="1"/>
  <c r="V13" i="1"/>
  <c r="N14" i="2" s="1"/>
  <c r="C14" i="9" s="1"/>
  <c r="J13" i="1"/>
  <c r="I14" i="2" s="1"/>
  <c r="D14" i="6" s="1"/>
  <c r="F13" i="1"/>
  <c r="F14" i="2" s="1"/>
  <c r="F14" i="7" s="1"/>
  <c r="Z12" i="1"/>
  <c r="P13" i="2" s="1"/>
  <c r="C13" i="10" s="1"/>
  <c r="V12" i="1"/>
  <c r="N13" i="2" s="1"/>
  <c r="C13" i="9" s="1"/>
  <c r="J12" i="1"/>
  <c r="I13" i="2" s="1"/>
  <c r="D13" i="6" s="1"/>
  <c r="F12" i="1"/>
  <c r="Z11" i="1"/>
  <c r="P12" i="2" s="1"/>
  <c r="C12" i="10" s="1"/>
  <c r="V11" i="1"/>
  <c r="N12" i="2" s="1"/>
  <c r="C12" i="9" s="1"/>
  <c r="J11" i="1"/>
  <c r="I12" i="2" s="1"/>
  <c r="D12" i="6" s="1"/>
  <c r="F11" i="1"/>
  <c r="F12" i="2" s="1"/>
  <c r="F12" i="7" s="1"/>
  <c r="Z10" i="1"/>
  <c r="P11" i="2" s="1"/>
  <c r="C11" i="10" s="1"/>
  <c r="V10" i="1"/>
  <c r="N11" i="2" s="1"/>
  <c r="C11" i="9" s="1"/>
  <c r="J10" i="1"/>
  <c r="I11" i="2" s="1"/>
  <c r="D11" i="6" s="1"/>
  <c r="F10" i="1"/>
  <c r="F11" i="2" s="1"/>
  <c r="F11" i="7" s="1"/>
  <c r="Z9" i="1"/>
  <c r="P10" i="2" s="1"/>
  <c r="C10" i="10" s="1"/>
  <c r="V9" i="1"/>
  <c r="N10" i="2" s="1"/>
  <c r="C10" i="9" s="1"/>
  <c r="J9" i="1"/>
  <c r="I10" i="2" s="1"/>
  <c r="D10" i="6" s="1"/>
  <c r="F9" i="1"/>
  <c r="F10" i="2" s="1"/>
  <c r="F10" i="7" s="1"/>
  <c r="Z8" i="1"/>
  <c r="P9" i="2" s="1"/>
  <c r="C9" i="10" s="1"/>
  <c r="V8" i="1"/>
  <c r="N9" i="2" s="1"/>
  <c r="C9" i="9" s="1"/>
  <c r="J8" i="1"/>
  <c r="I9" i="2" s="1"/>
  <c r="D9" i="6" s="1"/>
  <c r="F8" i="1"/>
  <c r="F9" i="2" s="1"/>
  <c r="F9" i="7" s="1"/>
  <c r="Z7" i="1"/>
  <c r="P8" i="2" s="1"/>
  <c r="C8" i="10" s="1"/>
  <c r="V7" i="1"/>
  <c r="N8" i="2" s="1"/>
  <c r="C8" i="9" s="1"/>
  <c r="J7" i="1"/>
  <c r="I8" i="2" s="1"/>
  <c r="D8" i="6" s="1"/>
  <c r="F7" i="1"/>
  <c r="F8" i="2" s="1"/>
  <c r="F8" i="7" s="1"/>
  <c r="Z6" i="1"/>
  <c r="P7" i="2" s="1"/>
  <c r="C7" i="10" s="1"/>
  <c r="V6" i="1"/>
  <c r="N7" i="2" s="1"/>
  <c r="C7" i="9" s="1"/>
  <c r="J6" i="1"/>
  <c r="I7" i="2" s="1"/>
  <c r="D7" i="6" s="1"/>
  <c r="F6" i="1"/>
  <c r="F7" i="2" s="1"/>
  <c r="F7" i="7" s="1"/>
  <c r="Z5" i="1"/>
  <c r="P6" i="2" s="1"/>
  <c r="C6" i="10" s="1"/>
  <c r="V5" i="1"/>
  <c r="N6" i="2" s="1"/>
  <c r="C6" i="9" s="1"/>
  <c r="J5" i="1"/>
  <c r="I6" i="2" s="1"/>
  <c r="D6" i="6" s="1"/>
  <c r="F5" i="1"/>
  <c r="F6" i="2" s="1"/>
  <c r="F6" i="7" s="1"/>
  <c r="Z4" i="1"/>
  <c r="P5" i="2" s="1"/>
  <c r="C5" i="10" s="1"/>
  <c r="V4" i="1"/>
  <c r="N5" i="2" s="1"/>
  <c r="C5" i="9" s="1"/>
  <c r="J4" i="1"/>
  <c r="I5" i="2" s="1"/>
  <c r="D5" i="6" s="1"/>
  <c r="E294" i="2" l="1"/>
  <c r="F294" i="2"/>
  <c r="E263" i="2"/>
  <c r="E126" i="2"/>
  <c r="E126" i="7" s="1"/>
  <c r="E110" i="2"/>
  <c r="E110" i="7" s="1"/>
  <c r="F13" i="2"/>
  <c r="F13" i="7" s="1"/>
  <c r="E13" i="2"/>
  <c r="E13" i="7" s="1"/>
  <c r="F125" i="2"/>
  <c r="F125" i="7" s="1"/>
  <c r="F117" i="2"/>
  <c r="F117" i="7" s="1"/>
  <c r="F109" i="2"/>
  <c r="F109" i="7" s="1"/>
  <c r="F101" i="2"/>
  <c r="F101" i="7" s="1"/>
  <c r="F93" i="2"/>
  <c r="F93" i="7" s="1"/>
  <c r="F85" i="2"/>
  <c r="F85" i="7" s="1"/>
  <c r="F77" i="2"/>
  <c r="F77" i="7" s="1"/>
  <c r="F157" i="2"/>
  <c r="F157" i="7" s="1"/>
  <c r="F141" i="2"/>
  <c r="F141" i="7" s="1"/>
  <c r="F149" i="2"/>
  <c r="F149" i="7" s="1"/>
  <c r="F133" i="2"/>
  <c r="F133" i="7" s="1"/>
  <c r="F69" i="2"/>
  <c r="F69" i="7" s="1"/>
  <c r="F37" i="2"/>
  <c r="F37" i="7" s="1"/>
  <c r="F204" i="2"/>
  <c r="F204" i="7" s="1"/>
  <c r="E61" i="2"/>
  <c r="E61" i="7" s="1"/>
  <c r="E29" i="2"/>
  <c r="E29" i="7" s="1"/>
  <c r="E7" i="2"/>
  <c r="E7" i="7" s="1"/>
  <c r="E56" i="2"/>
  <c r="E56" i="7" s="1"/>
  <c r="E28" i="2"/>
  <c r="E28" i="7" s="1"/>
  <c r="F199" i="2"/>
  <c r="F199" i="7" s="1"/>
  <c r="E53" i="2"/>
  <c r="E53" i="7" s="1"/>
  <c r="E23" i="2"/>
  <c r="E23" i="7" s="1"/>
  <c r="E48" i="2"/>
  <c r="E48" i="7" s="1"/>
  <c r="E21" i="2"/>
  <c r="E21" i="7" s="1"/>
  <c r="E197" i="2"/>
  <c r="E197" i="7" s="1"/>
  <c r="E45" i="2"/>
  <c r="E45" i="7" s="1"/>
  <c r="E20" i="2"/>
  <c r="E20" i="7" s="1"/>
  <c r="E72" i="2"/>
  <c r="E72" i="7" s="1"/>
  <c r="E40" i="2"/>
  <c r="E40" i="7" s="1"/>
  <c r="E15" i="2"/>
  <c r="E15" i="7" s="1"/>
  <c r="E64" i="2"/>
  <c r="E64" i="7" s="1"/>
  <c r="E31" i="2"/>
  <c r="E31" i="7" s="1"/>
  <c r="E12" i="2"/>
  <c r="E12" i="7" s="1"/>
  <c r="E71" i="2"/>
  <c r="E71" i="7" s="1"/>
  <c r="E63" i="2"/>
  <c r="E63" i="7" s="1"/>
  <c r="E55" i="2"/>
  <c r="E55" i="7" s="1"/>
  <c r="E47" i="2"/>
  <c r="E47" i="7" s="1"/>
  <c r="E39" i="2"/>
  <c r="E39" i="7" s="1"/>
  <c r="E30" i="2"/>
  <c r="E30" i="7" s="1"/>
  <c r="E22" i="2"/>
  <c r="E22" i="7" s="1"/>
  <c r="E14" i="2"/>
  <c r="E14" i="7" s="1"/>
  <c r="E6" i="2"/>
  <c r="E6" i="7" s="1"/>
  <c r="E70" i="2"/>
  <c r="E70" i="7" s="1"/>
  <c r="E62" i="2"/>
  <c r="E62" i="7" s="1"/>
  <c r="E54" i="2"/>
  <c r="E54" i="7" s="1"/>
  <c r="E46" i="2"/>
  <c r="E46" i="7" s="1"/>
  <c r="E38" i="2"/>
  <c r="E38" i="7" s="1"/>
  <c r="E68" i="2"/>
  <c r="E68" i="7" s="1"/>
  <c r="E60" i="2"/>
  <c r="E60" i="7" s="1"/>
  <c r="E52" i="2"/>
  <c r="E52" i="7" s="1"/>
  <c r="E44" i="2"/>
  <c r="E44" i="7" s="1"/>
  <c r="E36" i="2"/>
  <c r="E36" i="7" s="1"/>
  <c r="E27" i="2"/>
  <c r="E27" i="7" s="1"/>
  <c r="E19" i="2"/>
  <c r="E19" i="7" s="1"/>
  <c r="E11" i="2"/>
  <c r="E11" i="7" s="1"/>
  <c r="E67" i="2"/>
  <c r="E67" i="7" s="1"/>
  <c r="E59" i="2"/>
  <c r="E59" i="7" s="1"/>
  <c r="E51" i="2"/>
  <c r="E51" i="7" s="1"/>
  <c r="E43" i="2"/>
  <c r="E43" i="7" s="1"/>
  <c r="E35" i="2"/>
  <c r="E35" i="7" s="1"/>
  <c r="E26" i="2"/>
  <c r="E26" i="7" s="1"/>
  <c r="E18" i="2"/>
  <c r="E18" i="7" s="1"/>
  <c r="E10" i="2"/>
  <c r="E10" i="7" s="1"/>
  <c r="E74" i="2"/>
  <c r="E74" i="7" s="1"/>
  <c r="E66" i="2"/>
  <c r="E66" i="7" s="1"/>
  <c r="E58" i="2"/>
  <c r="E58" i="7" s="1"/>
  <c r="E50" i="2"/>
  <c r="E50" i="7" s="1"/>
  <c r="E42" i="2"/>
  <c r="E42" i="7" s="1"/>
  <c r="E33" i="2"/>
  <c r="E33" i="7" s="1"/>
  <c r="E25" i="2"/>
  <c r="E25" i="7" s="1"/>
  <c r="E17" i="2"/>
  <c r="E17" i="7" s="1"/>
  <c r="E9" i="2"/>
  <c r="E9" i="7" s="1"/>
  <c r="E73" i="2"/>
  <c r="E73" i="7" s="1"/>
  <c r="E65" i="2"/>
  <c r="E65" i="7" s="1"/>
  <c r="E57" i="2"/>
  <c r="E57" i="7" s="1"/>
  <c r="E49" i="2"/>
  <c r="E49" i="7" s="1"/>
  <c r="E41" i="2"/>
  <c r="E41" i="7" s="1"/>
  <c r="E32" i="2"/>
  <c r="E32" i="7" s="1"/>
  <c r="E24" i="2"/>
  <c r="E24" i="7" s="1"/>
  <c r="E16" i="2"/>
  <c r="E16" i="7" s="1"/>
  <c r="E8" i="2"/>
  <c r="E8" i="7" s="1"/>
  <c r="E192" i="2"/>
  <c r="E192" i="7" s="1"/>
  <c r="E186" i="2"/>
  <c r="E186" i="7" s="1"/>
  <c r="E205" i="2"/>
  <c r="E205" i="7" s="1"/>
  <c r="E183" i="2"/>
  <c r="E183" i="7" s="1"/>
  <c r="F34" i="2"/>
  <c r="F34" i="7" s="1"/>
  <c r="F176" i="2"/>
  <c r="F176" i="7" s="1"/>
  <c r="F168" i="2"/>
  <c r="F168" i="7" s="1"/>
  <c r="F160" i="2"/>
  <c r="F160" i="7" s="1"/>
  <c r="F152" i="2"/>
  <c r="F152" i="7" s="1"/>
  <c r="F144" i="2"/>
  <c r="F144" i="7" s="1"/>
  <c r="F136" i="2"/>
  <c r="F136" i="7" s="1"/>
  <c r="F128" i="2"/>
  <c r="F128" i="7" s="1"/>
  <c r="F200" i="2"/>
  <c r="F200" i="7" s="1"/>
  <c r="F207" i="2"/>
  <c r="F207" i="7" s="1"/>
  <c r="F189" i="2"/>
  <c r="F189" i="7" s="1"/>
  <c r="F208" i="2"/>
  <c r="F208" i="7" s="1"/>
  <c r="F154" i="2"/>
  <c r="F154" i="7" s="1"/>
  <c r="F146" i="2"/>
  <c r="F146" i="7" s="1"/>
  <c r="F138" i="2"/>
  <c r="F138" i="7" s="1"/>
  <c r="F130" i="2"/>
  <c r="F130" i="7" s="1"/>
  <c r="F202" i="2"/>
  <c r="F202" i="7" s="1"/>
  <c r="F194" i="2"/>
  <c r="F194" i="7" s="1"/>
</calcChain>
</file>

<file path=xl/sharedStrings.xml><?xml version="1.0" encoding="utf-8"?>
<sst xmlns="http://schemas.openxmlformats.org/spreadsheetml/2006/main" count="2695" uniqueCount="324">
  <si>
    <t>LAB ANALYSIS - UREA AGL</t>
  </si>
  <si>
    <t>REACTOR
(U-DC101)</t>
  </si>
  <si>
    <t>STRIPPER
(U-DA 101)</t>
  </si>
  <si>
    <t>HPD 
(U-DA 201)</t>
  </si>
  <si>
    <t>LPD 
(U-DA 202)</t>
  </si>
  <si>
    <t>HPA 
(U-EA 401)</t>
  </si>
  <si>
    <t>LPA
(U-EA 402)</t>
  </si>
  <si>
    <t>REFLUX DRUM
(U-FA 509)</t>
  </si>
  <si>
    <t>WASHING COLOUMN
(U-DA401)</t>
  </si>
  <si>
    <t>SUCTION (FA-501)
(U-GA501)</t>
  </si>
  <si>
    <t>DESORBER OUTLET
(DA-501)</t>
  </si>
  <si>
    <t>UREA SOLUTION TANK
(U-FA 201)</t>
  </si>
  <si>
    <t>Date</t>
  </si>
  <si>
    <t>Load</t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</si>
  <si>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31.13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</si>
  <si>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17.39</t>
    </r>
  </si>
  <si>
    <t>Urea % 32.74</t>
  </si>
  <si>
    <r>
      <t>H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>O%</t>
    </r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</si>
  <si>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8.59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</si>
  <si>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10.87</t>
    </r>
  </si>
  <si>
    <t>Urea %
53.71</t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</si>
  <si>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14.94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</si>
  <si>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9.77</t>
    </r>
  </si>
  <si>
    <t>Urea% 
49.83</t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</si>
  <si>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1.62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</si>
  <si>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
 0.82</t>
    </r>
  </si>
  <si>
    <t>Urea %   68.22</t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</si>
  <si>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37.55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</si>
  <si>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
40.79</t>
    </r>
  </si>
  <si>
    <t xml:space="preserve">Urea %  
---             </t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</si>
  <si>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32.27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</si>
  <si>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36.45</t>
    </r>
  </si>
  <si>
    <t xml:space="preserve">Urea % 
--- </t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</si>
  <si>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27.23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</si>
  <si>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20.09</t>
    </r>
  </si>
  <si>
    <t>Urea %    --</t>
  </si>
  <si>
    <r>
      <t>NH</t>
    </r>
    <r>
      <rPr>
        <vertAlign val="subscript"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%
 21.40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</si>
  <si>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7.82</t>
    </r>
  </si>
  <si>
    <t>Urea% 
--</t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</si>
  <si>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5.04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</si>
  <si>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2.17</t>
    </r>
  </si>
  <si>
    <t>Urea%
1.89</t>
  </si>
  <si>
    <r>
      <t>NH</t>
    </r>
    <r>
      <rPr>
        <vertAlign val="subscript"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ppm 5.0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</si>
  <si>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 xml:space="preserve">2 
</t>
    </r>
    <r>
      <rPr>
        <sz val="10"/>
        <color theme="1"/>
        <rFont val="Aptos Narrow"/>
        <family val="2"/>
        <scheme val="minor"/>
      </rPr>
      <t xml:space="preserve">ppm </t>
    </r>
  </si>
  <si>
    <t xml:space="preserve">Urea ppm  5.0 </t>
  </si>
  <si>
    <r>
      <t>NH</t>
    </r>
    <r>
      <rPr>
        <vertAlign val="sub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 %  0.46</t>
    </r>
  </si>
  <si>
    <r>
      <t>CO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 % 
0.31</t>
    </r>
  </si>
  <si>
    <t>Urea %
 72.39</t>
  </si>
  <si>
    <t>-</t>
  </si>
  <si>
    <t>UREA PLANT ANALYSIS DASHBOARD</t>
  </si>
  <si>
    <t>UREA REACTOR</t>
  </si>
  <si>
    <t>STRIPPER</t>
  </si>
  <si>
    <t>HPD</t>
  </si>
  <si>
    <t>HPA</t>
  </si>
  <si>
    <t>LPA</t>
  </si>
  <si>
    <t>Remarks</t>
  </si>
  <si>
    <t>Design Values</t>
  </si>
  <si>
    <t>CO2 Conversion</t>
  </si>
  <si>
    <t>NH3 Conversion</t>
  </si>
  <si>
    <t>N/C</t>
  </si>
  <si>
    <t>H/C</t>
  </si>
  <si>
    <t>H/U</t>
  </si>
  <si>
    <t>Efficiency</t>
  </si>
  <si>
    <t>Before STAMICARBON Adjustment</t>
  </si>
  <si>
    <t>After STAMICARBON Adjustment</t>
  </si>
  <si>
    <t>SM Injected in HPD. Booter ejector in service.</t>
  </si>
  <si>
    <t xml:space="preserve">Shutdown due to rise in conductivities (2040 hrs), suspecting stripper tube leakage. </t>
  </si>
  <si>
    <t xml:space="preserve">Shutdown due to stripper tube leakage. </t>
  </si>
  <si>
    <t>REACTOR</t>
  </si>
  <si>
    <t>PRODUCT ANALYSIS</t>
  </si>
  <si>
    <t>Shift</t>
  </si>
  <si>
    <t>LOAD</t>
  </si>
  <si>
    <r>
      <t xml:space="preserve">Temp
</t>
    </r>
    <r>
      <rPr>
        <b/>
        <sz val="10"/>
        <color theme="1"/>
        <rFont val="Aptos Narrow"/>
        <family val="2"/>
      </rPr>
      <t>°</t>
    </r>
    <r>
      <rPr>
        <b/>
        <sz val="10"/>
        <color theme="1"/>
        <rFont val="Aptos Narrow"/>
        <family val="2"/>
        <scheme val="minor"/>
      </rPr>
      <t>C</t>
    </r>
  </si>
  <si>
    <r>
      <t>T. N</t>
    </r>
    <r>
      <rPr>
        <b/>
        <vertAlign val="subscript"/>
        <sz val="10"/>
        <color theme="1"/>
        <rFont val="Aptos Narrow"/>
        <family val="2"/>
        <scheme val="minor"/>
      </rPr>
      <t>2</t>
    </r>
    <r>
      <rPr>
        <b/>
        <sz val="10"/>
        <color theme="1"/>
        <rFont val="Aptos Narrow"/>
        <family val="2"/>
        <scheme val="minor"/>
      </rPr>
      <t xml:space="preserve"> % 
46.40 </t>
    </r>
  </si>
  <si>
    <r>
      <t>H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O %
 0.30 </t>
    </r>
  </si>
  <si>
    <r>
      <t>F.NH</t>
    </r>
    <r>
      <rPr>
        <b/>
        <vertAlign val="subscript"/>
        <sz val="10"/>
        <color theme="1"/>
        <rFont val="Times New Roman"/>
        <family val="1"/>
      </rPr>
      <t xml:space="preserve">3
</t>
    </r>
    <r>
      <rPr>
        <b/>
        <sz val="10"/>
        <color theme="1"/>
        <rFont val="Times New Roman"/>
        <family val="1"/>
      </rPr>
      <t>150 ppm</t>
    </r>
  </si>
  <si>
    <t>Biuret %
0.90</t>
  </si>
  <si>
    <t>&gt;2.8 mm</t>
  </si>
  <si>
    <t>2.36~2.8 
mm</t>
  </si>
  <si>
    <t>2~2.36
mm</t>
  </si>
  <si>
    <t>1.7~2
mm</t>
  </si>
  <si>
    <t>1.41~1.7
mm</t>
  </si>
  <si>
    <t>1~1.41
mm</t>
  </si>
  <si>
    <t>0.85~1
mm</t>
  </si>
  <si>
    <t>0.6~0.85
mm</t>
  </si>
  <si>
    <t>&lt;0.6
mm</t>
  </si>
  <si>
    <t>Fines
 %</t>
  </si>
  <si>
    <t>APS
mm</t>
  </si>
  <si>
    <t>Morning Shift</t>
  </si>
  <si>
    <t>Evening Shift</t>
  </si>
  <si>
    <t>Night Shift</t>
  </si>
  <si>
    <t>0.42/0.41</t>
  </si>
  <si>
    <t>1.24/1.25</t>
  </si>
  <si>
    <t>0.41/0.43</t>
  </si>
  <si>
    <t>1.05/1.09</t>
  </si>
  <si>
    <t>Final Stage Vacum Improved from 45 to 35 mmHg.</t>
  </si>
  <si>
    <t>Shutdown of Plant due to CO2 Compressor Bearing replacement activity</t>
  </si>
  <si>
    <t>26/59</t>
  </si>
  <si>
    <t>46.41/46.40</t>
  </si>
  <si>
    <t>0.39/0.41</t>
  </si>
  <si>
    <t>102/75</t>
  </si>
  <si>
    <t>0.99/0.99</t>
  </si>
  <si>
    <t>1/11.9</t>
  </si>
  <si>
    <t>10.7/22.5</t>
  </si>
  <si>
    <t>29.8/29</t>
  </si>
  <si>
    <t>39.5/24.5</t>
  </si>
  <si>
    <t>15.4/10.9</t>
  </si>
  <si>
    <t>3.1/1</t>
  </si>
  <si>
    <t>0.3/0.1</t>
  </si>
  <si>
    <t>0.2/0.1</t>
  </si>
  <si>
    <t>1.97/2.22</t>
  </si>
  <si>
    <t>53/57</t>
  </si>
  <si>
    <t>46.40/46.39</t>
  </si>
  <si>
    <t>0.42/0.43</t>
  </si>
  <si>
    <t>120/147</t>
  </si>
  <si>
    <t>0.93/0.94</t>
  </si>
  <si>
    <t>5.7/5.5</t>
  </si>
  <si>
    <t>15.1/16.6</t>
  </si>
  <si>
    <t>25.2/28</t>
  </si>
  <si>
    <t>30.1/32.8</t>
  </si>
  <si>
    <t>20.3/15.2</t>
  </si>
  <si>
    <t>3/1.7</t>
  </si>
  <si>
    <t>0.1/0.0</t>
  </si>
  <si>
    <t>2.03/2.07</t>
  </si>
  <si>
    <t>Bucket RPM reduced 163 to 160.</t>
  </si>
  <si>
    <t>91~95</t>
  </si>
  <si>
    <t>98~102</t>
  </si>
  <si>
    <t>95~105</t>
  </si>
  <si>
    <t>Bucket cleaned to improve product.</t>
  </si>
  <si>
    <t>104~106</t>
  </si>
  <si>
    <t>104~107</t>
  </si>
  <si>
    <t>110~111</t>
  </si>
  <si>
    <t>39/50</t>
  </si>
  <si>
    <t>46.44/46.43</t>
  </si>
  <si>
    <t>0.28/0.34</t>
  </si>
  <si>
    <t>178/170</t>
  </si>
  <si>
    <t>1.21/1.04</t>
  </si>
  <si>
    <t>1.3/0.5</t>
  </si>
  <si>
    <t>6.9/9.4</t>
  </si>
  <si>
    <t>22.3/29.9</t>
  </si>
  <si>
    <t>26.3/16.6</t>
  </si>
  <si>
    <t>4.1/3.6</t>
  </si>
  <si>
    <t>0.4/0.4</t>
  </si>
  <si>
    <t>0.5/0.2</t>
  </si>
  <si>
    <t>0.8/0.30</t>
  </si>
  <si>
    <t>1.87/1.94</t>
  </si>
  <si>
    <t>51/49</t>
  </si>
  <si>
    <t>46.38/46.42</t>
  </si>
  <si>
    <t>0.36/0.31</t>
  </si>
  <si>
    <t>260/248</t>
  </si>
  <si>
    <t>1.62/1.41</t>
  </si>
  <si>
    <t>0.5/0.7</t>
  </si>
  <si>
    <t>6.7/7.0</t>
  </si>
  <si>
    <t>32.3/30.2</t>
  </si>
  <si>
    <t>39.9/41.5</t>
  </si>
  <si>
    <t>16.5/16.6</t>
  </si>
  <si>
    <t>3.4/3.6</t>
  </si>
  <si>
    <t>0.4/0.3</t>
  </si>
  <si>
    <t>0.1/0.1</t>
  </si>
  <si>
    <t>0.30/0.20</t>
  </si>
  <si>
    <t>1.93/1.93</t>
  </si>
  <si>
    <t>45/42</t>
  </si>
  <si>
    <t>46.43/46.44</t>
  </si>
  <si>
    <t>0.3/0.31</t>
  </si>
  <si>
    <t>140/164</t>
  </si>
  <si>
    <t>1.21/1.09</t>
  </si>
  <si>
    <t>1.1/0.9</t>
  </si>
  <si>
    <t>6.5/6.0</t>
  </si>
  <si>
    <t>23.5/23.2</t>
  </si>
  <si>
    <t>38.9/40.8</t>
  </si>
  <si>
    <t>5.7/4.7</t>
  </si>
  <si>
    <t>0.7/0.3</t>
  </si>
  <si>
    <t>0.3/0.2</t>
  </si>
  <si>
    <t>1.87/1.87</t>
  </si>
  <si>
    <t>41/40</t>
  </si>
  <si>
    <t>0.32/0.34</t>
  </si>
  <si>
    <t>158/138</t>
  </si>
  <si>
    <t>1.02/1.03</t>
  </si>
  <si>
    <t>0.7/0.4</t>
  </si>
  <si>
    <t>6.9/5.7</t>
  </si>
  <si>
    <t>21.5/28.7</t>
  </si>
  <si>
    <t>40.4/44.2</t>
  </si>
  <si>
    <t>23.8/28.7</t>
  </si>
  <si>
    <t>5.6/3.7</t>
  </si>
  <si>
    <t>0.6/0.3</t>
  </si>
  <si>
    <t>0.4/0.1</t>
  </si>
  <si>
    <t>0.1/0</t>
  </si>
  <si>
    <t>0.50/0.10</t>
  </si>
  <si>
    <t>1.86/1.91</t>
  </si>
  <si>
    <t>46/42</t>
  </si>
  <si>
    <t>46.42/46.43</t>
  </si>
  <si>
    <t>0.36/0.33</t>
  </si>
  <si>
    <t>210/196</t>
  </si>
  <si>
    <t>1.04/1.08</t>
  </si>
  <si>
    <t>0.7/1.3</t>
  </si>
  <si>
    <t>8.0/12.4</t>
  </si>
  <si>
    <t>26.1/31.2</t>
  </si>
  <si>
    <t>42.2/40.2</t>
  </si>
  <si>
    <t>18.5/12.9</t>
  </si>
  <si>
    <t>3.8/1.7</t>
  </si>
  <si>
    <t>1.92/2.01</t>
  </si>
  <si>
    <t>42/50</t>
  </si>
  <si>
    <t>46.44/46.44</t>
  </si>
  <si>
    <t>0.32/0.32</t>
  </si>
  <si>
    <t>148/150</t>
  </si>
  <si>
    <t>0.94/0.95</t>
  </si>
  <si>
    <t>0.6/0.8</t>
  </si>
  <si>
    <t>6.4/6.8</t>
  </si>
  <si>
    <t>22.1/21.7</t>
  </si>
  <si>
    <t>43.7/41.9</t>
  </si>
  <si>
    <t>22.1/23.7</t>
  </si>
  <si>
    <t>4.4/4.3</t>
  </si>
  <si>
    <t>0.2/0.3</t>
  </si>
  <si>
    <t>0.3/0.4</t>
  </si>
  <si>
    <t>48/52</t>
  </si>
  <si>
    <t>46.43/46.45</t>
  </si>
  <si>
    <t>0.36/0.32</t>
  </si>
  <si>
    <t>154/158</t>
  </si>
  <si>
    <t>0.92/0.90</t>
  </si>
  <si>
    <t>1.2/1.1</t>
  </si>
  <si>
    <t>9.5/13.0</t>
  </si>
  <si>
    <t>28.8/33.8</t>
  </si>
  <si>
    <t>41.3/38.2</t>
  </si>
  <si>
    <t>16.6/12.5</t>
  </si>
  <si>
    <t>2.3/1.1</t>
  </si>
  <si>
    <t>0.2/0.2</t>
  </si>
  <si>
    <t>1.96/2.02</t>
  </si>
  <si>
    <t>UREA PRODUCT QUALITY TREND</t>
  </si>
  <si>
    <t>Prod.</t>
  </si>
  <si>
    <t>Moisture
%</t>
  </si>
  <si>
    <t>Biuret
%</t>
  </si>
  <si>
    <t>Fines
%</t>
  </si>
  <si>
    <t>Amb Temp.</t>
  </si>
  <si>
    <t>RH
%</t>
  </si>
  <si>
    <r>
      <t xml:space="preserve">Amb Min Temp
</t>
    </r>
    <r>
      <rPr>
        <b/>
        <sz val="14"/>
        <color theme="1"/>
        <rFont val="Aptos Narrow"/>
        <family val="2"/>
      </rPr>
      <t>°C</t>
    </r>
  </si>
  <si>
    <r>
      <t xml:space="preserve">Amb Max Temp
</t>
    </r>
    <r>
      <rPr>
        <b/>
        <sz val="14"/>
        <color theme="1"/>
        <rFont val="Aptos Narrow"/>
        <family val="2"/>
      </rPr>
      <t>°C</t>
    </r>
  </si>
  <si>
    <t>Load reduced due to CO2 Compressor UGB101 high bearing temp</t>
  </si>
  <si>
    <t>Plant shut down due to HPA bottom shell side pinhole leakage</t>
  </si>
  <si>
    <t>Plant load reduced due to the decreased HPNG
(High-Pressure Natural Gas) pressure.</t>
  </si>
  <si>
    <t>STAC Visit</t>
  </si>
  <si>
    <t>Low Load due to Boiler 3 SD</t>
  </si>
  <si>
    <t>Diverted Soln Recovery. Booster Ejector Out of Service.</t>
  </si>
  <si>
    <t>Booster ejector took in service.</t>
  </si>
  <si>
    <t>Plant Shutdown Due to leakage in stripper</t>
  </si>
  <si>
    <t>Plant start Up</t>
  </si>
  <si>
    <t>UFA-202C taken in of service</t>
  </si>
  <si>
    <t>Main Ejector UEE201 taken in service</t>
  </si>
  <si>
    <t>T209 &amp; T209A increased to 136°C, T212 icreased to 140°C</t>
  </si>
  <si>
    <t>UFA-202C taken out of service</t>
  </si>
  <si>
    <t>Sweep Urea recovery Started</t>
  </si>
  <si>
    <t>Plant on hold up due to GT trip (NG Composition changed)</t>
  </si>
  <si>
    <t>UREA PLANT ENERGY INDEX PROFILE</t>
  </si>
  <si>
    <t>Urea Production</t>
  </si>
  <si>
    <t>Avg CWS Temp</t>
  </si>
  <si>
    <t>Energy Index (Urea)</t>
  </si>
  <si>
    <t>SH Import (FFIA-701)</t>
  </si>
  <si>
    <t>SM to 
Stripper / HPD 
(FT-107)</t>
  </si>
  <si>
    <t>Stripper's Sp Cons</t>
  </si>
  <si>
    <t>SM / SL Let Down Flow (FT-720)</t>
  </si>
  <si>
    <t>Sm to Hydrolyzer
(FC-508)</t>
  </si>
  <si>
    <t>Total Extraction</t>
  </si>
  <si>
    <t>Condensing</t>
  </si>
  <si>
    <t>SL Production
(FT-102)</t>
  </si>
  <si>
    <t>SL to PCT Stripper
(FDIC505)</t>
  </si>
  <si>
    <t>MeT</t>
  </si>
  <si>
    <t>%</t>
  </si>
  <si>
    <r>
      <rPr>
        <b/>
        <sz val="12"/>
        <color theme="1"/>
        <rFont val="Aptos Narrow"/>
        <family val="2"/>
      </rPr>
      <t>°</t>
    </r>
    <r>
      <rPr>
        <b/>
        <sz val="12"/>
        <color theme="1"/>
        <rFont val="Aptos Narrow"/>
        <family val="2"/>
        <scheme val="minor"/>
      </rPr>
      <t>C</t>
    </r>
  </si>
  <si>
    <t>MMBTU/T Ur</t>
  </si>
  <si>
    <t>T/h</t>
  </si>
  <si>
    <t>T/MeT Ur</t>
  </si>
  <si>
    <t>34~35</t>
  </si>
  <si>
    <t>33~33.7</t>
  </si>
  <si>
    <t>35~35.6</t>
  </si>
  <si>
    <t>35~36</t>
  </si>
  <si>
    <t>37~38</t>
  </si>
  <si>
    <t>38~38.5</t>
  </si>
  <si>
    <t>38~39</t>
  </si>
  <si>
    <t>38.5~39.5</t>
  </si>
  <si>
    <t>40~3~35</t>
  </si>
  <si>
    <t>34.6~39.5</t>
  </si>
  <si>
    <t>37~39.4</t>
  </si>
  <si>
    <t>38~39.5</t>
  </si>
  <si>
    <t>39~39.4</t>
  </si>
  <si>
    <t>38.8~39.5</t>
  </si>
  <si>
    <t>39~39.7</t>
  </si>
  <si>
    <t>38.8~39.9</t>
  </si>
  <si>
    <t>39.6~40</t>
  </si>
  <si>
    <t>39-40.5</t>
  </si>
  <si>
    <t>38.5-40.2</t>
  </si>
  <si>
    <t>39.5~40.3</t>
  </si>
  <si>
    <t>39.5-40.5</t>
  </si>
  <si>
    <t>39.5-41.5</t>
  </si>
  <si>
    <t>39-40</t>
  </si>
  <si>
    <t>39.2~40.4</t>
  </si>
  <si>
    <t>39.2-40.4</t>
  </si>
  <si>
    <t>38.5-41.5</t>
  </si>
  <si>
    <t>40.2-40.6</t>
  </si>
  <si>
    <t>39.9-41.0</t>
  </si>
  <si>
    <t>39.8-40.8</t>
  </si>
  <si>
    <t>39.5-40.8</t>
  </si>
  <si>
    <t>Low plant load due to level consumption</t>
  </si>
  <si>
    <t>38-40</t>
  </si>
  <si>
    <t>40-41</t>
  </si>
  <si>
    <t>35-40</t>
  </si>
  <si>
    <t>Plant tripped at 1546 hrs due to power failure (GT tripped)</t>
  </si>
  <si>
    <t>35.5-37</t>
  </si>
  <si>
    <t>36.5-39</t>
  </si>
  <si>
    <t>40-40.5</t>
  </si>
  <si>
    <t>36.8-40.7</t>
  </si>
  <si>
    <t>39.5-40.9</t>
  </si>
  <si>
    <t>39.5-41</t>
  </si>
  <si>
    <t>39.5~41</t>
  </si>
  <si>
    <t>37.6~40.5</t>
  </si>
  <si>
    <t>39.9~41.2</t>
  </si>
  <si>
    <t>39.3~41.2</t>
  </si>
  <si>
    <t>40-41.5</t>
  </si>
  <si>
    <t>39.8 ~ 41.3</t>
  </si>
  <si>
    <t>39.6-40.8</t>
  </si>
  <si>
    <t>37.4-39.8</t>
  </si>
  <si>
    <t>37.8-39.3</t>
  </si>
  <si>
    <t>36.5-39.5</t>
  </si>
  <si>
    <t>33-35</t>
  </si>
  <si>
    <t>35-36</t>
  </si>
  <si>
    <t>36-37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</si>
</sst>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[$-409]d\-mmm\-yy;@"/>
    <numFmt numFmtId="167" formatCode="[$-409]d\-mmm;@"/>
    <numFmt numFmtId="168" formatCode="0.000"/>
  </numFmts>
  <fonts count="5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vertAlign val="subscript"/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Century Gothic"/>
      <family val="1"/>
    </font>
    <font>
      <b/>
      <sz val="18"/>
      <color theme="1"/>
      <name val="Century Gothic"/>
      <family val="1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0"/>
      <name val="Century Gothic"/>
      <family val="1"/>
    </font>
    <font>
      <b/>
      <sz val="10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theme="0"/>
      <name val="Aptos Narrow"/>
      <family val="2"/>
      <scheme val="minor"/>
    </font>
    <font>
      <b/>
      <sz val="10"/>
      <color theme="1"/>
      <name val="Aptos Narrow"/>
      <family val="2"/>
    </font>
    <font>
      <b/>
      <vertAlign val="sub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theme="1"/>
      <name val="Aptos Narrow"/>
      <family val="2"/>
    </font>
    <font>
      <b/>
      <sz val="14"/>
      <color theme="1"/>
      <name val="Aptos Narrow"/>
      <family val="2"/>
    </font>
    <font>
      <b/>
      <sz val="11"/>
      <name val="Times New Roman"/>
      <family val="1"/>
    </font>
    <font>
      <sz val="11"/>
      <color rgb="FF000000"/>
      <name val="Calibri"/>
      <family val="2"/>
    </font>
    <font>
      <b/>
      <sz val="12"/>
      <color theme="1"/>
      <name val="Times New Roman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4"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15" fontId="12" fillId="0" borderId="0" xfId="0" applyNumberFormat="1" applyFont="1" applyAlignment="1">
      <alignment horizontal="center" vertical="center"/>
    </xf>
    <xf numFmtId="0" fontId="12" fillId="0" borderId="0" xfId="0" applyFont="1"/>
    <xf numFmtId="2" fontId="14" fillId="2" borderId="4" xfId="0" applyNumberFormat="1" applyFont="1" applyFill="1" applyBorder="1" applyAlignment="1" applyProtection="1">
      <alignment horizontal="center" vertical="center" wrapText="1"/>
      <protection hidden="1"/>
    </xf>
    <xf numFmtId="2" fontId="14" fillId="0" borderId="4" xfId="0" applyNumberFormat="1" applyFont="1" applyBorder="1" applyAlignment="1" applyProtection="1">
      <alignment horizontal="center" vertical="center" wrapText="1"/>
      <protection hidden="1"/>
    </xf>
    <xf numFmtId="2" fontId="14" fillId="0" borderId="4" xfId="0" quotePrefix="1" applyNumberFormat="1" applyFont="1" applyBorder="1" applyAlignment="1" applyProtection="1">
      <alignment horizontal="center" vertical="center" wrapText="1"/>
      <protection hidden="1"/>
    </xf>
    <xf numFmtId="164" fontId="14" fillId="0" borderId="4" xfId="0" quotePrefix="1" applyNumberFormat="1" applyFont="1" applyBorder="1" applyAlignment="1" applyProtection="1">
      <alignment horizontal="center" vertical="center" wrapText="1"/>
      <protection hidden="1"/>
    </xf>
    <xf numFmtId="2" fontId="15" fillId="0" borderId="4" xfId="0" applyNumberFormat="1" applyFont="1" applyBorder="1" applyAlignment="1" applyProtection="1">
      <alignment horizontal="center" vertical="center" wrapText="1"/>
      <protection hidden="1"/>
    </xf>
    <xf numFmtId="2" fontId="16" fillId="0" borderId="4" xfId="0" applyNumberFormat="1" applyFont="1" applyBorder="1" applyAlignment="1" applyProtection="1">
      <alignment horizontal="center" vertical="center" wrapText="1"/>
      <protection hidden="1"/>
    </xf>
    <xf numFmtId="2" fontId="16" fillId="0" borderId="4" xfId="0" quotePrefix="1" applyNumberFormat="1" applyFont="1" applyBorder="1" applyAlignment="1" applyProtection="1">
      <alignment horizontal="center" vertical="center" wrapText="1"/>
      <protection hidden="1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9" fontId="9" fillId="4" borderId="4" xfId="0" applyNumberFormat="1" applyFont="1" applyFill="1" applyBorder="1" applyAlignment="1">
      <alignment horizontal="center" vertical="center"/>
    </xf>
    <xf numFmtId="10" fontId="9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4" xfId="0" applyFill="1" applyBorder="1"/>
    <xf numFmtId="0" fontId="12" fillId="0" borderId="4" xfId="0" applyFont="1" applyBorder="1"/>
    <xf numFmtId="0" fontId="21" fillId="4" borderId="0" xfId="0" applyFont="1" applyFill="1" applyAlignment="1">
      <alignment horizontal="center" vertical="center"/>
    </xf>
    <xf numFmtId="0" fontId="12" fillId="3" borderId="4" xfId="0" applyFont="1" applyFill="1" applyBorder="1" applyAlignment="1" applyProtection="1">
      <alignment horizontal="center" vertical="top" wrapText="1"/>
      <protection locked="0"/>
    </xf>
    <xf numFmtId="0" fontId="12" fillId="3" borderId="1" xfId="0" applyFont="1" applyFill="1" applyBorder="1" applyAlignment="1" applyProtection="1">
      <alignment horizontal="center" vertical="top" wrapText="1"/>
      <protection locked="0"/>
    </xf>
    <xf numFmtId="0" fontId="12" fillId="3" borderId="3" xfId="0" applyFont="1" applyFill="1" applyBorder="1" applyAlignment="1" applyProtection="1">
      <alignment horizontal="center" vertical="top" wrapText="1"/>
      <protection locked="0"/>
    </xf>
    <xf numFmtId="15" fontId="18" fillId="5" borderId="4" xfId="0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17" fillId="4" borderId="6" xfId="0" applyFont="1" applyFill="1" applyBorder="1"/>
    <xf numFmtId="165" fontId="18" fillId="5" borderId="4" xfId="1" applyNumberFormat="1" applyFont="1" applyFill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/>
    </xf>
    <xf numFmtId="165" fontId="18" fillId="5" borderId="1" xfId="1" applyNumberFormat="1" applyFont="1" applyFill="1" applyBorder="1" applyAlignment="1">
      <alignment horizontal="center" vertical="center"/>
    </xf>
    <xf numFmtId="2" fontId="18" fillId="5" borderId="1" xfId="1" applyNumberFormat="1" applyFont="1" applyFill="1" applyBorder="1" applyAlignment="1">
      <alignment horizontal="center" vertical="center"/>
    </xf>
    <xf numFmtId="2" fontId="18" fillId="5" borderId="4" xfId="1" applyNumberFormat="1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2" fontId="14" fillId="0" borderId="7" xfId="0" applyNumberFormat="1" applyFont="1" applyBorder="1" applyAlignment="1" applyProtection="1">
      <alignment horizontal="center" vertical="center" wrapText="1"/>
      <protection hidden="1"/>
    </xf>
    <xf numFmtId="2" fontId="14" fillId="2" borderId="7" xfId="0" applyNumberFormat="1" applyFont="1" applyFill="1" applyBorder="1" applyAlignment="1" applyProtection="1">
      <alignment horizontal="center" vertical="center" wrapText="1"/>
      <protection hidden="1"/>
    </xf>
    <xf numFmtId="2" fontId="14" fillId="0" borderId="7" xfId="0" quotePrefix="1" applyNumberFormat="1" applyFont="1" applyBorder="1" applyAlignment="1" applyProtection="1">
      <alignment horizontal="center" vertical="center" wrapText="1"/>
      <protection hidden="1"/>
    </xf>
    <xf numFmtId="0" fontId="12" fillId="0" borderId="7" xfId="0" applyFont="1" applyBorder="1"/>
    <xf numFmtId="9" fontId="0" fillId="0" borderId="0" xfId="0" applyNumberFormat="1"/>
    <xf numFmtId="0" fontId="9" fillId="4" borderId="12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7" xfId="0" applyBorder="1"/>
    <xf numFmtId="0" fontId="9" fillId="4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166" fontId="0" fillId="0" borderId="18" xfId="0" applyNumberFormat="1" applyBorder="1"/>
    <xf numFmtId="166" fontId="0" fillId="0" borderId="19" xfId="0" applyNumberFormat="1" applyBorder="1"/>
    <xf numFmtId="9" fontId="0" fillId="0" borderId="12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9" fillId="4" borderId="12" xfId="0" applyNumberFormat="1" applyFont="1" applyFill="1" applyBorder="1" applyAlignment="1">
      <alignment horizontal="center" vertical="center"/>
    </xf>
    <xf numFmtId="9" fontId="0" fillId="3" borderId="12" xfId="0" applyNumberFormat="1" applyFill="1" applyBorder="1" applyAlignment="1">
      <alignment horizontal="center"/>
    </xf>
    <xf numFmtId="9" fontId="9" fillId="4" borderId="0" xfId="0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/>
    </xf>
    <xf numFmtId="9" fontId="0" fillId="0" borderId="14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2" fontId="30" fillId="0" borderId="4" xfId="0" applyNumberFormat="1" applyFont="1" applyBorder="1" applyAlignment="1" applyProtection="1">
      <alignment horizontal="center" vertical="center" wrapText="1"/>
      <protection hidden="1"/>
    </xf>
    <xf numFmtId="2" fontId="30" fillId="0" borderId="4" xfId="0" quotePrefix="1" applyNumberFormat="1" applyFont="1" applyBorder="1" applyAlignment="1" applyProtection="1">
      <alignment horizontal="center" vertical="center" wrapText="1"/>
      <protection hidden="1"/>
    </xf>
    <xf numFmtId="2" fontId="30" fillId="0" borderId="20" xfId="0" quotePrefix="1" applyNumberFormat="1" applyFont="1" applyBorder="1" applyAlignment="1" applyProtection="1">
      <alignment horizontal="center" vertical="center" wrapText="1"/>
      <protection hidden="1"/>
    </xf>
    <xf numFmtId="164" fontId="30" fillId="0" borderId="4" xfId="0" quotePrefix="1" applyNumberFormat="1" applyFont="1" applyBorder="1" applyAlignment="1" applyProtection="1">
      <alignment horizontal="center" vertical="center" wrapText="1"/>
      <protection hidden="1"/>
    </xf>
    <xf numFmtId="0" fontId="31" fillId="0" borderId="4" xfId="0" applyFont="1" applyBorder="1" applyAlignment="1">
      <alignment wrapText="1"/>
    </xf>
    <xf numFmtId="0" fontId="31" fillId="0" borderId="3" xfId="0" applyFont="1" applyBorder="1" applyAlignment="1">
      <alignment wrapText="1"/>
    </xf>
    <xf numFmtId="2" fontId="16" fillId="0" borderId="4" xfId="2" quotePrefix="1" applyNumberFormat="1" applyFont="1" applyBorder="1" applyAlignment="1" applyProtection="1">
      <alignment horizontal="center" vertical="center" wrapText="1"/>
      <protection hidden="1"/>
    </xf>
    <xf numFmtId="0" fontId="32" fillId="0" borderId="4" xfId="0" applyFont="1" applyBorder="1" applyAlignment="1">
      <alignment wrapText="1"/>
    </xf>
    <xf numFmtId="164" fontId="16" fillId="0" borderId="4" xfId="2" quotePrefix="1" applyNumberFormat="1" applyFont="1" applyBorder="1" applyAlignment="1" applyProtection="1">
      <alignment horizontal="center" vertical="center" wrapText="1"/>
      <protection hidden="1"/>
    </xf>
    <xf numFmtId="0" fontId="32" fillId="0" borderId="3" xfId="0" applyFont="1" applyBorder="1" applyAlignment="1">
      <alignment wrapText="1"/>
    </xf>
    <xf numFmtId="0" fontId="8" fillId="0" borderId="0" xfId="0" applyFont="1"/>
    <xf numFmtId="2" fontId="32" fillId="0" borderId="3" xfId="0" applyNumberFormat="1" applyFont="1" applyBorder="1" applyAlignment="1" applyProtection="1">
      <alignment horizontal="center" vertical="center" wrapText="1"/>
      <protection hidden="1"/>
    </xf>
    <xf numFmtId="1" fontId="32" fillId="0" borderId="3" xfId="0" applyNumberFormat="1" applyFont="1" applyBorder="1" applyAlignment="1" applyProtection="1">
      <alignment horizontal="center" vertical="center" wrapText="1"/>
      <protection hidden="1"/>
    </xf>
    <xf numFmtId="2" fontId="32" fillId="0" borderId="21" xfId="0" applyNumberFormat="1" applyFont="1" applyBorder="1" applyAlignment="1" applyProtection="1">
      <alignment horizontal="center" vertical="center" wrapText="1"/>
      <protection hidden="1"/>
    </xf>
    <xf numFmtId="1" fontId="32" fillId="0" borderId="21" xfId="0" applyNumberFormat="1" applyFont="1" applyBorder="1" applyAlignment="1" applyProtection="1">
      <alignment horizontal="center" vertical="center" wrapText="1"/>
      <protection hidden="1"/>
    </xf>
    <xf numFmtId="2" fontId="32" fillId="0" borderId="22" xfId="0" applyNumberFormat="1" applyFont="1" applyBorder="1" applyAlignment="1" applyProtection="1">
      <alignment horizontal="center" vertical="center" wrapText="1"/>
      <protection hidden="1"/>
    </xf>
    <xf numFmtId="1" fontId="32" fillId="0" borderId="22" xfId="0" applyNumberFormat="1" applyFont="1" applyBorder="1" applyAlignment="1" applyProtection="1">
      <alignment horizontal="center" vertical="center" wrapText="1"/>
      <protection hidden="1"/>
    </xf>
    <xf numFmtId="2" fontId="30" fillId="0" borderId="4" xfId="4" quotePrefix="1" applyNumberFormat="1" applyFont="1" applyBorder="1" applyAlignment="1" applyProtection="1">
      <alignment horizontal="center" vertical="center" wrapText="1"/>
      <protection hidden="1"/>
    </xf>
    <xf numFmtId="1" fontId="30" fillId="0" borderId="4" xfId="4" quotePrefix="1" applyNumberFormat="1" applyFont="1" applyBorder="1" applyAlignment="1" applyProtection="1">
      <alignment horizontal="center" vertical="center" wrapText="1"/>
      <protection hidden="1"/>
    </xf>
    <xf numFmtId="2" fontId="30" fillId="0" borderId="7" xfId="4" quotePrefix="1" applyNumberFormat="1" applyFont="1" applyBorder="1" applyAlignment="1" applyProtection="1">
      <alignment horizontal="center" vertical="center" wrapText="1"/>
      <protection hidden="1"/>
    </xf>
    <xf numFmtId="1" fontId="30" fillId="0" borderId="7" xfId="4" quotePrefix="1" applyNumberFormat="1" applyFont="1" applyBorder="1" applyAlignment="1" applyProtection="1">
      <alignment horizontal="center" vertical="center" wrapText="1"/>
      <protection hidden="1"/>
    </xf>
    <xf numFmtId="0" fontId="32" fillId="0" borderId="6" xfId="0" applyFont="1" applyBorder="1" applyAlignment="1">
      <alignment wrapText="1"/>
    </xf>
    <xf numFmtId="0" fontId="32" fillId="0" borderId="21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22" xfId="0" applyFont="1" applyBorder="1" applyAlignment="1">
      <alignment wrapText="1"/>
    </xf>
    <xf numFmtId="15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0" fillId="5" borderId="4" xfId="0" applyNumberFormat="1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8" borderId="4" xfId="0" applyNumberFormat="1" applyFill="1" applyBorder="1" applyAlignment="1">
      <alignment horizontal="center" vertical="center"/>
    </xf>
    <xf numFmtId="164" fontId="0" fillId="8" borderId="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3" borderId="4" xfId="0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32" fillId="7" borderId="3" xfId="0" applyFont="1" applyFill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23" xfId="0" applyFont="1" applyBorder="1" applyAlignment="1">
      <alignment wrapText="1"/>
    </xf>
    <xf numFmtId="0" fontId="32" fillId="0" borderId="3" xfId="0" quotePrefix="1" applyFont="1" applyBorder="1" applyAlignment="1">
      <alignment wrapText="1"/>
    </xf>
    <xf numFmtId="0" fontId="32" fillId="0" borderId="21" xfId="0" quotePrefix="1" applyFont="1" applyBorder="1" applyAlignment="1">
      <alignment wrapText="1"/>
    </xf>
    <xf numFmtId="164" fontId="21" fillId="4" borderId="0" xfId="0" applyNumberFormat="1" applyFont="1" applyFill="1" applyAlignment="1">
      <alignment horizontal="center" vertical="center"/>
    </xf>
    <xf numFmtId="164" fontId="29" fillId="3" borderId="0" xfId="0" applyNumberFormat="1" applyFont="1" applyFill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4" fontId="30" fillId="0" borderId="4" xfId="0" applyNumberFormat="1" applyFont="1" applyBorder="1" applyAlignment="1" applyProtection="1">
      <alignment horizontal="center" vertical="center" wrapText="1"/>
      <protection hidden="1"/>
    </xf>
    <xf numFmtId="164" fontId="12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" fontId="30" fillId="0" borderId="4" xfId="5" quotePrefix="1" applyNumberFormat="1" applyFont="1" applyBorder="1" applyAlignment="1" applyProtection="1">
      <alignment horizontal="center" vertical="center" wrapText="1"/>
      <protection hidden="1"/>
    </xf>
    <xf numFmtId="1" fontId="30" fillId="0" borderId="4" xfId="5" quotePrefix="1" applyNumberFormat="1" applyFont="1" applyBorder="1" applyAlignment="1" applyProtection="1">
      <alignment horizontal="center" vertical="center" wrapText="1"/>
      <protection hidden="1"/>
    </xf>
    <xf numFmtId="2" fontId="30" fillId="0" borderId="7" xfId="5" quotePrefix="1" applyNumberFormat="1" applyFont="1" applyBorder="1" applyAlignment="1" applyProtection="1">
      <alignment horizontal="center" vertical="center" wrapText="1"/>
      <protection hidden="1"/>
    </xf>
    <xf numFmtId="1" fontId="30" fillId="0" borderId="7" xfId="5" quotePrefix="1" applyNumberFormat="1" applyFont="1" applyBorder="1" applyAlignment="1" applyProtection="1">
      <alignment horizontal="center" vertical="center" wrapText="1"/>
      <protection hidden="1"/>
    </xf>
    <xf numFmtId="2" fontId="30" fillId="0" borderId="4" xfId="5" applyNumberFormat="1" applyFont="1" applyBorder="1" applyAlignment="1" applyProtection="1">
      <alignment horizontal="center" vertical="center" wrapText="1"/>
      <protection hidden="1"/>
    </xf>
    <xf numFmtId="2" fontId="0" fillId="0" borderId="4" xfId="0" applyNumberFormat="1" applyBorder="1" applyAlignment="1">
      <alignment horizontal="center"/>
    </xf>
    <xf numFmtId="2" fontId="0" fillId="5" borderId="4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2" fontId="30" fillId="0" borderId="4" xfId="0" applyNumberFormat="1" applyFont="1" applyBorder="1" applyAlignment="1" applyProtection="1">
      <alignment vertical="center" wrapText="1"/>
      <protection hidden="1"/>
    </xf>
    <xf numFmtId="164" fontId="32" fillId="0" borderId="4" xfId="0" applyNumberFormat="1" applyFont="1" applyBorder="1" applyAlignment="1" applyProtection="1">
      <alignment vertical="center" wrapText="1"/>
      <protection hidden="1"/>
    </xf>
    <xf numFmtId="164" fontId="32" fillId="0" borderId="6" xfId="0" applyNumberFormat="1" applyFont="1" applyBorder="1" applyAlignment="1" applyProtection="1">
      <alignment vertical="center" wrapText="1"/>
      <protection hidden="1"/>
    </xf>
    <xf numFmtId="164" fontId="32" fillId="0" borderId="5" xfId="0" applyNumberFormat="1" applyFont="1" applyBorder="1" applyAlignment="1" applyProtection="1">
      <alignment vertical="center" wrapText="1"/>
      <protection hidden="1"/>
    </xf>
    <xf numFmtId="164" fontId="30" fillId="0" borderId="4" xfId="4" quotePrefix="1" applyNumberFormat="1" applyFont="1" applyBorder="1" applyAlignment="1" applyProtection="1">
      <alignment vertical="center" wrapText="1"/>
      <protection hidden="1"/>
    </xf>
    <xf numFmtId="164" fontId="30" fillId="0" borderId="7" xfId="4" quotePrefix="1" applyNumberFormat="1" applyFont="1" applyBorder="1" applyAlignment="1" applyProtection="1">
      <alignment vertical="center" wrapText="1"/>
      <protection hidden="1"/>
    </xf>
    <xf numFmtId="164" fontId="30" fillId="0" borderId="4" xfId="5" quotePrefix="1" applyNumberFormat="1" applyFont="1" applyBorder="1" applyAlignment="1" applyProtection="1">
      <alignment vertical="center" wrapText="1"/>
      <protection hidden="1"/>
    </xf>
    <xf numFmtId="164" fontId="30" fillId="0" borderId="7" xfId="5" quotePrefix="1" applyNumberFormat="1" applyFont="1" applyBorder="1" applyAlignment="1" applyProtection="1">
      <alignment vertical="center" wrapText="1"/>
      <protection hidden="1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39" fillId="0" borderId="2" xfId="0" applyFont="1" applyBorder="1" applyAlignment="1">
      <alignment horizontal="left"/>
    </xf>
    <xf numFmtId="1" fontId="0" fillId="0" borderId="4" xfId="0" applyNumberFormat="1" applyBorder="1" applyAlignment="1">
      <alignment vertical="center"/>
    </xf>
    <xf numFmtId="1" fontId="0" fillId="5" borderId="4" xfId="0" applyNumberFormat="1" applyFill="1" applyBorder="1" applyAlignment="1">
      <alignment vertical="center"/>
    </xf>
    <xf numFmtId="1" fontId="0" fillId="0" borderId="7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4" xfId="0" quotePrefix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30" fillId="0" borderId="4" xfId="7" quotePrefix="1" applyNumberFormat="1" applyFont="1" applyBorder="1" applyAlignment="1" applyProtection="1">
      <alignment horizontal="center" vertical="center" wrapText="1"/>
      <protection hidden="1"/>
    </xf>
    <xf numFmtId="164" fontId="30" fillId="0" borderId="4" xfId="7" quotePrefix="1" applyNumberFormat="1" applyFont="1" applyBorder="1" applyAlignment="1" applyProtection="1">
      <alignment horizontal="center" vertical="center" wrapText="1"/>
      <protection hidden="1"/>
    </xf>
    <xf numFmtId="1" fontId="30" fillId="0" borderId="4" xfId="7" quotePrefix="1" applyNumberFormat="1" applyFont="1" applyBorder="1" applyAlignment="1" applyProtection="1">
      <alignment horizontal="center" vertical="center" wrapText="1"/>
      <protection hidden="1"/>
    </xf>
    <xf numFmtId="164" fontId="30" fillId="0" borderId="7" xfId="7" quotePrefix="1" applyNumberFormat="1" applyFont="1" applyBorder="1" applyAlignment="1" applyProtection="1">
      <alignment horizontal="center" vertical="center" wrapText="1"/>
      <protection hidden="1"/>
    </xf>
    <xf numFmtId="2" fontId="30" fillId="0" borderId="7" xfId="7" quotePrefix="1" applyNumberFormat="1" applyFont="1" applyBorder="1" applyAlignment="1" applyProtection="1">
      <alignment horizontal="center" vertical="center" wrapText="1"/>
      <protection hidden="1"/>
    </xf>
    <xf numFmtId="1" fontId="30" fillId="0" borderId="7" xfId="7" quotePrefix="1" applyNumberFormat="1" applyFont="1" applyBorder="1" applyAlignment="1" applyProtection="1">
      <alignment horizontal="center" vertical="center" wrapText="1"/>
      <protection hidden="1"/>
    </xf>
    <xf numFmtId="0" fontId="42" fillId="0" borderId="23" xfId="0" applyFont="1" applyBorder="1" applyAlignment="1">
      <alignment wrapText="1"/>
    </xf>
    <xf numFmtId="3" fontId="0" fillId="0" borderId="4" xfId="0" applyNumberFormat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2" fontId="30" fillId="0" borderId="4" xfId="8" quotePrefix="1" applyNumberFormat="1" applyFont="1" applyBorder="1" applyAlignment="1" applyProtection="1">
      <alignment horizontal="center" vertical="center" wrapText="1"/>
      <protection hidden="1"/>
    </xf>
    <xf numFmtId="164" fontId="30" fillId="0" borderId="4" xfId="8" quotePrefix="1" applyNumberFormat="1" applyFont="1" applyBorder="1" applyAlignment="1" applyProtection="1">
      <alignment horizontal="center" vertical="center" wrapText="1"/>
      <protection hidden="1"/>
    </xf>
    <xf numFmtId="1" fontId="30" fillId="0" borderId="4" xfId="8" quotePrefix="1" applyNumberFormat="1" applyFont="1" applyBorder="1" applyAlignment="1" applyProtection="1">
      <alignment horizontal="center" vertical="center" wrapText="1"/>
      <protection hidden="1"/>
    </xf>
    <xf numFmtId="164" fontId="30" fillId="0" borderId="7" xfId="8" quotePrefix="1" applyNumberFormat="1" applyFont="1" applyBorder="1" applyAlignment="1" applyProtection="1">
      <alignment horizontal="center" vertical="center" wrapText="1"/>
      <protection hidden="1"/>
    </xf>
    <xf numFmtId="2" fontId="30" fillId="0" borderId="7" xfId="8" quotePrefix="1" applyNumberFormat="1" applyFont="1" applyBorder="1" applyAlignment="1" applyProtection="1">
      <alignment horizontal="center" vertical="center" wrapText="1"/>
      <protection hidden="1"/>
    </xf>
    <xf numFmtId="1" fontId="30" fillId="0" borderId="7" xfId="8" quotePrefix="1" applyNumberFormat="1" applyFont="1" applyBorder="1" applyAlignment="1" applyProtection="1">
      <alignment horizontal="center" vertical="center" wrapText="1"/>
      <protection hidden="1"/>
    </xf>
    <xf numFmtId="1" fontId="42" fillId="0" borderId="7" xfId="8" quotePrefix="1" applyNumberFormat="1" applyFont="1" applyBorder="1" applyAlignment="1" applyProtection="1">
      <alignment horizontal="center" vertical="center" wrapText="1"/>
      <protection hidden="1"/>
    </xf>
    <xf numFmtId="0" fontId="43" fillId="0" borderId="4" xfId="0" applyFont="1" applyBorder="1"/>
    <xf numFmtId="0" fontId="43" fillId="0" borderId="3" xfId="0" applyFont="1" applyBorder="1"/>
    <xf numFmtId="15" fontId="8" fillId="0" borderId="4" xfId="0" applyNumberFormat="1" applyFont="1" applyBorder="1" applyAlignment="1">
      <alignment horizontal="center" vertical="center"/>
    </xf>
    <xf numFmtId="165" fontId="8" fillId="0" borderId="4" xfId="1" applyNumberFormat="1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2" fontId="8" fillId="0" borderId="1" xfId="1" applyNumberFormat="1" applyFont="1" applyFill="1" applyBorder="1" applyAlignment="1">
      <alignment horizontal="center" vertical="center"/>
    </xf>
    <xf numFmtId="2" fontId="8" fillId="0" borderId="4" xfId="1" applyNumberFormat="1" applyFont="1" applyFill="1" applyBorder="1" applyAlignment="1">
      <alignment horizontal="center" vertical="center"/>
    </xf>
    <xf numFmtId="0" fontId="8" fillId="0" borderId="4" xfId="0" applyFont="1" applyBorder="1" applyProtection="1">
      <protection locked="0"/>
    </xf>
    <xf numFmtId="0" fontId="8" fillId="5" borderId="4" xfId="0" applyFont="1" applyFill="1" applyBorder="1" applyProtection="1">
      <protection locked="0"/>
    </xf>
    <xf numFmtId="0" fontId="29" fillId="3" borderId="6" xfId="0" applyFont="1" applyFill="1" applyBorder="1" applyAlignment="1">
      <alignment horizontal="center" vertical="center"/>
    </xf>
    <xf numFmtId="0" fontId="29" fillId="3" borderId="4" xfId="0" applyFont="1" applyFill="1" applyBorder="1" applyAlignment="1" applyProtection="1">
      <alignment horizontal="center" vertical="center" wrapText="1"/>
      <protection locked="0"/>
    </xf>
    <xf numFmtId="0" fontId="29" fillId="3" borderId="4" xfId="0" applyFont="1" applyFill="1" applyBorder="1" applyAlignment="1" applyProtection="1">
      <alignment horizontal="center" vertical="top" wrapText="1"/>
      <protection locked="0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2" fontId="17" fillId="3" borderId="4" xfId="0" applyNumberFormat="1" applyFont="1" applyFill="1" applyBorder="1" applyAlignment="1">
      <alignment horizontal="center" vertical="center" wrapText="1"/>
    </xf>
    <xf numFmtId="164" fontId="17" fillId="3" borderId="4" xfId="0" applyNumberFormat="1" applyFont="1" applyFill="1" applyBorder="1" applyAlignment="1">
      <alignment horizontal="center" vertical="center" wrapText="1"/>
    </xf>
    <xf numFmtId="1" fontId="17" fillId="3" borderId="4" xfId="0" applyNumberFormat="1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right" vertical="center"/>
    </xf>
    <xf numFmtId="0" fontId="18" fillId="3" borderId="4" xfId="0" applyFont="1" applyFill="1" applyBorder="1" applyAlignment="1">
      <alignment horizontal="center" vertical="center" wrapText="1"/>
    </xf>
    <xf numFmtId="164" fontId="18" fillId="3" borderId="4" xfId="0" applyNumberFormat="1" applyFont="1" applyFill="1" applyBorder="1" applyAlignment="1">
      <alignment horizontal="center" vertical="center" wrapText="1"/>
    </xf>
    <xf numFmtId="168" fontId="18" fillId="3" borderId="4" xfId="0" applyNumberFormat="1" applyFont="1" applyFill="1" applyBorder="1" applyAlignment="1">
      <alignment horizontal="center" vertical="center" wrapText="1"/>
    </xf>
    <xf numFmtId="2" fontId="18" fillId="3" borderId="4" xfId="0" applyNumberFormat="1" applyFont="1" applyFill="1" applyBorder="1" applyAlignment="1">
      <alignment horizontal="center" vertical="center" wrapText="1"/>
    </xf>
    <xf numFmtId="2" fontId="18" fillId="3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8" fillId="0" borderId="4" xfId="0" applyFont="1" applyBorder="1"/>
    <xf numFmtId="0" fontId="44" fillId="0" borderId="4" xfId="0" applyFont="1" applyBorder="1"/>
    <xf numFmtId="0" fontId="45" fillId="0" borderId="4" xfId="0" applyFont="1" applyBorder="1"/>
    <xf numFmtId="1" fontId="18" fillId="0" borderId="4" xfId="0" applyNumberFormat="1" applyFont="1" applyBorder="1" applyAlignment="1">
      <alignment vertical="center"/>
    </xf>
    <xf numFmtId="2" fontId="18" fillId="0" borderId="4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wrapText="1"/>
    </xf>
    <xf numFmtId="0" fontId="46" fillId="0" borderId="23" xfId="0" applyFont="1" applyBorder="1" applyAlignment="1">
      <alignment wrapText="1"/>
    </xf>
    <xf numFmtId="0" fontId="32" fillId="0" borderId="4" xfId="0" applyFont="1" applyBorder="1" applyAlignment="1">
      <alignment horizontal="right" vertical="center" wrapText="1"/>
    </xf>
    <xf numFmtId="0" fontId="32" fillId="0" borderId="3" xfId="0" applyFont="1" applyBorder="1" applyAlignment="1">
      <alignment horizontal="right" vertical="center" wrapText="1"/>
    </xf>
    <xf numFmtId="0" fontId="32" fillId="0" borderId="6" xfId="0" applyFont="1" applyBorder="1" applyAlignment="1">
      <alignment horizontal="right" vertical="center" wrapText="1"/>
    </xf>
    <xf numFmtId="0" fontId="32" fillId="0" borderId="21" xfId="0" applyFont="1" applyBorder="1" applyAlignment="1">
      <alignment horizontal="right" vertical="center" wrapText="1"/>
    </xf>
    <xf numFmtId="0" fontId="32" fillId="0" borderId="5" xfId="0" applyFont="1" applyBorder="1" applyAlignment="1">
      <alignment horizontal="right" vertical="center" wrapText="1"/>
    </xf>
    <xf numFmtId="0" fontId="32" fillId="0" borderId="22" xfId="0" applyFont="1" applyBorder="1" applyAlignment="1">
      <alignment horizontal="right" vertical="center" wrapText="1"/>
    </xf>
    <xf numFmtId="0" fontId="45" fillId="0" borderId="4" xfId="0" applyFont="1" applyBorder="1" applyAlignment="1">
      <alignment horizontal="right" vertical="center"/>
    </xf>
    <xf numFmtId="0" fontId="32" fillId="0" borderId="22" xfId="0" quotePrefix="1" applyFont="1" applyBorder="1" applyAlignment="1">
      <alignment wrapText="1"/>
    </xf>
    <xf numFmtId="0" fontId="32" fillId="0" borderId="27" xfId="0" applyFont="1" applyBorder="1" applyAlignment="1">
      <alignment wrapText="1"/>
    </xf>
    <xf numFmtId="2" fontId="36" fillId="0" borderId="4" xfId="0" quotePrefix="1" applyNumberFormat="1" applyFont="1" applyBorder="1" applyAlignment="1" applyProtection="1">
      <alignment horizontal="center" vertical="center" wrapText="1"/>
      <protection hidden="1"/>
    </xf>
    <xf numFmtId="0" fontId="17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quotePrefix="1" applyBorder="1" applyAlignment="1">
      <alignment vertical="center"/>
    </xf>
    <xf numFmtId="1" fontId="0" fillId="0" borderId="6" xfId="0" applyNumberFormat="1" applyBorder="1" applyAlignment="1">
      <alignment vertical="center"/>
    </xf>
    <xf numFmtId="0" fontId="42" fillId="0" borderId="7" xfId="0" applyFont="1" applyBorder="1" applyAlignment="1">
      <alignment vertical="center" wrapText="1"/>
    </xf>
    <xf numFmtId="1" fontId="42" fillId="0" borderId="7" xfId="8" quotePrefix="1" applyNumberFormat="1" applyFont="1" applyBorder="1" applyAlignment="1" applyProtection="1">
      <alignment vertical="center" wrapText="1"/>
      <protection hidden="1"/>
    </xf>
    <xf numFmtId="164" fontId="29" fillId="0" borderId="4" xfId="0" applyNumberFormat="1" applyFont="1" applyBorder="1" applyAlignment="1">
      <alignment horizontal="right" vertical="center"/>
    </xf>
    <xf numFmtId="0" fontId="42" fillId="0" borderId="7" xfId="0" applyFont="1" applyBorder="1" applyAlignment="1">
      <alignment wrapText="1"/>
    </xf>
    <xf numFmtId="0" fontId="18" fillId="0" borderId="0" xfId="0" applyFont="1"/>
    <xf numFmtId="0" fontId="29" fillId="0" borderId="0" xfId="0" applyFont="1"/>
    <xf numFmtId="15" fontId="29" fillId="0" borderId="4" xfId="0" applyNumberFormat="1" applyFont="1" applyBorder="1" applyAlignment="1">
      <alignment horizontal="center" vertical="center"/>
    </xf>
    <xf numFmtId="2" fontId="36" fillId="0" borderId="4" xfId="0" applyNumberFormat="1" applyFont="1" applyBorder="1" applyAlignment="1" applyProtection="1">
      <alignment vertical="center" wrapText="1"/>
      <protection hidden="1"/>
    </xf>
    <xf numFmtId="2" fontId="36" fillId="0" borderId="4" xfId="0" applyNumberFormat="1" applyFont="1" applyBorder="1" applyAlignment="1" applyProtection="1">
      <alignment horizontal="center" vertical="center" wrapText="1"/>
      <protection hidden="1"/>
    </xf>
    <xf numFmtId="0" fontId="29" fillId="0" borderId="4" xfId="0" applyFont="1" applyBorder="1"/>
    <xf numFmtId="164" fontId="36" fillId="0" borderId="4" xfId="0" quotePrefix="1" applyNumberFormat="1" applyFont="1" applyBorder="1" applyAlignment="1" applyProtection="1">
      <alignment horizontal="center" vertical="center" wrapText="1"/>
      <protection hidden="1"/>
    </xf>
    <xf numFmtId="2" fontId="47" fillId="0" borderId="4" xfId="0" applyNumberFormat="1" applyFont="1" applyBorder="1" applyAlignment="1" applyProtection="1">
      <alignment horizontal="center" vertical="center" wrapText="1"/>
      <protection hidden="1"/>
    </xf>
    <xf numFmtId="2" fontId="30" fillId="0" borderId="4" xfId="3" quotePrefix="1" applyNumberFormat="1" applyFont="1" applyBorder="1" applyAlignment="1" applyProtection="1">
      <alignment horizontal="center" vertical="center" wrapText="1"/>
      <protection hidden="1"/>
    </xf>
    <xf numFmtId="0" fontId="48" fillId="0" borderId="0" xfId="0" applyFont="1"/>
    <xf numFmtId="0" fontId="18" fillId="0" borderId="0" xfId="0" applyFont="1" applyAlignment="1">
      <alignment horizontal="center" vertical="center"/>
    </xf>
    <xf numFmtId="0" fontId="32" fillId="0" borderId="3" xfId="0" quotePrefix="1" applyFont="1" applyBorder="1" applyAlignment="1">
      <alignment horizontal="right" wrapText="1"/>
    </xf>
    <xf numFmtId="164" fontId="29" fillId="0" borderId="4" xfId="0" applyNumberFormat="1" applyFont="1" applyBorder="1" applyAlignment="1">
      <alignment horizontal="center" vertical="center"/>
    </xf>
    <xf numFmtId="0" fontId="32" fillId="0" borderId="0" xfId="0" applyFont="1" applyAlignment="1">
      <alignment wrapText="1"/>
    </xf>
    <xf numFmtId="0" fontId="32" fillId="0" borderId="2" xfId="0" applyFont="1" applyBorder="1" applyAlignment="1">
      <alignment wrapText="1"/>
    </xf>
    <xf numFmtId="0" fontId="32" fillId="0" borderId="8" xfId="0" applyFont="1" applyBorder="1" applyAlignment="1">
      <alignment wrapText="1"/>
    </xf>
    <xf numFmtId="164" fontId="8" fillId="0" borderId="0" xfId="0" applyNumberFormat="1" applyFont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5" fontId="29" fillId="0" borderId="1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18" fillId="0" borderId="28" xfId="0" applyFont="1" applyBorder="1"/>
    <xf numFmtId="0" fontId="29" fillId="0" borderId="28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wrapText="1"/>
    </xf>
    <xf numFmtId="0" fontId="29" fillId="0" borderId="31" xfId="0" applyFont="1" applyBorder="1" applyAlignment="1">
      <alignment horizontal="center" vertical="center"/>
    </xf>
    <xf numFmtId="0" fontId="18" fillId="0" borderId="30" xfId="0" applyFont="1" applyBorder="1"/>
    <xf numFmtId="15" fontId="29" fillId="0" borderId="25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64" fontId="49" fillId="0" borderId="7" xfId="0" quotePrefix="1" applyNumberFormat="1" applyFont="1" applyBorder="1" applyAlignment="1" applyProtection="1">
      <alignment horizontal="center" vertical="center" wrapText="1"/>
      <protection hidden="1"/>
    </xf>
    <xf numFmtId="2" fontId="49" fillId="0" borderId="7" xfId="0" quotePrefix="1" applyNumberFormat="1" applyFont="1" applyBorder="1" applyAlignment="1" applyProtection="1">
      <alignment horizontal="center" vertical="center" wrapText="1"/>
      <protection hidden="1"/>
    </xf>
    <xf numFmtId="1" fontId="49" fillId="0" borderId="7" xfId="0" quotePrefix="1" applyNumberFormat="1" applyFont="1" applyBorder="1" applyAlignment="1" applyProtection="1">
      <alignment horizontal="center" vertical="center" wrapText="1"/>
      <protection hidden="1"/>
    </xf>
    <xf numFmtId="164" fontId="49" fillId="0" borderId="4" xfId="0" quotePrefix="1" applyNumberFormat="1" applyFont="1" applyBorder="1" applyAlignment="1" applyProtection="1">
      <alignment horizontal="center" vertical="center" wrapText="1"/>
      <protection hidden="1"/>
    </xf>
    <xf numFmtId="2" fontId="49" fillId="0" borderId="4" xfId="0" quotePrefix="1" applyNumberFormat="1" applyFont="1" applyBorder="1" applyAlignment="1" applyProtection="1">
      <alignment horizontal="center" vertical="center" wrapText="1"/>
      <protection hidden="1"/>
    </xf>
    <xf numFmtId="1" fontId="49" fillId="0" borderId="4" xfId="0" quotePrefix="1" applyNumberFormat="1" applyFont="1" applyBorder="1" applyAlignment="1" applyProtection="1">
      <alignment horizontal="center" vertical="center" wrapText="1"/>
      <protection hidden="1"/>
    </xf>
    <xf numFmtId="0" fontId="50" fillId="0" borderId="4" xfId="0" applyFont="1" applyBorder="1" applyAlignment="1">
      <alignment horizontal="center" wrapText="1"/>
    </xf>
    <xf numFmtId="0" fontId="50" fillId="0" borderId="3" xfId="0" applyFont="1" applyBorder="1" applyAlignment="1">
      <alignment horizontal="center" wrapText="1"/>
    </xf>
    <xf numFmtId="0" fontId="50" fillId="0" borderId="6" xfId="0" applyFont="1" applyBorder="1" applyAlignment="1">
      <alignment horizontal="center" wrapText="1"/>
    </xf>
    <xf numFmtId="0" fontId="50" fillId="0" borderId="21" xfId="0" applyFont="1" applyBorder="1" applyAlignment="1">
      <alignment horizontal="center" wrapText="1"/>
    </xf>
    <xf numFmtId="0" fontId="50" fillId="0" borderId="5" xfId="0" applyFont="1" applyBorder="1" applyAlignment="1">
      <alignment horizontal="center" wrapText="1"/>
    </xf>
    <xf numFmtId="0" fontId="50" fillId="0" borderId="22" xfId="0" applyFont="1" applyBorder="1" applyAlignment="1">
      <alignment horizontal="center" wrapText="1"/>
    </xf>
    <xf numFmtId="0" fontId="50" fillId="0" borderId="3" xfId="0" quotePrefix="1" applyFont="1" applyBorder="1" applyAlignment="1">
      <alignment horizontal="center" wrapText="1"/>
    </xf>
    <xf numFmtId="0" fontId="45" fillId="0" borderId="28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0" fontId="20" fillId="0" borderId="8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2" fillId="4" borderId="1" xfId="0" applyFont="1" applyFill="1" applyBorder="1" applyAlignment="1" applyProtection="1">
      <alignment horizontal="center" vertical="center" wrapText="1"/>
      <protection locked="0"/>
    </xf>
    <xf numFmtId="0" fontId="22" fillId="4" borderId="2" xfId="0" applyFont="1" applyFill="1" applyBorder="1" applyAlignment="1" applyProtection="1">
      <alignment horizontal="center" vertical="center" wrapText="1"/>
      <protection locked="0"/>
    </xf>
    <xf numFmtId="0" fontId="22" fillId="4" borderId="3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15" fontId="29" fillId="0" borderId="4" xfId="0" applyNumberFormat="1" applyFont="1" applyBorder="1" applyAlignment="1">
      <alignment horizontal="center" vertical="center"/>
    </xf>
    <xf numFmtId="15" fontId="29" fillId="0" borderId="7" xfId="0" applyNumberFormat="1" applyFont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38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31" fillId="0" borderId="4" xfId="0" applyFont="1" applyFill="1" applyBorder="1" applyAlignment="1">
      <alignment wrapText="1"/>
    </xf>
    <xf numFmtId="0" fontId="31" fillId="0" borderId="3" xfId="0" applyFont="1" applyFill="1" applyBorder="1" applyAlignment="1">
      <alignment wrapText="1"/>
    </xf>
    <xf numFmtId="0" fontId="31" fillId="0" borderId="4" xfId="0" applyFont="1" applyFill="1" applyBorder="1" applyAlignment="1">
      <alignment horizontal="center" wrapText="1"/>
    </xf>
    <xf numFmtId="0" fontId="31" fillId="0" borderId="3" xfId="0" applyFont="1" applyFill="1" applyBorder="1" applyAlignment="1">
      <alignment horizontal="center" wrapText="1"/>
    </xf>
    <xf numFmtId="0" fontId="31" fillId="0" borderId="27" xfId="0" applyFont="1" applyFill="1" applyBorder="1" applyAlignment="1">
      <alignment horizontal="center" wrapText="1"/>
    </xf>
  </cellXfs>
  <cellStyles count="9">
    <cellStyle name="Normal" xfId="0" builtinId="0"/>
    <cellStyle name="Normal 2" xfId="2" xr:uid="{57D3CC93-EFFE-44A2-9FA2-C6F07D6F171E}"/>
    <cellStyle name="Normal 2 2" xfId="3" xr:uid="{C8AC42B3-9DCC-4E50-9138-E3F163F725D3}"/>
    <cellStyle name="Normal 3" xfId="4" xr:uid="{C796194A-C9E0-477C-9291-C88FE8A6AC84}"/>
    <cellStyle name="Normal 4" xfId="5" xr:uid="{AF96FBDA-5EB3-4BF5-9B97-ECF56087907A}"/>
    <cellStyle name="Normal 5" xfId="6" xr:uid="{8E240A63-4586-4B40-9F1C-69C82DBCF878}"/>
    <cellStyle name="Normal 6" xfId="7" xr:uid="{15E84D99-9C2A-4E12-8A6A-63A72B934F68}"/>
    <cellStyle name="Normal 7" xfId="8" xr:uid="{86CC35FF-F47C-4B3D-A34C-32D8E18FA486}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Reactor!$B$4</c:f>
              <c:strCache>
                <c:ptCount val="1"/>
                <c:pt idx="0">
                  <c:v>CO2 Conversion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Reactor!$A$5:$A$209</c:f>
              <c:numCache>
                <c:formatCode>[$-409]d\-mmm\-yy;@</c:formatCode>
                <c:ptCount val="105"/>
                <c:pt idx="0">
                  <c:v>45819</c:v>
                </c:pt>
                <c:pt idx="1">
                  <c:v>45820</c:v>
                </c:pt>
                <c:pt idx="2">
                  <c:v>45821</c:v>
                </c:pt>
                <c:pt idx="3">
                  <c:v>45824</c:v>
                </c:pt>
                <c:pt idx="4">
                  <c:v>45825</c:v>
                </c:pt>
                <c:pt idx="5">
                  <c:v>45826</c:v>
                </c:pt>
                <c:pt idx="6">
                  <c:v>45827</c:v>
                </c:pt>
                <c:pt idx="7">
                  <c:v>45828</c:v>
                </c:pt>
                <c:pt idx="8">
                  <c:v>45831</c:v>
                </c:pt>
                <c:pt idx="9">
                  <c:v>45832</c:v>
                </c:pt>
                <c:pt idx="10">
                  <c:v>45833</c:v>
                </c:pt>
                <c:pt idx="11">
                  <c:v>45834</c:v>
                </c:pt>
                <c:pt idx="12">
                  <c:v>45835</c:v>
                </c:pt>
                <c:pt idx="13">
                  <c:v>45838</c:v>
                </c:pt>
                <c:pt idx="14">
                  <c:v>45839</c:v>
                </c:pt>
                <c:pt idx="15">
                  <c:v>45840</c:v>
                </c:pt>
                <c:pt idx="16">
                  <c:v>45841</c:v>
                </c:pt>
                <c:pt idx="17">
                  <c:v>45842</c:v>
                </c:pt>
                <c:pt idx="18">
                  <c:v>45846</c:v>
                </c:pt>
                <c:pt idx="19">
                  <c:v>45847</c:v>
                </c:pt>
                <c:pt idx="20">
                  <c:v>45848</c:v>
                </c:pt>
                <c:pt idx="21">
                  <c:v>45855</c:v>
                </c:pt>
                <c:pt idx="22">
                  <c:v>45856</c:v>
                </c:pt>
                <c:pt idx="23">
                  <c:v>45859</c:v>
                </c:pt>
                <c:pt idx="24">
                  <c:v>45866</c:v>
                </c:pt>
                <c:pt idx="25">
                  <c:v>45867</c:v>
                </c:pt>
                <c:pt idx="26">
                  <c:v>45868</c:v>
                </c:pt>
                <c:pt idx="27">
                  <c:v>45869</c:v>
                </c:pt>
                <c:pt idx="28">
                  <c:v>45870</c:v>
                </c:pt>
                <c:pt idx="29">
                  <c:v>45871</c:v>
                </c:pt>
                <c:pt idx="30">
                  <c:v>45874</c:v>
                </c:pt>
                <c:pt idx="31">
                  <c:v>45877</c:v>
                </c:pt>
                <c:pt idx="32">
                  <c:v>45880</c:v>
                </c:pt>
                <c:pt idx="33">
                  <c:v>45881</c:v>
                </c:pt>
                <c:pt idx="34">
                  <c:v>45882</c:v>
                </c:pt>
                <c:pt idx="35">
                  <c:v>45884</c:v>
                </c:pt>
                <c:pt idx="36">
                  <c:v>45887</c:v>
                </c:pt>
                <c:pt idx="37">
                  <c:v>45888</c:v>
                </c:pt>
                <c:pt idx="38">
                  <c:v>45889</c:v>
                </c:pt>
                <c:pt idx="39">
                  <c:v>45890</c:v>
                </c:pt>
                <c:pt idx="40">
                  <c:v>45894</c:v>
                </c:pt>
                <c:pt idx="41">
                  <c:v>45895</c:v>
                </c:pt>
                <c:pt idx="42">
                  <c:v>45897</c:v>
                </c:pt>
                <c:pt idx="43">
                  <c:v>45898</c:v>
                </c:pt>
                <c:pt idx="44">
                  <c:v>45902</c:v>
                </c:pt>
                <c:pt idx="45">
                  <c:v>45903</c:v>
                </c:pt>
                <c:pt idx="46">
                  <c:v>45904</c:v>
                </c:pt>
                <c:pt idx="47">
                  <c:v>45905</c:v>
                </c:pt>
                <c:pt idx="48">
                  <c:v>45909</c:v>
                </c:pt>
                <c:pt idx="49">
                  <c:v>45910</c:v>
                </c:pt>
                <c:pt idx="50">
                  <c:v>45911</c:v>
                </c:pt>
                <c:pt idx="51">
                  <c:v>45912</c:v>
                </c:pt>
                <c:pt idx="52">
                  <c:v>45916</c:v>
                </c:pt>
                <c:pt idx="53">
                  <c:v>45917</c:v>
                </c:pt>
                <c:pt idx="54">
                  <c:v>45918</c:v>
                </c:pt>
                <c:pt idx="55">
                  <c:v>45919</c:v>
                </c:pt>
                <c:pt idx="56">
                  <c:v>45922</c:v>
                </c:pt>
                <c:pt idx="57">
                  <c:v>45923</c:v>
                </c:pt>
                <c:pt idx="58">
                  <c:v>45924</c:v>
                </c:pt>
                <c:pt idx="59">
                  <c:v>45925</c:v>
                </c:pt>
                <c:pt idx="60">
                  <c:v>45926</c:v>
                </c:pt>
                <c:pt idx="61">
                  <c:v>45929</c:v>
                </c:pt>
                <c:pt idx="62">
                  <c:v>45930</c:v>
                </c:pt>
                <c:pt idx="63">
                  <c:v>45932</c:v>
                </c:pt>
                <c:pt idx="64">
                  <c:v>45933</c:v>
                </c:pt>
                <c:pt idx="65">
                  <c:v>45937</c:v>
                </c:pt>
                <c:pt idx="66">
                  <c:v>45940</c:v>
                </c:pt>
                <c:pt idx="67">
                  <c:v>45943</c:v>
                </c:pt>
                <c:pt idx="68">
                  <c:v>45944</c:v>
                </c:pt>
                <c:pt idx="69">
                  <c:v>45945</c:v>
                </c:pt>
                <c:pt idx="70">
                  <c:v>45947</c:v>
                </c:pt>
                <c:pt idx="71">
                  <c:v>45950</c:v>
                </c:pt>
                <c:pt idx="72">
                  <c:v>45953</c:v>
                </c:pt>
                <c:pt idx="73">
                  <c:v>45954</c:v>
                </c:pt>
                <c:pt idx="74">
                  <c:v>45958</c:v>
                </c:pt>
                <c:pt idx="75">
                  <c:v>45960</c:v>
                </c:pt>
                <c:pt idx="76">
                  <c:v>45961</c:v>
                </c:pt>
                <c:pt idx="77">
                  <c:v>45962</c:v>
                </c:pt>
                <c:pt idx="78">
                  <c:v>45964</c:v>
                </c:pt>
                <c:pt idx="79">
                  <c:v>45965</c:v>
                </c:pt>
                <c:pt idx="80">
                  <c:v>45966</c:v>
                </c:pt>
                <c:pt idx="81">
                  <c:v>45967</c:v>
                </c:pt>
                <c:pt idx="82">
                  <c:v>45968</c:v>
                </c:pt>
                <c:pt idx="83">
                  <c:v>45971</c:v>
                </c:pt>
                <c:pt idx="84">
                  <c:v>45972</c:v>
                </c:pt>
                <c:pt idx="85">
                  <c:v>45973</c:v>
                </c:pt>
                <c:pt idx="86">
                  <c:v>45974</c:v>
                </c:pt>
                <c:pt idx="87">
                  <c:v>45975</c:v>
                </c:pt>
                <c:pt idx="88">
                  <c:v>45978</c:v>
                </c:pt>
                <c:pt idx="89">
                  <c:v>45980</c:v>
                </c:pt>
                <c:pt idx="90">
                  <c:v>45981</c:v>
                </c:pt>
                <c:pt idx="91">
                  <c:v>45982</c:v>
                </c:pt>
                <c:pt idx="92">
                  <c:v>45985</c:v>
                </c:pt>
                <c:pt idx="93">
                  <c:v>45986</c:v>
                </c:pt>
                <c:pt idx="94">
                  <c:v>45987</c:v>
                </c:pt>
                <c:pt idx="95">
                  <c:v>45988</c:v>
                </c:pt>
                <c:pt idx="96">
                  <c:v>45989</c:v>
                </c:pt>
                <c:pt idx="97">
                  <c:v>45992</c:v>
                </c:pt>
                <c:pt idx="98">
                  <c:v>45993</c:v>
                </c:pt>
                <c:pt idx="99">
                  <c:v>45994</c:v>
                </c:pt>
                <c:pt idx="100">
                  <c:v>45995</c:v>
                </c:pt>
                <c:pt idx="101">
                  <c:v>45996</c:v>
                </c:pt>
                <c:pt idx="102">
                  <c:v>45997</c:v>
                </c:pt>
                <c:pt idx="103">
                  <c:v>45999</c:v>
                </c:pt>
              </c:numCache>
            </c:numRef>
          </c:cat>
          <c:val>
            <c:numRef>
              <c:f>Reactor!$B$5:$B$209</c:f>
              <c:numCache>
                <c:formatCode>0%</c:formatCode>
                <c:ptCount val="105"/>
                <c:pt idx="0">
                  <c:v>0.56087766525185256</c:v>
                </c:pt>
                <c:pt idx="1">
                  <c:v>0.55258555979048529</c:v>
                </c:pt>
                <c:pt idx="2">
                  <c:v>0.54558797968288297</c:v>
                </c:pt>
                <c:pt idx="3">
                  <c:v>0.53433276137150421</c:v>
                </c:pt>
                <c:pt idx="4">
                  <c:v>0.54443232690753529</c:v>
                </c:pt>
                <c:pt idx="5">
                  <c:v>0.54230195016303318</c:v>
                </c:pt>
                <c:pt idx="6">
                  <c:v>0.55009440881690674</c:v>
                </c:pt>
                <c:pt idx="7">
                  <c:v>0.54068077327487263</c:v>
                </c:pt>
                <c:pt idx="8">
                  <c:v>0.53465113671480802</c:v>
                </c:pt>
                <c:pt idx="9">
                  <c:v>0.54840130715875823</c:v>
                </c:pt>
                <c:pt idx="10">
                  <c:v>0.55118004484368321</c:v>
                </c:pt>
                <c:pt idx="11">
                  <c:v>0.54441335411447611</c:v>
                </c:pt>
                <c:pt idx="12">
                  <c:v>0.54213145991506428</c:v>
                </c:pt>
                <c:pt idx="13">
                  <c:v>0.54045372975916994</c:v>
                </c:pt>
                <c:pt idx="14">
                  <c:v>0.54482551962733927</c:v>
                </c:pt>
                <c:pt idx="15">
                  <c:v>0.53854982099727644</c:v>
                </c:pt>
                <c:pt idx="16">
                  <c:v>0.54157327035036784</c:v>
                </c:pt>
                <c:pt idx="17">
                  <c:v>0.55346618368360223</c:v>
                </c:pt>
                <c:pt idx="18">
                  <c:v>0.53771376758113154</c:v>
                </c:pt>
                <c:pt idx="19">
                  <c:v>0.54169958243990513</c:v>
                </c:pt>
                <c:pt idx="20">
                  <c:v>0.54349559266464142</c:v>
                </c:pt>
                <c:pt idx="21">
                  <c:v>0.56027708756450167</c:v>
                </c:pt>
                <c:pt idx="22">
                  <c:v>0.55244231053249027</c:v>
                </c:pt>
                <c:pt idx="23">
                  <c:v>0.55091670056746489</c:v>
                </c:pt>
                <c:pt idx="24">
                  <c:v>0.55297765200382865</c:v>
                </c:pt>
                <c:pt idx="25">
                  <c:v>0.54866048535750411</c:v>
                </c:pt>
                <c:pt idx="26">
                  <c:v>0.54056793702089834</c:v>
                </c:pt>
                <c:pt idx="27">
                  <c:v>0.54497815637175995</c:v>
                </c:pt>
                <c:pt idx="28">
                  <c:v>0.54714664155105563</c:v>
                </c:pt>
                <c:pt idx="29">
                  <c:v>0.5472337868578051</c:v>
                </c:pt>
                <c:pt idx="30">
                  <c:v>0.54812673171907</c:v>
                </c:pt>
                <c:pt idx="31">
                  <c:v>0.55370985603543743</c:v>
                </c:pt>
                <c:pt idx="32">
                  <c:v>0.55696164163496664</c:v>
                </c:pt>
                <c:pt idx="33">
                  <c:v>0.55065437152003927</c:v>
                </c:pt>
                <c:pt idx="34">
                  <c:v>0.55322378903732838</c:v>
                </c:pt>
                <c:pt idx="35">
                  <c:v>0.55006355522396311</c:v>
                </c:pt>
                <c:pt idx="36">
                  <c:v>0.55843508056645919</c:v>
                </c:pt>
                <c:pt idx="37">
                  <c:v>0.55569241892473775</c:v>
                </c:pt>
                <c:pt idx="38">
                  <c:v>0.55645757582687305</c:v>
                </c:pt>
                <c:pt idx="39">
                  <c:v>0.55566973426807642</c:v>
                </c:pt>
                <c:pt idx="40">
                  <c:v>0.55801847446631025</c:v>
                </c:pt>
                <c:pt idx="41">
                  <c:v>0.5559307342914066</c:v>
                </c:pt>
                <c:pt idx="42">
                  <c:v>0.55668641266460717</c:v>
                </c:pt>
                <c:pt idx="43">
                  <c:v>0.55696287826623458</c:v>
                </c:pt>
                <c:pt idx="44">
                  <c:v>0.55567412433059338</c:v>
                </c:pt>
                <c:pt idx="45">
                  <c:v>0.55587744449891796</c:v>
                </c:pt>
                <c:pt idx="46">
                  <c:v>0.55583804077538712</c:v>
                </c:pt>
                <c:pt idx="47">
                  <c:v>0.55858847366051323</c:v>
                </c:pt>
                <c:pt idx="48">
                  <c:v>0.55573795517709379</c:v>
                </c:pt>
                <c:pt idx="49">
                  <c:v>0.55250396944599411</c:v>
                </c:pt>
                <c:pt idx="50">
                  <c:v>0.55574716575927208</c:v>
                </c:pt>
                <c:pt idx="51">
                  <c:v>0.55833440670931545</c:v>
                </c:pt>
                <c:pt idx="52">
                  <c:v>0.54109050059757502</c:v>
                </c:pt>
                <c:pt idx="53">
                  <c:v>0.55709621932811448</c:v>
                </c:pt>
                <c:pt idx="54">
                  <c:v>0.55324007100240069</c:v>
                </c:pt>
                <c:pt idx="55">
                  <c:v>0.55474448462029613</c:v>
                </c:pt>
                <c:pt idx="56">
                  <c:v>0.56459596584581118</c:v>
                </c:pt>
                <c:pt idx="57">
                  <c:v>0.56512745450221147</c:v>
                </c:pt>
                <c:pt idx="58">
                  <c:v>0.56168957348136506</c:v>
                </c:pt>
                <c:pt idx="59">
                  <c:v>0.56047744947972233</c:v>
                </c:pt>
                <c:pt idx="60">
                  <c:v>0.56311580886884505</c:v>
                </c:pt>
                <c:pt idx="61">
                  <c:v>0.56020506004384485</c:v>
                </c:pt>
                <c:pt idx="62">
                  <c:v>0.55765858099541443</c:v>
                </c:pt>
                <c:pt idx="63">
                  <c:v>0.55681948864746378</c:v>
                </c:pt>
                <c:pt idx="64">
                  <c:v>0.56620649371802145</c:v>
                </c:pt>
                <c:pt idx="65">
                  <c:v>0.56184641741699826</c:v>
                </c:pt>
                <c:pt idx="66">
                  <c:v>0.55215187958550793</c:v>
                </c:pt>
                <c:pt idx="67">
                  <c:v>0.57219313832887919</c:v>
                </c:pt>
                <c:pt idx="68">
                  <c:v>0.56921851941989998</c:v>
                </c:pt>
                <c:pt idx="69">
                  <c:v>0.55126999317034875</c:v>
                </c:pt>
                <c:pt idx="70">
                  <c:v>0.55199142047620742</c:v>
                </c:pt>
                <c:pt idx="71">
                  <c:v>0.56118351668553401</c:v>
                </c:pt>
                <c:pt idx="72">
                  <c:v>0.56005573707741096</c:v>
                </c:pt>
                <c:pt idx="73">
                  <c:v>0.56064928526750979</c:v>
                </c:pt>
                <c:pt idx="74">
                  <c:v>0.56309229942336536</c:v>
                </c:pt>
                <c:pt idx="75">
                  <c:v>0.56315298133399372</c:v>
                </c:pt>
                <c:pt idx="76">
                  <c:v>0.56647772369372962</c:v>
                </c:pt>
                <c:pt idx="77">
                  <c:v>0.56192072686736361</c:v>
                </c:pt>
                <c:pt idx="78">
                  <c:v>0.55813433643834842</c:v>
                </c:pt>
                <c:pt idx="79">
                  <c:v>0.56080089840938396</c:v>
                </c:pt>
                <c:pt idx="80">
                  <c:v>0.56003827834446163</c:v>
                </c:pt>
                <c:pt idx="81">
                  <c:v>0.55856719595044058</c:v>
                </c:pt>
                <c:pt idx="82">
                  <c:v>0.55723487251418713</c:v>
                </c:pt>
                <c:pt idx="83">
                  <c:v>0.54683188507738001</c:v>
                </c:pt>
                <c:pt idx="84">
                  <c:v>0.55068908160403418</c:v>
                </c:pt>
                <c:pt idx="85">
                  <c:v>0.56070296091486693</c:v>
                </c:pt>
                <c:pt idx="86">
                  <c:v>0.54694785786832956</c:v>
                </c:pt>
                <c:pt idx="87">
                  <c:v>0.55754269935829792</c:v>
                </c:pt>
                <c:pt idx="88">
                  <c:v>0.55792038178663961</c:v>
                </c:pt>
                <c:pt idx="89">
                  <c:v>0.55468316789662886</c:v>
                </c:pt>
                <c:pt idx="90">
                  <c:v>0.5772379069623772</c:v>
                </c:pt>
                <c:pt idx="91">
                  <c:v>0.57249411148913898</c:v>
                </c:pt>
                <c:pt idx="92">
                  <c:v>0.56195908171181275</c:v>
                </c:pt>
                <c:pt idx="93">
                  <c:v>0.56387130392750595</c:v>
                </c:pt>
                <c:pt idx="94">
                  <c:v>0.55965185266703532</c:v>
                </c:pt>
                <c:pt idx="95">
                  <c:v>0.56010750751123839</c:v>
                </c:pt>
                <c:pt idx="96">
                  <c:v>0.56144700536189684</c:v>
                </c:pt>
                <c:pt idx="97">
                  <c:v>0.56161493710680843</c:v>
                </c:pt>
                <c:pt idx="98">
                  <c:v>0.56144700536189684</c:v>
                </c:pt>
                <c:pt idx="99">
                  <c:v>0.55661013649290414</c:v>
                </c:pt>
                <c:pt idx="100">
                  <c:v>0.55824901971958629</c:v>
                </c:pt>
                <c:pt idx="101">
                  <c:v>0.55978480854802193</c:v>
                </c:pt>
                <c:pt idx="102">
                  <c:v>0.55581536196996295</c:v>
                </c:pt>
                <c:pt idx="103">
                  <c:v>0.559748887288115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B-AC49-92D6-A047F28E49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38625183"/>
        <c:axId val="938626895"/>
      </c:barChart>
      <c:dateAx>
        <c:axId val="938625183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938626895"/>
        <c:crosses val="autoZero"/>
        <c:auto val="1"/>
        <c:lblOffset val="100"/>
        <c:baseTimeUnit val="days"/>
      </c:dateAx>
      <c:valAx>
        <c:axId val="938626895"/>
        <c:scaling>
          <c:orientation val="minMax"/>
          <c:min val="0.5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513124372966893"/>
          <c:y val="9.4674556213017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Reactor!$D$4</c:f>
              <c:strCache>
                <c:ptCount val="1"/>
                <c:pt idx="0">
                  <c:v>N/C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Reactor!$A$5:$A$209</c:f>
              <c:numCache>
                <c:formatCode>[$-409]d\-mmm\-yy;@</c:formatCode>
                <c:ptCount val="105"/>
                <c:pt idx="0">
                  <c:v>45819</c:v>
                </c:pt>
                <c:pt idx="1">
                  <c:v>45820</c:v>
                </c:pt>
                <c:pt idx="2">
                  <c:v>45821</c:v>
                </c:pt>
                <c:pt idx="3">
                  <c:v>45824</c:v>
                </c:pt>
                <c:pt idx="4">
                  <c:v>45825</c:v>
                </c:pt>
                <c:pt idx="5">
                  <c:v>45826</c:v>
                </c:pt>
                <c:pt idx="6">
                  <c:v>45827</c:v>
                </c:pt>
                <c:pt idx="7">
                  <c:v>45828</c:v>
                </c:pt>
                <c:pt idx="8">
                  <c:v>45831</c:v>
                </c:pt>
                <c:pt idx="9">
                  <c:v>45832</c:v>
                </c:pt>
                <c:pt idx="10">
                  <c:v>45833</c:v>
                </c:pt>
                <c:pt idx="11">
                  <c:v>45834</c:v>
                </c:pt>
                <c:pt idx="12">
                  <c:v>45835</c:v>
                </c:pt>
                <c:pt idx="13">
                  <c:v>45838</c:v>
                </c:pt>
                <c:pt idx="14">
                  <c:v>45839</c:v>
                </c:pt>
                <c:pt idx="15">
                  <c:v>45840</c:v>
                </c:pt>
                <c:pt idx="16">
                  <c:v>45841</c:v>
                </c:pt>
                <c:pt idx="17">
                  <c:v>45842</c:v>
                </c:pt>
                <c:pt idx="18">
                  <c:v>45846</c:v>
                </c:pt>
                <c:pt idx="19">
                  <c:v>45847</c:v>
                </c:pt>
                <c:pt idx="20">
                  <c:v>45848</c:v>
                </c:pt>
                <c:pt idx="21">
                  <c:v>45855</c:v>
                </c:pt>
                <c:pt idx="22">
                  <c:v>45856</c:v>
                </c:pt>
                <c:pt idx="23">
                  <c:v>45859</c:v>
                </c:pt>
                <c:pt idx="24">
                  <c:v>45866</c:v>
                </c:pt>
                <c:pt idx="25">
                  <c:v>45867</c:v>
                </c:pt>
                <c:pt idx="26">
                  <c:v>45868</c:v>
                </c:pt>
                <c:pt idx="27">
                  <c:v>45869</c:v>
                </c:pt>
                <c:pt idx="28">
                  <c:v>45870</c:v>
                </c:pt>
                <c:pt idx="29">
                  <c:v>45871</c:v>
                </c:pt>
                <c:pt idx="30">
                  <c:v>45874</c:v>
                </c:pt>
                <c:pt idx="31">
                  <c:v>45877</c:v>
                </c:pt>
                <c:pt idx="32">
                  <c:v>45880</c:v>
                </c:pt>
                <c:pt idx="33">
                  <c:v>45881</c:v>
                </c:pt>
                <c:pt idx="34">
                  <c:v>45882</c:v>
                </c:pt>
                <c:pt idx="35">
                  <c:v>45884</c:v>
                </c:pt>
                <c:pt idx="36">
                  <c:v>45887</c:v>
                </c:pt>
                <c:pt idx="37">
                  <c:v>45888</c:v>
                </c:pt>
                <c:pt idx="38">
                  <c:v>45889</c:v>
                </c:pt>
                <c:pt idx="39">
                  <c:v>45890</c:v>
                </c:pt>
                <c:pt idx="40">
                  <c:v>45894</c:v>
                </c:pt>
                <c:pt idx="41">
                  <c:v>45895</c:v>
                </c:pt>
                <c:pt idx="42">
                  <c:v>45897</c:v>
                </c:pt>
                <c:pt idx="43">
                  <c:v>45898</c:v>
                </c:pt>
                <c:pt idx="44">
                  <c:v>45902</c:v>
                </c:pt>
                <c:pt idx="45">
                  <c:v>45903</c:v>
                </c:pt>
                <c:pt idx="46">
                  <c:v>45904</c:v>
                </c:pt>
                <c:pt idx="47">
                  <c:v>45905</c:v>
                </c:pt>
                <c:pt idx="48">
                  <c:v>45909</c:v>
                </c:pt>
                <c:pt idx="49">
                  <c:v>45910</c:v>
                </c:pt>
                <c:pt idx="50">
                  <c:v>45911</c:v>
                </c:pt>
                <c:pt idx="51">
                  <c:v>45912</c:v>
                </c:pt>
                <c:pt idx="52">
                  <c:v>45916</c:v>
                </c:pt>
                <c:pt idx="53">
                  <c:v>45917</c:v>
                </c:pt>
                <c:pt idx="54">
                  <c:v>45918</c:v>
                </c:pt>
                <c:pt idx="55">
                  <c:v>45919</c:v>
                </c:pt>
                <c:pt idx="56">
                  <c:v>45922</c:v>
                </c:pt>
                <c:pt idx="57">
                  <c:v>45923</c:v>
                </c:pt>
                <c:pt idx="58">
                  <c:v>45924</c:v>
                </c:pt>
                <c:pt idx="59">
                  <c:v>45925</c:v>
                </c:pt>
                <c:pt idx="60">
                  <c:v>45926</c:v>
                </c:pt>
                <c:pt idx="61">
                  <c:v>45929</c:v>
                </c:pt>
                <c:pt idx="62">
                  <c:v>45930</c:v>
                </c:pt>
                <c:pt idx="63">
                  <c:v>45932</c:v>
                </c:pt>
                <c:pt idx="64">
                  <c:v>45933</c:v>
                </c:pt>
                <c:pt idx="65">
                  <c:v>45937</c:v>
                </c:pt>
                <c:pt idx="66">
                  <c:v>45940</c:v>
                </c:pt>
                <c:pt idx="67">
                  <c:v>45943</c:v>
                </c:pt>
                <c:pt idx="68">
                  <c:v>45944</c:v>
                </c:pt>
                <c:pt idx="69">
                  <c:v>45945</c:v>
                </c:pt>
                <c:pt idx="70">
                  <c:v>45947</c:v>
                </c:pt>
                <c:pt idx="71">
                  <c:v>45950</c:v>
                </c:pt>
                <c:pt idx="72">
                  <c:v>45953</c:v>
                </c:pt>
                <c:pt idx="73">
                  <c:v>45954</c:v>
                </c:pt>
                <c:pt idx="74">
                  <c:v>45958</c:v>
                </c:pt>
                <c:pt idx="75">
                  <c:v>45960</c:v>
                </c:pt>
                <c:pt idx="76">
                  <c:v>45961</c:v>
                </c:pt>
                <c:pt idx="77">
                  <c:v>45962</c:v>
                </c:pt>
                <c:pt idx="78">
                  <c:v>45964</c:v>
                </c:pt>
                <c:pt idx="79">
                  <c:v>45965</c:v>
                </c:pt>
                <c:pt idx="80">
                  <c:v>45966</c:v>
                </c:pt>
                <c:pt idx="81">
                  <c:v>45967</c:v>
                </c:pt>
                <c:pt idx="82">
                  <c:v>45968</c:v>
                </c:pt>
                <c:pt idx="83">
                  <c:v>45971</c:v>
                </c:pt>
                <c:pt idx="84">
                  <c:v>45972</c:v>
                </c:pt>
                <c:pt idx="85">
                  <c:v>45973</c:v>
                </c:pt>
                <c:pt idx="86">
                  <c:v>45974</c:v>
                </c:pt>
                <c:pt idx="87">
                  <c:v>45975</c:v>
                </c:pt>
                <c:pt idx="88">
                  <c:v>45978</c:v>
                </c:pt>
                <c:pt idx="89">
                  <c:v>45980</c:v>
                </c:pt>
                <c:pt idx="90">
                  <c:v>45981</c:v>
                </c:pt>
                <c:pt idx="91">
                  <c:v>45982</c:v>
                </c:pt>
                <c:pt idx="92">
                  <c:v>45985</c:v>
                </c:pt>
                <c:pt idx="93">
                  <c:v>45986</c:v>
                </c:pt>
                <c:pt idx="94">
                  <c:v>45987</c:v>
                </c:pt>
                <c:pt idx="95">
                  <c:v>45988</c:v>
                </c:pt>
                <c:pt idx="96">
                  <c:v>45989</c:v>
                </c:pt>
                <c:pt idx="97">
                  <c:v>45992</c:v>
                </c:pt>
                <c:pt idx="98">
                  <c:v>45993</c:v>
                </c:pt>
                <c:pt idx="99">
                  <c:v>45994</c:v>
                </c:pt>
                <c:pt idx="100">
                  <c:v>45995</c:v>
                </c:pt>
                <c:pt idx="101">
                  <c:v>45996</c:v>
                </c:pt>
                <c:pt idx="102">
                  <c:v>45997</c:v>
                </c:pt>
                <c:pt idx="103">
                  <c:v>45999</c:v>
                </c:pt>
              </c:numCache>
            </c:numRef>
          </c:cat>
          <c:val>
            <c:numRef>
              <c:f>Reactor!$D$5:$D$209</c:f>
              <c:numCache>
                <c:formatCode>0.00</c:formatCode>
                <c:ptCount val="105"/>
                <c:pt idx="0">
                  <c:v>2.957956981176137</c:v>
                </c:pt>
                <c:pt idx="1">
                  <c:v>2.9487997864804303</c:v>
                </c:pt>
                <c:pt idx="2">
                  <c:v>2.9276713319217063</c:v>
                </c:pt>
                <c:pt idx="3">
                  <c:v>2.9271402016890358</c:v>
                </c:pt>
                <c:pt idx="4">
                  <c:v>2.9357488905630498</c:v>
                </c:pt>
                <c:pt idx="5">
                  <c:v>2.8792611124903469</c:v>
                </c:pt>
                <c:pt idx="6">
                  <c:v>3.0760297119722773</c:v>
                </c:pt>
                <c:pt idx="7">
                  <c:v>2.9220896287658884</c:v>
                </c:pt>
                <c:pt idx="8">
                  <c:v>2.9868399401782217</c:v>
                </c:pt>
                <c:pt idx="9">
                  <c:v>2.9728011676355286</c:v>
                </c:pt>
                <c:pt idx="10">
                  <c:v>2.9626080866640265</c:v>
                </c:pt>
                <c:pt idx="11">
                  <c:v>3.0212168495553891</c:v>
                </c:pt>
                <c:pt idx="12">
                  <c:v>2.9569608078865115</c:v>
                </c:pt>
                <c:pt idx="13">
                  <c:v>2.9955354392018685</c:v>
                </c:pt>
                <c:pt idx="14">
                  <c:v>2.9377302719134808</c:v>
                </c:pt>
                <c:pt idx="15">
                  <c:v>2.8863243470541509</c:v>
                </c:pt>
                <c:pt idx="16">
                  <c:v>2.9472766071830208</c:v>
                </c:pt>
                <c:pt idx="17">
                  <c:v>3.055818096299781</c:v>
                </c:pt>
                <c:pt idx="18">
                  <c:v>2.9129802484563561</c:v>
                </c:pt>
                <c:pt idx="19">
                  <c:v>2.8863996137142416</c:v>
                </c:pt>
                <c:pt idx="20">
                  <c:v>2.863069884410526</c:v>
                </c:pt>
                <c:pt idx="21">
                  <c:v>3.0010221655908254</c:v>
                </c:pt>
                <c:pt idx="22">
                  <c:v>2.9579129346189958</c:v>
                </c:pt>
                <c:pt idx="23">
                  <c:v>2.9364784060506932</c:v>
                </c:pt>
                <c:pt idx="24">
                  <c:v>2.9098825643864883</c:v>
                </c:pt>
                <c:pt idx="25">
                  <c:v>2.9583064249373887</c:v>
                </c:pt>
                <c:pt idx="26">
                  <c:v>2.8803872501148895</c:v>
                </c:pt>
                <c:pt idx="27">
                  <c:v>2.8887104850499319</c:v>
                </c:pt>
                <c:pt idx="28">
                  <c:v>2.895823446759231</c:v>
                </c:pt>
                <c:pt idx="29">
                  <c:v>2.895514928025591</c:v>
                </c:pt>
                <c:pt idx="30">
                  <c:v>2.8677736154702846</c:v>
                </c:pt>
                <c:pt idx="31">
                  <c:v>2.907358894974994</c:v>
                </c:pt>
                <c:pt idx="32">
                  <c:v>2.8842871985321752</c:v>
                </c:pt>
                <c:pt idx="33">
                  <c:v>2.9234879557411091</c:v>
                </c:pt>
                <c:pt idx="34">
                  <c:v>2.9313748576716043</c:v>
                </c:pt>
                <c:pt idx="35">
                  <c:v>2.893145952736123</c:v>
                </c:pt>
                <c:pt idx="36">
                  <c:v>2.911003314950201</c:v>
                </c:pt>
                <c:pt idx="37">
                  <c:v>2.9091986413854878</c:v>
                </c:pt>
                <c:pt idx="38">
                  <c:v>2.8882874585718801</c:v>
                </c:pt>
                <c:pt idx="39">
                  <c:v>2.8725963606890765</c:v>
                </c:pt>
                <c:pt idx="40">
                  <c:v>2.9061934673484773</c:v>
                </c:pt>
                <c:pt idx="41">
                  <c:v>2.8893008236194246</c:v>
                </c:pt>
                <c:pt idx="42">
                  <c:v>2.8857678147235166</c:v>
                </c:pt>
                <c:pt idx="43">
                  <c:v>2.8898843125054543</c:v>
                </c:pt>
                <c:pt idx="44">
                  <c:v>2.8932510546107189</c:v>
                </c:pt>
                <c:pt idx="45">
                  <c:v>2.8992372275339671</c:v>
                </c:pt>
                <c:pt idx="46">
                  <c:v>2.9207695617431928</c:v>
                </c:pt>
                <c:pt idx="47">
                  <c:v>2.9120958092844411</c:v>
                </c:pt>
                <c:pt idx="48">
                  <c:v>2.8991852278510031</c:v>
                </c:pt>
                <c:pt idx="49">
                  <c:v>2.8697068494342344</c:v>
                </c:pt>
                <c:pt idx="50">
                  <c:v>2.8891021416342588</c:v>
                </c:pt>
                <c:pt idx="51">
                  <c:v>2.9013401557822265</c:v>
                </c:pt>
                <c:pt idx="52">
                  <c:v>3.0705402391338104</c:v>
                </c:pt>
                <c:pt idx="53">
                  <c:v>2.9568680018924458</c:v>
                </c:pt>
                <c:pt idx="54">
                  <c:v>2.9377566305736358</c:v>
                </c:pt>
                <c:pt idx="55">
                  <c:v>2.9403649306020858</c:v>
                </c:pt>
                <c:pt idx="56">
                  <c:v>2.9677510331627377</c:v>
                </c:pt>
                <c:pt idx="57">
                  <c:v>2.9576540038839494</c:v>
                </c:pt>
                <c:pt idx="58">
                  <c:v>2.9641582584281276</c:v>
                </c:pt>
                <c:pt idx="59">
                  <c:v>2.9673745536553278</c:v>
                </c:pt>
                <c:pt idx="60">
                  <c:v>2.9375432609045729</c:v>
                </c:pt>
                <c:pt idx="61">
                  <c:v>2.9631572853806682</c:v>
                </c:pt>
                <c:pt idx="62">
                  <c:v>2.9557388296904104</c:v>
                </c:pt>
                <c:pt idx="63">
                  <c:v>2.8946215443897425</c:v>
                </c:pt>
                <c:pt idx="64">
                  <c:v>2.9607799332032947</c:v>
                </c:pt>
                <c:pt idx="65">
                  <c:v>2.9274674647807051</c:v>
                </c:pt>
                <c:pt idx="66">
                  <c:v>2.9842657953431755</c:v>
                </c:pt>
                <c:pt idx="67">
                  <c:v>2.9486730795116851</c:v>
                </c:pt>
                <c:pt idx="68">
                  <c:v>2.9522815313472499</c:v>
                </c:pt>
                <c:pt idx="69">
                  <c:v>2.922222588587005</c:v>
                </c:pt>
                <c:pt idx="70">
                  <c:v>2.9164038433328443</c:v>
                </c:pt>
                <c:pt idx="71">
                  <c:v>2.8862616962333645</c:v>
                </c:pt>
                <c:pt idx="72">
                  <c:v>2.8747864443724414</c:v>
                </c:pt>
                <c:pt idx="73">
                  <c:v>2.874620322878537</c:v>
                </c:pt>
                <c:pt idx="74">
                  <c:v>2.9801857585139317</c:v>
                </c:pt>
                <c:pt idx="75">
                  <c:v>2.9894848132258645</c:v>
                </c:pt>
                <c:pt idx="76">
                  <c:v>2.9969083744360505</c:v>
                </c:pt>
                <c:pt idx="77">
                  <c:v>2.9463810003805682</c:v>
                </c:pt>
                <c:pt idx="78">
                  <c:v>2.9231635684711637</c:v>
                </c:pt>
                <c:pt idx="79">
                  <c:v>2.9339167269131758</c:v>
                </c:pt>
                <c:pt idx="80">
                  <c:v>2.9422664900622491</c:v>
                </c:pt>
                <c:pt idx="81">
                  <c:v>2.9230547688763018</c:v>
                </c:pt>
                <c:pt idx="82">
                  <c:v>2.9286482974273591</c:v>
                </c:pt>
                <c:pt idx="83">
                  <c:v>2.9933562505053208</c:v>
                </c:pt>
                <c:pt idx="84">
                  <c:v>2.9644857106524301</c:v>
                </c:pt>
                <c:pt idx="85">
                  <c:v>2.9602268871708541</c:v>
                </c:pt>
                <c:pt idx="86">
                  <c:v>2.9537937450532969</c:v>
                </c:pt>
                <c:pt idx="87">
                  <c:v>2.9641019184463575</c:v>
                </c:pt>
                <c:pt idx="88">
                  <c:v>2.9680453751207234</c:v>
                </c:pt>
                <c:pt idx="89">
                  <c:v>2.9734989925375217</c:v>
                </c:pt>
                <c:pt idx="90">
                  <c:v>3.0496605414253972</c:v>
                </c:pt>
                <c:pt idx="91">
                  <c:v>3.0343007915567282</c:v>
                </c:pt>
                <c:pt idx="92">
                  <c:v>2.9944922836054575</c:v>
                </c:pt>
                <c:pt idx="93">
                  <c:v>2.9931093611075834</c:v>
                </c:pt>
                <c:pt idx="94">
                  <c:v>2.984887147183616</c:v>
                </c:pt>
                <c:pt idx="95">
                  <c:v>2.9628210487847415</c:v>
                </c:pt>
                <c:pt idx="96">
                  <c:v>2.969085938071816</c:v>
                </c:pt>
                <c:pt idx="97">
                  <c:v>2.9701932898488752</c:v>
                </c:pt>
                <c:pt idx="98">
                  <c:v>2.969085938071816</c:v>
                </c:pt>
                <c:pt idx="99">
                  <c:v>2.9885052769369218</c:v>
                </c:pt>
                <c:pt idx="100">
                  <c:v>2.9700125725850741</c:v>
                </c:pt>
                <c:pt idx="101">
                  <c:v>2.9739151008865123</c:v>
                </c:pt>
                <c:pt idx="102">
                  <c:v>2.9746767617938263</c:v>
                </c:pt>
                <c:pt idx="103">
                  <c:v>2.9836646801984732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2-0A48-A810-9BA9486C52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38625183"/>
        <c:axId val="938626895"/>
      </c:barChart>
      <c:dateAx>
        <c:axId val="938625183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938626895"/>
        <c:crosses val="autoZero"/>
        <c:auto val="1"/>
        <c:lblOffset val="100"/>
        <c:baseTimeUnit val="days"/>
      </c:dateAx>
      <c:valAx>
        <c:axId val="938626895"/>
        <c:scaling>
          <c:orientation val="minMax"/>
          <c:min val="2.8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Reactor!$E$4</c:f>
              <c:strCache>
                <c:ptCount val="1"/>
                <c:pt idx="0">
                  <c:v>H/C</c:v>
                </c:pt>
              </c:strCache>
            </c:strRef>
          </c:tx>
          <c:spPr>
            <a:gradFill>
              <a:gsLst>
                <a:gs pos="0">
                  <a:schemeClr val="dk1">
                    <a:tint val="88500"/>
                  </a:schemeClr>
                </a:gs>
                <a:gs pos="100000">
                  <a:schemeClr val="dk1">
                    <a:tint val="885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Reactor!$A$5:$A$209</c:f>
              <c:numCache>
                <c:formatCode>[$-409]d\-mmm\-yy;@</c:formatCode>
                <c:ptCount val="105"/>
                <c:pt idx="0">
                  <c:v>45819</c:v>
                </c:pt>
                <c:pt idx="1">
                  <c:v>45820</c:v>
                </c:pt>
                <c:pt idx="2">
                  <c:v>45821</c:v>
                </c:pt>
                <c:pt idx="3">
                  <c:v>45824</c:v>
                </c:pt>
                <c:pt idx="4">
                  <c:v>45825</c:v>
                </c:pt>
                <c:pt idx="5">
                  <c:v>45826</c:v>
                </c:pt>
                <c:pt idx="6">
                  <c:v>45827</c:v>
                </c:pt>
                <c:pt idx="7">
                  <c:v>45828</c:v>
                </c:pt>
                <c:pt idx="8">
                  <c:v>45831</c:v>
                </c:pt>
                <c:pt idx="9">
                  <c:v>45832</c:v>
                </c:pt>
                <c:pt idx="10">
                  <c:v>45833</c:v>
                </c:pt>
                <c:pt idx="11">
                  <c:v>45834</c:v>
                </c:pt>
                <c:pt idx="12">
                  <c:v>45835</c:v>
                </c:pt>
                <c:pt idx="13">
                  <c:v>45838</c:v>
                </c:pt>
                <c:pt idx="14">
                  <c:v>45839</c:v>
                </c:pt>
                <c:pt idx="15">
                  <c:v>45840</c:v>
                </c:pt>
                <c:pt idx="16">
                  <c:v>45841</c:v>
                </c:pt>
                <c:pt idx="17">
                  <c:v>45842</c:v>
                </c:pt>
                <c:pt idx="18">
                  <c:v>45846</c:v>
                </c:pt>
                <c:pt idx="19">
                  <c:v>45847</c:v>
                </c:pt>
                <c:pt idx="20">
                  <c:v>45848</c:v>
                </c:pt>
                <c:pt idx="21">
                  <c:v>45855</c:v>
                </c:pt>
                <c:pt idx="22">
                  <c:v>45856</c:v>
                </c:pt>
                <c:pt idx="23">
                  <c:v>45859</c:v>
                </c:pt>
                <c:pt idx="24">
                  <c:v>45866</c:v>
                </c:pt>
                <c:pt idx="25">
                  <c:v>45867</c:v>
                </c:pt>
                <c:pt idx="26">
                  <c:v>45868</c:v>
                </c:pt>
                <c:pt idx="27">
                  <c:v>45869</c:v>
                </c:pt>
                <c:pt idx="28">
                  <c:v>45870</c:v>
                </c:pt>
                <c:pt idx="29">
                  <c:v>45871</c:v>
                </c:pt>
                <c:pt idx="30">
                  <c:v>45874</c:v>
                </c:pt>
                <c:pt idx="31">
                  <c:v>45877</c:v>
                </c:pt>
                <c:pt idx="32">
                  <c:v>45880</c:v>
                </c:pt>
                <c:pt idx="33">
                  <c:v>45881</c:v>
                </c:pt>
                <c:pt idx="34">
                  <c:v>45882</c:v>
                </c:pt>
                <c:pt idx="35">
                  <c:v>45884</c:v>
                </c:pt>
                <c:pt idx="36">
                  <c:v>45887</c:v>
                </c:pt>
                <c:pt idx="37">
                  <c:v>45888</c:v>
                </c:pt>
                <c:pt idx="38">
                  <c:v>45889</c:v>
                </c:pt>
                <c:pt idx="39">
                  <c:v>45890</c:v>
                </c:pt>
                <c:pt idx="40">
                  <c:v>45894</c:v>
                </c:pt>
                <c:pt idx="41">
                  <c:v>45895</c:v>
                </c:pt>
                <c:pt idx="42">
                  <c:v>45897</c:v>
                </c:pt>
                <c:pt idx="43">
                  <c:v>45898</c:v>
                </c:pt>
                <c:pt idx="44">
                  <c:v>45902</c:v>
                </c:pt>
                <c:pt idx="45">
                  <c:v>45903</c:v>
                </c:pt>
                <c:pt idx="46">
                  <c:v>45904</c:v>
                </c:pt>
                <c:pt idx="47">
                  <c:v>45905</c:v>
                </c:pt>
                <c:pt idx="48">
                  <c:v>45909</c:v>
                </c:pt>
                <c:pt idx="49">
                  <c:v>45910</c:v>
                </c:pt>
                <c:pt idx="50">
                  <c:v>45911</c:v>
                </c:pt>
                <c:pt idx="51">
                  <c:v>45912</c:v>
                </c:pt>
                <c:pt idx="52">
                  <c:v>45916</c:v>
                </c:pt>
                <c:pt idx="53">
                  <c:v>45917</c:v>
                </c:pt>
                <c:pt idx="54">
                  <c:v>45918</c:v>
                </c:pt>
                <c:pt idx="55">
                  <c:v>45919</c:v>
                </c:pt>
                <c:pt idx="56">
                  <c:v>45922</c:v>
                </c:pt>
                <c:pt idx="57">
                  <c:v>45923</c:v>
                </c:pt>
                <c:pt idx="58">
                  <c:v>45924</c:v>
                </c:pt>
                <c:pt idx="59">
                  <c:v>45925</c:v>
                </c:pt>
                <c:pt idx="60">
                  <c:v>45926</c:v>
                </c:pt>
                <c:pt idx="61">
                  <c:v>45929</c:v>
                </c:pt>
                <c:pt idx="62">
                  <c:v>45930</c:v>
                </c:pt>
                <c:pt idx="63">
                  <c:v>45932</c:v>
                </c:pt>
                <c:pt idx="64">
                  <c:v>45933</c:v>
                </c:pt>
                <c:pt idx="65">
                  <c:v>45937</c:v>
                </c:pt>
                <c:pt idx="66">
                  <c:v>45940</c:v>
                </c:pt>
                <c:pt idx="67">
                  <c:v>45943</c:v>
                </c:pt>
                <c:pt idx="68">
                  <c:v>45944</c:v>
                </c:pt>
                <c:pt idx="69">
                  <c:v>45945</c:v>
                </c:pt>
                <c:pt idx="70">
                  <c:v>45947</c:v>
                </c:pt>
                <c:pt idx="71">
                  <c:v>45950</c:v>
                </c:pt>
                <c:pt idx="72">
                  <c:v>45953</c:v>
                </c:pt>
                <c:pt idx="73">
                  <c:v>45954</c:v>
                </c:pt>
                <c:pt idx="74">
                  <c:v>45958</c:v>
                </c:pt>
                <c:pt idx="75">
                  <c:v>45960</c:v>
                </c:pt>
                <c:pt idx="76">
                  <c:v>45961</c:v>
                </c:pt>
                <c:pt idx="77">
                  <c:v>45962</c:v>
                </c:pt>
                <c:pt idx="78">
                  <c:v>45964</c:v>
                </c:pt>
                <c:pt idx="79">
                  <c:v>45965</c:v>
                </c:pt>
                <c:pt idx="80">
                  <c:v>45966</c:v>
                </c:pt>
                <c:pt idx="81">
                  <c:v>45967</c:v>
                </c:pt>
                <c:pt idx="82">
                  <c:v>45968</c:v>
                </c:pt>
                <c:pt idx="83">
                  <c:v>45971</c:v>
                </c:pt>
                <c:pt idx="84">
                  <c:v>45972</c:v>
                </c:pt>
                <c:pt idx="85">
                  <c:v>45973</c:v>
                </c:pt>
                <c:pt idx="86">
                  <c:v>45974</c:v>
                </c:pt>
                <c:pt idx="87">
                  <c:v>45975</c:v>
                </c:pt>
                <c:pt idx="88">
                  <c:v>45978</c:v>
                </c:pt>
                <c:pt idx="89">
                  <c:v>45980</c:v>
                </c:pt>
                <c:pt idx="90">
                  <c:v>45981</c:v>
                </c:pt>
                <c:pt idx="91">
                  <c:v>45982</c:v>
                </c:pt>
                <c:pt idx="92">
                  <c:v>45985</c:v>
                </c:pt>
                <c:pt idx="93">
                  <c:v>45986</c:v>
                </c:pt>
                <c:pt idx="94">
                  <c:v>45987</c:v>
                </c:pt>
                <c:pt idx="95">
                  <c:v>45988</c:v>
                </c:pt>
                <c:pt idx="96">
                  <c:v>45989</c:v>
                </c:pt>
                <c:pt idx="97">
                  <c:v>45992</c:v>
                </c:pt>
                <c:pt idx="98">
                  <c:v>45993</c:v>
                </c:pt>
                <c:pt idx="99">
                  <c:v>45994</c:v>
                </c:pt>
                <c:pt idx="100">
                  <c:v>45995</c:v>
                </c:pt>
                <c:pt idx="101">
                  <c:v>45996</c:v>
                </c:pt>
                <c:pt idx="102">
                  <c:v>45997</c:v>
                </c:pt>
                <c:pt idx="103">
                  <c:v>45999</c:v>
                </c:pt>
              </c:numCache>
            </c:numRef>
          </c:cat>
          <c:val>
            <c:numRef>
              <c:f>Reactor!$E$5:$E$209</c:f>
              <c:numCache>
                <c:formatCode>0.00</c:formatCode>
                <c:ptCount val="105"/>
                <c:pt idx="0">
                  <c:v>0.53829996166590532</c:v>
                </c:pt>
                <c:pt idx="1">
                  <c:v>0.54722143449811422</c:v>
                </c:pt>
                <c:pt idx="2">
                  <c:v>0.53910071491283107</c:v>
                </c:pt>
                <c:pt idx="3">
                  <c:v>0.49311603218047589</c:v>
                </c:pt>
                <c:pt idx="4">
                  <c:v>0.49582437443520044</c:v>
                </c:pt>
                <c:pt idx="5">
                  <c:v>0.54659378195843966</c:v>
                </c:pt>
                <c:pt idx="6">
                  <c:v>0.59103183089768041</c:v>
                </c:pt>
                <c:pt idx="7">
                  <c:v>0.52344950039312466</c:v>
                </c:pt>
                <c:pt idx="8">
                  <c:v>0.43283396531360668</c:v>
                </c:pt>
                <c:pt idx="9">
                  <c:v>0.52064276755304328</c:v>
                </c:pt>
                <c:pt idx="10">
                  <c:v>0.64880541139799808</c:v>
                </c:pt>
                <c:pt idx="11">
                  <c:v>0.57194998959450571</c:v>
                </c:pt>
                <c:pt idx="12">
                  <c:v>0.64035158024097705</c:v>
                </c:pt>
                <c:pt idx="13">
                  <c:v>0.5459903289633784</c:v>
                </c:pt>
                <c:pt idx="14">
                  <c:v>0.6025244105739459</c:v>
                </c:pt>
                <c:pt idx="15">
                  <c:v>0.54010081660411047</c:v>
                </c:pt>
                <c:pt idx="16">
                  <c:v>0.47108499901561601</c:v>
                </c:pt>
                <c:pt idx="17">
                  <c:v>0.44087493966295233</c:v>
                </c:pt>
                <c:pt idx="18">
                  <c:v>0.47360473326427233</c:v>
                </c:pt>
                <c:pt idx="19">
                  <c:v>0.52990894910581565</c:v>
                </c:pt>
                <c:pt idx="20">
                  <c:v>0.50657783124354128</c:v>
                </c:pt>
                <c:pt idx="21">
                  <c:v>0.53997725409294073</c:v>
                </c:pt>
                <c:pt idx="22">
                  <c:v>0.56806857528924903</c:v>
                </c:pt>
                <c:pt idx="23">
                  <c:v>0.52880084422572526</c:v>
                </c:pt>
                <c:pt idx="24">
                  <c:v>0.58807485535007697</c:v>
                </c:pt>
                <c:pt idx="25">
                  <c:v>0.53706008054142296</c:v>
                </c:pt>
                <c:pt idx="26">
                  <c:v>0.43007914225260374</c:v>
                </c:pt>
                <c:pt idx="27">
                  <c:v>0.53340388116839699</c:v>
                </c:pt>
                <c:pt idx="28">
                  <c:v>0.60938412718460333</c:v>
                </c:pt>
                <c:pt idx="29">
                  <c:v>0.59045610943269533</c:v>
                </c:pt>
                <c:pt idx="30">
                  <c:v>0.58433734939759074</c:v>
                </c:pt>
                <c:pt idx="31">
                  <c:v>0.67722818752566982</c:v>
                </c:pt>
                <c:pt idx="32">
                  <c:v>0.57287360641362839</c:v>
                </c:pt>
                <c:pt idx="33">
                  <c:v>0.51150160076504081</c:v>
                </c:pt>
                <c:pt idx="34">
                  <c:v>0.54327383475407842</c:v>
                </c:pt>
                <c:pt idx="35">
                  <c:v>0.58064431708146769</c:v>
                </c:pt>
                <c:pt idx="36">
                  <c:v>0.6367457490565237</c:v>
                </c:pt>
                <c:pt idx="37">
                  <c:v>0.62439192047377257</c:v>
                </c:pt>
                <c:pt idx="38">
                  <c:v>0.6031891043310712</c:v>
                </c:pt>
                <c:pt idx="39">
                  <c:v>0.60983269631051129</c:v>
                </c:pt>
                <c:pt idx="40">
                  <c:v>0.66259701984817299</c:v>
                </c:pt>
                <c:pt idx="41">
                  <c:v>0.67136891099209395</c:v>
                </c:pt>
                <c:pt idx="42">
                  <c:v>0.64596749463354841</c:v>
                </c:pt>
                <c:pt idx="43">
                  <c:v>0.67613288873998179</c:v>
                </c:pt>
                <c:pt idx="44">
                  <c:v>0.67416674645474939</c:v>
                </c:pt>
                <c:pt idx="45">
                  <c:v>0.71348706074055002</c:v>
                </c:pt>
                <c:pt idx="46">
                  <c:v>0.60222918843608497</c:v>
                </c:pt>
                <c:pt idx="47">
                  <c:v>0.66853225875229172</c:v>
                </c:pt>
                <c:pt idx="48">
                  <c:v>0.62702939654170775</c:v>
                </c:pt>
                <c:pt idx="49">
                  <c:v>0.61383194625804316</c:v>
                </c:pt>
                <c:pt idx="50">
                  <c:v>0.64577183906221847</c:v>
                </c:pt>
                <c:pt idx="51">
                  <c:v>0.7793030909278208</c:v>
                </c:pt>
                <c:pt idx="52">
                  <c:v>0.52179825613950903</c:v>
                </c:pt>
                <c:pt idx="53">
                  <c:v>0.61427082003489575</c:v>
                </c:pt>
                <c:pt idx="54">
                  <c:v>0.70568877111340911</c:v>
                </c:pt>
                <c:pt idx="55">
                  <c:v>0.61988285460908166</c:v>
                </c:pt>
                <c:pt idx="56">
                  <c:v>0.61259562317543537</c:v>
                </c:pt>
                <c:pt idx="57">
                  <c:v>0.64412824708310601</c:v>
                </c:pt>
                <c:pt idx="58">
                  <c:v>0.61318062255732009</c:v>
                </c:pt>
                <c:pt idx="59">
                  <c:v>0.61033013844515493</c:v>
                </c:pt>
                <c:pt idx="60">
                  <c:v>0.65135093308571979</c:v>
                </c:pt>
                <c:pt idx="61">
                  <c:v>0.62434192629574503</c:v>
                </c:pt>
                <c:pt idx="62">
                  <c:v>0.58274484911000002</c:v>
                </c:pt>
                <c:pt idx="63">
                  <c:v>0.59556990263233911</c:v>
                </c:pt>
                <c:pt idx="64">
                  <c:v>0.61038947222842788</c:v>
                </c:pt>
                <c:pt idx="65">
                  <c:v>0.52042899855194757</c:v>
                </c:pt>
                <c:pt idx="66">
                  <c:v>0.46786075250330877</c:v>
                </c:pt>
                <c:pt idx="67">
                  <c:v>0.63820923546323982</c:v>
                </c:pt>
                <c:pt idx="68">
                  <c:v>0.62954791330253002</c:v>
                </c:pt>
                <c:pt idx="69">
                  <c:v>0.50486318717820955</c:v>
                </c:pt>
                <c:pt idx="70">
                  <c:v>0.51605361596009947</c:v>
                </c:pt>
                <c:pt idx="71">
                  <c:v>0.58958811147067081</c:v>
                </c:pt>
                <c:pt idx="72">
                  <c:v>0.57825279586045764</c:v>
                </c:pt>
                <c:pt idx="73">
                  <c:v>0.62001134859088369</c:v>
                </c:pt>
                <c:pt idx="74">
                  <c:v>0.58888888888888824</c:v>
                </c:pt>
                <c:pt idx="75">
                  <c:v>0.59534888679235165</c:v>
                </c:pt>
                <c:pt idx="76">
                  <c:v>0.5790706090214357</c:v>
                </c:pt>
                <c:pt idx="77">
                  <c:v>0.60138718890248843</c:v>
                </c:pt>
                <c:pt idx="78">
                  <c:v>0.61665158275247045</c:v>
                </c:pt>
                <c:pt idx="79">
                  <c:v>0.66004347802864005</c:v>
                </c:pt>
                <c:pt idx="80">
                  <c:v>0.62395547617528857</c:v>
                </c:pt>
                <c:pt idx="81">
                  <c:v>0.66165325311871637</c:v>
                </c:pt>
                <c:pt idx="82">
                  <c:v>0.54268783799332665</c:v>
                </c:pt>
                <c:pt idx="83">
                  <c:v>0.52129379486126237</c:v>
                </c:pt>
                <c:pt idx="84">
                  <c:v>0.54161341054812995</c:v>
                </c:pt>
                <c:pt idx="85">
                  <c:v>0.55404729170946587</c:v>
                </c:pt>
                <c:pt idx="86">
                  <c:v>0.53605056783906391</c:v>
                </c:pt>
                <c:pt idx="87">
                  <c:v>0.52667831269049326</c:v>
                </c:pt>
                <c:pt idx="88">
                  <c:v>0.55207048179431228</c:v>
                </c:pt>
                <c:pt idx="89">
                  <c:v>0.54581923226955997</c:v>
                </c:pt>
                <c:pt idx="90">
                  <c:v>0.52616657890397689</c:v>
                </c:pt>
                <c:pt idx="91">
                  <c:v>0.55321020228671969</c:v>
                </c:pt>
                <c:pt idx="92">
                  <c:v>0.53646493451626531</c:v>
                </c:pt>
                <c:pt idx="93">
                  <c:v>0.55031436555315649</c:v>
                </c:pt>
                <c:pt idx="94">
                  <c:v>0.54148987820066297</c:v>
                </c:pt>
                <c:pt idx="95">
                  <c:v>0.50978177311306649</c:v>
                </c:pt>
                <c:pt idx="96">
                  <c:v>0.52651556913578346</c:v>
                </c:pt>
                <c:pt idx="97">
                  <c:v>0.57029406473868571</c:v>
                </c:pt>
                <c:pt idx="98">
                  <c:v>0.52651556913578346</c:v>
                </c:pt>
                <c:pt idx="99">
                  <c:v>0.52816411682892894</c:v>
                </c:pt>
                <c:pt idx="100">
                  <c:v>0.54279154753065872</c:v>
                </c:pt>
                <c:pt idx="101">
                  <c:v>0.55323124673391522</c:v>
                </c:pt>
                <c:pt idx="102">
                  <c:v>0.55471947194719495</c:v>
                </c:pt>
                <c:pt idx="103">
                  <c:v>0.53823641080807405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7-204B-B28D-6BE9ED6D4E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38625183"/>
        <c:axId val="938626895"/>
      </c:barChart>
      <c:dateAx>
        <c:axId val="938625183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6895"/>
        <c:crosses val="autoZero"/>
        <c:auto val="1"/>
        <c:lblOffset val="100"/>
        <c:baseTimeUnit val="days"/>
      </c:dateAx>
      <c:valAx>
        <c:axId val="938626895"/>
        <c:scaling>
          <c:orientation val="minMax"/>
          <c:min val="0.4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H/C</c:v>
          </c:tx>
          <c:spPr>
            <a:gradFill>
              <a:gsLst>
                <a:gs pos="0">
                  <a:schemeClr val="dk1">
                    <a:tint val="88500"/>
                  </a:schemeClr>
                </a:gs>
                <a:gs pos="100000">
                  <a:schemeClr val="dk1">
                    <a:tint val="885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Stripper!$A$5:$A$208</c:f>
              <c:numCache>
                <c:formatCode>[$-409]d\-mmm\-yy;@</c:formatCode>
                <c:ptCount val="43"/>
                <c:pt idx="0">
                  <c:v>45820</c:v>
                </c:pt>
                <c:pt idx="1">
                  <c:v>45824</c:v>
                </c:pt>
                <c:pt idx="2">
                  <c:v>45827</c:v>
                </c:pt>
                <c:pt idx="3">
                  <c:v>45831</c:v>
                </c:pt>
                <c:pt idx="4">
                  <c:v>45834</c:v>
                </c:pt>
                <c:pt idx="5">
                  <c:v>45838</c:v>
                </c:pt>
                <c:pt idx="6">
                  <c:v>45841</c:v>
                </c:pt>
                <c:pt idx="7">
                  <c:v>45846</c:v>
                </c:pt>
                <c:pt idx="8">
                  <c:v>45847</c:v>
                </c:pt>
                <c:pt idx="9">
                  <c:v>45855</c:v>
                </c:pt>
                <c:pt idx="10">
                  <c:v>45859</c:v>
                </c:pt>
                <c:pt idx="11">
                  <c:v>45866</c:v>
                </c:pt>
                <c:pt idx="12">
                  <c:v>45867</c:v>
                </c:pt>
                <c:pt idx="13">
                  <c:v>45868</c:v>
                </c:pt>
                <c:pt idx="14">
                  <c:v>45880</c:v>
                </c:pt>
                <c:pt idx="15">
                  <c:v>45887</c:v>
                </c:pt>
                <c:pt idx="16">
                  <c:v>45890</c:v>
                </c:pt>
                <c:pt idx="17">
                  <c:v>45894</c:v>
                </c:pt>
                <c:pt idx="18">
                  <c:v>45897</c:v>
                </c:pt>
                <c:pt idx="19">
                  <c:v>45902</c:v>
                </c:pt>
                <c:pt idx="20">
                  <c:v>45904</c:v>
                </c:pt>
                <c:pt idx="21">
                  <c:v>45911</c:v>
                </c:pt>
                <c:pt idx="22">
                  <c:v>45918</c:v>
                </c:pt>
                <c:pt idx="23">
                  <c:v>45922</c:v>
                </c:pt>
                <c:pt idx="24">
                  <c:v>45925</c:v>
                </c:pt>
                <c:pt idx="25">
                  <c:v>45929</c:v>
                </c:pt>
                <c:pt idx="26">
                  <c:v>45932</c:v>
                </c:pt>
                <c:pt idx="27">
                  <c:v>45937</c:v>
                </c:pt>
                <c:pt idx="28">
                  <c:v>45943</c:v>
                </c:pt>
                <c:pt idx="29">
                  <c:v>45950</c:v>
                </c:pt>
                <c:pt idx="30">
                  <c:v>45953</c:v>
                </c:pt>
                <c:pt idx="31">
                  <c:v>45960</c:v>
                </c:pt>
                <c:pt idx="32">
                  <c:v>45964</c:v>
                </c:pt>
                <c:pt idx="33">
                  <c:v>45967</c:v>
                </c:pt>
                <c:pt idx="34">
                  <c:v>45971</c:v>
                </c:pt>
                <c:pt idx="35">
                  <c:v>45974</c:v>
                </c:pt>
                <c:pt idx="36">
                  <c:v>45978</c:v>
                </c:pt>
                <c:pt idx="37">
                  <c:v>45981</c:v>
                </c:pt>
                <c:pt idx="38">
                  <c:v>45985</c:v>
                </c:pt>
                <c:pt idx="39">
                  <c:v>45988</c:v>
                </c:pt>
                <c:pt idx="40">
                  <c:v>45992</c:v>
                </c:pt>
                <c:pt idx="41">
                  <c:v>45995</c:v>
                </c:pt>
                <c:pt idx="42">
                  <c:v>45999</c:v>
                </c:pt>
              </c:numCache>
            </c:numRef>
          </c:cat>
          <c:val>
            <c:numRef>
              <c:f>Stripper!$D$5:$D$208</c:f>
              <c:numCache>
                <c:formatCode>0.00</c:formatCode>
                <c:ptCount val="43"/>
                <c:pt idx="0">
                  <c:v>0.64689988227987805</c:v>
                </c:pt>
                <c:pt idx="1">
                  <c:v>0.731392501804492</c:v>
                </c:pt>
                <c:pt idx="2">
                  <c:v>0.6668987412275813</c:v>
                </c:pt>
                <c:pt idx="3">
                  <c:v>0.73104011719630357</c:v>
                </c:pt>
                <c:pt idx="4">
                  <c:v>0.68693428336325579</c:v>
                </c:pt>
                <c:pt idx="5">
                  <c:v>0.74485241791438672</c:v>
                </c:pt>
                <c:pt idx="6">
                  <c:v>0.74566531119394608</c:v>
                </c:pt>
                <c:pt idx="7">
                  <c:v>0.70643620011242314</c:v>
                </c:pt>
                <c:pt idx="8">
                  <c:v>0.73222193894412779</c:v>
                </c:pt>
                <c:pt idx="9">
                  <c:v>0.69465965559999632</c:v>
                </c:pt>
                <c:pt idx="10">
                  <c:v>0.69433422598600714</c:v>
                </c:pt>
                <c:pt idx="11">
                  <c:v>0.71543453724604988</c:v>
                </c:pt>
                <c:pt idx="12">
                  <c:v>0.77462436603614238</c:v>
                </c:pt>
                <c:pt idx="13">
                  <c:v>0.71479865913011731</c:v>
                </c:pt>
                <c:pt idx="14">
                  <c:v>0.64560836624411977</c:v>
                </c:pt>
                <c:pt idx="15">
                  <c:v>0.69505831798649509</c:v>
                </c:pt>
                <c:pt idx="16">
                  <c:v>0.67438991015061522</c:v>
                </c:pt>
                <c:pt idx="17">
                  <c:v>0.6971654108360239</c:v>
                </c:pt>
                <c:pt idx="18">
                  <c:v>0.70979187703354663</c:v>
                </c:pt>
                <c:pt idx="19">
                  <c:v>0.69753172695253585</c:v>
                </c:pt>
                <c:pt idx="20">
                  <c:v>0.68436055541605034</c:v>
                </c:pt>
                <c:pt idx="21">
                  <c:v>0.62125490736276623</c:v>
                </c:pt>
                <c:pt idx="22">
                  <c:v>0.59212532989963729</c:v>
                </c:pt>
                <c:pt idx="23">
                  <c:v>0.57162485554918585</c:v>
                </c:pt>
                <c:pt idx="24">
                  <c:v>0.57698332468147506</c:v>
                </c:pt>
                <c:pt idx="25">
                  <c:v>0.5890751511004676</c:v>
                </c:pt>
                <c:pt idx="26">
                  <c:v>0.59394105928419338</c:v>
                </c:pt>
                <c:pt idx="27">
                  <c:v>0.63859835313941549</c:v>
                </c:pt>
                <c:pt idx="28">
                  <c:v>0.68940765800543735</c:v>
                </c:pt>
                <c:pt idx="29">
                  <c:v>0.64370188552939844</c:v>
                </c:pt>
                <c:pt idx="30">
                  <c:v>0.64704676155057861</c:v>
                </c:pt>
                <c:pt idx="31">
                  <c:v>0.83347876672483967</c:v>
                </c:pt>
                <c:pt idx="32">
                  <c:v>0.70597573421022786</c:v>
                </c:pt>
                <c:pt idx="33">
                  <c:v>0.67411287423612221</c:v>
                </c:pt>
                <c:pt idx="34">
                  <c:v>0.67702620353442977</c:v>
                </c:pt>
                <c:pt idx="35">
                  <c:v>0.62819172416997737</c:v>
                </c:pt>
                <c:pt idx="36">
                  <c:v>0.65624081615517016</c:v>
                </c:pt>
                <c:pt idx="37">
                  <c:v>0.58373535492763673</c:v>
                </c:pt>
                <c:pt idx="38">
                  <c:v>0.78699779949455684</c:v>
                </c:pt>
                <c:pt idx="39">
                  <c:v>0.71090294041113755</c:v>
                </c:pt>
                <c:pt idx="40">
                  <c:v>0.69523579018304149</c:v>
                </c:pt>
                <c:pt idx="41">
                  <c:v>0.6846293478930584</c:v>
                </c:pt>
                <c:pt idx="42">
                  <c:v>0.63773058440551866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7-204B-B28D-6BE9ED6D4E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38625183"/>
        <c:axId val="938626895"/>
      </c:barChart>
      <c:dateAx>
        <c:axId val="938625183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6895"/>
        <c:crosses val="autoZero"/>
        <c:auto val="1"/>
        <c:lblOffset val="100"/>
        <c:baseTimeUnit val="days"/>
      </c:dateAx>
      <c:valAx>
        <c:axId val="938626895"/>
        <c:scaling>
          <c:orientation val="minMax"/>
          <c:min val="0.4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N/C</c:v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Stripper!$A$5:$A$208</c:f>
              <c:numCache>
                <c:formatCode>[$-409]d\-mmm\-yy;@</c:formatCode>
                <c:ptCount val="43"/>
                <c:pt idx="0">
                  <c:v>45820</c:v>
                </c:pt>
                <c:pt idx="1">
                  <c:v>45824</c:v>
                </c:pt>
                <c:pt idx="2">
                  <c:v>45827</c:v>
                </c:pt>
                <c:pt idx="3">
                  <c:v>45831</c:v>
                </c:pt>
                <c:pt idx="4">
                  <c:v>45834</c:v>
                </c:pt>
                <c:pt idx="5">
                  <c:v>45838</c:v>
                </c:pt>
                <c:pt idx="6">
                  <c:v>45841</c:v>
                </c:pt>
                <c:pt idx="7">
                  <c:v>45846</c:v>
                </c:pt>
                <c:pt idx="8">
                  <c:v>45847</c:v>
                </c:pt>
                <c:pt idx="9">
                  <c:v>45855</c:v>
                </c:pt>
                <c:pt idx="10">
                  <c:v>45859</c:v>
                </c:pt>
                <c:pt idx="11">
                  <c:v>45866</c:v>
                </c:pt>
                <c:pt idx="12">
                  <c:v>45867</c:v>
                </c:pt>
                <c:pt idx="13">
                  <c:v>45868</c:v>
                </c:pt>
                <c:pt idx="14">
                  <c:v>45880</c:v>
                </c:pt>
                <c:pt idx="15">
                  <c:v>45887</c:v>
                </c:pt>
                <c:pt idx="16">
                  <c:v>45890</c:v>
                </c:pt>
                <c:pt idx="17">
                  <c:v>45894</c:v>
                </c:pt>
                <c:pt idx="18">
                  <c:v>45897</c:v>
                </c:pt>
                <c:pt idx="19">
                  <c:v>45902</c:v>
                </c:pt>
                <c:pt idx="20">
                  <c:v>45904</c:v>
                </c:pt>
                <c:pt idx="21">
                  <c:v>45911</c:v>
                </c:pt>
                <c:pt idx="22">
                  <c:v>45918</c:v>
                </c:pt>
                <c:pt idx="23">
                  <c:v>45922</c:v>
                </c:pt>
                <c:pt idx="24">
                  <c:v>45925</c:v>
                </c:pt>
                <c:pt idx="25">
                  <c:v>45929</c:v>
                </c:pt>
                <c:pt idx="26">
                  <c:v>45932</c:v>
                </c:pt>
                <c:pt idx="27">
                  <c:v>45937</c:v>
                </c:pt>
                <c:pt idx="28">
                  <c:v>45943</c:v>
                </c:pt>
                <c:pt idx="29">
                  <c:v>45950</c:v>
                </c:pt>
                <c:pt idx="30">
                  <c:v>45953</c:v>
                </c:pt>
                <c:pt idx="31">
                  <c:v>45960</c:v>
                </c:pt>
                <c:pt idx="32">
                  <c:v>45964</c:v>
                </c:pt>
                <c:pt idx="33">
                  <c:v>45967</c:v>
                </c:pt>
                <c:pt idx="34">
                  <c:v>45971</c:v>
                </c:pt>
                <c:pt idx="35">
                  <c:v>45974</c:v>
                </c:pt>
                <c:pt idx="36">
                  <c:v>45978</c:v>
                </c:pt>
                <c:pt idx="37">
                  <c:v>45981</c:v>
                </c:pt>
                <c:pt idx="38">
                  <c:v>45985</c:v>
                </c:pt>
                <c:pt idx="39">
                  <c:v>45988</c:v>
                </c:pt>
                <c:pt idx="40">
                  <c:v>45992</c:v>
                </c:pt>
                <c:pt idx="41">
                  <c:v>45995</c:v>
                </c:pt>
                <c:pt idx="42">
                  <c:v>45999</c:v>
                </c:pt>
              </c:numCache>
            </c:numRef>
          </c:cat>
          <c:val>
            <c:numRef>
              <c:f>Stripper!$C$6:$C$208</c:f>
              <c:numCache>
                <c:formatCode>0.00</c:formatCode>
                <c:ptCount val="43"/>
                <c:pt idx="0">
                  <c:v>2.124816590522085</c:v>
                </c:pt>
                <c:pt idx="1">
                  <c:v>2.1319964134938547</c:v>
                </c:pt>
                <c:pt idx="2">
                  <c:v>2.111608751777418</c:v>
                </c:pt>
                <c:pt idx="3">
                  <c:v>2.1064411565843377</c:v>
                </c:pt>
                <c:pt idx="4">
                  <c:v>2.1298233049952477</c:v>
                </c:pt>
                <c:pt idx="5">
                  <c:v>2.1121513515131909</c:v>
                </c:pt>
                <c:pt idx="6">
                  <c:v>2.1039278808778676</c:v>
                </c:pt>
                <c:pt idx="7">
                  <c:v>2.1195813907350463</c:v>
                </c:pt>
                <c:pt idx="8">
                  <c:v>2.1353985972735319</c:v>
                </c:pt>
                <c:pt idx="9">
                  <c:v>2.1056513562827304</c:v>
                </c:pt>
                <c:pt idx="10">
                  <c:v>2.119926663373171</c:v>
                </c:pt>
                <c:pt idx="11">
                  <c:v>2.1316060284158809</c:v>
                </c:pt>
                <c:pt idx="12">
                  <c:v>2.117347327493317</c:v>
                </c:pt>
                <c:pt idx="13">
                  <c:v>2.1002434720048448</c:v>
                </c:pt>
                <c:pt idx="14">
                  <c:v>2.0892124642394725</c:v>
                </c:pt>
                <c:pt idx="15">
                  <c:v>2.0923518578702196</c:v>
                </c:pt>
                <c:pt idx="16">
                  <c:v>2.1002916578328916</c:v>
                </c:pt>
                <c:pt idx="17">
                  <c:v>2.1009488833208199</c:v>
                </c:pt>
                <c:pt idx="18">
                  <c:v>2.1050101966064112</c:v>
                </c:pt>
                <c:pt idx="19">
                  <c:v>2.099423176214076</c:v>
                </c:pt>
                <c:pt idx="20">
                  <c:v>2.1032255205589392</c:v>
                </c:pt>
                <c:pt idx="21">
                  <c:v>2.1019272920270797</c:v>
                </c:pt>
                <c:pt idx="22">
                  <c:v>2.1029544718355822</c:v>
                </c:pt>
                <c:pt idx="23">
                  <c:v>2.1054979358052286</c:v>
                </c:pt>
                <c:pt idx="24">
                  <c:v>2.1044571266937417</c:v>
                </c:pt>
                <c:pt idx="25">
                  <c:v>2.1008713851602909</c:v>
                </c:pt>
                <c:pt idx="26">
                  <c:v>2.116887367710703</c:v>
                </c:pt>
                <c:pt idx="27">
                  <c:v>2.1570494838535326</c:v>
                </c:pt>
                <c:pt idx="28">
                  <c:v>2.131714434584143</c:v>
                </c:pt>
                <c:pt idx="29">
                  <c:v>2.1446141326105361</c:v>
                </c:pt>
                <c:pt idx="30">
                  <c:v>2.1545468451620224</c:v>
                </c:pt>
                <c:pt idx="31">
                  <c:v>2.1754953290216608</c:v>
                </c:pt>
                <c:pt idx="32">
                  <c:v>2.1670857706956239</c:v>
                </c:pt>
                <c:pt idx="33">
                  <c:v>2.1353910844880239</c:v>
                </c:pt>
                <c:pt idx="34">
                  <c:v>2.15455756202073</c:v>
                </c:pt>
                <c:pt idx="35">
                  <c:v>2.1586968376254103</c:v>
                </c:pt>
                <c:pt idx="36">
                  <c:v>2.1500532199949127</c:v>
                </c:pt>
                <c:pt idx="37">
                  <c:v>2.1449710139052178</c:v>
                </c:pt>
                <c:pt idx="38">
                  <c:v>2.1744153511962598</c:v>
                </c:pt>
                <c:pt idx="39">
                  <c:v>2.1694448271111724</c:v>
                </c:pt>
                <c:pt idx="40">
                  <c:v>2.202979239788855</c:v>
                </c:pt>
                <c:pt idx="41">
                  <c:v>2.206979266945293</c:v>
                </c:pt>
                <c:pt idx="42">
                  <c:v>2.207628548241495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2-0A48-A810-9BA9486C52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38625183"/>
        <c:axId val="938626895"/>
      </c:barChart>
      <c:dateAx>
        <c:axId val="938625183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938626895"/>
        <c:crosses val="autoZero"/>
        <c:auto val="1"/>
        <c:lblOffset val="100"/>
        <c:baseTimeUnit val="days"/>
      </c:dateAx>
      <c:valAx>
        <c:axId val="938626895"/>
        <c:scaling>
          <c:orientation val="minMax"/>
          <c:max val="2.2000000000000002"/>
          <c:min val="2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/>
              <a:t>Efficiency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Efficiency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Stripper!$A$5:$A$208</c:f>
              <c:numCache>
                <c:formatCode>[$-409]d\-mmm\-yy;@</c:formatCode>
                <c:ptCount val="43"/>
                <c:pt idx="0">
                  <c:v>45820</c:v>
                </c:pt>
                <c:pt idx="1">
                  <c:v>45824</c:v>
                </c:pt>
                <c:pt idx="2">
                  <c:v>45827</c:v>
                </c:pt>
                <c:pt idx="3">
                  <c:v>45831</c:v>
                </c:pt>
                <c:pt idx="4">
                  <c:v>45834</c:v>
                </c:pt>
                <c:pt idx="5">
                  <c:v>45838</c:v>
                </c:pt>
                <c:pt idx="6">
                  <c:v>45841</c:v>
                </c:pt>
                <c:pt idx="7">
                  <c:v>45846</c:v>
                </c:pt>
                <c:pt idx="8">
                  <c:v>45847</c:v>
                </c:pt>
                <c:pt idx="9">
                  <c:v>45855</c:v>
                </c:pt>
                <c:pt idx="10">
                  <c:v>45859</c:v>
                </c:pt>
                <c:pt idx="11">
                  <c:v>45866</c:v>
                </c:pt>
                <c:pt idx="12">
                  <c:v>45867</c:v>
                </c:pt>
                <c:pt idx="13">
                  <c:v>45868</c:v>
                </c:pt>
                <c:pt idx="14">
                  <c:v>45880</c:v>
                </c:pt>
                <c:pt idx="15">
                  <c:v>45887</c:v>
                </c:pt>
                <c:pt idx="16">
                  <c:v>45890</c:v>
                </c:pt>
                <c:pt idx="17">
                  <c:v>45894</c:v>
                </c:pt>
                <c:pt idx="18">
                  <c:v>45897</c:v>
                </c:pt>
                <c:pt idx="19">
                  <c:v>45902</c:v>
                </c:pt>
                <c:pt idx="20">
                  <c:v>45904</c:v>
                </c:pt>
                <c:pt idx="21">
                  <c:v>45911</c:v>
                </c:pt>
                <c:pt idx="22">
                  <c:v>45918</c:v>
                </c:pt>
                <c:pt idx="23">
                  <c:v>45922</c:v>
                </c:pt>
                <c:pt idx="24">
                  <c:v>45925</c:v>
                </c:pt>
                <c:pt idx="25">
                  <c:v>45929</c:v>
                </c:pt>
                <c:pt idx="26">
                  <c:v>45932</c:v>
                </c:pt>
                <c:pt idx="27">
                  <c:v>45937</c:v>
                </c:pt>
                <c:pt idx="28">
                  <c:v>45943</c:v>
                </c:pt>
                <c:pt idx="29">
                  <c:v>45950</c:v>
                </c:pt>
                <c:pt idx="30">
                  <c:v>45953</c:v>
                </c:pt>
                <c:pt idx="31">
                  <c:v>45960</c:v>
                </c:pt>
                <c:pt idx="32">
                  <c:v>45964</c:v>
                </c:pt>
                <c:pt idx="33">
                  <c:v>45967</c:v>
                </c:pt>
                <c:pt idx="34">
                  <c:v>45971</c:v>
                </c:pt>
                <c:pt idx="35">
                  <c:v>45974</c:v>
                </c:pt>
                <c:pt idx="36">
                  <c:v>45978</c:v>
                </c:pt>
                <c:pt idx="37">
                  <c:v>45981</c:v>
                </c:pt>
                <c:pt idx="38">
                  <c:v>45985</c:v>
                </c:pt>
                <c:pt idx="39">
                  <c:v>45988</c:v>
                </c:pt>
                <c:pt idx="40">
                  <c:v>45992</c:v>
                </c:pt>
                <c:pt idx="41">
                  <c:v>45995</c:v>
                </c:pt>
                <c:pt idx="42">
                  <c:v>45999</c:v>
                </c:pt>
              </c:numCache>
            </c:numRef>
          </c:cat>
          <c:val>
            <c:numRef>
              <c:f>Stripper!$B$5:$B$208</c:f>
              <c:numCache>
                <c:formatCode>0%</c:formatCode>
                <c:ptCount val="43"/>
                <c:pt idx="0">
                  <c:v>0.72508935859030077</c:v>
                </c:pt>
                <c:pt idx="1">
                  <c:v>0.71879041096790641</c:v>
                </c:pt>
                <c:pt idx="2">
                  <c:v>0.73781145914329149</c:v>
                </c:pt>
                <c:pt idx="3">
                  <c:v>0.73437737905832878</c:v>
                </c:pt>
                <c:pt idx="4">
                  <c:v>0.73176544389448139</c:v>
                </c:pt>
                <c:pt idx="5">
                  <c:v>0.7354099755992326</c:v>
                </c:pt>
                <c:pt idx="6">
                  <c:v>0.74098570734681646</c:v>
                </c:pt>
                <c:pt idx="7">
                  <c:v>0.72635040281088858</c:v>
                </c:pt>
                <c:pt idx="8">
                  <c:v>0.71747452469319106</c:v>
                </c:pt>
                <c:pt idx="9">
                  <c:v>0.73360903941924926</c:v>
                </c:pt>
                <c:pt idx="10">
                  <c:v>0.72573628477728869</c:v>
                </c:pt>
                <c:pt idx="11">
                  <c:v>0.71782491769766033</c:v>
                </c:pt>
                <c:pt idx="12">
                  <c:v>0.75256350725057752</c:v>
                </c:pt>
                <c:pt idx="13">
                  <c:v>0.74147476642516463</c:v>
                </c:pt>
                <c:pt idx="14">
                  <c:v>0.74053986854072362</c:v>
                </c:pt>
                <c:pt idx="15">
                  <c:v>0.73798843510073076</c:v>
                </c:pt>
                <c:pt idx="16">
                  <c:v>0.73913632845580124</c:v>
                </c:pt>
                <c:pt idx="17">
                  <c:v>0.74112241328077311</c:v>
                </c:pt>
                <c:pt idx="18">
                  <c:v>0.73561850434497134</c:v>
                </c:pt>
                <c:pt idx="19">
                  <c:v>0.73711135243749837</c:v>
                </c:pt>
                <c:pt idx="20">
                  <c:v>0.7393647912356015</c:v>
                </c:pt>
                <c:pt idx="21">
                  <c:v>0.74680930051505323</c:v>
                </c:pt>
                <c:pt idx="22">
                  <c:v>0.74328560322993198</c:v>
                </c:pt>
                <c:pt idx="23">
                  <c:v>0.7452746506792467</c:v>
                </c:pt>
                <c:pt idx="24">
                  <c:v>0.74215344454448673</c:v>
                </c:pt>
                <c:pt idx="25">
                  <c:v>0.74227613675363102</c:v>
                </c:pt>
                <c:pt idx="26">
                  <c:v>0.74673481990198198</c:v>
                </c:pt>
                <c:pt idx="27">
                  <c:v>0.73857810185712669</c:v>
                </c:pt>
                <c:pt idx="28">
                  <c:v>0.74200859495703597</c:v>
                </c:pt>
                <c:pt idx="29">
                  <c:v>0.7401806962190558</c:v>
                </c:pt>
                <c:pt idx="30">
                  <c:v>0.73745954750304421</c:v>
                </c:pt>
                <c:pt idx="31">
                  <c:v>0.7367961280701677</c:v>
                </c:pt>
                <c:pt idx="32">
                  <c:v>0.72978837288272158</c:v>
                </c:pt>
                <c:pt idx="33">
                  <c:v>0.73744195223725106</c:v>
                </c:pt>
                <c:pt idx="34">
                  <c:v>0.74808921358736791</c:v>
                </c:pt>
                <c:pt idx="35">
                  <c:v>0.73872765526421591</c:v>
                </c:pt>
                <c:pt idx="36">
                  <c:v>0.74272205413408521</c:v>
                </c:pt>
                <c:pt idx="37">
                  <c:v>0.74075801881157821</c:v>
                </c:pt>
                <c:pt idx="38">
                  <c:v>0.73540777726900219</c:v>
                </c:pt>
                <c:pt idx="39">
                  <c:v>0.73402893369343925</c:v>
                </c:pt>
                <c:pt idx="40">
                  <c:v>0.72848972024800496</c:v>
                </c:pt>
                <c:pt idx="41">
                  <c:v>0.72508392109397524</c:v>
                </c:pt>
                <c:pt idx="42">
                  <c:v>0.72264776117516616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1-3749-A1D2-2C4B86C8F6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67758608"/>
        <c:axId val="367780864"/>
      </c:barChart>
      <c:dateAx>
        <c:axId val="3677586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367780864"/>
        <c:crosses val="autoZero"/>
        <c:auto val="1"/>
        <c:lblOffset val="100"/>
        <c:baseTimeUnit val="days"/>
      </c:dateAx>
      <c:valAx>
        <c:axId val="36778086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5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H/C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HPD!$D$4:$D$5</c:f>
              <c:strCache>
                <c:ptCount val="1"/>
                <c:pt idx="0">
                  <c:v>H/C</c:v>
                </c:pt>
              </c:strCache>
            </c:strRef>
          </c:tx>
          <c:spPr>
            <a:gradFill>
              <a:gsLst>
                <a:gs pos="0">
                  <a:schemeClr val="dk1">
                    <a:tint val="88500"/>
                  </a:schemeClr>
                </a:gs>
                <a:gs pos="100000">
                  <a:schemeClr val="dk1">
                    <a:tint val="885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HPD!$A$5:$A$209</c:f>
              <c:numCache>
                <c:formatCode>[$-409]d\-mmm\-yy;@</c:formatCode>
                <c:ptCount val="40"/>
                <c:pt idx="0">
                  <c:v>45820</c:v>
                </c:pt>
                <c:pt idx="1">
                  <c:v>45824</c:v>
                </c:pt>
                <c:pt idx="2">
                  <c:v>45827</c:v>
                </c:pt>
                <c:pt idx="3">
                  <c:v>45831</c:v>
                </c:pt>
                <c:pt idx="4">
                  <c:v>45834</c:v>
                </c:pt>
                <c:pt idx="5">
                  <c:v>45838</c:v>
                </c:pt>
                <c:pt idx="6">
                  <c:v>45841</c:v>
                </c:pt>
                <c:pt idx="7">
                  <c:v>45855</c:v>
                </c:pt>
                <c:pt idx="8">
                  <c:v>45859</c:v>
                </c:pt>
                <c:pt idx="9">
                  <c:v>45880</c:v>
                </c:pt>
                <c:pt idx="10">
                  <c:v>45887</c:v>
                </c:pt>
                <c:pt idx="11">
                  <c:v>45890</c:v>
                </c:pt>
                <c:pt idx="12">
                  <c:v>45894</c:v>
                </c:pt>
                <c:pt idx="13">
                  <c:v>45897</c:v>
                </c:pt>
                <c:pt idx="14">
                  <c:v>45902</c:v>
                </c:pt>
                <c:pt idx="15">
                  <c:v>45904</c:v>
                </c:pt>
                <c:pt idx="16">
                  <c:v>45911</c:v>
                </c:pt>
                <c:pt idx="17">
                  <c:v>45918</c:v>
                </c:pt>
                <c:pt idx="18">
                  <c:v>45922</c:v>
                </c:pt>
                <c:pt idx="19">
                  <c:v>45925</c:v>
                </c:pt>
                <c:pt idx="20">
                  <c:v>45929</c:v>
                </c:pt>
                <c:pt idx="21">
                  <c:v>45932</c:v>
                </c:pt>
                <c:pt idx="22">
                  <c:v>45937</c:v>
                </c:pt>
                <c:pt idx="23">
                  <c:v>45943</c:v>
                </c:pt>
                <c:pt idx="24">
                  <c:v>45946</c:v>
                </c:pt>
                <c:pt idx="25">
                  <c:v>45950</c:v>
                </c:pt>
                <c:pt idx="26">
                  <c:v>45953</c:v>
                </c:pt>
                <c:pt idx="27">
                  <c:v>45960</c:v>
                </c:pt>
                <c:pt idx="28">
                  <c:v>45964</c:v>
                </c:pt>
                <c:pt idx="29">
                  <c:v>45967</c:v>
                </c:pt>
                <c:pt idx="30">
                  <c:v>45971</c:v>
                </c:pt>
                <c:pt idx="31">
                  <c:v>45974</c:v>
                </c:pt>
                <c:pt idx="32">
                  <c:v>45978</c:v>
                </c:pt>
                <c:pt idx="33">
                  <c:v>45981</c:v>
                </c:pt>
                <c:pt idx="34">
                  <c:v>45985</c:v>
                </c:pt>
                <c:pt idx="35">
                  <c:v>45988</c:v>
                </c:pt>
                <c:pt idx="36">
                  <c:v>45992</c:v>
                </c:pt>
                <c:pt idx="37">
                  <c:v>45995</c:v>
                </c:pt>
                <c:pt idx="38">
                  <c:v>45999</c:v>
                </c:pt>
              </c:numCache>
            </c:numRef>
          </c:cat>
          <c:val>
            <c:numRef>
              <c:f>HPD!$D$5:$D$209</c:f>
              <c:numCache>
                <c:formatCode>0.00</c:formatCode>
                <c:ptCount val="40"/>
                <c:pt idx="0">
                  <c:v>0.7861459019995608</c:v>
                </c:pt>
                <c:pt idx="1">
                  <c:v>0.74656063500525693</c:v>
                </c:pt>
                <c:pt idx="2">
                  <c:v>0.60770548358302601</c:v>
                </c:pt>
                <c:pt idx="3">
                  <c:v>0.65730104143801416</c:v>
                </c:pt>
                <c:pt idx="4">
                  <c:v>0.65241357243626108</c:v>
                </c:pt>
                <c:pt idx="5">
                  <c:v>0.62808765229513619</c:v>
                </c:pt>
                <c:pt idx="6">
                  <c:v>0.62380876324335832</c:v>
                </c:pt>
                <c:pt idx="7">
                  <c:v>0.5993977647808213</c:v>
                </c:pt>
                <c:pt idx="8">
                  <c:v>0.70993138851868332</c:v>
                </c:pt>
                <c:pt idx="9">
                  <c:v>0.57382357173693999</c:v>
                </c:pt>
                <c:pt idx="10">
                  <c:v>0.6047742147864148</c:v>
                </c:pt>
                <c:pt idx="11">
                  <c:v>0.6640725186729709</c:v>
                </c:pt>
                <c:pt idx="12">
                  <c:v>0.605041491881814</c:v>
                </c:pt>
                <c:pt idx="13">
                  <c:v>0.64344806056349069</c:v>
                </c:pt>
                <c:pt idx="14">
                  <c:v>0.73575346790583862</c:v>
                </c:pt>
                <c:pt idx="15">
                  <c:v>0.60484125251643273</c:v>
                </c:pt>
                <c:pt idx="16">
                  <c:v>0.54417449456878886</c:v>
                </c:pt>
                <c:pt idx="17">
                  <c:v>0.51968503937007815</c:v>
                </c:pt>
                <c:pt idx="18">
                  <c:v>0.56662780264755119</c:v>
                </c:pt>
                <c:pt idx="19">
                  <c:v>0.60855304593858695</c:v>
                </c:pt>
                <c:pt idx="20">
                  <c:v>0.65852907539368422</c:v>
                </c:pt>
                <c:pt idx="21">
                  <c:v>0.66798637281209805</c:v>
                </c:pt>
                <c:pt idx="22">
                  <c:v>0.82322895847212973</c:v>
                </c:pt>
                <c:pt idx="23">
                  <c:v>0.85167936561257773</c:v>
                </c:pt>
                <c:pt idx="24">
                  <c:v>0.92382646353723563</c:v>
                </c:pt>
                <c:pt idx="25">
                  <c:v>0.79943058365175668</c:v>
                </c:pt>
                <c:pt idx="26">
                  <c:v>0.79156300270775304</c:v>
                </c:pt>
                <c:pt idx="27">
                  <c:v>1.0680327476420735</c:v>
                </c:pt>
                <c:pt idx="28">
                  <c:v>0.99520054850874162</c:v>
                </c:pt>
                <c:pt idx="29">
                  <c:v>0.68813469908119773</c:v>
                </c:pt>
                <c:pt idx="30">
                  <c:v>0.4229037599300482</c:v>
                </c:pt>
                <c:pt idx="31">
                  <c:v>0.5641997101074897</c:v>
                </c:pt>
                <c:pt idx="32">
                  <c:v>0.53039172188747796</c:v>
                </c:pt>
                <c:pt idx="33">
                  <c:v>0.64690372414063058</c:v>
                </c:pt>
                <c:pt idx="34">
                  <c:v>0.86688037793150019</c:v>
                </c:pt>
                <c:pt idx="35">
                  <c:v>0.7749467618689716</c:v>
                </c:pt>
                <c:pt idx="36">
                  <c:v>0.79191027263777569</c:v>
                </c:pt>
                <c:pt idx="37">
                  <c:v>0.73111067764990723</c:v>
                </c:pt>
                <c:pt idx="38">
                  <c:v>0.69064836860344125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1-5C41-845E-E42794F979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38625183"/>
        <c:axId val="938626895"/>
      </c:barChart>
      <c:dateAx>
        <c:axId val="938625183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6895"/>
        <c:crosses val="autoZero"/>
        <c:auto val="1"/>
        <c:lblOffset val="100"/>
        <c:baseTimeUnit val="days"/>
      </c:dateAx>
      <c:valAx>
        <c:axId val="938626895"/>
        <c:scaling>
          <c:orientation val="minMax"/>
          <c:min val="0.4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3862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/>
              <a:t>Efficiency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Efficiency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HPD!$A$5:$A$208</c:f>
              <c:numCache>
                <c:formatCode>[$-409]d\-mmm\-yy;@</c:formatCode>
                <c:ptCount val="39"/>
                <c:pt idx="0">
                  <c:v>45820</c:v>
                </c:pt>
                <c:pt idx="1">
                  <c:v>45824</c:v>
                </c:pt>
                <c:pt idx="2">
                  <c:v>45827</c:v>
                </c:pt>
                <c:pt idx="3">
                  <c:v>45831</c:v>
                </c:pt>
                <c:pt idx="4">
                  <c:v>45834</c:v>
                </c:pt>
                <c:pt idx="5">
                  <c:v>45838</c:v>
                </c:pt>
                <c:pt idx="6">
                  <c:v>45841</c:v>
                </c:pt>
                <c:pt idx="7">
                  <c:v>45855</c:v>
                </c:pt>
                <c:pt idx="8">
                  <c:v>45859</c:v>
                </c:pt>
                <c:pt idx="9">
                  <c:v>45880</c:v>
                </c:pt>
                <c:pt idx="10">
                  <c:v>45887</c:v>
                </c:pt>
                <c:pt idx="11">
                  <c:v>45890</c:v>
                </c:pt>
                <c:pt idx="12">
                  <c:v>45894</c:v>
                </c:pt>
                <c:pt idx="13">
                  <c:v>45897</c:v>
                </c:pt>
                <c:pt idx="14">
                  <c:v>45902</c:v>
                </c:pt>
                <c:pt idx="15">
                  <c:v>45904</c:v>
                </c:pt>
                <c:pt idx="16">
                  <c:v>45911</c:v>
                </c:pt>
                <c:pt idx="17">
                  <c:v>45918</c:v>
                </c:pt>
                <c:pt idx="18">
                  <c:v>45922</c:v>
                </c:pt>
                <c:pt idx="19">
                  <c:v>45925</c:v>
                </c:pt>
                <c:pt idx="20">
                  <c:v>45929</c:v>
                </c:pt>
                <c:pt idx="21">
                  <c:v>45932</c:v>
                </c:pt>
                <c:pt idx="22">
                  <c:v>45937</c:v>
                </c:pt>
                <c:pt idx="23">
                  <c:v>45943</c:v>
                </c:pt>
                <c:pt idx="24">
                  <c:v>45946</c:v>
                </c:pt>
                <c:pt idx="25">
                  <c:v>45950</c:v>
                </c:pt>
                <c:pt idx="26">
                  <c:v>45953</c:v>
                </c:pt>
                <c:pt idx="27">
                  <c:v>45960</c:v>
                </c:pt>
                <c:pt idx="28">
                  <c:v>45964</c:v>
                </c:pt>
                <c:pt idx="29">
                  <c:v>45967</c:v>
                </c:pt>
                <c:pt idx="30">
                  <c:v>45971</c:v>
                </c:pt>
                <c:pt idx="31">
                  <c:v>45974</c:v>
                </c:pt>
                <c:pt idx="32">
                  <c:v>45978</c:v>
                </c:pt>
                <c:pt idx="33">
                  <c:v>45981</c:v>
                </c:pt>
                <c:pt idx="34">
                  <c:v>45985</c:v>
                </c:pt>
                <c:pt idx="35">
                  <c:v>45988</c:v>
                </c:pt>
                <c:pt idx="36">
                  <c:v>45992</c:v>
                </c:pt>
                <c:pt idx="37">
                  <c:v>45995</c:v>
                </c:pt>
                <c:pt idx="38">
                  <c:v>45999</c:v>
                </c:pt>
              </c:numCache>
            </c:numRef>
          </c:cat>
          <c:val>
            <c:numRef>
              <c:f>HPD!$B$5:$B$208</c:f>
              <c:numCache>
                <c:formatCode>0%</c:formatCode>
                <c:ptCount val="39"/>
                <c:pt idx="0">
                  <c:v>0.59743829245175306</c:v>
                </c:pt>
                <c:pt idx="1">
                  <c:v>0.60149280702827235</c:v>
                </c:pt>
                <c:pt idx="2">
                  <c:v>0.5987205515163031</c:v>
                </c:pt>
                <c:pt idx="3">
                  <c:v>0.59491954821030613</c:v>
                </c:pt>
                <c:pt idx="4">
                  <c:v>0.59760350453507005</c:v>
                </c:pt>
                <c:pt idx="5">
                  <c:v>0.59991586709143963</c:v>
                </c:pt>
                <c:pt idx="6">
                  <c:v>0.6006114441154522</c:v>
                </c:pt>
                <c:pt idx="7">
                  <c:v>0.60120094072140118</c:v>
                </c:pt>
                <c:pt idx="8">
                  <c:v>0.61456498737403631</c:v>
                </c:pt>
                <c:pt idx="9">
                  <c:v>0.60041174874059178</c:v>
                </c:pt>
                <c:pt idx="10">
                  <c:v>0.59541131573173212</c:v>
                </c:pt>
                <c:pt idx="11">
                  <c:v>0.60222832524351566</c:v>
                </c:pt>
                <c:pt idx="12">
                  <c:v>0.61490573833892415</c:v>
                </c:pt>
                <c:pt idx="13">
                  <c:v>0.60279319094635597</c:v>
                </c:pt>
                <c:pt idx="14">
                  <c:v>0.61559605837827336</c:v>
                </c:pt>
                <c:pt idx="15">
                  <c:v>0.60490708561054962</c:v>
                </c:pt>
                <c:pt idx="16">
                  <c:v>0.58303263701234609</c:v>
                </c:pt>
                <c:pt idx="17">
                  <c:v>0.6000365748975155</c:v>
                </c:pt>
                <c:pt idx="18">
                  <c:v>0.60134464779515762</c:v>
                </c:pt>
                <c:pt idx="19">
                  <c:v>0.6005500066993098</c:v>
                </c:pt>
                <c:pt idx="20">
                  <c:v>0.60263729195143523</c:v>
                </c:pt>
                <c:pt idx="21">
                  <c:v>0.60980409437969718</c:v>
                </c:pt>
                <c:pt idx="22">
                  <c:v>0.59964563890011713</c:v>
                </c:pt>
                <c:pt idx="23">
                  <c:v>0.59876692040092316</c:v>
                </c:pt>
                <c:pt idx="24">
                  <c:v>0.59583903415469353</c:v>
                </c:pt>
                <c:pt idx="25">
                  <c:v>0.60591723834543088</c:v>
                </c:pt>
                <c:pt idx="26">
                  <c:v>0.60253500201901589</c:v>
                </c:pt>
                <c:pt idx="27">
                  <c:v>0.57918587954464584</c:v>
                </c:pt>
                <c:pt idx="28">
                  <c:v>0.57432398763651582</c:v>
                </c:pt>
                <c:pt idx="29">
                  <c:v>0.58172400110882228</c:v>
                </c:pt>
                <c:pt idx="30">
                  <c:v>0.60046356096290743</c:v>
                </c:pt>
                <c:pt idx="31">
                  <c:v>0.60018418350604952</c:v>
                </c:pt>
                <c:pt idx="32">
                  <c:v>0.59799590913758949</c:v>
                </c:pt>
                <c:pt idx="33">
                  <c:v>0.58939030861760278</c:v>
                </c:pt>
                <c:pt idx="34">
                  <c:v>0.56660736947843737</c:v>
                </c:pt>
                <c:pt idx="35">
                  <c:v>0.58038740177862858</c:v>
                </c:pt>
                <c:pt idx="36">
                  <c:v>0.58667593165068099</c:v>
                </c:pt>
                <c:pt idx="37">
                  <c:v>0.57587837534484687</c:v>
                </c:pt>
                <c:pt idx="38">
                  <c:v>0.58580513953002611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1-3C45-814E-69C01D6440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67758608"/>
        <c:axId val="367780864"/>
      </c:barChart>
      <c:dateAx>
        <c:axId val="3677586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367780864"/>
        <c:crosses val="autoZero"/>
        <c:auto val="1"/>
        <c:lblOffset val="100"/>
        <c:baseTimeUnit val="days"/>
      </c:dateAx>
      <c:valAx>
        <c:axId val="367780864"/>
        <c:scaling>
          <c:orientation val="minMax"/>
          <c:min val="0.55000000000000004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5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/>
              <a:t>N/C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HPD!$C$4:$C$5</c:f>
              <c:strCache>
                <c:ptCount val="1"/>
                <c:pt idx="0">
                  <c:v>N/C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HPD!$A$6:$A$209</c:f>
              <c:numCache>
                <c:formatCode>[$-409]d\-mmm\-yy;@</c:formatCode>
                <c:ptCount val="40"/>
                <c:pt idx="0">
                  <c:v>45820</c:v>
                </c:pt>
                <c:pt idx="1">
                  <c:v>45824</c:v>
                </c:pt>
                <c:pt idx="2">
                  <c:v>45827</c:v>
                </c:pt>
                <c:pt idx="3">
                  <c:v>45831</c:v>
                </c:pt>
                <c:pt idx="4">
                  <c:v>45834</c:v>
                </c:pt>
                <c:pt idx="5">
                  <c:v>45838</c:v>
                </c:pt>
                <c:pt idx="6">
                  <c:v>45841</c:v>
                </c:pt>
                <c:pt idx="7">
                  <c:v>45855</c:v>
                </c:pt>
                <c:pt idx="8">
                  <c:v>45859</c:v>
                </c:pt>
                <c:pt idx="9">
                  <c:v>45880</c:v>
                </c:pt>
                <c:pt idx="10">
                  <c:v>45887</c:v>
                </c:pt>
                <c:pt idx="11">
                  <c:v>45890</c:v>
                </c:pt>
                <c:pt idx="12">
                  <c:v>45894</c:v>
                </c:pt>
                <c:pt idx="13">
                  <c:v>45897</c:v>
                </c:pt>
                <c:pt idx="14">
                  <c:v>45902</c:v>
                </c:pt>
                <c:pt idx="15">
                  <c:v>45904</c:v>
                </c:pt>
                <c:pt idx="16">
                  <c:v>45911</c:v>
                </c:pt>
                <c:pt idx="17">
                  <c:v>45918</c:v>
                </c:pt>
                <c:pt idx="18">
                  <c:v>45922</c:v>
                </c:pt>
                <c:pt idx="19">
                  <c:v>45925</c:v>
                </c:pt>
                <c:pt idx="20">
                  <c:v>45929</c:v>
                </c:pt>
                <c:pt idx="21">
                  <c:v>45932</c:v>
                </c:pt>
                <c:pt idx="22">
                  <c:v>45937</c:v>
                </c:pt>
                <c:pt idx="23">
                  <c:v>45943</c:v>
                </c:pt>
                <c:pt idx="24">
                  <c:v>45946</c:v>
                </c:pt>
                <c:pt idx="25">
                  <c:v>45950</c:v>
                </c:pt>
                <c:pt idx="26">
                  <c:v>45953</c:v>
                </c:pt>
                <c:pt idx="27">
                  <c:v>45960</c:v>
                </c:pt>
                <c:pt idx="28">
                  <c:v>45964</c:v>
                </c:pt>
                <c:pt idx="29">
                  <c:v>45967</c:v>
                </c:pt>
                <c:pt idx="30">
                  <c:v>45971</c:v>
                </c:pt>
                <c:pt idx="31">
                  <c:v>45974</c:v>
                </c:pt>
                <c:pt idx="32">
                  <c:v>45978</c:v>
                </c:pt>
                <c:pt idx="33">
                  <c:v>45981</c:v>
                </c:pt>
                <c:pt idx="34">
                  <c:v>45985</c:v>
                </c:pt>
                <c:pt idx="35">
                  <c:v>45988</c:v>
                </c:pt>
                <c:pt idx="36">
                  <c:v>45992</c:v>
                </c:pt>
                <c:pt idx="37">
                  <c:v>45995</c:v>
                </c:pt>
                <c:pt idx="38">
                  <c:v>45999</c:v>
                </c:pt>
              </c:numCache>
            </c:numRef>
          </c:cat>
          <c:val>
            <c:numRef>
              <c:f>HPD!$C$6:$C$209</c:f>
              <c:numCache>
                <c:formatCode>0.00</c:formatCode>
                <c:ptCount val="40"/>
                <c:pt idx="0">
                  <c:v>2.3958082903563529</c:v>
                </c:pt>
                <c:pt idx="1">
                  <c:v>2.3706229926330118</c:v>
                </c:pt>
                <c:pt idx="2">
                  <c:v>2.3879875175082699</c:v>
                </c:pt>
                <c:pt idx="3">
                  <c:v>2.3971524367411412</c:v>
                </c:pt>
                <c:pt idx="4">
                  <c:v>2.3674577732834048</c:v>
                </c:pt>
                <c:pt idx="5">
                  <c:v>2.3845230641230541</c:v>
                </c:pt>
                <c:pt idx="6">
                  <c:v>2.3883987711040335</c:v>
                </c:pt>
                <c:pt idx="7">
                  <c:v>2.3975161203516677</c:v>
                </c:pt>
                <c:pt idx="8">
                  <c:v>2.4091514882274545</c:v>
                </c:pt>
                <c:pt idx="9">
                  <c:v>2.3911100200621331</c:v>
                </c:pt>
                <c:pt idx="10">
                  <c:v>2.4097810263875501</c:v>
                </c:pt>
                <c:pt idx="11">
                  <c:v>2.4094204713690703</c:v>
                </c:pt>
                <c:pt idx="12">
                  <c:v>2.3676396392118422</c:v>
                </c:pt>
                <c:pt idx="13">
                  <c:v>2.4117371603288937</c:v>
                </c:pt>
                <c:pt idx="14">
                  <c:v>2.3782370700011493</c:v>
                </c:pt>
                <c:pt idx="15">
                  <c:v>2.4212797103124157</c:v>
                </c:pt>
                <c:pt idx="16">
                  <c:v>2.463483433498646</c:v>
                </c:pt>
                <c:pt idx="17">
                  <c:v>2.4196387216303843</c:v>
                </c:pt>
                <c:pt idx="18">
                  <c:v>2.4000961863305341</c:v>
                </c:pt>
                <c:pt idx="19">
                  <c:v>2.4102052436916162</c:v>
                </c:pt>
                <c:pt idx="20">
                  <c:v>2.4069313130372234</c:v>
                </c:pt>
                <c:pt idx="21">
                  <c:v>2.3973350561392643</c:v>
                </c:pt>
                <c:pt idx="22">
                  <c:v>2.4185444997452681</c:v>
                </c:pt>
                <c:pt idx="23">
                  <c:v>2.4380574968989901</c:v>
                </c:pt>
                <c:pt idx="24">
                  <c:v>2.4383174041405287</c:v>
                </c:pt>
                <c:pt idx="25">
                  <c:v>2.3828751999788449</c:v>
                </c:pt>
                <c:pt idx="26">
                  <c:v>2.3923390644588518</c:v>
                </c:pt>
                <c:pt idx="27">
                  <c:v>2.4767108164661948</c:v>
                </c:pt>
                <c:pt idx="28">
                  <c:v>2.4077517191312592</c:v>
                </c:pt>
                <c:pt idx="29">
                  <c:v>2.3723309343960031</c:v>
                </c:pt>
                <c:pt idx="30">
                  <c:v>2.3811201323751021</c:v>
                </c:pt>
                <c:pt idx="31">
                  <c:v>2.3859858835685652</c:v>
                </c:pt>
                <c:pt idx="32">
                  <c:v>2.4066317171055562</c:v>
                </c:pt>
                <c:pt idx="33">
                  <c:v>2.4243363889927201</c:v>
                </c:pt>
                <c:pt idx="34">
                  <c:v>2.4486944094324081</c:v>
                </c:pt>
                <c:pt idx="35">
                  <c:v>2.4271636050135945</c:v>
                </c:pt>
                <c:pt idx="36">
                  <c:v>2.4233602910153271</c:v>
                </c:pt>
                <c:pt idx="37">
                  <c:v>2.4628953776658231</c:v>
                </c:pt>
                <c:pt idx="38">
                  <c:v>2.4218320622639853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1-3C45-814E-69C01D6440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67758608"/>
        <c:axId val="367780864"/>
      </c:barChart>
      <c:dateAx>
        <c:axId val="3677586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367780864"/>
        <c:crosses val="autoZero"/>
        <c:auto val="1"/>
        <c:lblOffset val="100"/>
        <c:baseTimeUnit val="days"/>
      </c:dateAx>
      <c:valAx>
        <c:axId val="367780864"/>
        <c:scaling>
          <c:orientation val="minMax"/>
          <c:min val="2.2000000000000002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5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/>
              <a:t>N/C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N/C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HPA!$A$5:$A$209</c:f>
              <c:numCache>
                <c:formatCode>[$-409]d\-mmm\-yy;@</c:formatCode>
                <c:ptCount val="30"/>
                <c:pt idx="0">
                  <c:v>45831</c:v>
                </c:pt>
                <c:pt idx="1">
                  <c:v>45834</c:v>
                </c:pt>
                <c:pt idx="2">
                  <c:v>45838</c:v>
                </c:pt>
                <c:pt idx="3">
                  <c:v>45841</c:v>
                </c:pt>
                <c:pt idx="4">
                  <c:v>45846</c:v>
                </c:pt>
                <c:pt idx="5">
                  <c:v>45847</c:v>
                </c:pt>
                <c:pt idx="6">
                  <c:v>45855</c:v>
                </c:pt>
                <c:pt idx="7">
                  <c:v>45856</c:v>
                </c:pt>
                <c:pt idx="8">
                  <c:v>45859</c:v>
                </c:pt>
                <c:pt idx="9">
                  <c:v>45866</c:v>
                </c:pt>
                <c:pt idx="10">
                  <c:v>45869</c:v>
                </c:pt>
                <c:pt idx="11">
                  <c:v>45874</c:v>
                </c:pt>
                <c:pt idx="12">
                  <c:v>45880</c:v>
                </c:pt>
                <c:pt idx="13">
                  <c:v>45887</c:v>
                </c:pt>
                <c:pt idx="14">
                  <c:v>45890</c:v>
                </c:pt>
                <c:pt idx="15">
                  <c:v>45894</c:v>
                </c:pt>
                <c:pt idx="16">
                  <c:v>45897</c:v>
                </c:pt>
                <c:pt idx="17">
                  <c:v>45902</c:v>
                </c:pt>
                <c:pt idx="18">
                  <c:v>45904</c:v>
                </c:pt>
                <c:pt idx="19">
                  <c:v>45911</c:v>
                </c:pt>
                <c:pt idx="20">
                  <c:v>45918</c:v>
                </c:pt>
                <c:pt idx="21">
                  <c:v>45922</c:v>
                </c:pt>
                <c:pt idx="22">
                  <c:v>45925</c:v>
                </c:pt>
                <c:pt idx="23">
                  <c:v>45932</c:v>
                </c:pt>
                <c:pt idx="24">
                  <c:v>45937</c:v>
                </c:pt>
                <c:pt idx="25">
                  <c:v>45946</c:v>
                </c:pt>
                <c:pt idx="26">
                  <c:v>45950</c:v>
                </c:pt>
                <c:pt idx="27">
                  <c:v>45953</c:v>
                </c:pt>
                <c:pt idx="28">
                  <c:v>45995</c:v>
                </c:pt>
              </c:numCache>
            </c:numRef>
          </c:cat>
          <c:val>
            <c:numRef>
              <c:f>HPA!$B$5:$B$209</c:f>
              <c:numCache>
                <c:formatCode>0.00</c:formatCode>
                <c:ptCount val="30"/>
                <c:pt idx="0">
                  <c:v>2.4664982557440154</c:v>
                </c:pt>
                <c:pt idx="1">
                  <c:v>2.4135609594107081</c:v>
                </c:pt>
                <c:pt idx="2">
                  <c:v>2.3714640785891823</c:v>
                </c:pt>
                <c:pt idx="3">
                  <c:v>2.3961777240352142</c:v>
                </c:pt>
                <c:pt idx="4">
                  <c:v>2.3123006768656649</c:v>
                </c:pt>
                <c:pt idx="5">
                  <c:v>2.3818270205276848</c:v>
                </c:pt>
                <c:pt idx="6">
                  <c:v>2.3247058823529412</c:v>
                </c:pt>
                <c:pt idx="7">
                  <c:v>2.3621969322117762</c:v>
                </c:pt>
                <c:pt idx="8">
                  <c:v>2.4230564587644103</c:v>
                </c:pt>
                <c:pt idx="9">
                  <c:v>2.1956556207388611</c:v>
                </c:pt>
                <c:pt idx="10">
                  <c:v>2.4091870130622413</c:v>
                </c:pt>
                <c:pt idx="11">
                  <c:v>2.2151277013752462</c:v>
                </c:pt>
                <c:pt idx="12">
                  <c:v>2.2396918832543466</c:v>
                </c:pt>
                <c:pt idx="13">
                  <c:v>2.3789302703329849</c:v>
                </c:pt>
                <c:pt idx="14">
                  <c:v>2.4122458799470707</c:v>
                </c:pt>
                <c:pt idx="15">
                  <c:v>2.3425529152058173</c:v>
                </c:pt>
                <c:pt idx="16">
                  <c:v>2.3923337756155094</c:v>
                </c:pt>
                <c:pt idx="17">
                  <c:v>2.4005511499391683</c:v>
                </c:pt>
                <c:pt idx="18">
                  <c:v>2.3788588444790282</c:v>
                </c:pt>
                <c:pt idx="19">
                  <c:v>2.329024883495999</c:v>
                </c:pt>
                <c:pt idx="20">
                  <c:v>2.4054062047141631</c:v>
                </c:pt>
                <c:pt idx="21">
                  <c:v>2.409871980208349</c:v>
                </c:pt>
                <c:pt idx="22">
                  <c:v>2.4044321329639891</c:v>
                </c:pt>
                <c:pt idx="23">
                  <c:v>2.4298253444017974</c:v>
                </c:pt>
                <c:pt idx="24">
                  <c:v>2.353893302389241</c:v>
                </c:pt>
                <c:pt idx="25">
                  <c:v>2.3322200946994998</c:v>
                </c:pt>
                <c:pt idx="26">
                  <c:v>2.3728218330084374</c:v>
                </c:pt>
                <c:pt idx="27">
                  <c:v>2.3768975332068312</c:v>
                </c:pt>
                <c:pt idx="28">
                  <c:v>2.0266662500878718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1-3C45-814E-69C01D6440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67758608"/>
        <c:axId val="367780864"/>
      </c:barChart>
      <c:dateAx>
        <c:axId val="36775860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80864"/>
        <c:crosses val="autoZero"/>
        <c:auto val="1"/>
        <c:lblOffset val="100"/>
        <c:baseTimeUnit val="days"/>
      </c:dateAx>
      <c:valAx>
        <c:axId val="36778086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5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/>
              <a:t>H/C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H/C</c:v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HPA!$A$5:$A$209</c:f>
              <c:numCache>
                <c:formatCode>[$-409]d\-mmm\-yy;@</c:formatCode>
                <c:ptCount val="30"/>
                <c:pt idx="0">
                  <c:v>45831</c:v>
                </c:pt>
                <c:pt idx="1">
                  <c:v>45834</c:v>
                </c:pt>
                <c:pt idx="2">
                  <c:v>45838</c:v>
                </c:pt>
                <c:pt idx="3">
                  <c:v>45841</c:v>
                </c:pt>
                <c:pt idx="4">
                  <c:v>45846</c:v>
                </c:pt>
                <c:pt idx="5">
                  <c:v>45847</c:v>
                </c:pt>
                <c:pt idx="6">
                  <c:v>45855</c:v>
                </c:pt>
                <c:pt idx="7">
                  <c:v>45856</c:v>
                </c:pt>
                <c:pt idx="8">
                  <c:v>45859</c:v>
                </c:pt>
                <c:pt idx="9">
                  <c:v>45866</c:v>
                </c:pt>
                <c:pt idx="10">
                  <c:v>45869</c:v>
                </c:pt>
                <c:pt idx="11">
                  <c:v>45874</c:v>
                </c:pt>
                <c:pt idx="12">
                  <c:v>45880</c:v>
                </c:pt>
                <c:pt idx="13">
                  <c:v>45887</c:v>
                </c:pt>
                <c:pt idx="14">
                  <c:v>45890</c:v>
                </c:pt>
                <c:pt idx="15">
                  <c:v>45894</c:v>
                </c:pt>
                <c:pt idx="16">
                  <c:v>45897</c:v>
                </c:pt>
                <c:pt idx="17">
                  <c:v>45902</c:v>
                </c:pt>
                <c:pt idx="18">
                  <c:v>45904</c:v>
                </c:pt>
                <c:pt idx="19">
                  <c:v>45911</c:v>
                </c:pt>
                <c:pt idx="20">
                  <c:v>45918</c:v>
                </c:pt>
                <c:pt idx="21">
                  <c:v>45922</c:v>
                </c:pt>
                <c:pt idx="22">
                  <c:v>45925</c:v>
                </c:pt>
                <c:pt idx="23">
                  <c:v>45932</c:v>
                </c:pt>
                <c:pt idx="24">
                  <c:v>45937</c:v>
                </c:pt>
                <c:pt idx="25">
                  <c:v>45946</c:v>
                </c:pt>
                <c:pt idx="26">
                  <c:v>45950</c:v>
                </c:pt>
                <c:pt idx="27">
                  <c:v>45953</c:v>
                </c:pt>
                <c:pt idx="28">
                  <c:v>45995</c:v>
                </c:pt>
              </c:numCache>
            </c:numRef>
          </c:cat>
          <c:val>
            <c:numRef>
              <c:f>HPA!$C$5:$C$209</c:f>
              <c:numCache>
                <c:formatCode>0.00</c:formatCode>
                <c:ptCount val="30"/>
                <c:pt idx="0">
                  <c:v>1.4746648488979777</c:v>
                </c:pt>
                <c:pt idx="1">
                  <c:v>1.5487126849713455</c:v>
                </c:pt>
                <c:pt idx="2">
                  <c:v>1.4638385870780239</c:v>
                </c:pt>
                <c:pt idx="3">
                  <c:v>1.4204618255758896</c:v>
                </c:pt>
                <c:pt idx="4">
                  <c:v>1.3057938177698656</c:v>
                </c:pt>
                <c:pt idx="5">
                  <c:v>1.2827864621536891</c:v>
                </c:pt>
                <c:pt idx="6">
                  <c:v>1.2859259259259261</c:v>
                </c:pt>
                <c:pt idx="7">
                  <c:v>1.3722029798229698</c:v>
                </c:pt>
                <c:pt idx="8">
                  <c:v>1.4089335566722501</c:v>
                </c:pt>
                <c:pt idx="9">
                  <c:v>1.4716981132075466</c:v>
                </c:pt>
                <c:pt idx="10">
                  <c:v>1.2980469391104543</c:v>
                </c:pt>
                <c:pt idx="11">
                  <c:v>1.4665466055446412</c:v>
                </c:pt>
                <c:pt idx="12">
                  <c:v>1.1158063101411138</c:v>
                </c:pt>
                <c:pt idx="13">
                  <c:v>1.3355248739864121</c:v>
                </c:pt>
                <c:pt idx="14">
                  <c:v>1.5259032038173144</c:v>
                </c:pt>
                <c:pt idx="15">
                  <c:v>1.3388384705529663</c:v>
                </c:pt>
                <c:pt idx="16">
                  <c:v>1.4225563909774437</c:v>
                </c:pt>
                <c:pt idx="17">
                  <c:v>1.3796826978984968</c:v>
                </c:pt>
                <c:pt idx="18">
                  <c:v>1.5272336696910598</c:v>
                </c:pt>
                <c:pt idx="19">
                  <c:v>1.4457177655981848</c:v>
                </c:pt>
                <c:pt idx="20">
                  <c:v>1.4286911345734874</c:v>
                </c:pt>
                <c:pt idx="21">
                  <c:v>1.4727359738760804</c:v>
                </c:pt>
                <c:pt idx="22">
                  <c:v>1.4404432132963991</c:v>
                </c:pt>
                <c:pt idx="23">
                  <c:v>1.4429269937615921</c:v>
                </c:pt>
                <c:pt idx="24">
                  <c:v>1.5146405889956727</c:v>
                </c:pt>
                <c:pt idx="25">
                  <c:v>1.5210698965430227</c:v>
                </c:pt>
                <c:pt idx="26">
                  <c:v>1.4983275711836292</c:v>
                </c:pt>
                <c:pt idx="27">
                  <c:v>1.471102150537634</c:v>
                </c:pt>
                <c:pt idx="28">
                  <c:v>0.51024653653786545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1-3C45-814E-69C01D6440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67758608"/>
        <c:axId val="367780864"/>
      </c:barChart>
      <c:dateAx>
        <c:axId val="36775860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80864"/>
        <c:crosses val="autoZero"/>
        <c:auto val="1"/>
        <c:lblOffset val="100"/>
        <c:baseTimeUnit val="days"/>
      </c:dateAx>
      <c:valAx>
        <c:axId val="36778086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5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/>
              <a:t>N/C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N/C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LPA!$A$5:$A$209</c:f>
              <c:numCache>
                <c:formatCode>[$-409]d\-mmm\-yy;@</c:formatCode>
                <c:ptCount val="41"/>
                <c:pt idx="0">
                  <c:v>45834</c:v>
                </c:pt>
                <c:pt idx="1">
                  <c:v>45838</c:v>
                </c:pt>
                <c:pt idx="2">
                  <c:v>45841</c:v>
                </c:pt>
                <c:pt idx="3">
                  <c:v>45846</c:v>
                </c:pt>
                <c:pt idx="4">
                  <c:v>45847</c:v>
                </c:pt>
                <c:pt idx="5">
                  <c:v>45855</c:v>
                </c:pt>
                <c:pt idx="6">
                  <c:v>45856</c:v>
                </c:pt>
                <c:pt idx="7">
                  <c:v>45859</c:v>
                </c:pt>
                <c:pt idx="8">
                  <c:v>45866</c:v>
                </c:pt>
                <c:pt idx="9">
                  <c:v>45868</c:v>
                </c:pt>
                <c:pt idx="10">
                  <c:v>45880</c:v>
                </c:pt>
                <c:pt idx="11">
                  <c:v>45887</c:v>
                </c:pt>
                <c:pt idx="12">
                  <c:v>45890</c:v>
                </c:pt>
                <c:pt idx="13">
                  <c:v>45894</c:v>
                </c:pt>
                <c:pt idx="14">
                  <c:v>45897</c:v>
                </c:pt>
                <c:pt idx="15">
                  <c:v>45902</c:v>
                </c:pt>
                <c:pt idx="16">
                  <c:v>45904</c:v>
                </c:pt>
                <c:pt idx="17">
                  <c:v>45911</c:v>
                </c:pt>
                <c:pt idx="18">
                  <c:v>45918</c:v>
                </c:pt>
                <c:pt idx="19">
                  <c:v>45922</c:v>
                </c:pt>
                <c:pt idx="20">
                  <c:v>45925</c:v>
                </c:pt>
                <c:pt idx="21">
                  <c:v>45929</c:v>
                </c:pt>
                <c:pt idx="22">
                  <c:v>45932</c:v>
                </c:pt>
                <c:pt idx="23">
                  <c:v>45937</c:v>
                </c:pt>
                <c:pt idx="24">
                  <c:v>45943</c:v>
                </c:pt>
                <c:pt idx="25">
                  <c:v>45946</c:v>
                </c:pt>
                <c:pt idx="26">
                  <c:v>45950</c:v>
                </c:pt>
                <c:pt idx="27">
                  <c:v>45953</c:v>
                </c:pt>
                <c:pt idx="28">
                  <c:v>45960</c:v>
                </c:pt>
                <c:pt idx="29">
                  <c:v>45964</c:v>
                </c:pt>
                <c:pt idx="30">
                  <c:v>45967</c:v>
                </c:pt>
                <c:pt idx="31">
                  <c:v>45971</c:v>
                </c:pt>
                <c:pt idx="32">
                  <c:v>45974</c:v>
                </c:pt>
                <c:pt idx="33">
                  <c:v>45978</c:v>
                </c:pt>
                <c:pt idx="34">
                  <c:v>45981</c:v>
                </c:pt>
                <c:pt idx="35">
                  <c:v>45985</c:v>
                </c:pt>
                <c:pt idx="36">
                  <c:v>45988</c:v>
                </c:pt>
                <c:pt idx="37">
                  <c:v>45992</c:v>
                </c:pt>
                <c:pt idx="38">
                  <c:v>45995</c:v>
                </c:pt>
                <c:pt idx="39">
                  <c:v>45999</c:v>
                </c:pt>
              </c:numCache>
            </c:numRef>
          </c:cat>
          <c:val>
            <c:numRef>
              <c:f>LPA!$B$5:$B$209</c:f>
              <c:numCache>
                <c:formatCode>0.00</c:formatCode>
                <c:ptCount val="41"/>
                <c:pt idx="0">
                  <c:v>2.5294811320754715</c:v>
                </c:pt>
                <c:pt idx="1">
                  <c:v>2.5622918978912317</c:v>
                </c:pt>
                <c:pt idx="2">
                  <c:v>2.5616464372658365</c:v>
                </c:pt>
                <c:pt idx="3">
                  <c:v>2.5264184051472025</c:v>
                </c:pt>
                <c:pt idx="4">
                  <c:v>2.5154500007745466</c:v>
                </c:pt>
                <c:pt idx="5">
                  <c:v>2.4763562518131708</c:v>
                </c:pt>
                <c:pt idx="6">
                  <c:v>2.559776243335373</c:v>
                </c:pt>
                <c:pt idx="7">
                  <c:v>2.5106936317284334</c:v>
                </c:pt>
                <c:pt idx="8">
                  <c:v>2.3684105696454654</c:v>
                </c:pt>
                <c:pt idx="9">
                  <c:v>2.4362064270152506</c:v>
                </c:pt>
                <c:pt idx="10">
                  <c:v>2.4119113167282973</c:v>
                </c:pt>
                <c:pt idx="11">
                  <c:v>2.4167475209261786</c:v>
                </c:pt>
                <c:pt idx="12">
                  <c:v>2.4793262122697146</c:v>
                </c:pt>
                <c:pt idx="13">
                  <c:v>2.4325953098388573</c:v>
                </c:pt>
                <c:pt idx="14">
                  <c:v>2.4140966269254767</c:v>
                </c:pt>
                <c:pt idx="15">
                  <c:v>2.4454511011909665</c:v>
                </c:pt>
                <c:pt idx="16">
                  <c:v>2.481652427248028</c:v>
                </c:pt>
                <c:pt idx="17">
                  <c:v>2.5122384524279515</c:v>
                </c:pt>
                <c:pt idx="18">
                  <c:v>2.4512110726643601</c:v>
                </c:pt>
                <c:pt idx="19">
                  <c:v>2.4552086756490308</c:v>
                </c:pt>
                <c:pt idx="20">
                  <c:v>2.4503315627989841</c:v>
                </c:pt>
                <c:pt idx="21">
                  <c:v>2.4265159131738998</c:v>
                </c:pt>
                <c:pt idx="22">
                  <c:v>2.4337357455773665</c:v>
                </c:pt>
                <c:pt idx="23">
                  <c:v>2.4912591207360033</c:v>
                </c:pt>
                <c:pt idx="24">
                  <c:v>2.48945902607815</c:v>
                </c:pt>
                <c:pt idx="25">
                  <c:v>2.5157832042882666</c:v>
                </c:pt>
                <c:pt idx="26">
                  <c:v>2.4794361553600566</c:v>
                </c:pt>
                <c:pt idx="27">
                  <c:v>2.5124603228202878</c:v>
                </c:pt>
                <c:pt idx="28">
                  <c:v>2.5324983496583346</c:v>
                </c:pt>
                <c:pt idx="29">
                  <c:v>2.5450348807165617</c:v>
                </c:pt>
                <c:pt idx="30">
                  <c:v>2.4666801428475171</c:v>
                </c:pt>
                <c:pt idx="31">
                  <c:v>2.4654384770005149</c:v>
                </c:pt>
                <c:pt idx="32">
                  <c:v>2.4304608148901745</c:v>
                </c:pt>
                <c:pt idx="33">
                  <c:v>2.4495798319327733</c:v>
                </c:pt>
                <c:pt idx="34">
                  <c:v>2.4562426680073739</c:v>
                </c:pt>
                <c:pt idx="35">
                  <c:v>2.4864054877541166</c:v>
                </c:pt>
                <c:pt idx="36">
                  <c:v>2.4612322086194882</c:v>
                </c:pt>
                <c:pt idx="37">
                  <c:v>2.4701601883406594</c:v>
                </c:pt>
                <c:pt idx="38">
                  <c:v>2.5096509913157465</c:v>
                </c:pt>
                <c:pt idx="39">
                  <c:v>2.4729001481577964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0-4146-9D5E-C0F1916ECE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67758608"/>
        <c:axId val="367780864"/>
      </c:barChart>
      <c:dateAx>
        <c:axId val="36775860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80864"/>
        <c:crosses val="autoZero"/>
        <c:auto val="1"/>
        <c:lblOffset val="100"/>
        <c:baseTimeUnit val="days"/>
      </c:dateAx>
      <c:valAx>
        <c:axId val="36778086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5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/>
              <a:t>H/C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H/C</c:v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LPA!$A$5:$A$209</c:f>
              <c:numCache>
                <c:formatCode>[$-409]d\-mmm\-yy;@</c:formatCode>
                <c:ptCount val="41"/>
                <c:pt idx="0">
                  <c:v>45834</c:v>
                </c:pt>
                <c:pt idx="1">
                  <c:v>45838</c:v>
                </c:pt>
                <c:pt idx="2">
                  <c:v>45841</c:v>
                </c:pt>
                <c:pt idx="3">
                  <c:v>45846</c:v>
                </c:pt>
                <c:pt idx="4">
                  <c:v>45847</c:v>
                </c:pt>
                <c:pt idx="5">
                  <c:v>45855</c:v>
                </c:pt>
                <c:pt idx="6">
                  <c:v>45856</c:v>
                </c:pt>
                <c:pt idx="7">
                  <c:v>45859</c:v>
                </c:pt>
                <c:pt idx="8">
                  <c:v>45866</c:v>
                </c:pt>
                <c:pt idx="9">
                  <c:v>45868</c:v>
                </c:pt>
                <c:pt idx="10">
                  <c:v>45880</c:v>
                </c:pt>
                <c:pt idx="11">
                  <c:v>45887</c:v>
                </c:pt>
                <c:pt idx="12">
                  <c:v>45890</c:v>
                </c:pt>
                <c:pt idx="13">
                  <c:v>45894</c:v>
                </c:pt>
                <c:pt idx="14">
                  <c:v>45897</c:v>
                </c:pt>
                <c:pt idx="15">
                  <c:v>45902</c:v>
                </c:pt>
                <c:pt idx="16">
                  <c:v>45904</c:v>
                </c:pt>
                <c:pt idx="17">
                  <c:v>45911</c:v>
                </c:pt>
                <c:pt idx="18">
                  <c:v>45918</c:v>
                </c:pt>
                <c:pt idx="19">
                  <c:v>45922</c:v>
                </c:pt>
                <c:pt idx="20">
                  <c:v>45925</c:v>
                </c:pt>
                <c:pt idx="21">
                  <c:v>45929</c:v>
                </c:pt>
                <c:pt idx="22">
                  <c:v>45932</c:v>
                </c:pt>
                <c:pt idx="23">
                  <c:v>45937</c:v>
                </c:pt>
                <c:pt idx="24">
                  <c:v>45943</c:v>
                </c:pt>
                <c:pt idx="25">
                  <c:v>45946</c:v>
                </c:pt>
                <c:pt idx="26">
                  <c:v>45950</c:v>
                </c:pt>
                <c:pt idx="27">
                  <c:v>45953</c:v>
                </c:pt>
                <c:pt idx="28">
                  <c:v>45960</c:v>
                </c:pt>
                <c:pt idx="29">
                  <c:v>45964</c:v>
                </c:pt>
                <c:pt idx="30">
                  <c:v>45967</c:v>
                </c:pt>
                <c:pt idx="31">
                  <c:v>45971</c:v>
                </c:pt>
                <c:pt idx="32">
                  <c:v>45974</c:v>
                </c:pt>
                <c:pt idx="33">
                  <c:v>45978</c:v>
                </c:pt>
                <c:pt idx="34">
                  <c:v>45981</c:v>
                </c:pt>
                <c:pt idx="35">
                  <c:v>45985</c:v>
                </c:pt>
                <c:pt idx="36">
                  <c:v>45988</c:v>
                </c:pt>
                <c:pt idx="37">
                  <c:v>45992</c:v>
                </c:pt>
                <c:pt idx="38">
                  <c:v>45995</c:v>
                </c:pt>
                <c:pt idx="39">
                  <c:v>45999</c:v>
                </c:pt>
              </c:numCache>
            </c:numRef>
          </c:cat>
          <c:val>
            <c:numRef>
              <c:f>LPA!$C$5:$C$209</c:f>
              <c:numCache>
                <c:formatCode>0.00</c:formatCode>
                <c:ptCount val="41"/>
                <c:pt idx="0">
                  <c:v>2.3731001048218032</c:v>
                </c:pt>
                <c:pt idx="1">
                  <c:v>2.3421121593291403</c:v>
                </c:pt>
                <c:pt idx="2">
                  <c:v>2.3109937057691687</c:v>
                </c:pt>
                <c:pt idx="3">
                  <c:v>2.3183856502242151</c:v>
                </c:pt>
                <c:pt idx="4">
                  <c:v>2.0770098942853914</c:v>
                </c:pt>
                <c:pt idx="5">
                  <c:v>2.308287399671213</c:v>
                </c:pt>
                <c:pt idx="6">
                  <c:v>2.4023113752682841</c:v>
                </c:pt>
                <c:pt idx="7">
                  <c:v>2.2944218214724321</c:v>
                </c:pt>
                <c:pt idx="8">
                  <c:v>2.216139954853273</c:v>
                </c:pt>
                <c:pt idx="9">
                  <c:v>2.3277391975308639</c:v>
                </c:pt>
                <c:pt idx="10">
                  <c:v>2.047078371642205</c:v>
                </c:pt>
                <c:pt idx="11">
                  <c:v>2.1068555275991674</c:v>
                </c:pt>
                <c:pt idx="12">
                  <c:v>2.1172299099438328</c:v>
                </c:pt>
                <c:pt idx="13">
                  <c:v>2.0633506557782719</c:v>
                </c:pt>
                <c:pt idx="14">
                  <c:v>2.0998200880947957</c:v>
                </c:pt>
                <c:pt idx="15">
                  <c:v>2.0912287252248043</c:v>
                </c:pt>
                <c:pt idx="16">
                  <c:v>2.0132319297594754</c:v>
                </c:pt>
                <c:pt idx="17">
                  <c:v>2.018580661198111</c:v>
                </c:pt>
                <c:pt idx="18">
                  <c:v>2.0877061935885459</c:v>
                </c:pt>
                <c:pt idx="19">
                  <c:v>2.0648044692737439</c:v>
                </c:pt>
                <c:pt idx="20">
                  <c:v>2.0962173615005928</c:v>
                </c:pt>
                <c:pt idx="21">
                  <c:v>2.1129479156937827</c:v>
                </c:pt>
                <c:pt idx="22">
                  <c:v>2.2054197460678422</c:v>
                </c:pt>
                <c:pt idx="23">
                  <c:v>2.1412306430756622</c:v>
                </c:pt>
                <c:pt idx="24">
                  <c:v>2.2185875976406817</c:v>
                </c:pt>
                <c:pt idx="25">
                  <c:v>2.4590033750248166</c:v>
                </c:pt>
                <c:pt idx="26">
                  <c:v>2.203984367553141</c:v>
                </c:pt>
                <c:pt idx="27">
                  <c:v>2.1988774078326316</c:v>
                </c:pt>
                <c:pt idx="28">
                  <c:v>2.577899100192095</c:v>
                </c:pt>
                <c:pt idx="29">
                  <c:v>2.3098747356434037</c:v>
                </c:pt>
                <c:pt idx="30">
                  <c:v>2.2260404734631538</c:v>
                </c:pt>
                <c:pt idx="31">
                  <c:v>2.1303461043647443</c:v>
                </c:pt>
                <c:pt idx="32">
                  <c:v>2.1907822197019815</c:v>
                </c:pt>
                <c:pt idx="33">
                  <c:v>2.2825140809011777</c:v>
                </c:pt>
                <c:pt idx="34">
                  <c:v>2.2000000000000002</c:v>
                </c:pt>
                <c:pt idx="35">
                  <c:v>2.1261754253545937</c:v>
                </c:pt>
                <c:pt idx="36">
                  <c:v>2.1245848217083405</c:v>
                </c:pt>
                <c:pt idx="37">
                  <c:v>2.0640607021799298</c:v>
                </c:pt>
                <c:pt idx="38">
                  <c:v>1.9943670690188788</c:v>
                </c:pt>
                <c:pt idx="39">
                  <c:v>1.9857305409478117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3-DA4C-9E74-3E1A91AC7D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67758608"/>
        <c:axId val="367780864"/>
      </c:barChart>
      <c:dateAx>
        <c:axId val="36775860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80864"/>
        <c:crosses val="autoZero"/>
        <c:auto val="1"/>
        <c:lblOffset val="100"/>
        <c:baseTimeUnit val="days"/>
      </c:dateAx>
      <c:valAx>
        <c:axId val="36778086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775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Product Moisture Vs Ambient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'PQ Trends'!$D$2</c:f>
              <c:strCache>
                <c:ptCount val="1"/>
                <c:pt idx="0">
                  <c:v>Moisture
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'PQ Trends'!$D$3:$D$87</c:f>
              <c:numCache>
                <c:formatCode>0.00</c:formatCode>
                <c:ptCount val="85"/>
                <c:pt idx="0">
                  <c:v>0.39</c:v>
                </c:pt>
                <c:pt idx="1">
                  <c:v>0.41</c:v>
                </c:pt>
                <c:pt idx="2">
                  <c:v>0.37</c:v>
                </c:pt>
                <c:pt idx="3">
                  <c:v>0.38</c:v>
                </c:pt>
                <c:pt idx="4">
                  <c:v>0.37</c:v>
                </c:pt>
                <c:pt idx="5">
                  <c:v>0.37</c:v>
                </c:pt>
                <c:pt idx="6">
                  <c:v>0.36</c:v>
                </c:pt>
                <c:pt idx="7">
                  <c:v>0.35</c:v>
                </c:pt>
                <c:pt idx="8">
                  <c:v>0.35</c:v>
                </c:pt>
                <c:pt idx="9">
                  <c:v>0.33</c:v>
                </c:pt>
                <c:pt idx="10">
                  <c:v>0.31</c:v>
                </c:pt>
                <c:pt idx="11">
                  <c:v>0.3</c:v>
                </c:pt>
                <c:pt idx="12">
                  <c:v>0.31</c:v>
                </c:pt>
                <c:pt idx="13">
                  <c:v>0.28999999999999998</c:v>
                </c:pt>
                <c:pt idx="14">
                  <c:v>0.28999999999999998</c:v>
                </c:pt>
                <c:pt idx="15">
                  <c:v>0.32</c:v>
                </c:pt>
                <c:pt idx="16">
                  <c:v>0.31</c:v>
                </c:pt>
                <c:pt idx="17">
                  <c:v>0.32</c:v>
                </c:pt>
                <c:pt idx="18">
                  <c:v>0.33</c:v>
                </c:pt>
                <c:pt idx="19">
                  <c:v>0.31</c:v>
                </c:pt>
                <c:pt idx="20">
                  <c:v>0.32</c:v>
                </c:pt>
                <c:pt idx="21">
                  <c:v>0.32</c:v>
                </c:pt>
                <c:pt idx="22">
                  <c:v>0.33</c:v>
                </c:pt>
                <c:pt idx="23">
                  <c:v>0.32</c:v>
                </c:pt>
                <c:pt idx="24">
                  <c:v>0.33</c:v>
                </c:pt>
                <c:pt idx="25">
                  <c:v>0.33</c:v>
                </c:pt>
                <c:pt idx="26">
                  <c:v>0.34</c:v>
                </c:pt>
                <c:pt idx="27">
                  <c:v>0.38</c:v>
                </c:pt>
                <c:pt idx="28">
                  <c:v>0.42</c:v>
                </c:pt>
                <c:pt idx="29">
                  <c:v>0.42</c:v>
                </c:pt>
                <c:pt idx="30">
                  <c:v>0.43</c:v>
                </c:pt>
                <c:pt idx="31">
                  <c:v>0.42</c:v>
                </c:pt>
                <c:pt idx="32">
                  <c:v>0.44</c:v>
                </c:pt>
                <c:pt idx="33">
                  <c:v>0.48</c:v>
                </c:pt>
                <c:pt idx="34">
                  <c:v>0.46</c:v>
                </c:pt>
                <c:pt idx="35">
                  <c:v>0.45</c:v>
                </c:pt>
                <c:pt idx="36">
                  <c:v>0.45</c:v>
                </c:pt>
                <c:pt idx="37">
                  <c:v>0.46</c:v>
                </c:pt>
                <c:pt idx="38">
                  <c:v>0.45</c:v>
                </c:pt>
                <c:pt idx="39">
                  <c:v>0.46</c:v>
                </c:pt>
                <c:pt idx="40">
                  <c:v>0.47</c:v>
                </c:pt>
                <c:pt idx="41">
                  <c:v>0.46</c:v>
                </c:pt>
                <c:pt idx="42">
                  <c:v>0.48</c:v>
                </c:pt>
                <c:pt idx="43">
                  <c:v>0.45</c:v>
                </c:pt>
                <c:pt idx="44">
                  <c:v>0.44</c:v>
                </c:pt>
                <c:pt idx="45">
                  <c:v>0.45</c:v>
                </c:pt>
                <c:pt idx="46">
                  <c:v>0.47</c:v>
                </c:pt>
                <c:pt idx="47">
                  <c:v>0.43</c:v>
                </c:pt>
                <c:pt idx="48">
                  <c:v>0.43</c:v>
                </c:pt>
                <c:pt idx="49">
                  <c:v>0.42</c:v>
                </c:pt>
                <c:pt idx="50">
                  <c:v>0.4</c:v>
                </c:pt>
                <c:pt idx="51">
                  <c:v>0.43</c:v>
                </c:pt>
                <c:pt idx="52">
                  <c:v>0.43</c:v>
                </c:pt>
                <c:pt idx="53">
                  <c:v>0.45</c:v>
                </c:pt>
                <c:pt idx="54">
                  <c:v>0.47</c:v>
                </c:pt>
                <c:pt idx="55">
                  <c:v>0.45</c:v>
                </c:pt>
                <c:pt idx="56">
                  <c:v>0.44</c:v>
                </c:pt>
                <c:pt idx="57">
                  <c:v>0.47</c:v>
                </c:pt>
                <c:pt idx="58">
                  <c:v>0.46</c:v>
                </c:pt>
                <c:pt idx="65">
                  <c:v>0.48</c:v>
                </c:pt>
                <c:pt idx="66">
                  <c:v>0.39999999999999997</c:v>
                </c:pt>
                <c:pt idx="67">
                  <c:v>0.47</c:v>
                </c:pt>
                <c:pt idx="68">
                  <c:v>0.48</c:v>
                </c:pt>
                <c:pt idx="69">
                  <c:v>0.47</c:v>
                </c:pt>
                <c:pt idx="70">
                  <c:v>0.49</c:v>
                </c:pt>
                <c:pt idx="71">
                  <c:v>0.47</c:v>
                </c:pt>
                <c:pt idx="72">
                  <c:v>0.46</c:v>
                </c:pt>
                <c:pt idx="73">
                  <c:v>0.47</c:v>
                </c:pt>
                <c:pt idx="74">
                  <c:v>0.47</c:v>
                </c:pt>
                <c:pt idx="75">
                  <c:v>0.45</c:v>
                </c:pt>
                <c:pt idx="76">
                  <c:v>0.48</c:v>
                </c:pt>
                <c:pt idx="77">
                  <c:v>0.47</c:v>
                </c:pt>
                <c:pt idx="78">
                  <c:v>0.46</c:v>
                </c:pt>
                <c:pt idx="79">
                  <c:v>0.47</c:v>
                </c:pt>
                <c:pt idx="80">
                  <c:v>0.46</c:v>
                </c:pt>
                <c:pt idx="81">
                  <c:v>0.47</c:v>
                </c:pt>
                <c:pt idx="82">
                  <c:v>0.47</c:v>
                </c:pt>
                <c:pt idx="83">
                  <c:v>0.48</c:v>
                </c:pt>
                <c:pt idx="84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0-435C-8C65-2C2BE422A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1867072"/>
        <c:axId val="741864112"/>
      </c:barChart>
      <c:lineChart>
        <c:grouping val="stacked"/>
        <c:varyColors val="0"/>
        <c:ser>
          <c:idx val="1"/>
          <c:order val="1"/>
          <c:tx>
            <c:strRef>
              <c:f>'PQ Trends'!$I$2</c:f>
              <c:strCache>
                <c:ptCount val="1"/>
                <c:pt idx="0">
                  <c:v>RH
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'PQ Trends'!$A$3:$A$86</c:f>
              <c:numCache>
                <c:formatCode>d\-mmm\-yy</c:formatCode>
                <c:ptCount val="84"/>
                <c:pt idx="0">
                  <c:v>45800</c:v>
                </c:pt>
                <c:pt idx="1">
                  <c:v>45801</c:v>
                </c:pt>
                <c:pt idx="2">
                  <c:v>45802</c:v>
                </c:pt>
                <c:pt idx="3">
                  <c:v>45803</c:v>
                </c:pt>
                <c:pt idx="4">
                  <c:v>45804</c:v>
                </c:pt>
                <c:pt idx="5">
                  <c:v>45805</c:v>
                </c:pt>
                <c:pt idx="6">
                  <c:v>45806</c:v>
                </c:pt>
                <c:pt idx="7">
                  <c:v>45807</c:v>
                </c:pt>
                <c:pt idx="8">
                  <c:v>45808</c:v>
                </c:pt>
                <c:pt idx="9">
                  <c:v>45809</c:v>
                </c:pt>
                <c:pt idx="10">
                  <c:v>45810</c:v>
                </c:pt>
                <c:pt idx="11">
                  <c:v>45811</c:v>
                </c:pt>
                <c:pt idx="12">
                  <c:v>45812</c:v>
                </c:pt>
                <c:pt idx="13">
                  <c:v>45813</c:v>
                </c:pt>
                <c:pt idx="14">
                  <c:v>45814</c:v>
                </c:pt>
                <c:pt idx="15">
                  <c:v>45815</c:v>
                </c:pt>
                <c:pt idx="16">
                  <c:v>45816</c:v>
                </c:pt>
                <c:pt idx="17">
                  <c:v>45817</c:v>
                </c:pt>
                <c:pt idx="18">
                  <c:v>45818</c:v>
                </c:pt>
                <c:pt idx="19">
                  <c:v>45819</c:v>
                </c:pt>
                <c:pt idx="20">
                  <c:v>45820</c:v>
                </c:pt>
                <c:pt idx="21">
                  <c:v>45821</c:v>
                </c:pt>
                <c:pt idx="22">
                  <c:v>45822</c:v>
                </c:pt>
                <c:pt idx="23">
                  <c:v>45823</c:v>
                </c:pt>
                <c:pt idx="24">
                  <c:v>45824</c:v>
                </c:pt>
                <c:pt idx="25">
                  <c:v>45825</c:v>
                </c:pt>
                <c:pt idx="26">
                  <c:v>45826</c:v>
                </c:pt>
                <c:pt idx="27">
                  <c:v>45827</c:v>
                </c:pt>
                <c:pt idx="28">
                  <c:v>45828</c:v>
                </c:pt>
                <c:pt idx="29">
                  <c:v>45829</c:v>
                </c:pt>
                <c:pt idx="30">
                  <c:v>45830</c:v>
                </c:pt>
                <c:pt idx="31">
                  <c:v>45831</c:v>
                </c:pt>
                <c:pt idx="32">
                  <c:v>45832</c:v>
                </c:pt>
                <c:pt idx="33">
                  <c:v>45833</c:v>
                </c:pt>
                <c:pt idx="34">
                  <c:v>45834</c:v>
                </c:pt>
                <c:pt idx="35">
                  <c:v>45835</c:v>
                </c:pt>
                <c:pt idx="36">
                  <c:v>45836</c:v>
                </c:pt>
                <c:pt idx="37">
                  <c:v>45837</c:v>
                </c:pt>
                <c:pt idx="38">
                  <c:v>45838</c:v>
                </c:pt>
                <c:pt idx="39">
                  <c:v>45839</c:v>
                </c:pt>
                <c:pt idx="40">
                  <c:v>45840</c:v>
                </c:pt>
                <c:pt idx="41">
                  <c:v>45841</c:v>
                </c:pt>
                <c:pt idx="42">
                  <c:v>45842</c:v>
                </c:pt>
                <c:pt idx="43">
                  <c:v>45843</c:v>
                </c:pt>
                <c:pt idx="44">
                  <c:v>45844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45850</c:v>
                </c:pt>
                <c:pt idx="51">
                  <c:v>45851</c:v>
                </c:pt>
                <c:pt idx="52">
                  <c:v>45852</c:v>
                </c:pt>
                <c:pt idx="53">
                  <c:v>45853</c:v>
                </c:pt>
                <c:pt idx="54">
                  <c:v>45854</c:v>
                </c:pt>
                <c:pt idx="55">
                  <c:v>45855</c:v>
                </c:pt>
                <c:pt idx="56">
                  <c:v>45856</c:v>
                </c:pt>
                <c:pt idx="57">
                  <c:v>45857</c:v>
                </c:pt>
                <c:pt idx="58">
                  <c:v>45858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45864</c:v>
                </c:pt>
                <c:pt idx="65">
                  <c:v>45865</c:v>
                </c:pt>
                <c:pt idx="66">
                  <c:v>45866</c:v>
                </c:pt>
                <c:pt idx="67">
                  <c:v>45867</c:v>
                </c:pt>
                <c:pt idx="68">
                  <c:v>45868</c:v>
                </c:pt>
                <c:pt idx="69">
                  <c:v>45869</c:v>
                </c:pt>
                <c:pt idx="70">
                  <c:v>45870</c:v>
                </c:pt>
                <c:pt idx="71">
                  <c:v>45871</c:v>
                </c:pt>
                <c:pt idx="72">
                  <c:v>45872</c:v>
                </c:pt>
                <c:pt idx="73">
                  <c:v>45873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45878</c:v>
                </c:pt>
                <c:pt idx="79">
                  <c:v>45879</c:v>
                </c:pt>
                <c:pt idx="80">
                  <c:v>45880</c:v>
                </c:pt>
                <c:pt idx="81">
                  <c:v>45881</c:v>
                </c:pt>
                <c:pt idx="82">
                  <c:v>45882</c:v>
                </c:pt>
                <c:pt idx="83">
                  <c:v>45883</c:v>
                </c:pt>
              </c:numCache>
            </c:numRef>
          </c:cat>
          <c:val>
            <c:numRef>
              <c:f>'PQ Trends'!$I$3:$I$86</c:f>
              <c:numCache>
                <c:formatCode>0</c:formatCode>
                <c:ptCount val="84"/>
                <c:pt idx="0">
                  <c:v>50</c:v>
                </c:pt>
                <c:pt idx="1">
                  <c:v>46</c:v>
                </c:pt>
                <c:pt idx="2">
                  <c:v>54</c:v>
                </c:pt>
                <c:pt idx="3">
                  <c:v>52</c:v>
                </c:pt>
                <c:pt idx="4">
                  <c:v>52</c:v>
                </c:pt>
                <c:pt idx="5">
                  <c:v>53</c:v>
                </c:pt>
                <c:pt idx="6">
                  <c:v>53</c:v>
                </c:pt>
                <c:pt idx="7">
                  <c:v>54</c:v>
                </c:pt>
                <c:pt idx="8">
                  <c:v>48</c:v>
                </c:pt>
                <c:pt idx="9">
                  <c:v>71</c:v>
                </c:pt>
                <c:pt idx="10">
                  <c:v>46</c:v>
                </c:pt>
                <c:pt idx="11">
                  <c:v>46</c:v>
                </c:pt>
                <c:pt idx="12">
                  <c:v>55</c:v>
                </c:pt>
                <c:pt idx="13">
                  <c:v>46</c:v>
                </c:pt>
                <c:pt idx="14">
                  <c:v>42</c:v>
                </c:pt>
                <c:pt idx="15">
                  <c:v>42</c:v>
                </c:pt>
                <c:pt idx="16">
                  <c:v>35</c:v>
                </c:pt>
                <c:pt idx="17">
                  <c:v>35</c:v>
                </c:pt>
                <c:pt idx="18">
                  <c:v>28</c:v>
                </c:pt>
                <c:pt idx="19">
                  <c:v>28</c:v>
                </c:pt>
                <c:pt idx="20">
                  <c:v>32</c:v>
                </c:pt>
                <c:pt idx="21">
                  <c:v>36</c:v>
                </c:pt>
                <c:pt idx="22">
                  <c:v>40</c:v>
                </c:pt>
                <c:pt idx="23">
                  <c:v>34</c:v>
                </c:pt>
                <c:pt idx="24">
                  <c:v>44</c:v>
                </c:pt>
                <c:pt idx="25">
                  <c:v>50</c:v>
                </c:pt>
                <c:pt idx="26">
                  <c:v>57</c:v>
                </c:pt>
                <c:pt idx="27">
                  <c:v>45</c:v>
                </c:pt>
                <c:pt idx="28">
                  <c:v>46</c:v>
                </c:pt>
                <c:pt idx="29">
                  <c:v>46</c:v>
                </c:pt>
                <c:pt idx="30">
                  <c:v>79</c:v>
                </c:pt>
                <c:pt idx="31">
                  <c:v>80</c:v>
                </c:pt>
                <c:pt idx="32">
                  <c:v>80</c:v>
                </c:pt>
                <c:pt idx="33">
                  <c:v>83</c:v>
                </c:pt>
                <c:pt idx="34">
                  <c:v>83</c:v>
                </c:pt>
                <c:pt idx="35">
                  <c:v>80</c:v>
                </c:pt>
                <c:pt idx="36">
                  <c:v>84</c:v>
                </c:pt>
                <c:pt idx="37">
                  <c:v>83</c:v>
                </c:pt>
                <c:pt idx="38">
                  <c:v>87</c:v>
                </c:pt>
                <c:pt idx="39">
                  <c:v>83</c:v>
                </c:pt>
                <c:pt idx="40">
                  <c:v>80</c:v>
                </c:pt>
                <c:pt idx="41">
                  <c:v>77</c:v>
                </c:pt>
                <c:pt idx="42">
                  <c:v>65</c:v>
                </c:pt>
                <c:pt idx="43">
                  <c:v>63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91</c:v>
                </c:pt>
                <c:pt idx="48">
                  <c:v>76</c:v>
                </c:pt>
                <c:pt idx="49">
                  <c:v>74</c:v>
                </c:pt>
                <c:pt idx="50">
                  <c:v>76</c:v>
                </c:pt>
                <c:pt idx="51">
                  <c:v>79</c:v>
                </c:pt>
                <c:pt idx="52">
                  <c:v>68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68</c:v>
                </c:pt>
                <c:pt idx="57">
                  <c:v>73</c:v>
                </c:pt>
                <c:pt idx="58">
                  <c:v>69</c:v>
                </c:pt>
                <c:pt idx="64">
                  <c:v>73</c:v>
                </c:pt>
                <c:pt idx="65">
                  <c:v>69</c:v>
                </c:pt>
                <c:pt idx="67">
                  <c:v>79</c:v>
                </c:pt>
                <c:pt idx="68">
                  <c:v>79</c:v>
                </c:pt>
                <c:pt idx="69">
                  <c:v>79</c:v>
                </c:pt>
                <c:pt idx="70" formatCode="General">
                  <c:v>76</c:v>
                </c:pt>
                <c:pt idx="71" formatCode="General">
                  <c:v>68</c:v>
                </c:pt>
                <c:pt idx="72" formatCode="General">
                  <c:v>69</c:v>
                </c:pt>
                <c:pt idx="73" formatCode="General">
                  <c:v>70</c:v>
                </c:pt>
                <c:pt idx="74" formatCode="General">
                  <c:v>69</c:v>
                </c:pt>
                <c:pt idx="75" formatCode="General">
                  <c:v>67</c:v>
                </c:pt>
                <c:pt idx="76" formatCode="General">
                  <c:v>68</c:v>
                </c:pt>
                <c:pt idx="77" formatCode="General">
                  <c:v>68</c:v>
                </c:pt>
                <c:pt idx="78" formatCode="General">
                  <c:v>76</c:v>
                </c:pt>
                <c:pt idx="79" formatCode="General">
                  <c:v>80</c:v>
                </c:pt>
                <c:pt idx="80" formatCode="General">
                  <c:v>63</c:v>
                </c:pt>
                <c:pt idx="81" formatCode="General">
                  <c:v>68</c:v>
                </c:pt>
                <c:pt idx="82" formatCode="General">
                  <c:v>69</c:v>
                </c:pt>
                <c:pt idx="83" formatCode="General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80-435C-8C65-2C2BE422A6BA}"/>
            </c:ext>
          </c:extLst>
        </c:ser>
        <c:ser>
          <c:idx val="2"/>
          <c:order val="2"/>
          <c:tx>
            <c:strRef>
              <c:f>'PQ Trends'!$H$2</c:f>
              <c:strCache>
                <c:ptCount val="1"/>
                <c:pt idx="0">
                  <c:v>Amb Temp.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'PQ Trends'!$A$3:$A$86</c:f>
              <c:numCache>
                <c:formatCode>d\-mmm\-yy</c:formatCode>
                <c:ptCount val="84"/>
                <c:pt idx="0">
                  <c:v>45800</c:v>
                </c:pt>
                <c:pt idx="1">
                  <c:v>45801</c:v>
                </c:pt>
                <c:pt idx="2">
                  <c:v>45802</c:v>
                </c:pt>
                <c:pt idx="3">
                  <c:v>45803</c:v>
                </c:pt>
                <c:pt idx="4">
                  <c:v>45804</c:v>
                </c:pt>
                <c:pt idx="5">
                  <c:v>45805</c:v>
                </c:pt>
                <c:pt idx="6">
                  <c:v>45806</c:v>
                </c:pt>
                <c:pt idx="7">
                  <c:v>45807</c:v>
                </c:pt>
                <c:pt idx="8">
                  <c:v>45808</c:v>
                </c:pt>
                <c:pt idx="9">
                  <c:v>45809</c:v>
                </c:pt>
                <c:pt idx="10">
                  <c:v>45810</c:v>
                </c:pt>
                <c:pt idx="11">
                  <c:v>45811</c:v>
                </c:pt>
                <c:pt idx="12">
                  <c:v>45812</c:v>
                </c:pt>
                <c:pt idx="13">
                  <c:v>45813</c:v>
                </c:pt>
                <c:pt idx="14">
                  <c:v>45814</c:v>
                </c:pt>
                <c:pt idx="15">
                  <c:v>45815</c:v>
                </c:pt>
                <c:pt idx="16">
                  <c:v>45816</c:v>
                </c:pt>
                <c:pt idx="17">
                  <c:v>45817</c:v>
                </c:pt>
                <c:pt idx="18">
                  <c:v>45818</c:v>
                </c:pt>
                <c:pt idx="19">
                  <c:v>45819</c:v>
                </c:pt>
                <c:pt idx="20">
                  <c:v>45820</c:v>
                </c:pt>
                <c:pt idx="21">
                  <c:v>45821</c:v>
                </c:pt>
                <c:pt idx="22">
                  <c:v>45822</c:v>
                </c:pt>
                <c:pt idx="23">
                  <c:v>45823</c:v>
                </c:pt>
                <c:pt idx="24">
                  <c:v>45824</c:v>
                </c:pt>
                <c:pt idx="25">
                  <c:v>45825</c:v>
                </c:pt>
                <c:pt idx="26">
                  <c:v>45826</c:v>
                </c:pt>
                <c:pt idx="27">
                  <c:v>45827</c:v>
                </c:pt>
                <c:pt idx="28">
                  <c:v>45828</c:v>
                </c:pt>
                <c:pt idx="29">
                  <c:v>45829</c:v>
                </c:pt>
                <c:pt idx="30">
                  <c:v>45830</c:v>
                </c:pt>
                <c:pt idx="31">
                  <c:v>45831</c:v>
                </c:pt>
                <c:pt idx="32">
                  <c:v>45832</c:v>
                </c:pt>
                <c:pt idx="33">
                  <c:v>45833</c:v>
                </c:pt>
                <c:pt idx="34">
                  <c:v>45834</c:v>
                </c:pt>
                <c:pt idx="35">
                  <c:v>45835</c:v>
                </c:pt>
                <c:pt idx="36">
                  <c:v>45836</c:v>
                </c:pt>
                <c:pt idx="37">
                  <c:v>45837</c:v>
                </c:pt>
                <c:pt idx="38">
                  <c:v>45838</c:v>
                </c:pt>
                <c:pt idx="39">
                  <c:v>45839</c:v>
                </c:pt>
                <c:pt idx="40">
                  <c:v>45840</c:v>
                </c:pt>
                <c:pt idx="41">
                  <c:v>45841</c:v>
                </c:pt>
                <c:pt idx="42">
                  <c:v>45842</c:v>
                </c:pt>
                <c:pt idx="43">
                  <c:v>45843</c:v>
                </c:pt>
                <c:pt idx="44">
                  <c:v>45844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45850</c:v>
                </c:pt>
                <c:pt idx="51">
                  <c:v>45851</c:v>
                </c:pt>
                <c:pt idx="52">
                  <c:v>45852</c:v>
                </c:pt>
                <c:pt idx="53">
                  <c:v>45853</c:v>
                </c:pt>
                <c:pt idx="54">
                  <c:v>45854</c:v>
                </c:pt>
                <c:pt idx="55">
                  <c:v>45855</c:v>
                </c:pt>
                <c:pt idx="56">
                  <c:v>45856</c:v>
                </c:pt>
                <c:pt idx="57">
                  <c:v>45857</c:v>
                </c:pt>
                <c:pt idx="58">
                  <c:v>45858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45864</c:v>
                </c:pt>
                <c:pt idx="65">
                  <c:v>45865</c:v>
                </c:pt>
                <c:pt idx="66">
                  <c:v>45866</c:v>
                </c:pt>
                <c:pt idx="67">
                  <c:v>45867</c:v>
                </c:pt>
                <c:pt idx="68">
                  <c:v>45868</c:v>
                </c:pt>
                <c:pt idx="69">
                  <c:v>45869</c:v>
                </c:pt>
                <c:pt idx="70">
                  <c:v>45870</c:v>
                </c:pt>
                <c:pt idx="71">
                  <c:v>45871</c:v>
                </c:pt>
                <c:pt idx="72">
                  <c:v>45872</c:v>
                </c:pt>
                <c:pt idx="73">
                  <c:v>45873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45878</c:v>
                </c:pt>
                <c:pt idx="79">
                  <c:v>45879</c:v>
                </c:pt>
                <c:pt idx="80">
                  <c:v>45880</c:v>
                </c:pt>
                <c:pt idx="81">
                  <c:v>45881</c:v>
                </c:pt>
                <c:pt idx="82">
                  <c:v>45882</c:v>
                </c:pt>
                <c:pt idx="83">
                  <c:v>45883</c:v>
                </c:pt>
              </c:numCache>
            </c:numRef>
          </c:cat>
          <c:val>
            <c:numRef>
              <c:f>'PQ Trends'!$H$3:$H$86</c:f>
              <c:numCache>
                <c:formatCode>General</c:formatCode>
                <c:ptCount val="84"/>
                <c:pt idx="0">
                  <c:v>45</c:v>
                </c:pt>
                <c:pt idx="1">
                  <c:v>43</c:v>
                </c:pt>
                <c:pt idx="2">
                  <c:v>38.5</c:v>
                </c:pt>
                <c:pt idx="3">
                  <c:v>41.8</c:v>
                </c:pt>
                <c:pt idx="4">
                  <c:v>42.2</c:v>
                </c:pt>
                <c:pt idx="5">
                  <c:v>42.2</c:v>
                </c:pt>
                <c:pt idx="6">
                  <c:v>44</c:v>
                </c:pt>
                <c:pt idx="7">
                  <c:v>41</c:v>
                </c:pt>
                <c:pt idx="8">
                  <c:v>36</c:v>
                </c:pt>
                <c:pt idx="9">
                  <c:v>40.299999999999997</c:v>
                </c:pt>
                <c:pt idx="10">
                  <c:v>41.2</c:v>
                </c:pt>
                <c:pt idx="11">
                  <c:v>35.4</c:v>
                </c:pt>
                <c:pt idx="12">
                  <c:v>38.4</c:v>
                </c:pt>
                <c:pt idx="13">
                  <c:v>39.9</c:v>
                </c:pt>
                <c:pt idx="14">
                  <c:v>42.3</c:v>
                </c:pt>
                <c:pt idx="15">
                  <c:v>44</c:v>
                </c:pt>
                <c:pt idx="16">
                  <c:v>44.2</c:v>
                </c:pt>
                <c:pt idx="17">
                  <c:v>47.2</c:v>
                </c:pt>
                <c:pt idx="18">
                  <c:v>49.4</c:v>
                </c:pt>
                <c:pt idx="19">
                  <c:v>48.8</c:v>
                </c:pt>
                <c:pt idx="20">
                  <c:v>48.2</c:v>
                </c:pt>
                <c:pt idx="21">
                  <c:v>47.4</c:v>
                </c:pt>
                <c:pt idx="22">
                  <c:v>44.5</c:v>
                </c:pt>
                <c:pt idx="23">
                  <c:v>45.5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45</c:v>
                </c:pt>
                <c:pt idx="28">
                  <c:v>45</c:v>
                </c:pt>
                <c:pt idx="29">
                  <c:v>44</c:v>
                </c:pt>
                <c:pt idx="30">
                  <c:v>36</c:v>
                </c:pt>
                <c:pt idx="31">
                  <c:v>36</c:v>
                </c:pt>
                <c:pt idx="32">
                  <c:v>43</c:v>
                </c:pt>
                <c:pt idx="33">
                  <c:v>40</c:v>
                </c:pt>
                <c:pt idx="34">
                  <c:v>30</c:v>
                </c:pt>
                <c:pt idx="35">
                  <c:v>36</c:v>
                </c:pt>
                <c:pt idx="36">
                  <c:v>35</c:v>
                </c:pt>
                <c:pt idx="37">
                  <c:v>40</c:v>
                </c:pt>
                <c:pt idx="38">
                  <c:v>39</c:v>
                </c:pt>
                <c:pt idx="39">
                  <c:v>38</c:v>
                </c:pt>
                <c:pt idx="40">
                  <c:v>39</c:v>
                </c:pt>
                <c:pt idx="41">
                  <c:v>37</c:v>
                </c:pt>
                <c:pt idx="42">
                  <c:v>39</c:v>
                </c:pt>
                <c:pt idx="43">
                  <c:v>41</c:v>
                </c:pt>
                <c:pt idx="44">
                  <c:v>35</c:v>
                </c:pt>
                <c:pt idx="45">
                  <c:v>35</c:v>
                </c:pt>
                <c:pt idx="46">
                  <c:v>36</c:v>
                </c:pt>
                <c:pt idx="47">
                  <c:v>35</c:v>
                </c:pt>
                <c:pt idx="48">
                  <c:v>32</c:v>
                </c:pt>
                <c:pt idx="49">
                  <c:v>36</c:v>
                </c:pt>
                <c:pt idx="50">
                  <c:v>37</c:v>
                </c:pt>
                <c:pt idx="51">
                  <c:v>39</c:v>
                </c:pt>
                <c:pt idx="52">
                  <c:v>39</c:v>
                </c:pt>
                <c:pt idx="53">
                  <c:v>35</c:v>
                </c:pt>
                <c:pt idx="54">
                  <c:v>32</c:v>
                </c:pt>
                <c:pt idx="55">
                  <c:v>32</c:v>
                </c:pt>
                <c:pt idx="56">
                  <c:v>34</c:v>
                </c:pt>
                <c:pt idx="57">
                  <c:v>39</c:v>
                </c:pt>
                <c:pt idx="58">
                  <c:v>39</c:v>
                </c:pt>
                <c:pt idx="64">
                  <c:v>39</c:v>
                </c:pt>
                <c:pt idx="65">
                  <c:v>39</c:v>
                </c:pt>
                <c:pt idx="67">
                  <c:v>39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39</c:v>
                </c:pt>
                <c:pt idx="73">
                  <c:v>40</c:v>
                </c:pt>
                <c:pt idx="74">
                  <c:v>39</c:v>
                </c:pt>
                <c:pt idx="75">
                  <c:v>37</c:v>
                </c:pt>
                <c:pt idx="76">
                  <c:v>36</c:v>
                </c:pt>
                <c:pt idx="77">
                  <c:v>37</c:v>
                </c:pt>
                <c:pt idx="78">
                  <c:v>34</c:v>
                </c:pt>
                <c:pt idx="79">
                  <c:v>36</c:v>
                </c:pt>
                <c:pt idx="80">
                  <c:v>40</c:v>
                </c:pt>
                <c:pt idx="81">
                  <c:v>38</c:v>
                </c:pt>
                <c:pt idx="82">
                  <c:v>38</c:v>
                </c:pt>
                <c:pt idx="8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80-435C-8C65-2C2BE422A6BA}"/>
            </c:ext>
          </c:extLst>
        </c:ser>
        <c:ser>
          <c:idx val="3"/>
          <c:order val="3"/>
          <c:tx>
            <c:strRef>
              <c:f>[1]Sheet1!$J$2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'PQ Trends'!$A$3:$A$86</c:f>
              <c:numCache>
                <c:formatCode>d\-mmm\-yy</c:formatCode>
                <c:ptCount val="84"/>
                <c:pt idx="0">
                  <c:v>45800</c:v>
                </c:pt>
                <c:pt idx="1">
                  <c:v>45801</c:v>
                </c:pt>
                <c:pt idx="2">
                  <c:v>45802</c:v>
                </c:pt>
                <c:pt idx="3">
                  <c:v>45803</c:v>
                </c:pt>
                <c:pt idx="4">
                  <c:v>45804</c:v>
                </c:pt>
                <c:pt idx="5">
                  <c:v>45805</c:v>
                </c:pt>
                <c:pt idx="6">
                  <c:v>45806</c:v>
                </c:pt>
                <c:pt idx="7">
                  <c:v>45807</c:v>
                </c:pt>
                <c:pt idx="8">
                  <c:v>45808</c:v>
                </c:pt>
                <c:pt idx="9">
                  <c:v>45809</c:v>
                </c:pt>
                <c:pt idx="10">
                  <c:v>45810</c:v>
                </c:pt>
                <c:pt idx="11">
                  <c:v>45811</c:v>
                </c:pt>
                <c:pt idx="12">
                  <c:v>45812</c:v>
                </c:pt>
                <c:pt idx="13">
                  <c:v>45813</c:v>
                </c:pt>
                <c:pt idx="14">
                  <c:v>45814</c:v>
                </c:pt>
                <c:pt idx="15">
                  <c:v>45815</c:v>
                </c:pt>
                <c:pt idx="16">
                  <c:v>45816</c:v>
                </c:pt>
                <c:pt idx="17">
                  <c:v>45817</c:v>
                </c:pt>
                <c:pt idx="18">
                  <c:v>45818</c:v>
                </c:pt>
                <c:pt idx="19">
                  <c:v>45819</c:v>
                </c:pt>
                <c:pt idx="20">
                  <c:v>45820</c:v>
                </c:pt>
                <c:pt idx="21">
                  <c:v>45821</c:v>
                </c:pt>
                <c:pt idx="22">
                  <c:v>45822</c:v>
                </c:pt>
                <c:pt idx="23">
                  <c:v>45823</c:v>
                </c:pt>
                <c:pt idx="24">
                  <c:v>45824</c:v>
                </c:pt>
                <c:pt idx="25">
                  <c:v>45825</c:v>
                </c:pt>
                <c:pt idx="26">
                  <c:v>45826</c:v>
                </c:pt>
                <c:pt idx="27">
                  <c:v>45827</c:v>
                </c:pt>
                <c:pt idx="28">
                  <c:v>45828</c:v>
                </c:pt>
                <c:pt idx="29">
                  <c:v>45829</c:v>
                </c:pt>
                <c:pt idx="30">
                  <c:v>45830</c:v>
                </c:pt>
                <c:pt idx="31">
                  <c:v>45831</c:v>
                </c:pt>
                <c:pt idx="32">
                  <c:v>45832</c:v>
                </c:pt>
                <c:pt idx="33">
                  <c:v>45833</c:v>
                </c:pt>
                <c:pt idx="34">
                  <c:v>45834</c:v>
                </c:pt>
                <c:pt idx="35">
                  <c:v>45835</c:v>
                </c:pt>
                <c:pt idx="36">
                  <c:v>45836</c:v>
                </c:pt>
                <c:pt idx="37">
                  <c:v>45837</c:v>
                </c:pt>
                <c:pt idx="38">
                  <c:v>45838</c:v>
                </c:pt>
                <c:pt idx="39">
                  <c:v>45839</c:v>
                </c:pt>
                <c:pt idx="40">
                  <c:v>45840</c:v>
                </c:pt>
                <c:pt idx="41">
                  <c:v>45841</c:v>
                </c:pt>
                <c:pt idx="42">
                  <c:v>45842</c:v>
                </c:pt>
                <c:pt idx="43">
                  <c:v>45843</c:v>
                </c:pt>
                <c:pt idx="44">
                  <c:v>45844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45850</c:v>
                </c:pt>
                <c:pt idx="51">
                  <c:v>45851</c:v>
                </c:pt>
                <c:pt idx="52">
                  <c:v>45852</c:v>
                </c:pt>
                <c:pt idx="53">
                  <c:v>45853</c:v>
                </c:pt>
                <c:pt idx="54">
                  <c:v>45854</c:v>
                </c:pt>
                <c:pt idx="55">
                  <c:v>45855</c:v>
                </c:pt>
                <c:pt idx="56">
                  <c:v>45856</c:v>
                </c:pt>
                <c:pt idx="57">
                  <c:v>45857</c:v>
                </c:pt>
                <c:pt idx="58">
                  <c:v>45858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45864</c:v>
                </c:pt>
                <c:pt idx="65">
                  <c:v>45865</c:v>
                </c:pt>
                <c:pt idx="66">
                  <c:v>45866</c:v>
                </c:pt>
                <c:pt idx="67">
                  <c:v>45867</c:v>
                </c:pt>
                <c:pt idx="68">
                  <c:v>45868</c:v>
                </c:pt>
                <c:pt idx="69">
                  <c:v>45869</c:v>
                </c:pt>
                <c:pt idx="70">
                  <c:v>45870</c:v>
                </c:pt>
                <c:pt idx="71">
                  <c:v>45871</c:v>
                </c:pt>
                <c:pt idx="72">
                  <c:v>45872</c:v>
                </c:pt>
                <c:pt idx="73">
                  <c:v>45873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45878</c:v>
                </c:pt>
                <c:pt idx="79">
                  <c:v>45879</c:v>
                </c:pt>
                <c:pt idx="80">
                  <c:v>45880</c:v>
                </c:pt>
                <c:pt idx="81">
                  <c:v>45881</c:v>
                </c:pt>
                <c:pt idx="82">
                  <c:v>45882</c:v>
                </c:pt>
                <c:pt idx="83">
                  <c:v>45883</c:v>
                </c:pt>
              </c:numCache>
            </c:numRef>
          </c:cat>
          <c:val>
            <c:numLit>
              <c:formatCode>General</c:formatCode>
              <c:ptCount val="31"/>
              <c:pt idx="0">
                <c:v>107.60000000000001</c:v>
              </c:pt>
              <c:pt idx="1">
                <c:v>107.60000000000001</c:v>
              </c:pt>
              <c:pt idx="2">
                <c:v>107.60000000000001</c:v>
              </c:pt>
              <c:pt idx="3">
                <c:v>113</c:v>
              </c:pt>
              <c:pt idx="4">
                <c:v>113</c:v>
              </c:pt>
              <c:pt idx="5">
                <c:v>111.2</c:v>
              </c:pt>
              <c:pt idx="6">
                <c:v>96.8</c:v>
              </c:pt>
              <c:pt idx="7">
                <c:v>96.8</c:v>
              </c:pt>
              <c:pt idx="8">
                <c:v>109.4</c:v>
              </c:pt>
              <c:pt idx="9">
                <c:v>104</c:v>
              </c:pt>
              <c:pt idx="10">
                <c:v>86</c:v>
              </c:pt>
              <c:pt idx="11">
                <c:v>96.8</c:v>
              </c:pt>
              <c:pt idx="12">
                <c:v>95</c:v>
              </c:pt>
              <c:pt idx="13">
                <c:v>104</c:v>
              </c:pt>
              <c:pt idx="14">
                <c:v>102.2</c:v>
              </c:pt>
              <c:pt idx="15">
                <c:v>100.4</c:v>
              </c:pt>
              <c:pt idx="16">
                <c:v>102.2</c:v>
              </c:pt>
              <c:pt idx="17">
                <c:v>102.2</c:v>
              </c:pt>
              <c:pt idx="18">
                <c:v>105.8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B280-435C-8C65-2C2BE422A6B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'PQ Trends'!$A$3:$A$86</c:f>
              <c:numCache>
                <c:formatCode>d\-mmm\-yy</c:formatCode>
                <c:ptCount val="84"/>
                <c:pt idx="0">
                  <c:v>45800</c:v>
                </c:pt>
                <c:pt idx="1">
                  <c:v>45801</c:v>
                </c:pt>
                <c:pt idx="2">
                  <c:v>45802</c:v>
                </c:pt>
                <c:pt idx="3">
                  <c:v>45803</c:v>
                </c:pt>
                <c:pt idx="4">
                  <c:v>45804</c:v>
                </c:pt>
                <c:pt idx="5">
                  <c:v>45805</c:v>
                </c:pt>
                <c:pt idx="6">
                  <c:v>45806</c:v>
                </c:pt>
                <c:pt idx="7">
                  <c:v>45807</c:v>
                </c:pt>
                <c:pt idx="8">
                  <c:v>45808</c:v>
                </c:pt>
                <c:pt idx="9">
                  <c:v>45809</c:v>
                </c:pt>
                <c:pt idx="10">
                  <c:v>45810</c:v>
                </c:pt>
                <c:pt idx="11">
                  <c:v>45811</c:v>
                </c:pt>
                <c:pt idx="12">
                  <c:v>45812</c:v>
                </c:pt>
                <c:pt idx="13">
                  <c:v>45813</c:v>
                </c:pt>
                <c:pt idx="14">
                  <c:v>45814</c:v>
                </c:pt>
                <c:pt idx="15">
                  <c:v>45815</c:v>
                </c:pt>
                <c:pt idx="16">
                  <c:v>45816</c:v>
                </c:pt>
                <c:pt idx="17">
                  <c:v>45817</c:v>
                </c:pt>
                <c:pt idx="18">
                  <c:v>45818</c:v>
                </c:pt>
                <c:pt idx="19">
                  <c:v>45819</c:v>
                </c:pt>
                <c:pt idx="20">
                  <c:v>45820</c:v>
                </c:pt>
                <c:pt idx="21">
                  <c:v>45821</c:v>
                </c:pt>
                <c:pt idx="22">
                  <c:v>45822</c:v>
                </c:pt>
                <c:pt idx="23">
                  <c:v>45823</c:v>
                </c:pt>
                <c:pt idx="24">
                  <c:v>45824</c:v>
                </c:pt>
                <c:pt idx="25">
                  <c:v>45825</c:v>
                </c:pt>
                <c:pt idx="26">
                  <c:v>45826</c:v>
                </c:pt>
                <c:pt idx="27">
                  <c:v>45827</c:v>
                </c:pt>
                <c:pt idx="28">
                  <c:v>45828</c:v>
                </c:pt>
                <c:pt idx="29">
                  <c:v>45829</c:v>
                </c:pt>
                <c:pt idx="30">
                  <c:v>45830</c:v>
                </c:pt>
                <c:pt idx="31">
                  <c:v>45831</c:v>
                </c:pt>
                <c:pt idx="32">
                  <c:v>45832</c:v>
                </c:pt>
                <c:pt idx="33">
                  <c:v>45833</c:v>
                </c:pt>
                <c:pt idx="34">
                  <c:v>45834</c:v>
                </c:pt>
                <c:pt idx="35">
                  <c:v>45835</c:v>
                </c:pt>
                <c:pt idx="36">
                  <c:v>45836</c:v>
                </c:pt>
                <c:pt idx="37">
                  <c:v>45837</c:v>
                </c:pt>
                <c:pt idx="38">
                  <c:v>45838</c:v>
                </c:pt>
                <c:pt idx="39">
                  <c:v>45839</c:v>
                </c:pt>
                <c:pt idx="40">
                  <c:v>45840</c:v>
                </c:pt>
                <c:pt idx="41">
                  <c:v>45841</c:v>
                </c:pt>
                <c:pt idx="42">
                  <c:v>45842</c:v>
                </c:pt>
                <c:pt idx="43">
                  <c:v>45843</c:v>
                </c:pt>
                <c:pt idx="44">
                  <c:v>45844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45850</c:v>
                </c:pt>
                <c:pt idx="51">
                  <c:v>45851</c:v>
                </c:pt>
                <c:pt idx="52">
                  <c:v>45852</c:v>
                </c:pt>
                <c:pt idx="53">
                  <c:v>45853</c:v>
                </c:pt>
                <c:pt idx="54">
                  <c:v>45854</c:v>
                </c:pt>
                <c:pt idx="55">
                  <c:v>45855</c:v>
                </c:pt>
                <c:pt idx="56">
                  <c:v>45856</c:v>
                </c:pt>
                <c:pt idx="57">
                  <c:v>45857</c:v>
                </c:pt>
                <c:pt idx="58">
                  <c:v>45858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45864</c:v>
                </c:pt>
                <c:pt idx="65">
                  <c:v>45865</c:v>
                </c:pt>
                <c:pt idx="66">
                  <c:v>45866</c:v>
                </c:pt>
                <c:pt idx="67">
                  <c:v>45867</c:v>
                </c:pt>
                <c:pt idx="68">
                  <c:v>45868</c:v>
                </c:pt>
                <c:pt idx="69">
                  <c:v>45869</c:v>
                </c:pt>
                <c:pt idx="70">
                  <c:v>45870</c:v>
                </c:pt>
                <c:pt idx="71">
                  <c:v>45871</c:v>
                </c:pt>
                <c:pt idx="72">
                  <c:v>45872</c:v>
                </c:pt>
                <c:pt idx="73">
                  <c:v>45873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45878</c:v>
                </c:pt>
                <c:pt idx="79">
                  <c:v>45879</c:v>
                </c:pt>
                <c:pt idx="80">
                  <c:v>45880</c:v>
                </c:pt>
                <c:pt idx="81">
                  <c:v>45881</c:v>
                </c:pt>
                <c:pt idx="82">
                  <c:v>45882</c:v>
                </c:pt>
                <c:pt idx="83">
                  <c:v>45883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B280-435C-8C65-2C2BE422A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714448"/>
        <c:axId val="741696848"/>
      </c:lineChart>
      <c:dateAx>
        <c:axId val="741714448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41696848"/>
        <c:crosses val="autoZero"/>
        <c:auto val="0"/>
        <c:lblOffset val="100"/>
        <c:baseTimeUnit val="days"/>
      </c:dateAx>
      <c:valAx>
        <c:axId val="7416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41714448"/>
        <c:crosses val="autoZero"/>
        <c:crossBetween val="between"/>
      </c:valAx>
      <c:valAx>
        <c:axId val="741864112"/>
        <c:scaling>
          <c:orientation val="minMax"/>
          <c:max val="1"/>
          <c:min val="0.27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41867072"/>
        <c:crosses val="max"/>
        <c:crossBetween val="between"/>
      </c:valAx>
      <c:catAx>
        <c:axId val="741867072"/>
        <c:scaling>
          <c:orientation val="minMax"/>
        </c:scaling>
        <c:delete val="1"/>
        <c:axPos val="b"/>
        <c:majorTickMark val="out"/>
        <c:minorTickMark val="none"/>
        <c:tickLblPos val="nextTo"/>
        <c:crossAx val="74186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Biuret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'PQ Trends'!$E$2</c:f>
              <c:strCache>
                <c:ptCount val="1"/>
                <c:pt idx="0">
                  <c:v>Biuret
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'PQ Trends'!$A$3:$A$132</c:f>
              <c:numCache>
                <c:formatCode>d\-mmm\-yy</c:formatCode>
                <c:ptCount val="130"/>
                <c:pt idx="0">
                  <c:v>45800</c:v>
                </c:pt>
                <c:pt idx="1">
                  <c:v>45801</c:v>
                </c:pt>
                <c:pt idx="2">
                  <c:v>45802</c:v>
                </c:pt>
                <c:pt idx="3">
                  <c:v>45803</c:v>
                </c:pt>
                <c:pt idx="4">
                  <c:v>45804</c:v>
                </c:pt>
                <c:pt idx="5">
                  <c:v>45805</c:v>
                </c:pt>
                <c:pt idx="6">
                  <c:v>45806</c:v>
                </c:pt>
                <c:pt idx="7">
                  <c:v>45807</c:v>
                </c:pt>
                <c:pt idx="8">
                  <c:v>45808</c:v>
                </c:pt>
                <c:pt idx="9">
                  <c:v>45809</c:v>
                </c:pt>
                <c:pt idx="10">
                  <c:v>45810</c:v>
                </c:pt>
                <c:pt idx="11">
                  <c:v>45811</c:v>
                </c:pt>
                <c:pt idx="12">
                  <c:v>45812</c:v>
                </c:pt>
                <c:pt idx="13">
                  <c:v>45813</c:v>
                </c:pt>
                <c:pt idx="14">
                  <c:v>45814</c:v>
                </c:pt>
                <c:pt idx="15">
                  <c:v>45815</c:v>
                </c:pt>
                <c:pt idx="16">
                  <c:v>45816</c:v>
                </c:pt>
                <c:pt idx="17">
                  <c:v>45817</c:v>
                </c:pt>
                <c:pt idx="18">
                  <c:v>45818</c:v>
                </c:pt>
                <c:pt idx="19">
                  <c:v>45819</c:v>
                </c:pt>
                <c:pt idx="20">
                  <c:v>45820</c:v>
                </c:pt>
                <c:pt idx="21">
                  <c:v>45821</c:v>
                </c:pt>
                <c:pt idx="22">
                  <c:v>45822</c:v>
                </c:pt>
                <c:pt idx="23">
                  <c:v>45823</c:v>
                </c:pt>
                <c:pt idx="24">
                  <c:v>45824</c:v>
                </c:pt>
                <c:pt idx="25">
                  <c:v>45825</c:v>
                </c:pt>
                <c:pt idx="26">
                  <c:v>45826</c:v>
                </c:pt>
                <c:pt idx="27">
                  <c:v>45827</c:v>
                </c:pt>
                <c:pt idx="28">
                  <c:v>45828</c:v>
                </c:pt>
                <c:pt idx="29">
                  <c:v>45829</c:v>
                </c:pt>
                <c:pt idx="30">
                  <c:v>45830</c:v>
                </c:pt>
                <c:pt idx="31">
                  <c:v>45831</c:v>
                </c:pt>
                <c:pt idx="32">
                  <c:v>45832</c:v>
                </c:pt>
                <c:pt idx="33">
                  <c:v>45833</c:v>
                </c:pt>
                <c:pt idx="34">
                  <c:v>45834</c:v>
                </c:pt>
                <c:pt idx="35">
                  <c:v>45835</c:v>
                </c:pt>
                <c:pt idx="36">
                  <c:v>45836</c:v>
                </c:pt>
                <c:pt idx="37">
                  <c:v>45837</c:v>
                </c:pt>
                <c:pt idx="38">
                  <c:v>45838</c:v>
                </c:pt>
                <c:pt idx="39">
                  <c:v>45839</c:v>
                </c:pt>
                <c:pt idx="40">
                  <c:v>45840</c:v>
                </c:pt>
                <c:pt idx="41">
                  <c:v>45841</c:v>
                </c:pt>
                <c:pt idx="42">
                  <c:v>45842</c:v>
                </c:pt>
                <c:pt idx="43">
                  <c:v>45843</c:v>
                </c:pt>
                <c:pt idx="44">
                  <c:v>45844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45850</c:v>
                </c:pt>
                <c:pt idx="51">
                  <c:v>45851</c:v>
                </c:pt>
                <c:pt idx="52">
                  <c:v>45852</c:v>
                </c:pt>
                <c:pt idx="53">
                  <c:v>45853</c:v>
                </c:pt>
                <c:pt idx="54">
                  <c:v>45854</c:v>
                </c:pt>
                <c:pt idx="55">
                  <c:v>45855</c:v>
                </c:pt>
                <c:pt idx="56">
                  <c:v>45856</c:v>
                </c:pt>
                <c:pt idx="57">
                  <c:v>45857</c:v>
                </c:pt>
                <c:pt idx="58">
                  <c:v>45858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45864</c:v>
                </c:pt>
                <c:pt idx="65">
                  <c:v>45865</c:v>
                </c:pt>
                <c:pt idx="66">
                  <c:v>45866</c:v>
                </c:pt>
                <c:pt idx="67">
                  <c:v>45867</c:v>
                </c:pt>
                <c:pt idx="68">
                  <c:v>45868</c:v>
                </c:pt>
                <c:pt idx="69">
                  <c:v>45869</c:v>
                </c:pt>
                <c:pt idx="70">
                  <c:v>45870</c:v>
                </c:pt>
                <c:pt idx="71">
                  <c:v>45871</c:v>
                </c:pt>
                <c:pt idx="72">
                  <c:v>45872</c:v>
                </c:pt>
                <c:pt idx="73">
                  <c:v>45873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45878</c:v>
                </c:pt>
                <c:pt idx="79">
                  <c:v>45879</c:v>
                </c:pt>
                <c:pt idx="80">
                  <c:v>45880</c:v>
                </c:pt>
                <c:pt idx="81">
                  <c:v>45881</c:v>
                </c:pt>
                <c:pt idx="82">
                  <c:v>45882</c:v>
                </c:pt>
                <c:pt idx="83">
                  <c:v>45883</c:v>
                </c:pt>
                <c:pt idx="84">
                  <c:v>45884</c:v>
                </c:pt>
                <c:pt idx="85">
                  <c:v>45885</c:v>
                </c:pt>
                <c:pt idx="86">
                  <c:v>45886</c:v>
                </c:pt>
                <c:pt idx="87">
                  <c:v>45887</c:v>
                </c:pt>
                <c:pt idx="88">
                  <c:v>45888</c:v>
                </c:pt>
                <c:pt idx="89">
                  <c:v>45889</c:v>
                </c:pt>
                <c:pt idx="90">
                  <c:v>45890</c:v>
                </c:pt>
                <c:pt idx="91">
                  <c:v>45891</c:v>
                </c:pt>
                <c:pt idx="92">
                  <c:v>45892</c:v>
                </c:pt>
                <c:pt idx="93">
                  <c:v>45893</c:v>
                </c:pt>
                <c:pt idx="94">
                  <c:v>45894</c:v>
                </c:pt>
                <c:pt idx="95">
                  <c:v>45895</c:v>
                </c:pt>
                <c:pt idx="96">
                  <c:v>45896</c:v>
                </c:pt>
                <c:pt idx="97">
                  <c:v>45897</c:v>
                </c:pt>
                <c:pt idx="98">
                  <c:v>45898</c:v>
                </c:pt>
                <c:pt idx="99">
                  <c:v>45899</c:v>
                </c:pt>
                <c:pt idx="100">
                  <c:v>45900</c:v>
                </c:pt>
                <c:pt idx="101">
                  <c:v>45901</c:v>
                </c:pt>
                <c:pt idx="102">
                  <c:v>45902</c:v>
                </c:pt>
                <c:pt idx="103">
                  <c:v>45903</c:v>
                </c:pt>
                <c:pt idx="104">
                  <c:v>45904</c:v>
                </c:pt>
                <c:pt idx="105">
                  <c:v>45905</c:v>
                </c:pt>
                <c:pt idx="106">
                  <c:v>45906</c:v>
                </c:pt>
                <c:pt idx="107">
                  <c:v>45907</c:v>
                </c:pt>
                <c:pt idx="108">
                  <c:v>45908</c:v>
                </c:pt>
                <c:pt idx="109">
                  <c:v>45909</c:v>
                </c:pt>
                <c:pt idx="110">
                  <c:v>45910</c:v>
                </c:pt>
                <c:pt idx="111">
                  <c:v>45911</c:v>
                </c:pt>
                <c:pt idx="112">
                  <c:v>45912</c:v>
                </c:pt>
                <c:pt idx="113">
                  <c:v>45913</c:v>
                </c:pt>
                <c:pt idx="114">
                  <c:v>45914</c:v>
                </c:pt>
                <c:pt idx="115">
                  <c:v>45915</c:v>
                </c:pt>
                <c:pt idx="116">
                  <c:v>45916</c:v>
                </c:pt>
                <c:pt idx="117">
                  <c:v>45917</c:v>
                </c:pt>
                <c:pt idx="118">
                  <c:v>45918</c:v>
                </c:pt>
                <c:pt idx="119">
                  <c:v>45919</c:v>
                </c:pt>
                <c:pt idx="120">
                  <c:v>45920</c:v>
                </c:pt>
                <c:pt idx="121">
                  <c:v>45921</c:v>
                </c:pt>
                <c:pt idx="122">
                  <c:v>45922</c:v>
                </c:pt>
                <c:pt idx="123">
                  <c:v>45923</c:v>
                </c:pt>
                <c:pt idx="124">
                  <c:v>45924</c:v>
                </c:pt>
                <c:pt idx="125">
                  <c:v>45925</c:v>
                </c:pt>
                <c:pt idx="126">
                  <c:v>45926</c:v>
                </c:pt>
                <c:pt idx="127">
                  <c:v>45927</c:v>
                </c:pt>
                <c:pt idx="128">
                  <c:v>45928</c:v>
                </c:pt>
                <c:pt idx="129">
                  <c:v>45929</c:v>
                </c:pt>
              </c:numCache>
            </c:numRef>
          </c:cat>
          <c:val>
            <c:numRef>
              <c:f>'PQ Trends'!$E$3:$E$132</c:f>
              <c:numCache>
                <c:formatCode>0.00</c:formatCode>
                <c:ptCount val="130"/>
                <c:pt idx="0">
                  <c:v>0.92</c:v>
                </c:pt>
                <c:pt idx="1">
                  <c:v>0.89</c:v>
                </c:pt>
                <c:pt idx="2">
                  <c:v>0.89</c:v>
                </c:pt>
                <c:pt idx="3">
                  <c:v>0.9</c:v>
                </c:pt>
                <c:pt idx="4">
                  <c:v>0.91</c:v>
                </c:pt>
                <c:pt idx="5">
                  <c:v>0.9</c:v>
                </c:pt>
                <c:pt idx="6">
                  <c:v>0.92</c:v>
                </c:pt>
                <c:pt idx="7">
                  <c:v>0.92</c:v>
                </c:pt>
                <c:pt idx="8">
                  <c:v>0.91</c:v>
                </c:pt>
                <c:pt idx="9">
                  <c:v>0.92</c:v>
                </c:pt>
                <c:pt idx="10">
                  <c:v>0.9</c:v>
                </c:pt>
                <c:pt idx="11">
                  <c:v>0.92</c:v>
                </c:pt>
                <c:pt idx="12">
                  <c:v>0.9</c:v>
                </c:pt>
                <c:pt idx="13">
                  <c:v>0.93</c:v>
                </c:pt>
                <c:pt idx="14">
                  <c:v>0.93</c:v>
                </c:pt>
                <c:pt idx="15">
                  <c:v>0.91</c:v>
                </c:pt>
                <c:pt idx="16">
                  <c:v>0.94</c:v>
                </c:pt>
                <c:pt idx="17">
                  <c:v>0.95</c:v>
                </c:pt>
                <c:pt idx="18">
                  <c:v>0.95</c:v>
                </c:pt>
                <c:pt idx="19">
                  <c:v>0.94</c:v>
                </c:pt>
                <c:pt idx="20">
                  <c:v>0.96</c:v>
                </c:pt>
                <c:pt idx="21">
                  <c:v>0.96</c:v>
                </c:pt>
                <c:pt idx="22">
                  <c:v>0.94</c:v>
                </c:pt>
                <c:pt idx="23">
                  <c:v>0.93</c:v>
                </c:pt>
                <c:pt idx="24">
                  <c:v>0.93</c:v>
                </c:pt>
                <c:pt idx="25">
                  <c:v>0.93</c:v>
                </c:pt>
                <c:pt idx="26">
                  <c:v>0.94</c:v>
                </c:pt>
                <c:pt idx="27">
                  <c:v>0.95</c:v>
                </c:pt>
                <c:pt idx="28">
                  <c:v>0.96</c:v>
                </c:pt>
                <c:pt idx="29">
                  <c:v>0.95</c:v>
                </c:pt>
                <c:pt idx="30">
                  <c:v>0.94</c:v>
                </c:pt>
                <c:pt idx="31">
                  <c:v>0.95</c:v>
                </c:pt>
                <c:pt idx="32">
                  <c:v>0.95</c:v>
                </c:pt>
                <c:pt idx="34">
                  <c:v>0.92</c:v>
                </c:pt>
                <c:pt idx="35">
                  <c:v>0.93</c:v>
                </c:pt>
                <c:pt idx="36">
                  <c:v>0.94</c:v>
                </c:pt>
                <c:pt idx="37">
                  <c:v>0.94</c:v>
                </c:pt>
                <c:pt idx="38">
                  <c:v>0.91</c:v>
                </c:pt>
                <c:pt idx="39">
                  <c:v>0.93</c:v>
                </c:pt>
                <c:pt idx="40">
                  <c:v>0.94</c:v>
                </c:pt>
                <c:pt idx="41">
                  <c:v>0.94</c:v>
                </c:pt>
                <c:pt idx="42">
                  <c:v>0.94</c:v>
                </c:pt>
                <c:pt idx="43">
                  <c:v>0.94</c:v>
                </c:pt>
                <c:pt idx="44">
                  <c:v>0.95</c:v>
                </c:pt>
                <c:pt idx="45">
                  <c:v>0.92</c:v>
                </c:pt>
                <c:pt idx="46">
                  <c:v>0.93</c:v>
                </c:pt>
                <c:pt idx="47">
                  <c:v>0.91</c:v>
                </c:pt>
                <c:pt idx="48">
                  <c:v>0.92</c:v>
                </c:pt>
                <c:pt idx="49">
                  <c:v>0.94</c:v>
                </c:pt>
                <c:pt idx="50">
                  <c:v>0.92</c:v>
                </c:pt>
                <c:pt idx="51">
                  <c:v>0.93</c:v>
                </c:pt>
                <c:pt idx="52">
                  <c:v>0.95</c:v>
                </c:pt>
                <c:pt idx="53">
                  <c:v>0.94</c:v>
                </c:pt>
                <c:pt idx="54">
                  <c:v>0.95</c:v>
                </c:pt>
                <c:pt idx="55">
                  <c:v>0.94</c:v>
                </c:pt>
                <c:pt idx="56">
                  <c:v>0.94</c:v>
                </c:pt>
                <c:pt idx="57">
                  <c:v>0.94</c:v>
                </c:pt>
                <c:pt idx="58">
                  <c:v>0.93</c:v>
                </c:pt>
                <c:pt idx="65">
                  <c:v>1</c:v>
                </c:pt>
                <c:pt idx="66">
                  <c:v>1.07</c:v>
                </c:pt>
                <c:pt idx="67">
                  <c:v>0.95</c:v>
                </c:pt>
                <c:pt idx="68">
                  <c:v>0.96</c:v>
                </c:pt>
                <c:pt idx="69">
                  <c:v>0.95</c:v>
                </c:pt>
                <c:pt idx="70">
                  <c:v>0.94</c:v>
                </c:pt>
                <c:pt idx="71">
                  <c:v>0.92</c:v>
                </c:pt>
                <c:pt idx="72">
                  <c:v>0.93</c:v>
                </c:pt>
                <c:pt idx="73">
                  <c:v>0.91</c:v>
                </c:pt>
                <c:pt idx="74">
                  <c:v>0.92</c:v>
                </c:pt>
                <c:pt idx="75">
                  <c:v>0.91</c:v>
                </c:pt>
                <c:pt idx="76">
                  <c:v>1.31</c:v>
                </c:pt>
                <c:pt idx="77">
                  <c:v>1.1499999999999999</c:v>
                </c:pt>
                <c:pt idx="78">
                  <c:v>1.1200000000000001</c:v>
                </c:pt>
                <c:pt idx="79">
                  <c:v>1.1599999999999999</c:v>
                </c:pt>
                <c:pt idx="80">
                  <c:v>1.1200000000000001</c:v>
                </c:pt>
                <c:pt idx="81">
                  <c:v>1.1399999999999999</c:v>
                </c:pt>
                <c:pt idx="82">
                  <c:v>1.1399999999999999</c:v>
                </c:pt>
                <c:pt idx="83">
                  <c:v>1.03</c:v>
                </c:pt>
                <c:pt idx="84">
                  <c:v>1.03</c:v>
                </c:pt>
                <c:pt idx="85">
                  <c:v>1.06</c:v>
                </c:pt>
                <c:pt idx="86">
                  <c:v>1.1000000000000001</c:v>
                </c:pt>
                <c:pt idx="87">
                  <c:v>1.04</c:v>
                </c:pt>
                <c:pt idx="88">
                  <c:v>1.03</c:v>
                </c:pt>
                <c:pt idx="89">
                  <c:v>1.03</c:v>
                </c:pt>
                <c:pt idx="90">
                  <c:v>1.03</c:v>
                </c:pt>
                <c:pt idx="91">
                  <c:v>1.0333333333333334</c:v>
                </c:pt>
                <c:pt idx="92">
                  <c:v>1.0266666666666666</c:v>
                </c:pt>
                <c:pt idx="93">
                  <c:v>1.05</c:v>
                </c:pt>
                <c:pt idx="94">
                  <c:v>1.0433333333333334</c:v>
                </c:pt>
                <c:pt idx="95">
                  <c:v>1.0366666666666668</c:v>
                </c:pt>
                <c:pt idx="96">
                  <c:v>1.0433333333333334</c:v>
                </c:pt>
                <c:pt idx="97">
                  <c:v>1.0466666666666666</c:v>
                </c:pt>
                <c:pt idx="98">
                  <c:v>1.0333333333333334</c:v>
                </c:pt>
                <c:pt idx="99">
                  <c:v>1.0466666666666666</c:v>
                </c:pt>
                <c:pt idx="100">
                  <c:v>1.0566666666666666</c:v>
                </c:pt>
                <c:pt idx="101">
                  <c:v>1.03</c:v>
                </c:pt>
                <c:pt idx="102">
                  <c:v>1.0366666666666668</c:v>
                </c:pt>
                <c:pt idx="103">
                  <c:v>1.0333333333333334</c:v>
                </c:pt>
                <c:pt idx="104">
                  <c:v>1.18</c:v>
                </c:pt>
                <c:pt idx="105">
                  <c:v>1.1399999999999999</c:v>
                </c:pt>
                <c:pt idx="106">
                  <c:v>1.1200000000000001</c:v>
                </c:pt>
                <c:pt idx="107">
                  <c:v>1.0900000000000001</c:v>
                </c:pt>
                <c:pt idx="108">
                  <c:v>1.1499999999999999</c:v>
                </c:pt>
                <c:pt idx="109">
                  <c:v>1.1499999999999999</c:v>
                </c:pt>
                <c:pt idx="110">
                  <c:v>1.2</c:v>
                </c:pt>
                <c:pt idx="111">
                  <c:v>1.2</c:v>
                </c:pt>
                <c:pt idx="112">
                  <c:v>1.17</c:v>
                </c:pt>
                <c:pt idx="113">
                  <c:v>1.21</c:v>
                </c:pt>
                <c:pt idx="114">
                  <c:v>1.26</c:v>
                </c:pt>
                <c:pt idx="115">
                  <c:v>1.18</c:v>
                </c:pt>
                <c:pt idx="116">
                  <c:v>1.07</c:v>
                </c:pt>
                <c:pt idx="117">
                  <c:v>0.95</c:v>
                </c:pt>
                <c:pt idx="118">
                  <c:v>0.91999999999999993</c:v>
                </c:pt>
                <c:pt idx="119">
                  <c:v>0.91</c:v>
                </c:pt>
                <c:pt idx="120">
                  <c:v>0.90666666666666673</c:v>
                </c:pt>
                <c:pt idx="121">
                  <c:v>0.90666666666666673</c:v>
                </c:pt>
                <c:pt idx="122">
                  <c:v>0.91333333333333344</c:v>
                </c:pt>
                <c:pt idx="123">
                  <c:v>0.91999999999999993</c:v>
                </c:pt>
                <c:pt idx="124">
                  <c:v>0.91</c:v>
                </c:pt>
                <c:pt idx="125">
                  <c:v>0.91</c:v>
                </c:pt>
                <c:pt idx="126">
                  <c:v>0.93333333333333324</c:v>
                </c:pt>
                <c:pt idx="127">
                  <c:v>0.93333333333333324</c:v>
                </c:pt>
                <c:pt idx="128">
                  <c:v>0.95333333333333325</c:v>
                </c:pt>
                <c:pt idx="129">
                  <c:v>0.93666666666666665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3-4E16-8A02-888DE2A5CC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42154688"/>
        <c:axId val="1603230592"/>
      </c:barChart>
      <c:dateAx>
        <c:axId val="194215468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03230592"/>
        <c:crosses val="autoZero"/>
        <c:auto val="1"/>
        <c:lblOffset val="100"/>
        <c:baseTimeUnit val="days"/>
      </c:dateAx>
      <c:valAx>
        <c:axId val="160323059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9421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'PQ Trends'!$F$2</c:f>
              <c:strCache>
                <c:ptCount val="1"/>
                <c:pt idx="0">
                  <c:v>Fines
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'PQ Trends'!$A$3:$A$87</c:f>
              <c:numCache>
                <c:formatCode>d\-mmm\-yy</c:formatCode>
                <c:ptCount val="85"/>
                <c:pt idx="0">
                  <c:v>45800</c:v>
                </c:pt>
                <c:pt idx="1">
                  <c:v>45801</c:v>
                </c:pt>
                <c:pt idx="2">
                  <c:v>45802</c:v>
                </c:pt>
                <c:pt idx="3">
                  <c:v>45803</c:v>
                </c:pt>
                <c:pt idx="4">
                  <c:v>45804</c:v>
                </c:pt>
                <c:pt idx="5">
                  <c:v>45805</c:v>
                </c:pt>
                <c:pt idx="6">
                  <c:v>45806</c:v>
                </c:pt>
                <c:pt idx="7">
                  <c:v>45807</c:v>
                </c:pt>
                <c:pt idx="8">
                  <c:v>45808</c:v>
                </c:pt>
                <c:pt idx="9">
                  <c:v>45809</c:v>
                </c:pt>
                <c:pt idx="10">
                  <c:v>45810</c:v>
                </c:pt>
                <c:pt idx="11">
                  <c:v>45811</c:v>
                </c:pt>
                <c:pt idx="12">
                  <c:v>45812</c:v>
                </c:pt>
                <c:pt idx="13">
                  <c:v>45813</c:v>
                </c:pt>
                <c:pt idx="14">
                  <c:v>45814</c:v>
                </c:pt>
                <c:pt idx="15">
                  <c:v>45815</c:v>
                </c:pt>
                <c:pt idx="16">
                  <c:v>45816</c:v>
                </c:pt>
                <c:pt idx="17">
                  <c:v>45817</c:v>
                </c:pt>
                <c:pt idx="18">
                  <c:v>45818</c:v>
                </c:pt>
                <c:pt idx="19">
                  <c:v>45819</c:v>
                </c:pt>
                <c:pt idx="20">
                  <c:v>45820</c:v>
                </c:pt>
                <c:pt idx="21">
                  <c:v>45821</c:v>
                </c:pt>
                <c:pt idx="22">
                  <c:v>45822</c:v>
                </c:pt>
                <c:pt idx="23">
                  <c:v>45823</c:v>
                </c:pt>
                <c:pt idx="24">
                  <c:v>45824</c:v>
                </c:pt>
                <c:pt idx="25">
                  <c:v>45825</c:v>
                </c:pt>
                <c:pt idx="26">
                  <c:v>45826</c:v>
                </c:pt>
                <c:pt idx="27">
                  <c:v>45827</c:v>
                </c:pt>
                <c:pt idx="28">
                  <c:v>45828</c:v>
                </c:pt>
                <c:pt idx="29">
                  <c:v>45829</c:v>
                </c:pt>
                <c:pt idx="30">
                  <c:v>45830</c:v>
                </c:pt>
                <c:pt idx="31">
                  <c:v>45831</c:v>
                </c:pt>
                <c:pt idx="32">
                  <c:v>45832</c:v>
                </c:pt>
                <c:pt idx="33">
                  <c:v>45833</c:v>
                </c:pt>
                <c:pt idx="34">
                  <c:v>45834</c:v>
                </c:pt>
                <c:pt idx="35">
                  <c:v>45835</c:v>
                </c:pt>
                <c:pt idx="36">
                  <c:v>45836</c:v>
                </c:pt>
                <c:pt idx="37">
                  <c:v>45837</c:v>
                </c:pt>
                <c:pt idx="38">
                  <c:v>45838</c:v>
                </c:pt>
                <c:pt idx="39">
                  <c:v>45839</c:v>
                </c:pt>
                <c:pt idx="40">
                  <c:v>45840</c:v>
                </c:pt>
                <c:pt idx="41">
                  <c:v>45841</c:v>
                </c:pt>
                <c:pt idx="42">
                  <c:v>45842</c:v>
                </c:pt>
                <c:pt idx="43">
                  <c:v>45843</c:v>
                </c:pt>
                <c:pt idx="44">
                  <c:v>45844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45850</c:v>
                </c:pt>
                <c:pt idx="51">
                  <c:v>45851</c:v>
                </c:pt>
                <c:pt idx="52">
                  <c:v>45852</c:v>
                </c:pt>
                <c:pt idx="53">
                  <c:v>45853</c:v>
                </c:pt>
                <c:pt idx="54">
                  <c:v>45854</c:v>
                </c:pt>
                <c:pt idx="55">
                  <c:v>45855</c:v>
                </c:pt>
                <c:pt idx="56">
                  <c:v>45856</c:v>
                </c:pt>
                <c:pt idx="57">
                  <c:v>45857</c:v>
                </c:pt>
                <c:pt idx="58">
                  <c:v>45858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45864</c:v>
                </c:pt>
                <c:pt idx="65">
                  <c:v>45865</c:v>
                </c:pt>
                <c:pt idx="66">
                  <c:v>45866</c:v>
                </c:pt>
                <c:pt idx="67">
                  <c:v>45867</c:v>
                </c:pt>
                <c:pt idx="68">
                  <c:v>45868</c:v>
                </c:pt>
                <c:pt idx="69">
                  <c:v>45869</c:v>
                </c:pt>
                <c:pt idx="70">
                  <c:v>45870</c:v>
                </c:pt>
                <c:pt idx="71">
                  <c:v>45871</c:v>
                </c:pt>
                <c:pt idx="72">
                  <c:v>45872</c:v>
                </c:pt>
                <c:pt idx="73">
                  <c:v>45873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45878</c:v>
                </c:pt>
                <c:pt idx="79">
                  <c:v>45879</c:v>
                </c:pt>
                <c:pt idx="80">
                  <c:v>45880</c:v>
                </c:pt>
                <c:pt idx="81">
                  <c:v>45881</c:v>
                </c:pt>
                <c:pt idx="82">
                  <c:v>45882</c:v>
                </c:pt>
                <c:pt idx="83">
                  <c:v>45883</c:v>
                </c:pt>
                <c:pt idx="84">
                  <c:v>45884</c:v>
                </c:pt>
              </c:numCache>
            </c:numRef>
          </c:cat>
          <c:val>
            <c:numRef>
              <c:f>'PQ Trends'!$F$3:$F$87</c:f>
              <c:numCache>
                <c:formatCode>0.0</c:formatCode>
                <c:ptCount val="85"/>
                <c:pt idx="0">
                  <c:v>0.6</c:v>
                </c:pt>
                <c:pt idx="1">
                  <c:v>0.4</c:v>
                </c:pt>
                <c:pt idx="2">
                  <c:v>0.4</c:v>
                </c:pt>
                <c:pt idx="3">
                  <c:v>0.6</c:v>
                </c:pt>
                <c:pt idx="4">
                  <c:v>0.6</c:v>
                </c:pt>
                <c:pt idx="5">
                  <c:v>0.5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0.3</c:v>
                </c:pt>
                <c:pt idx="12">
                  <c:v>0.2</c:v>
                </c:pt>
                <c:pt idx="13">
                  <c:v>0.6</c:v>
                </c:pt>
                <c:pt idx="14">
                  <c:v>0.1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0.7</c:v>
                </c:pt>
                <c:pt idx="19">
                  <c:v>0.6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0.3</c:v>
                </c:pt>
                <c:pt idx="24">
                  <c:v>0.4</c:v>
                </c:pt>
                <c:pt idx="25">
                  <c:v>0.36</c:v>
                </c:pt>
                <c:pt idx="26">
                  <c:v>0.43</c:v>
                </c:pt>
                <c:pt idx="27">
                  <c:v>0.43</c:v>
                </c:pt>
                <c:pt idx="28">
                  <c:v>0.43</c:v>
                </c:pt>
                <c:pt idx="29">
                  <c:v>0.6</c:v>
                </c:pt>
                <c:pt idx="30">
                  <c:v>0.43</c:v>
                </c:pt>
                <c:pt idx="31">
                  <c:v>0.37</c:v>
                </c:pt>
                <c:pt idx="32">
                  <c:v>0.63</c:v>
                </c:pt>
                <c:pt idx="34">
                  <c:v>0.5</c:v>
                </c:pt>
                <c:pt idx="35">
                  <c:v>0.87</c:v>
                </c:pt>
                <c:pt idx="36">
                  <c:v>0.53</c:v>
                </c:pt>
                <c:pt idx="37">
                  <c:v>0.6</c:v>
                </c:pt>
                <c:pt idx="38">
                  <c:v>0.47</c:v>
                </c:pt>
                <c:pt idx="39">
                  <c:v>0.33</c:v>
                </c:pt>
                <c:pt idx="40">
                  <c:v>0.37</c:v>
                </c:pt>
                <c:pt idx="41">
                  <c:v>0.5</c:v>
                </c:pt>
                <c:pt idx="42">
                  <c:v>0.56000000000000005</c:v>
                </c:pt>
                <c:pt idx="43">
                  <c:v>0.56000000000000005</c:v>
                </c:pt>
                <c:pt idx="44">
                  <c:v>0.66</c:v>
                </c:pt>
                <c:pt idx="45">
                  <c:v>0.6</c:v>
                </c:pt>
                <c:pt idx="46">
                  <c:v>0.46</c:v>
                </c:pt>
                <c:pt idx="47">
                  <c:v>0.73</c:v>
                </c:pt>
                <c:pt idx="48">
                  <c:v>0.43</c:v>
                </c:pt>
                <c:pt idx="49">
                  <c:v>0.56000000000000005</c:v>
                </c:pt>
                <c:pt idx="50">
                  <c:v>0.5</c:v>
                </c:pt>
                <c:pt idx="51">
                  <c:v>0.37</c:v>
                </c:pt>
                <c:pt idx="52">
                  <c:v>0.53</c:v>
                </c:pt>
                <c:pt idx="53">
                  <c:v>0.8</c:v>
                </c:pt>
                <c:pt idx="54">
                  <c:v>0.76</c:v>
                </c:pt>
                <c:pt idx="55">
                  <c:v>0.65</c:v>
                </c:pt>
                <c:pt idx="56">
                  <c:v>0.43</c:v>
                </c:pt>
                <c:pt idx="57">
                  <c:v>0.37</c:v>
                </c:pt>
                <c:pt idx="58">
                  <c:v>0.37</c:v>
                </c:pt>
                <c:pt idx="65">
                  <c:v>0.23</c:v>
                </c:pt>
                <c:pt idx="67">
                  <c:v>0.36</c:v>
                </c:pt>
                <c:pt idx="68">
                  <c:v>0.36</c:v>
                </c:pt>
                <c:pt idx="69">
                  <c:v>0.36</c:v>
                </c:pt>
                <c:pt idx="70">
                  <c:v>0.3</c:v>
                </c:pt>
                <c:pt idx="71">
                  <c:v>0.4</c:v>
                </c:pt>
                <c:pt idx="72">
                  <c:v>0.36</c:v>
                </c:pt>
                <c:pt idx="73">
                  <c:v>0.4</c:v>
                </c:pt>
                <c:pt idx="74">
                  <c:v>0.4</c:v>
                </c:pt>
                <c:pt idx="75">
                  <c:v>0.33</c:v>
                </c:pt>
                <c:pt idx="76">
                  <c:v>0.41</c:v>
                </c:pt>
                <c:pt idx="77">
                  <c:v>0.37</c:v>
                </c:pt>
                <c:pt idx="78">
                  <c:v>0.33</c:v>
                </c:pt>
                <c:pt idx="79">
                  <c:v>0.3</c:v>
                </c:pt>
                <c:pt idx="80">
                  <c:v>0.6</c:v>
                </c:pt>
                <c:pt idx="81">
                  <c:v>0.4</c:v>
                </c:pt>
                <c:pt idx="82">
                  <c:v>0.4</c:v>
                </c:pt>
                <c:pt idx="83">
                  <c:v>0.43</c:v>
                </c:pt>
                <c:pt idx="8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E-4571-BC34-AAA1A4A70E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42154688"/>
        <c:axId val="1603230592"/>
      </c:barChart>
      <c:dateAx>
        <c:axId val="194215468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03230592"/>
        <c:crosses val="autoZero"/>
        <c:auto val="1"/>
        <c:lblOffset val="100"/>
        <c:baseTimeUnit val="days"/>
      </c:dateAx>
      <c:valAx>
        <c:axId val="1603230592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421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APS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'PQ Trends'!$G$2</c:f>
              <c:strCache>
                <c:ptCount val="1"/>
                <c:pt idx="0">
                  <c:v>APS
mm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'PQ Trends'!$A$3:$A$130</c:f>
              <c:numCache>
                <c:formatCode>d\-mmm\-yy</c:formatCode>
                <c:ptCount val="128"/>
                <c:pt idx="0">
                  <c:v>45800</c:v>
                </c:pt>
                <c:pt idx="1">
                  <c:v>45801</c:v>
                </c:pt>
                <c:pt idx="2">
                  <c:v>45802</c:v>
                </c:pt>
                <c:pt idx="3">
                  <c:v>45803</c:v>
                </c:pt>
                <c:pt idx="4">
                  <c:v>45804</c:v>
                </c:pt>
                <c:pt idx="5">
                  <c:v>45805</c:v>
                </c:pt>
                <c:pt idx="6">
                  <c:v>45806</c:v>
                </c:pt>
                <c:pt idx="7">
                  <c:v>45807</c:v>
                </c:pt>
                <c:pt idx="8">
                  <c:v>45808</c:v>
                </c:pt>
                <c:pt idx="9">
                  <c:v>45809</c:v>
                </c:pt>
                <c:pt idx="10">
                  <c:v>45810</c:v>
                </c:pt>
                <c:pt idx="11">
                  <c:v>45811</c:v>
                </c:pt>
                <c:pt idx="12">
                  <c:v>45812</c:v>
                </c:pt>
                <c:pt idx="13">
                  <c:v>45813</c:v>
                </c:pt>
                <c:pt idx="14">
                  <c:v>45814</c:v>
                </c:pt>
                <c:pt idx="15">
                  <c:v>45815</c:v>
                </c:pt>
                <c:pt idx="16">
                  <c:v>45816</c:v>
                </c:pt>
                <c:pt idx="17">
                  <c:v>45817</c:v>
                </c:pt>
                <c:pt idx="18">
                  <c:v>45818</c:v>
                </c:pt>
                <c:pt idx="19">
                  <c:v>45819</c:v>
                </c:pt>
                <c:pt idx="20">
                  <c:v>45820</c:v>
                </c:pt>
                <c:pt idx="21">
                  <c:v>45821</c:v>
                </c:pt>
                <c:pt idx="22">
                  <c:v>45822</c:v>
                </c:pt>
                <c:pt idx="23">
                  <c:v>45823</c:v>
                </c:pt>
                <c:pt idx="24">
                  <c:v>45824</c:v>
                </c:pt>
                <c:pt idx="25">
                  <c:v>45825</c:v>
                </c:pt>
                <c:pt idx="26">
                  <c:v>45826</c:v>
                </c:pt>
                <c:pt idx="27">
                  <c:v>45827</c:v>
                </c:pt>
                <c:pt idx="28">
                  <c:v>45828</c:v>
                </c:pt>
                <c:pt idx="29">
                  <c:v>45829</c:v>
                </c:pt>
                <c:pt idx="30">
                  <c:v>45830</c:v>
                </c:pt>
                <c:pt idx="31">
                  <c:v>45831</c:v>
                </c:pt>
                <c:pt idx="32">
                  <c:v>45832</c:v>
                </c:pt>
                <c:pt idx="33">
                  <c:v>45833</c:v>
                </c:pt>
                <c:pt idx="34">
                  <c:v>45834</c:v>
                </c:pt>
                <c:pt idx="35">
                  <c:v>45835</c:v>
                </c:pt>
                <c:pt idx="36">
                  <c:v>45836</c:v>
                </c:pt>
                <c:pt idx="37">
                  <c:v>45837</c:v>
                </c:pt>
                <c:pt idx="38">
                  <c:v>45838</c:v>
                </c:pt>
                <c:pt idx="39">
                  <c:v>45839</c:v>
                </c:pt>
                <c:pt idx="40">
                  <c:v>45840</c:v>
                </c:pt>
                <c:pt idx="41">
                  <c:v>45841</c:v>
                </c:pt>
                <c:pt idx="42">
                  <c:v>45842</c:v>
                </c:pt>
                <c:pt idx="43">
                  <c:v>45843</c:v>
                </c:pt>
                <c:pt idx="44">
                  <c:v>45844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45850</c:v>
                </c:pt>
                <c:pt idx="51">
                  <c:v>45851</c:v>
                </c:pt>
                <c:pt idx="52">
                  <c:v>45852</c:v>
                </c:pt>
                <c:pt idx="53">
                  <c:v>45853</c:v>
                </c:pt>
                <c:pt idx="54">
                  <c:v>45854</c:v>
                </c:pt>
                <c:pt idx="55">
                  <c:v>45855</c:v>
                </c:pt>
                <c:pt idx="56">
                  <c:v>45856</c:v>
                </c:pt>
                <c:pt idx="57">
                  <c:v>45857</c:v>
                </c:pt>
                <c:pt idx="58">
                  <c:v>45858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45864</c:v>
                </c:pt>
                <c:pt idx="65">
                  <c:v>45865</c:v>
                </c:pt>
                <c:pt idx="66">
                  <c:v>45866</c:v>
                </c:pt>
                <c:pt idx="67">
                  <c:v>45867</c:v>
                </c:pt>
                <c:pt idx="68">
                  <c:v>45868</c:v>
                </c:pt>
                <c:pt idx="69">
                  <c:v>45869</c:v>
                </c:pt>
                <c:pt idx="70">
                  <c:v>45870</c:v>
                </c:pt>
                <c:pt idx="71">
                  <c:v>45871</c:v>
                </c:pt>
                <c:pt idx="72">
                  <c:v>45872</c:v>
                </c:pt>
                <c:pt idx="73">
                  <c:v>45873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45878</c:v>
                </c:pt>
                <c:pt idx="79">
                  <c:v>45879</c:v>
                </c:pt>
                <c:pt idx="80">
                  <c:v>45880</c:v>
                </c:pt>
                <c:pt idx="81">
                  <c:v>45881</c:v>
                </c:pt>
                <c:pt idx="82">
                  <c:v>45882</c:v>
                </c:pt>
                <c:pt idx="83">
                  <c:v>45883</c:v>
                </c:pt>
                <c:pt idx="84">
                  <c:v>45884</c:v>
                </c:pt>
                <c:pt idx="85">
                  <c:v>45885</c:v>
                </c:pt>
                <c:pt idx="86">
                  <c:v>45886</c:v>
                </c:pt>
                <c:pt idx="87">
                  <c:v>45887</c:v>
                </c:pt>
                <c:pt idx="88">
                  <c:v>45888</c:v>
                </c:pt>
                <c:pt idx="89">
                  <c:v>45889</c:v>
                </c:pt>
                <c:pt idx="90">
                  <c:v>45890</c:v>
                </c:pt>
                <c:pt idx="91">
                  <c:v>45891</c:v>
                </c:pt>
                <c:pt idx="92">
                  <c:v>45892</c:v>
                </c:pt>
                <c:pt idx="93">
                  <c:v>45893</c:v>
                </c:pt>
                <c:pt idx="94">
                  <c:v>45894</c:v>
                </c:pt>
                <c:pt idx="95">
                  <c:v>45895</c:v>
                </c:pt>
                <c:pt idx="96">
                  <c:v>45896</c:v>
                </c:pt>
                <c:pt idx="97">
                  <c:v>45897</c:v>
                </c:pt>
                <c:pt idx="98">
                  <c:v>45898</c:v>
                </c:pt>
                <c:pt idx="99">
                  <c:v>45899</c:v>
                </c:pt>
                <c:pt idx="100">
                  <c:v>45900</c:v>
                </c:pt>
                <c:pt idx="101">
                  <c:v>45901</c:v>
                </c:pt>
                <c:pt idx="102">
                  <c:v>45902</c:v>
                </c:pt>
                <c:pt idx="103">
                  <c:v>45903</c:v>
                </c:pt>
                <c:pt idx="104">
                  <c:v>45904</c:v>
                </c:pt>
                <c:pt idx="105">
                  <c:v>45905</c:v>
                </c:pt>
                <c:pt idx="106">
                  <c:v>45906</c:v>
                </c:pt>
                <c:pt idx="107">
                  <c:v>45907</c:v>
                </c:pt>
                <c:pt idx="108">
                  <c:v>45908</c:v>
                </c:pt>
                <c:pt idx="109">
                  <c:v>45909</c:v>
                </c:pt>
                <c:pt idx="110">
                  <c:v>45910</c:v>
                </c:pt>
                <c:pt idx="111">
                  <c:v>45911</c:v>
                </c:pt>
                <c:pt idx="112">
                  <c:v>45912</c:v>
                </c:pt>
                <c:pt idx="113">
                  <c:v>45913</c:v>
                </c:pt>
                <c:pt idx="114">
                  <c:v>45914</c:v>
                </c:pt>
                <c:pt idx="115">
                  <c:v>45915</c:v>
                </c:pt>
                <c:pt idx="116">
                  <c:v>45916</c:v>
                </c:pt>
                <c:pt idx="117">
                  <c:v>45917</c:v>
                </c:pt>
                <c:pt idx="118">
                  <c:v>45918</c:v>
                </c:pt>
                <c:pt idx="119">
                  <c:v>45919</c:v>
                </c:pt>
                <c:pt idx="120">
                  <c:v>45920</c:v>
                </c:pt>
                <c:pt idx="121">
                  <c:v>45921</c:v>
                </c:pt>
                <c:pt idx="122">
                  <c:v>45922</c:v>
                </c:pt>
                <c:pt idx="123">
                  <c:v>45923</c:v>
                </c:pt>
                <c:pt idx="124">
                  <c:v>45924</c:v>
                </c:pt>
                <c:pt idx="125">
                  <c:v>45925</c:v>
                </c:pt>
                <c:pt idx="126">
                  <c:v>45926</c:v>
                </c:pt>
                <c:pt idx="127">
                  <c:v>45927</c:v>
                </c:pt>
              </c:numCache>
            </c:numRef>
          </c:cat>
          <c:val>
            <c:numRef>
              <c:f>'PQ Trends'!$G$3:$G$130</c:f>
              <c:numCache>
                <c:formatCode>0.00</c:formatCode>
                <c:ptCount val="128"/>
                <c:pt idx="0">
                  <c:v>1.89</c:v>
                </c:pt>
                <c:pt idx="1">
                  <c:v>1.89</c:v>
                </c:pt>
                <c:pt idx="2">
                  <c:v>1.88</c:v>
                </c:pt>
                <c:pt idx="3">
                  <c:v>1.88</c:v>
                </c:pt>
                <c:pt idx="4">
                  <c:v>1.89</c:v>
                </c:pt>
                <c:pt idx="5">
                  <c:v>1.89</c:v>
                </c:pt>
                <c:pt idx="6">
                  <c:v>1.91</c:v>
                </c:pt>
                <c:pt idx="7">
                  <c:v>1.92</c:v>
                </c:pt>
                <c:pt idx="8">
                  <c:v>1.92</c:v>
                </c:pt>
                <c:pt idx="9">
                  <c:v>1.93</c:v>
                </c:pt>
                <c:pt idx="10">
                  <c:v>1.96</c:v>
                </c:pt>
                <c:pt idx="11">
                  <c:v>1.95</c:v>
                </c:pt>
                <c:pt idx="12">
                  <c:v>1.97</c:v>
                </c:pt>
                <c:pt idx="13">
                  <c:v>1.97</c:v>
                </c:pt>
                <c:pt idx="14">
                  <c:v>1.97</c:v>
                </c:pt>
                <c:pt idx="15">
                  <c:v>1.97</c:v>
                </c:pt>
                <c:pt idx="16">
                  <c:v>1.98</c:v>
                </c:pt>
                <c:pt idx="17">
                  <c:v>1.98</c:v>
                </c:pt>
                <c:pt idx="18">
                  <c:v>1.98</c:v>
                </c:pt>
                <c:pt idx="19">
                  <c:v>1.98</c:v>
                </c:pt>
                <c:pt idx="20">
                  <c:v>1.99</c:v>
                </c:pt>
                <c:pt idx="21">
                  <c:v>1.98</c:v>
                </c:pt>
                <c:pt idx="22">
                  <c:v>1.98</c:v>
                </c:pt>
                <c:pt idx="23">
                  <c:v>1.97</c:v>
                </c:pt>
                <c:pt idx="24">
                  <c:v>1.97</c:v>
                </c:pt>
                <c:pt idx="25">
                  <c:v>1.96</c:v>
                </c:pt>
                <c:pt idx="26">
                  <c:v>1.97</c:v>
                </c:pt>
                <c:pt idx="27">
                  <c:v>1.96</c:v>
                </c:pt>
                <c:pt idx="28">
                  <c:v>1.97</c:v>
                </c:pt>
                <c:pt idx="29">
                  <c:v>1.96</c:v>
                </c:pt>
                <c:pt idx="30">
                  <c:v>1.95</c:v>
                </c:pt>
                <c:pt idx="31">
                  <c:v>1.98</c:v>
                </c:pt>
                <c:pt idx="32">
                  <c:v>1.98</c:v>
                </c:pt>
                <c:pt idx="34">
                  <c:v>1.9</c:v>
                </c:pt>
                <c:pt idx="35">
                  <c:v>1.91</c:v>
                </c:pt>
                <c:pt idx="36">
                  <c:v>1.95</c:v>
                </c:pt>
                <c:pt idx="37">
                  <c:v>1.95</c:v>
                </c:pt>
                <c:pt idx="38">
                  <c:v>1.93</c:v>
                </c:pt>
                <c:pt idx="39">
                  <c:v>1.92</c:v>
                </c:pt>
                <c:pt idx="40">
                  <c:v>1.9</c:v>
                </c:pt>
                <c:pt idx="41">
                  <c:v>1.91</c:v>
                </c:pt>
                <c:pt idx="42">
                  <c:v>1.92</c:v>
                </c:pt>
                <c:pt idx="43">
                  <c:v>1.92</c:v>
                </c:pt>
                <c:pt idx="44">
                  <c:v>1.92</c:v>
                </c:pt>
                <c:pt idx="45">
                  <c:v>1.92</c:v>
                </c:pt>
                <c:pt idx="46">
                  <c:v>1.93</c:v>
                </c:pt>
                <c:pt idx="47">
                  <c:v>1.9</c:v>
                </c:pt>
                <c:pt idx="48">
                  <c:v>1.9</c:v>
                </c:pt>
                <c:pt idx="49">
                  <c:v>1.9</c:v>
                </c:pt>
                <c:pt idx="50">
                  <c:v>1.89</c:v>
                </c:pt>
                <c:pt idx="51">
                  <c:v>1.89</c:v>
                </c:pt>
                <c:pt idx="52">
                  <c:v>1.89</c:v>
                </c:pt>
                <c:pt idx="53">
                  <c:v>2</c:v>
                </c:pt>
                <c:pt idx="54">
                  <c:v>2.0499999999999998</c:v>
                </c:pt>
                <c:pt idx="55">
                  <c:v>1.98</c:v>
                </c:pt>
                <c:pt idx="56">
                  <c:v>1.89</c:v>
                </c:pt>
                <c:pt idx="57">
                  <c:v>1.94</c:v>
                </c:pt>
                <c:pt idx="58">
                  <c:v>1.93</c:v>
                </c:pt>
                <c:pt idx="65">
                  <c:v>1.92</c:v>
                </c:pt>
                <c:pt idx="67">
                  <c:v>1.92</c:v>
                </c:pt>
                <c:pt idx="68">
                  <c:v>1.92</c:v>
                </c:pt>
                <c:pt idx="69">
                  <c:v>1.9</c:v>
                </c:pt>
                <c:pt idx="70">
                  <c:v>1.93</c:v>
                </c:pt>
                <c:pt idx="71">
                  <c:v>1.92</c:v>
                </c:pt>
                <c:pt idx="72">
                  <c:v>1.89</c:v>
                </c:pt>
                <c:pt idx="73">
                  <c:v>1.91</c:v>
                </c:pt>
                <c:pt idx="74">
                  <c:v>1.9</c:v>
                </c:pt>
                <c:pt idx="75">
                  <c:v>1.91</c:v>
                </c:pt>
                <c:pt idx="76">
                  <c:v>1.9</c:v>
                </c:pt>
                <c:pt idx="77">
                  <c:v>1.89</c:v>
                </c:pt>
                <c:pt idx="78">
                  <c:v>1.86</c:v>
                </c:pt>
                <c:pt idx="79">
                  <c:v>1.89</c:v>
                </c:pt>
                <c:pt idx="80">
                  <c:v>1.87</c:v>
                </c:pt>
                <c:pt idx="81">
                  <c:v>1.84</c:v>
                </c:pt>
                <c:pt idx="82">
                  <c:v>1.84</c:v>
                </c:pt>
                <c:pt idx="83">
                  <c:v>1.86</c:v>
                </c:pt>
                <c:pt idx="84">
                  <c:v>1.87</c:v>
                </c:pt>
                <c:pt idx="85">
                  <c:v>1.86</c:v>
                </c:pt>
                <c:pt idx="86">
                  <c:v>1.86</c:v>
                </c:pt>
                <c:pt idx="87">
                  <c:v>1.84</c:v>
                </c:pt>
                <c:pt idx="88">
                  <c:v>1.8766666666666667</c:v>
                </c:pt>
                <c:pt idx="89">
                  <c:v>1.87</c:v>
                </c:pt>
                <c:pt idx="90">
                  <c:v>1.8633333333333335</c:v>
                </c:pt>
                <c:pt idx="91">
                  <c:v>1.88</c:v>
                </c:pt>
                <c:pt idx="92">
                  <c:v>1.88</c:v>
                </c:pt>
                <c:pt idx="93">
                  <c:v>1.8666666666666665</c:v>
                </c:pt>
                <c:pt idx="94">
                  <c:v>1.8666666666666665</c:v>
                </c:pt>
                <c:pt idx="95">
                  <c:v>1.8766666666666667</c:v>
                </c:pt>
                <c:pt idx="96">
                  <c:v>1.8733333333333333</c:v>
                </c:pt>
                <c:pt idx="97">
                  <c:v>1.8766666666666667</c:v>
                </c:pt>
                <c:pt idx="98">
                  <c:v>1.8766666666666667</c:v>
                </c:pt>
                <c:pt idx="99">
                  <c:v>1.8633333333333333</c:v>
                </c:pt>
                <c:pt idx="100">
                  <c:v>1.8733333333333331</c:v>
                </c:pt>
                <c:pt idx="101">
                  <c:v>1.8933333333333333</c:v>
                </c:pt>
                <c:pt idx="102">
                  <c:v>1.8866666666666667</c:v>
                </c:pt>
                <c:pt idx="103">
                  <c:v>1.8566666666666667</c:v>
                </c:pt>
                <c:pt idx="104">
                  <c:v>2.04</c:v>
                </c:pt>
                <c:pt idx="105">
                  <c:v>1.96</c:v>
                </c:pt>
                <c:pt idx="106">
                  <c:v>1.93</c:v>
                </c:pt>
                <c:pt idx="107">
                  <c:v>1.91</c:v>
                </c:pt>
                <c:pt idx="108">
                  <c:v>1.88</c:v>
                </c:pt>
                <c:pt idx="109">
                  <c:v>1.91</c:v>
                </c:pt>
                <c:pt idx="110">
                  <c:v>1.94</c:v>
                </c:pt>
                <c:pt idx="111">
                  <c:v>1.93</c:v>
                </c:pt>
                <c:pt idx="112">
                  <c:v>1.92</c:v>
                </c:pt>
                <c:pt idx="113">
                  <c:v>1.89</c:v>
                </c:pt>
                <c:pt idx="114">
                  <c:v>1.89</c:v>
                </c:pt>
                <c:pt idx="115">
                  <c:v>1.9</c:v>
                </c:pt>
                <c:pt idx="116">
                  <c:v>1.92</c:v>
                </c:pt>
                <c:pt idx="117">
                  <c:v>1.92</c:v>
                </c:pt>
                <c:pt idx="118">
                  <c:v>1.9466666666666665</c:v>
                </c:pt>
                <c:pt idx="119">
                  <c:v>1.92</c:v>
                </c:pt>
                <c:pt idx="120">
                  <c:v>1.9266666666666667</c:v>
                </c:pt>
                <c:pt idx="121">
                  <c:v>1.97</c:v>
                </c:pt>
                <c:pt idx="122">
                  <c:v>1.9533333333333334</c:v>
                </c:pt>
                <c:pt idx="123">
                  <c:v>1.8966666666666665</c:v>
                </c:pt>
                <c:pt idx="124">
                  <c:v>1.9066666666666665</c:v>
                </c:pt>
                <c:pt idx="125">
                  <c:v>1.9466666666666665</c:v>
                </c:pt>
                <c:pt idx="126">
                  <c:v>1.9466666666666665</c:v>
                </c:pt>
                <c:pt idx="127">
                  <c:v>1.9333333333333333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B-4686-A45B-98B94AA5CE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42154688"/>
        <c:axId val="1603230592"/>
      </c:barChart>
      <c:dateAx>
        <c:axId val="194215468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03230592"/>
        <c:crosses val="autoZero"/>
        <c:auto val="1"/>
        <c:lblOffset val="100"/>
        <c:baseTimeUnit val="days"/>
      </c:dateAx>
      <c:valAx>
        <c:axId val="160323059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421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'UREA PLANT ENERGY INDEX PROFILE'!$A$2:$A$3</c:f>
              <c:strCache>
                <c:ptCount val="2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'UREA PLANT ENERGY INDEX PROFILE'!$A$4:$A$17</c:f>
              <c:numCache>
                <c:formatCode>[$-409]d\-mmm;@</c:formatCode>
                <c:ptCount val="1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D-47CB-BCB6-3E387C8CEF4A}"/>
            </c:ext>
          </c:extLst>
        </c:ser>
        <c:ser>
          <c:idx val="1"/>
          <c:order val="1"/>
          <c:tx>
            <c:strRef>
              <c:f>'UREA PLANT ENERGY INDEX PROFILE'!$B$2:$B$3</c:f>
              <c:strCache>
                <c:ptCount val="2"/>
                <c:pt idx="0">
                  <c:v>Urea Production</c:v>
                </c:pt>
                <c:pt idx="1">
                  <c:v>MeT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'UREA PLANT ENERGY INDEX PROFILE'!$B$4:$B$17</c:f>
              <c:numCache>
                <c:formatCode>General</c:formatCode>
                <c:ptCount val="14"/>
                <c:pt idx="0">
                  <c:v>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D-47CB-BCB6-3E387C8CEF4A}"/>
            </c:ext>
          </c:extLst>
        </c:ser>
        <c:ser>
          <c:idx val="2"/>
          <c:order val="2"/>
          <c:tx>
            <c:strRef>
              <c:f>'UREA PLANT ENERGY INDEX PROFILE'!$D$2:$D$3</c:f>
              <c:strCache>
                <c:ptCount val="2"/>
                <c:pt idx="0">
                  <c:v>Avg CWS Temp</c:v>
                </c:pt>
                <c:pt idx="1">
                  <c:v>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'UREA PLANT ENERGY INDEX PROFILE'!$D$4:$D$17</c:f>
              <c:numCache>
                <c:formatCode>0.0</c:formatCode>
                <c:ptCount val="14"/>
                <c:pt idx="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D-47CB-BCB6-3E387C8CEF4A}"/>
            </c:ext>
          </c:extLst>
        </c:ser>
        <c:ser>
          <c:idx val="3"/>
          <c:order val="3"/>
          <c:tx>
            <c:strRef>
              <c:f>'UREA PLANT ENERGY INDEX PROFILE'!$E$2:$E$3</c:f>
              <c:strCache>
                <c:ptCount val="2"/>
                <c:pt idx="0">
                  <c:v>Energy Index (Urea)</c:v>
                </c:pt>
                <c:pt idx="1">
                  <c:v>MMBTU/T Ur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'UREA PLANT ENERGY INDEX PROFILE'!$E$4:$E$17</c:f>
              <c:numCache>
                <c:formatCode>General</c:formatCode>
                <c:ptCount val="14"/>
                <c:pt idx="0">
                  <c:v>28.91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D-47CB-BCB6-3E387C8CE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647584"/>
        <c:axId val="2012649296"/>
      </c:lineChart>
      <c:catAx>
        <c:axId val="201264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12649296"/>
        <c:crosses val="autoZero"/>
        <c:auto val="1"/>
        <c:lblAlgn val="ctr"/>
        <c:lblOffset val="100"/>
        <c:noMultiLvlLbl val="0"/>
      </c:catAx>
      <c:valAx>
        <c:axId val="20126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1264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63500</xdr:rowOff>
    </xdr:from>
    <xdr:to>
      <xdr:col>19</xdr:col>
      <xdr:colOff>812800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3A551-4164-EB40-97FD-755C374B6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10</xdr:row>
      <xdr:rowOff>165100</xdr:rowOff>
    </xdr:from>
    <xdr:to>
      <xdr:col>19</xdr:col>
      <xdr:colOff>812800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438B04-06EC-3B4B-87DC-9C063D3FFC87}"/>
            </a:ext>
            <a:ext uri="{147F2762-F138-4A5C-976F-8EAC2B608ADB}">
              <a16:predDERef xmlns:a16="http://schemas.microsoft.com/office/drawing/2014/main" pred="{C123A551-4164-EB40-97FD-755C374B6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21</xdr:row>
      <xdr:rowOff>88900</xdr:rowOff>
    </xdr:from>
    <xdr:to>
      <xdr:col>19</xdr:col>
      <xdr:colOff>812800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520175-BFB7-E143-B40D-8F1A5DEEE57B}"/>
            </a:ext>
            <a:ext uri="{147F2762-F138-4A5C-976F-8EAC2B608ADB}">
              <a16:predDERef xmlns:a16="http://schemas.microsoft.com/office/drawing/2014/main" pred="{1D438B04-06EC-3B4B-87DC-9C063D3FF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55</xdr:row>
      <xdr:rowOff>127000</xdr:rowOff>
    </xdr:from>
    <xdr:to>
      <xdr:col>19</xdr:col>
      <xdr:colOff>800100</xdr:colOff>
      <xdr:row>68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C5A9D2-1DFA-347B-8539-C3E7053D1E0D}"/>
            </a:ext>
            <a:ext uri="{147F2762-F138-4A5C-976F-8EAC2B608ADB}">
              <a16:predDERef xmlns:a16="http://schemas.microsoft.com/office/drawing/2014/main" pred="{3A520175-BFB7-E143-B40D-8F1A5DEEE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50800</xdr:colOff>
      <xdr:row>45</xdr:row>
      <xdr:rowOff>139700</xdr:rowOff>
    </xdr:from>
    <xdr:to>
      <xdr:col>19</xdr:col>
      <xdr:colOff>812800</xdr:colOff>
      <xdr:row>55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70C291-87D7-CC34-3368-EE2380145B26}"/>
            </a:ext>
            <a:ext uri="{147F2762-F138-4A5C-976F-8EAC2B608ADB}">
              <a16:predDERef xmlns:a16="http://schemas.microsoft.com/office/drawing/2014/main" pred="{72C5A9D2-1DFA-347B-8539-C3E7053D1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19</xdr:col>
      <xdr:colOff>749300</xdr:colOff>
      <xdr:row>45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0B465C-1611-514A-B6E1-9988D6282AEF}"/>
            </a:ext>
            <a:ext uri="{147F2762-F138-4A5C-976F-8EAC2B608ADB}">
              <a16:predDERef xmlns:a16="http://schemas.microsoft.com/office/drawing/2014/main" pred="{0E70C291-87D7-CC34-3368-EE2380145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89</xdr:row>
      <xdr:rowOff>127000</xdr:rowOff>
    </xdr:from>
    <xdr:to>
      <xdr:col>19</xdr:col>
      <xdr:colOff>800100</xdr:colOff>
      <xdr:row>102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0315BE-6A89-EA47-9A3B-F656A9839C08}"/>
            </a:ext>
            <a:ext uri="{147F2762-F138-4A5C-976F-8EAC2B608ADB}">
              <a16:predDERef xmlns:a16="http://schemas.microsoft.com/office/drawing/2014/main" pred="{D00B465C-1611-514A-B6E1-9988D6282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19</xdr:col>
      <xdr:colOff>749300</xdr:colOff>
      <xdr:row>79</xdr:row>
      <xdr:rowOff>139700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3669E4E-493D-3B4E-B101-AABD2F288312}"/>
            </a:ext>
            <a:ext uri="{147F2762-F138-4A5C-976F-8EAC2B608ADB}">
              <a16:predDERef xmlns:a16="http://schemas.microsoft.com/office/drawing/2014/main" pred="{A10315BE-6A89-EA47-9A3B-F656A9839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79</xdr:row>
      <xdr:rowOff>190500</xdr:rowOff>
    </xdr:from>
    <xdr:to>
      <xdr:col>19</xdr:col>
      <xdr:colOff>749300</xdr:colOff>
      <xdr:row>89</xdr:row>
      <xdr:rowOff>127000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2A4EDAD-B195-3E49-6BB7-29056DC1FA23}"/>
            </a:ext>
            <a:ext uri="{147F2762-F138-4A5C-976F-8EAC2B608ADB}">
              <a16:predDERef xmlns:a16="http://schemas.microsoft.com/office/drawing/2014/main" pred="{E3669E4E-493D-3B4E-B101-AABD2F288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63500</xdr:colOff>
      <xdr:row>104</xdr:row>
      <xdr:rowOff>50800</xdr:rowOff>
    </xdr:from>
    <xdr:to>
      <xdr:col>19</xdr:col>
      <xdr:colOff>812800</xdr:colOff>
      <xdr:row>113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8DC4F41-FFAE-B178-D9DE-1A54F2F691C4}"/>
            </a:ext>
            <a:ext uri="{147F2762-F138-4A5C-976F-8EAC2B608ADB}">
              <a16:predDERef xmlns:a16="http://schemas.microsoft.com/office/drawing/2014/main" pred="{F2A4EDAD-B195-3E49-6BB7-29056DC1F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63500</xdr:colOff>
      <xdr:row>114</xdr:row>
      <xdr:rowOff>38100</xdr:rowOff>
    </xdr:from>
    <xdr:to>
      <xdr:col>19</xdr:col>
      <xdr:colOff>812800</xdr:colOff>
      <xdr:row>123</xdr:row>
      <xdr:rowOff>177800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9FA7C80-5559-E4A2-CB4A-B907D9AC5131}"/>
            </a:ext>
            <a:ext uri="{147F2762-F138-4A5C-976F-8EAC2B608ADB}">
              <a16:predDERef xmlns:a16="http://schemas.microsoft.com/office/drawing/2014/main" pred="{78DC4F41-FFAE-B178-D9DE-1A54F2F69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63500</xdr:colOff>
      <xdr:row>126</xdr:row>
      <xdr:rowOff>50800</xdr:rowOff>
    </xdr:from>
    <xdr:to>
      <xdr:col>19</xdr:col>
      <xdr:colOff>812800</xdr:colOff>
      <xdr:row>135</xdr:row>
      <xdr:rowOff>190500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28FE6BE-340B-0141-A348-805F3F52764C}"/>
            </a:ext>
            <a:ext uri="{147F2762-F138-4A5C-976F-8EAC2B608ADB}">
              <a16:predDERef xmlns:a16="http://schemas.microsoft.com/office/drawing/2014/main" pred="{09FA7C80-5559-E4A2-CB4A-B907D9AC5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63500</xdr:colOff>
      <xdr:row>136</xdr:row>
      <xdr:rowOff>38100</xdr:rowOff>
    </xdr:from>
    <xdr:to>
      <xdr:col>19</xdr:col>
      <xdr:colOff>812800</xdr:colOff>
      <xdr:row>145</xdr:row>
      <xdr:rowOff>177800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220920D-0595-004E-B3C3-7115271E8315}"/>
            </a:ext>
            <a:ext uri="{147F2762-F138-4A5C-976F-8EAC2B608ADB}">
              <a16:predDERef xmlns:a16="http://schemas.microsoft.com/office/drawing/2014/main" pred="{828FE6BE-340B-0141-A348-805F3F527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26866</xdr:colOff>
      <xdr:row>2</xdr:row>
      <xdr:rowOff>18561</xdr:rowOff>
    </xdr:from>
    <xdr:to>
      <xdr:col>21</xdr:col>
      <xdr:colOff>3854450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8E98D-BDC6-4CB6-92E0-812039D42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69850</xdr:colOff>
      <xdr:row>32</xdr:row>
      <xdr:rowOff>0</xdr:rowOff>
    </xdr:from>
    <xdr:to>
      <xdr:col>22</xdr:col>
      <xdr:colOff>22411</xdr:colOff>
      <xdr:row>49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0AD8E-944F-4A3A-ABAC-40282148561C}"/>
            </a:ext>
            <a:ext uri="{147F2762-F138-4A5C-976F-8EAC2B608ADB}">
              <a16:predDERef xmlns:a16="http://schemas.microsoft.com/office/drawing/2014/main" pred="{CD48E98D-BDC6-4CB6-92E0-812039D42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69849</xdr:colOff>
      <xdr:row>49</xdr:row>
      <xdr:rowOff>48848</xdr:rowOff>
    </xdr:from>
    <xdr:to>
      <xdr:col>22</xdr:col>
      <xdr:colOff>144094</xdr:colOff>
      <xdr:row>69</xdr:row>
      <xdr:rowOff>170962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A1B00C-E93D-47BC-AFE0-E7E58988059C}"/>
            </a:ext>
            <a:ext uri="{147F2762-F138-4A5C-976F-8EAC2B608ADB}">
              <a16:predDERef xmlns:a16="http://schemas.microsoft.com/office/drawing/2014/main" pred="{2D40AD8E-944F-4A3A-ABAC-402821485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59082</xdr:colOff>
      <xdr:row>69</xdr:row>
      <xdr:rowOff>187696</xdr:rowOff>
    </xdr:from>
    <xdr:to>
      <xdr:col>22</xdr:col>
      <xdr:colOff>69849</xdr:colOff>
      <xdr:row>93</xdr:row>
      <xdr:rowOff>37124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97F377-04AA-4370-AAD1-42C73BCDCF8E}"/>
            </a:ext>
            <a:ext uri="{147F2762-F138-4A5C-976F-8EAC2B608ADB}">
              <a16:predDERef xmlns:a16="http://schemas.microsoft.com/office/drawing/2014/main" pred="{DAA1B00C-E93D-47BC-AFE0-E7E589880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158750</xdr:colOff>
      <xdr:row>3</xdr:row>
      <xdr:rowOff>16328</xdr:rowOff>
    </xdr:from>
    <xdr:to>
      <xdr:col>20</xdr:col>
      <xdr:colOff>421821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0C92B-9BEB-4DD7-B703-421752095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qar\AppData\Local\Microsoft\Windows\INetCache\Content.Outlook\4UT19BHH\PQ%20Trend_0506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DA50EFC-9280-48FA-BC55-679C28B50F5F}">
    <nsvFilter filterId="{FFEF645B-3BAE-B64B-BB87-7CD59A404828}" ref="A4:F208" tableId="0">
      <columnFilter colId="1">
        <filter colId="1">
          <x:filters>
            <x:filter val="53%"/>
            <x:filter val="54%"/>
            <x:filter val="55%"/>
            <x:filter val="56%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92B4-CFA9-1642-813C-5C658615E756}">
  <sheetPr codeName="Sheet7">
    <tabColor rgb="FFFFC000"/>
  </sheetPr>
  <dimension ref="A1:AT573"/>
  <sheetViews>
    <sheetView zoomScaleNormal="110" workbookViewId="0">
      <pane xSplit="1" ySplit="3" topLeftCell="C291" activePane="bottomRight" state="frozen"/>
      <selection pane="bottomRight" activeCell="B295" sqref="B295"/>
      <selection pane="bottomLeft" activeCell="A4" sqref="A4"/>
      <selection pane="topRight" activeCell="B1" sqref="B1"/>
    </sheetView>
  </sheetViews>
  <sheetFormatPr defaultColWidth="10.875" defaultRowHeight="15.95"/>
  <cols>
    <col min="1" max="1" width="10.875" style="3"/>
    <col min="2" max="2" width="6.125" style="132" customWidth="1"/>
    <col min="3" max="46" width="5.875" style="2" customWidth="1"/>
    <col min="47" max="16384" width="10.875" style="2"/>
  </cols>
  <sheetData>
    <row r="1" spans="1:46" ht="33.950000000000003" customHeight="1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1"/>
    </row>
    <row r="2" spans="1:46" s="5" customFormat="1" ht="47.1" customHeight="1">
      <c r="A2" s="20"/>
      <c r="B2" s="127"/>
      <c r="C2" s="290" t="s">
        <v>1</v>
      </c>
      <c r="D2" s="291"/>
      <c r="E2" s="291"/>
      <c r="F2" s="292"/>
      <c r="G2" s="290" t="s">
        <v>2</v>
      </c>
      <c r="H2" s="291"/>
      <c r="I2" s="291"/>
      <c r="J2" s="292"/>
      <c r="K2" s="290" t="s">
        <v>3</v>
      </c>
      <c r="L2" s="291"/>
      <c r="M2" s="291"/>
      <c r="N2" s="292"/>
      <c r="O2" s="290" t="s">
        <v>4</v>
      </c>
      <c r="P2" s="291"/>
      <c r="Q2" s="291"/>
      <c r="R2" s="292"/>
      <c r="S2" s="290" t="s">
        <v>5</v>
      </c>
      <c r="T2" s="291"/>
      <c r="U2" s="291"/>
      <c r="V2" s="292"/>
      <c r="W2" s="290" t="s">
        <v>6</v>
      </c>
      <c r="X2" s="291"/>
      <c r="Y2" s="291"/>
      <c r="Z2" s="292"/>
      <c r="AA2" s="290" t="s">
        <v>7</v>
      </c>
      <c r="AB2" s="291"/>
      <c r="AC2" s="291"/>
      <c r="AD2" s="292"/>
      <c r="AE2" s="290" t="s">
        <v>8</v>
      </c>
      <c r="AF2" s="291"/>
      <c r="AG2" s="291"/>
      <c r="AH2" s="292"/>
      <c r="AI2" s="290" t="s">
        <v>9</v>
      </c>
      <c r="AJ2" s="291"/>
      <c r="AK2" s="291"/>
      <c r="AL2" s="292"/>
      <c r="AM2" s="290" t="s">
        <v>10</v>
      </c>
      <c r="AN2" s="291"/>
      <c r="AO2" s="291"/>
      <c r="AP2" s="292"/>
      <c r="AQ2" s="290" t="s">
        <v>11</v>
      </c>
      <c r="AR2" s="291"/>
      <c r="AS2" s="291"/>
      <c r="AT2" s="292"/>
    </row>
    <row r="3" spans="1:46" s="5" customFormat="1" ht="30" customHeight="1">
      <c r="A3" s="69" t="s">
        <v>12</v>
      </c>
      <c r="B3" s="128" t="s">
        <v>13</v>
      </c>
      <c r="C3" s="21" t="s">
        <v>14</v>
      </c>
      <c r="D3" s="21" t="s">
        <v>15</v>
      </c>
      <c r="E3" s="22" t="s">
        <v>16</v>
      </c>
      <c r="F3" s="21" t="s">
        <v>17</v>
      </c>
      <c r="G3" s="23" t="s">
        <v>18</v>
      </c>
      <c r="H3" s="21" t="s">
        <v>19</v>
      </c>
      <c r="I3" s="22" t="s">
        <v>20</v>
      </c>
      <c r="J3" s="21" t="s">
        <v>17</v>
      </c>
      <c r="K3" s="23" t="s">
        <v>21</v>
      </c>
      <c r="L3" s="21" t="s">
        <v>22</v>
      </c>
      <c r="M3" s="21" t="s">
        <v>23</v>
      </c>
      <c r="N3" s="21" t="s">
        <v>17</v>
      </c>
      <c r="O3" s="21" t="s">
        <v>24</v>
      </c>
      <c r="P3" s="21" t="s">
        <v>25</v>
      </c>
      <c r="Q3" s="21" t="s">
        <v>26</v>
      </c>
      <c r="R3" s="21" t="s">
        <v>17</v>
      </c>
      <c r="S3" s="21" t="s">
        <v>27</v>
      </c>
      <c r="T3" s="21" t="s">
        <v>28</v>
      </c>
      <c r="U3" s="21" t="s">
        <v>29</v>
      </c>
      <c r="V3" s="21" t="s">
        <v>17</v>
      </c>
      <c r="W3" s="21" t="s">
        <v>30</v>
      </c>
      <c r="X3" s="21" t="s">
        <v>31</v>
      </c>
      <c r="Y3" s="21" t="s">
        <v>32</v>
      </c>
      <c r="Z3" s="21" t="s">
        <v>17</v>
      </c>
      <c r="AA3" s="21" t="s">
        <v>33</v>
      </c>
      <c r="AB3" s="21" t="s">
        <v>34</v>
      </c>
      <c r="AC3" s="21" t="s">
        <v>35</v>
      </c>
      <c r="AD3" s="21" t="s">
        <v>17</v>
      </c>
      <c r="AE3" s="21" t="s">
        <v>36</v>
      </c>
      <c r="AF3" s="21" t="s">
        <v>37</v>
      </c>
      <c r="AG3" s="21" t="s">
        <v>38</v>
      </c>
      <c r="AH3" s="21" t="s">
        <v>17</v>
      </c>
      <c r="AI3" s="21" t="s">
        <v>39</v>
      </c>
      <c r="AJ3" s="21" t="s">
        <v>40</v>
      </c>
      <c r="AK3" s="21" t="s">
        <v>41</v>
      </c>
      <c r="AL3" s="21" t="s">
        <v>17</v>
      </c>
      <c r="AM3" s="21" t="s">
        <v>42</v>
      </c>
      <c r="AN3" s="21" t="s">
        <v>43</v>
      </c>
      <c r="AO3" s="21" t="s">
        <v>44</v>
      </c>
      <c r="AP3" s="21" t="s">
        <v>17</v>
      </c>
      <c r="AQ3" s="21" t="s">
        <v>45</v>
      </c>
      <c r="AR3" s="21" t="s">
        <v>46</v>
      </c>
      <c r="AS3" s="21" t="s">
        <v>47</v>
      </c>
      <c r="AT3" s="21" t="s">
        <v>17</v>
      </c>
    </row>
    <row r="4" spans="1:46" s="5" customFormat="1" ht="12.95">
      <c r="A4" s="4">
        <v>45819</v>
      </c>
      <c r="B4" s="129"/>
      <c r="C4" s="7">
        <v>30.02</v>
      </c>
      <c r="D4" s="7">
        <v>18.579999999999998</v>
      </c>
      <c r="E4" s="7">
        <v>32.369999999999997</v>
      </c>
      <c r="F4" s="6">
        <f t="shared" ref="F4:F32" si="0">100-SUM(C4:E4)</f>
        <v>19.03</v>
      </c>
      <c r="G4" s="19"/>
      <c r="H4" s="19"/>
      <c r="I4" s="19"/>
      <c r="J4" s="6">
        <f t="shared" ref="J4:J34" si="1">100-SUM(G4:I4)</f>
        <v>100</v>
      </c>
      <c r="K4" s="19"/>
      <c r="L4" s="19"/>
      <c r="M4" s="19"/>
      <c r="N4" s="6">
        <f t="shared" ref="N4:N34" si="2">100-SUM(K4:M4)</f>
        <v>100</v>
      </c>
      <c r="O4" s="19"/>
      <c r="P4" s="19"/>
      <c r="Q4" s="19"/>
      <c r="R4" s="6">
        <f t="shared" ref="R4:R34" si="3">100-SUM(O4:Q4)</f>
        <v>100</v>
      </c>
      <c r="S4" s="19"/>
      <c r="T4" s="19"/>
      <c r="U4" s="19"/>
      <c r="V4" s="6">
        <f t="shared" ref="V4:V34" si="4">100-SUM(S4:U4)</f>
        <v>100</v>
      </c>
      <c r="W4" s="19"/>
      <c r="X4" s="19"/>
      <c r="Y4" s="19"/>
      <c r="Z4" s="6">
        <f t="shared" ref="Z4:Z34" si="5">100-SUM(W4:Y4)</f>
        <v>100</v>
      </c>
      <c r="AA4" s="19"/>
      <c r="AB4" s="19"/>
      <c r="AC4" s="19"/>
      <c r="AD4" s="6">
        <f t="shared" ref="AD4:AD34" si="6">100-SUM(AA4:AC4)</f>
        <v>100</v>
      </c>
      <c r="AE4" s="19"/>
      <c r="AF4" s="19"/>
      <c r="AG4" s="19"/>
      <c r="AH4" s="6">
        <f t="shared" ref="AH4:AH34" si="7">100-SUM(AE4:AG4)</f>
        <v>100</v>
      </c>
      <c r="AI4" s="19"/>
      <c r="AJ4" s="19"/>
      <c r="AK4" s="19"/>
      <c r="AL4" s="6">
        <f t="shared" ref="AL4:AL34" si="8">100-SUM(AI4:AK4)</f>
        <v>100</v>
      </c>
      <c r="AM4" s="19"/>
      <c r="AN4" s="19"/>
      <c r="AO4" s="19"/>
      <c r="AP4" s="6">
        <f t="shared" ref="AP4:AP34" si="9">100-SUM(AM4:AO4)</f>
        <v>100</v>
      </c>
      <c r="AQ4" s="19"/>
      <c r="AR4" s="19"/>
      <c r="AS4" s="19"/>
      <c r="AT4" s="6">
        <f t="shared" ref="AT4:AT34" si="10">100-SUM(AQ4:AS4)</f>
        <v>100</v>
      </c>
    </row>
    <row r="5" spans="1:46" s="5" customFormat="1" ht="12.95">
      <c r="A5" s="4">
        <v>45820</v>
      </c>
      <c r="B5" s="129"/>
      <c r="C5" s="7">
        <v>30.14</v>
      </c>
      <c r="D5" s="7">
        <v>18.93</v>
      </c>
      <c r="E5" s="7">
        <v>31.89</v>
      </c>
      <c r="F5" s="6">
        <f t="shared" si="0"/>
        <v>19.039999999999992</v>
      </c>
      <c r="G5" s="8">
        <v>10.82</v>
      </c>
      <c r="H5" s="8">
        <v>11.01</v>
      </c>
      <c r="I5" s="8">
        <v>50.37</v>
      </c>
      <c r="J5" s="6">
        <f t="shared" si="1"/>
        <v>27.800000000000011</v>
      </c>
      <c r="K5" s="8">
        <v>16.579999999999998</v>
      </c>
      <c r="L5" s="8">
        <v>12.65</v>
      </c>
      <c r="M5" s="8">
        <v>43.43</v>
      </c>
      <c r="N5" s="6">
        <f t="shared" si="2"/>
        <v>27.340000000000003</v>
      </c>
      <c r="O5" s="8">
        <v>0.53</v>
      </c>
      <c r="P5" s="8">
        <v>0.19</v>
      </c>
      <c r="Q5" s="9">
        <v>63</v>
      </c>
      <c r="R5" s="6">
        <f t="shared" si="3"/>
        <v>36.28</v>
      </c>
      <c r="S5" s="8">
        <v>37.4</v>
      </c>
      <c r="T5" s="8">
        <v>39.89</v>
      </c>
      <c r="U5" s="8" t="s">
        <v>48</v>
      </c>
      <c r="V5" s="6">
        <f t="shared" si="4"/>
        <v>22.710000000000008</v>
      </c>
      <c r="W5" s="8">
        <v>34.86</v>
      </c>
      <c r="X5" s="8">
        <v>34.69</v>
      </c>
      <c r="Y5" s="8" t="s">
        <v>48</v>
      </c>
      <c r="Z5" s="6">
        <f t="shared" si="5"/>
        <v>30.450000000000003</v>
      </c>
      <c r="AA5" s="8">
        <v>29.19</v>
      </c>
      <c r="AB5" s="8">
        <v>10.91</v>
      </c>
      <c r="AC5" s="8" t="s">
        <v>48</v>
      </c>
      <c r="AD5" s="6">
        <f t="shared" si="6"/>
        <v>59.9</v>
      </c>
      <c r="AE5" s="8">
        <v>13.63</v>
      </c>
      <c r="AF5" s="8">
        <v>3.44</v>
      </c>
      <c r="AG5" s="8" t="s">
        <v>48</v>
      </c>
      <c r="AH5" s="6">
        <f t="shared" si="7"/>
        <v>82.93</v>
      </c>
      <c r="AI5" s="8">
        <v>5.81</v>
      </c>
      <c r="AJ5" s="8">
        <v>1.6</v>
      </c>
      <c r="AK5" s="8">
        <v>1.31</v>
      </c>
      <c r="AL5" s="6">
        <f t="shared" si="8"/>
        <v>91.28</v>
      </c>
      <c r="AM5" s="8">
        <v>1.7</v>
      </c>
      <c r="AN5" s="8" t="s">
        <v>48</v>
      </c>
      <c r="AO5" s="8" t="s">
        <v>48</v>
      </c>
      <c r="AP5" s="6">
        <f t="shared" si="9"/>
        <v>98.3</v>
      </c>
      <c r="AQ5" s="8">
        <v>0.49</v>
      </c>
      <c r="AR5" s="8">
        <v>0.21</v>
      </c>
      <c r="AS5" s="9">
        <v>71</v>
      </c>
      <c r="AT5" s="6">
        <f t="shared" si="10"/>
        <v>28.299999999999997</v>
      </c>
    </row>
    <row r="6" spans="1:46" s="5" customFormat="1" ht="12.95">
      <c r="A6" s="4">
        <v>45821</v>
      </c>
      <c r="B6" s="129"/>
      <c r="C6" s="7">
        <v>30.17</v>
      </c>
      <c r="D6" s="7">
        <v>19.32</v>
      </c>
      <c r="E6" s="7">
        <v>31.64</v>
      </c>
      <c r="F6" s="6">
        <f t="shared" si="0"/>
        <v>18.870000000000005</v>
      </c>
      <c r="G6" s="19"/>
      <c r="H6" s="19"/>
      <c r="I6" s="19"/>
      <c r="J6" s="6">
        <f t="shared" si="1"/>
        <v>100</v>
      </c>
      <c r="K6" s="19"/>
      <c r="L6" s="19"/>
      <c r="M6" s="19"/>
      <c r="N6" s="6">
        <f t="shared" si="2"/>
        <v>100</v>
      </c>
      <c r="O6" s="19"/>
      <c r="P6" s="19"/>
      <c r="Q6" s="19"/>
      <c r="R6" s="6">
        <f t="shared" si="3"/>
        <v>100</v>
      </c>
      <c r="S6" s="19"/>
      <c r="T6" s="19"/>
      <c r="U6" s="19"/>
      <c r="V6" s="6">
        <f t="shared" si="4"/>
        <v>100</v>
      </c>
      <c r="W6" s="19"/>
      <c r="X6" s="19"/>
      <c r="Y6" s="19"/>
      <c r="Z6" s="6">
        <f t="shared" si="5"/>
        <v>100</v>
      </c>
      <c r="AA6" s="19"/>
      <c r="AB6" s="19"/>
      <c r="AC6" s="19"/>
      <c r="AD6" s="6">
        <f t="shared" si="6"/>
        <v>100</v>
      </c>
      <c r="AE6" s="8">
        <v>15.32</v>
      </c>
      <c r="AF6" s="8">
        <v>3.14</v>
      </c>
      <c r="AG6" s="19"/>
      <c r="AH6" s="6">
        <f t="shared" si="7"/>
        <v>81.539999999999992</v>
      </c>
      <c r="AI6" s="19"/>
      <c r="AJ6" s="19"/>
      <c r="AK6" s="19"/>
      <c r="AL6" s="6">
        <f t="shared" si="8"/>
        <v>100</v>
      </c>
      <c r="AM6" s="19"/>
      <c r="AN6" s="19"/>
      <c r="AO6" s="19"/>
      <c r="AP6" s="6">
        <f t="shared" si="9"/>
        <v>100</v>
      </c>
      <c r="AQ6" s="19"/>
      <c r="AR6" s="19"/>
      <c r="AS6" s="19"/>
      <c r="AT6" s="6">
        <f t="shared" si="10"/>
        <v>100</v>
      </c>
    </row>
    <row r="7" spans="1:46" s="5" customFormat="1" ht="12.95">
      <c r="A7" s="4">
        <v>45822</v>
      </c>
      <c r="B7" s="129"/>
      <c r="C7" s="19"/>
      <c r="D7" s="19"/>
      <c r="E7" s="19"/>
      <c r="F7" s="6">
        <f t="shared" si="0"/>
        <v>100</v>
      </c>
      <c r="G7" s="19"/>
      <c r="H7" s="19"/>
      <c r="I7" s="19"/>
      <c r="J7" s="6">
        <f t="shared" si="1"/>
        <v>100</v>
      </c>
      <c r="K7" s="19"/>
      <c r="L7" s="19"/>
      <c r="M7" s="19"/>
      <c r="N7" s="6">
        <f t="shared" si="2"/>
        <v>100</v>
      </c>
      <c r="O7" s="19"/>
      <c r="P7" s="19"/>
      <c r="Q7" s="19"/>
      <c r="R7" s="6">
        <f t="shared" si="3"/>
        <v>100</v>
      </c>
      <c r="S7" s="19"/>
      <c r="T7" s="19"/>
      <c r="U7" s="19"/>
      <c r="V7" s="6">
        <f t="shared" si="4"/>
        <v>100</v>
      </c>
      <c r="W7" s="19"/>
      <c r="X7" s="19"/>
      <c r="Y7" s="19"/>
      <c r="Z7" s="6">
        <f t="shared" si="5"/>
        <v>100</v>
      </c>
      <c r="AA7" s="19"/>
      <c r="AB7" s="19"/>
      <c r="AC7" s="19"/>
      <c r="AD7" s="6">
        <f t="shared" si="6"/>
        <v>100</v>
      </c>
      <c r="AE7" s="19"/>
      <c r="AF7" s="19"/>
      <c r="AG7" s="19"/>
      <c r="AH7" s="6">
        <f t="shared" si="7"/>
        <v>100</v>
      </c>
      <c r="AI7" s="19"/>
      <c r="AJ7" s="19"/>
      <c r="AK7" s="19"/>
      <c r="AL7" s="6">
        <f t="shared" si="8"/>
        <v>100</v>
      </c>
      <c r="AM7" s="19"/>
      <c r="AN7" s="19"/>
      <c r="AO7" s="19"/>
      <c r="AP7" s="6">
        <f t="shared" si="9"/>
        <v>100</v>
      </c>
      <c r="AQ7" s="19"/>
      <c r="AR7" s="19"/>
      <c r="AS7" s="19"/>
      <c r="AT7" s="6">
        <f t="shared" si="10"/>
        <v>100</v>
      </c>
    </row>
    <row r="8" spans="1:46" s="5" customFormat="1" ht="12.95">
      <c r="A8" s="4">
        <v>45823</v>
      </c>
      <c r="B8" s="129"/>
      <c r="C8" s="19"/>
      <c r="D8" s="19"/>
      <c r="E8" s="19"/>
      <c r="F8" s="6">
        <f t="shared" si="0"/>
        <v>100</v>
      </c>
      <c r="G8" s="19"/>
      <c r="H8" s="19"/>
      <c r="I8" s="19"/>
      <c r="J8" s="6">
        <f t="shared" si="1"/>
        <v>100</v>
      </c>
      <c r="K8" s="19"/>
      <c r="L8" s="19"/>
      <c r="M8" s="19"/>
      <c r="N8" s="6">
        <f t="shared" si="2"/>
        <v>100</v>
      </c>
      <c r="O8" s="19"/>
      <c r="P8" s="19"/>
      <c r="Q8" s="19"/>
      <c r="R8" s="6">
        <f t="shared" si="3"/>
        <v>100</v>
      </c>
      <c r="S8" s="19"/>
      <c r="T8" s="19"/>
      <c r="U8" s="19"/>
      <c r="V8" s="6">
        <f t="shared" si="4"/>
        <v>100</v>
      </c>
      <c r="W8" s="19"/>
      <c r="X8" s="19"/>
      <c r="Y8" s="19"/>
      <c r="Z8" s="6">
        <f t="shared" si="5"/>
        <v>100</v>
      </c>
      <c r="AA8" s="19"/>
      <c r="AB8" s="19"/>
      <c r="AC8" s="19"/>
      <c r="AD8" s="6">
        <f t="shared" si="6"/>
        <v>100</v>
      </c>
      <c r="AE8" s="19"/>
      <c r="AF8" s="19"/>
      <c r="AG8" s="19"/>
      <c r="AH8" s="6">
        <f t="shared" si="7"/>
        <v>100</v>
      </c>
      <c r="AI8" s="19"/>
      <c r="AJ8" s="19"/>
      <c r="AK8" s="19"/>
      <c r="AL8" s="6">
        <f t="shared" si="8"/>
        <v>100</v>
      </c>
      <c r="AM8" s="19"/>
      <c r="AN8" s="19"/>
      <c r="AO8" s="19"/>
      <c r="AP8" s="6">
        <f t="shared" si="9"/>
        <v>100</v>
      </c>
      <c r="AQ8" s="19"/>
      <c r="AR8" s="19"/>
      <c r="AS8" s="19"/>
      <c r="AT8" s="6">
        <f t="shared" si="10"/>
        <v>100</v>
      </c>
    </row>
    <row r="9" spans="1:46" s="5" customFormat="1" ht="12.95">
      <c r="A9" s="4">
        <v>45824</v>
      </c>
      <c r="B9" s="129"/>
      <c r="C9" s="7">
        <v>30.78</v>
      </c>
      <c r="D9" s="8">
        <v>19.96</v>
      </c>
      <c r="E9" s="8">
        <v>31.24</v>
      </c>
      <c r="F9" s="6">
        <f t="shared" si="0"/>
        <v>18.019999999999996</v>
      </c>
      <c r="G9" s="8">
        <v>10.91</v>
      </c>
      <c r="H9" s="8">
        <v>11.01</v>
      </c>
      <c r="I9" s="8">
        <v>49.22</v>
      </c>
      <c r="J9" s="6">
        <f t="shared" si="1"/>
        <v>28.86</v>
      </c>
      <c r="K9" s="8">
        <v>16.43</v>
      </c>
      <c r="L9" s="8">
        <v>12.92</v>
      </c>
      <c r="M9" s="8">
        <v>43.77</v>
      </c>
      <c r="N9" s="6">
        <f t="shared" si="2"/>
        <v>26.879999999999995</v>
      </c>
      <c r="O9" s="8">
        <v>0.56000000000000005</v>
      </c>
      <c r="P9" s="8">
        <v>0.21</v>
      </c>
      <c r="Q9" s="8">
        <v>64</v>
      </c>
      <c r="R9" s="6">
        <f t="shared" si="3"/>
        <v>35.230000000000004</v>
      </c>
      <c r="S9" s="8">
        <v>36.15</v>
      </c>
      <c r="T9" s="8">
        <v>40.29</v>
      </c>
      <c r="U9" s="8" t="s">
        <v>48</v>
      </c>
      <c r="V9" s="6">
        <f t="shared" si="4"/>
        <v>23.560000000000002</v>
      </c>
      <c r="W9" s="8">
        <v>34.119999999999997</v>
      </c>
      <c r="X9" s="8">
        <v>33.880000000000003</v>
      </c>
      <c r="Y9" s="8" t="s">
        <v>48</v>
      </c>
      <c r="Z9" s="6">
        <f t="shared" si="5"/>
        <v>32</v>
      </c>
      <c r="AA9" s="8">
        <v>29.26</v>
      </c>
      <c r="AB9" s="8">
        <v>10.83</v>
      </c>
      <c r="AC9" s="8" t="s">
        <v>48</v>
      </c>
      <c r="AD9" s="6">
        <f t="shared" si="6"/>
        <v>59.91</v>
      </c>
      <c r="AE9" s="8">
        <v>16.61</v>
      </c>
      <c r="AF9" s="8">
        <v>3.46</v>
      </c>
      <c r="AG9" s="8" t="s">
        <v>48</v>
      </c>
      <c r="AH9" s="6">
        <f t="shared" si="7"/>
        <v>79.930000000000007</v>
      </c>
      <c r="AI9" s="8">
        <v>6.8</v>
      </c>
      <c r="AJ9" s="8">
        <v>1.49</v>
      </c>
      <c r="AK9" s="8">
        <v>1.36</v>
      </c>
      <c r="AL9" s="6">
        <f t="shared" si="8"/>
        <v>90.35</v>
      </c>
      <c r="AM9" s="8">
        <v>1.7</v>
      </c>
      <c r="AN9" s="8" t="s">
        <v>48</v>
      </c>
      <c r="AO9" s="8" t="s">
        <v>48</v>
      </c>
      <c r="AP9" s="6">
        <f t="shared" si="9"/>
        <v>98.3</v>
      </c>
      <c r="AQ9" s="8">
        <v>0.53</v>
      </c>
      <c r="AR9" s="8">
        <v>0.2</v>
      </c>
      <c r="AS9" s="9">
        <v>71</v>
      </c>
      <c r="AT9" s="6">
        <f t="shared" si="10"/>
        <v>28.269999999999996</v>
      </c>
    </row>
    <row r="10" spans="1:46" s="5" customFormat="1" ht="12.95">
      <c r="A10" s="4">
        <v>45825</v>
      </c>
      <c r="B10" s="129"/>
      <c r="C10" s="7">
        <v>30.53</v>
      </c>
      <c r="D10" s="7">
        <v>19.489999999999998</v>
      </c>
      <c r="E10" s="7">
        <v>31.77</v>
      </c>
      <c r="F10" s="6">
        <f t="shared" si="0"/>
        <v>18.210000000000008</v>
      </c>
      <c r="G10" s="19"/>
      <c r="H10" s="19"/>
      <c r="I10" s="19"/>
      <c r="J10" s="6">
        <f t="shared" si="1"/>
        <v>100</v>
      </c>
      <c r="K10" s="19"/>
      <c r="L10" s="19"/>
      <c r="M10" s="19"/>
      <c r="N10" s="6">
        <f t="shared" si="2"/>
        <v>100</v>
      </c>
      <c r="O10" s="19"/>
      <c r="P10" s="19"/>
      <c r="Q10" s="19"/>
      <c r="R10" s="6">
        <f t="shared" si="3"/>
        <v>100</v>
      </c>
      <c r="S10" s="19"/>
      <c r="T10" s="19"/>
      <c r="U10" s="19"/>
      <c r="V10" s="6">
        <f t="shared" si="4"/>
        <v>100</v>
      </c>
      <c r="W10" s="19"/>
      <c r="X10" s="19"/>
      <c r="Y10" s="19"/>
      <c r="Z10" s="6">
        <f t="shared" si="5"/>
        <v>100</v>
      </c>
      <c r="AA10" s="19"/>
      <c r="AB10" s="19"/>
      <c r="AC10" s="19"/>
      <c r="AD10" s="6">
        <f t="shared" si="6"/>
        <v>100</v>
      </c>
      <c r="AE10" s="19"/>
      <c r="AF10" s="19"/>
      <c r="AG10" s="19"/>
      <c r="AH10" s="6">
        <f t="shared" si="7"/>
        <v>100</v>
      </c>
      <c r="AI10" s="19"/>
      <c r="AJ10" s="19"/>
      <c r="AK10" s="19"/>
      <c r="AL10" s="6">
        <f t="shared" si="8"/>
        <v>100</v>
      </c>
      <c r="AM10" s="19"/>
      <c r="AN10" s="19"/>
      <c r="AO10" s="19"/>
      <c r="AP10" s="6">
        <f t="shared" si="9"/>
        <v>100</v>
      </c>
      <c r="AQ10" s="19"/>
      <c r="AR10" s="19"/>
      <c r="AS10" s="19"/>
      <c r="AT10" s="6">
        <f t="shared" si="10"/>
        <v>100</v>
      </c>
    </row>
    <row r="11" spans="1:46" s="5" customFormat="1" ht="12.95">
      <c r="A11" s="4">
        <v>45826</v>
      </c>
      <c r="B11" s="129"/>
      <c r="C11" s="7">
        <v>29.68</v>
      </c>
      <c r="D11" s="7">
        <v>19.59</v>
      </c>
      <c r="E11" s="7">
        <v>31.66</v>
      </c>
      <c r="F11" s="6">
        <f t="shared" si="0"/>
        <v>19.070000000000007</v>
      </c>
      <c r="G11" s="19"/>
      <c r="H11" s="19"/>
      <c r="I11" s="19"/>
      <c r="J11" s="6">
        <f t="shared" si="1"/>
        <v>100</v>
      </c>
      <c r="K11" s="19"/>
      <c r="L11" s="19"/>
      <c r="M11" s="19"/>
      <c r="N11" s="6">
        <f t="shared" si="2"/>
        <v>100</v>
      </c>
      <c r="O11" s="19"/>
      <c r="P11" s="19"/>
      <c r="Q11" s="19"/>
      <c r="R11" s="6">
        <f t="shared" si="3"/>
        <v>100</v>
      </c>
      <c r="S11" s="19"/>
      <c r="T11" s="19"/>
      <c r="U11" s="19"/>
      <c r="V11" s="6">
        <f t="shared" si="4"/>
        <v>100</v>
      </c>
      <c r="W11" s="19"/>
      <c r="X11" s="19"/>
      <c r="Y11" s="19"/>
      <c r="Z11" s="6">
        <f t="shared" si="5"/>
        <v>100</v>
      </c>
      <c r="AA11" s="19"/>
      <c r="AB11" s="19"/>
      <c r="AC11" s="19"/>
      <c r="AD11" s="6">
        <f t="shared" si="6"/>
        <v>100</v>
      </c>
      <c r="AE11" s="19"/>
      <c r="AF11" s="19"/>
      <c r="AG11" s="19"/>
      <c r="AH11" s="6">
        <f t="shared" si="7"/>
        <v>100</v>
      </c>
      <c r="AI11" s="19"/>
      <c r="AJ11" s="19"/>
      <c r="AK11" s="19"/>
      <c r="AL11" s="6">
        <f t="shared" si="8"/>
        <v>100</v>
      </c>
      <c r="AM11" s="19"/>
      <c r="AN11" s="19"/>
      <c r="AO11" s="19"/>
      <c r="AP11" s="6">
        <f t="shared" si="9"/>
        <v>100</v>
      </c>
      <c r="AQ11" s="19"/>
      <c r="AR11" s="19"/>
      <c r="AS11" s="19"/>
      <c r="AT11" s="6">
        <f t="shared" si="10"/>
        <v>100</v>
      </c>
    </row>
    <row r="12" spans="1:46" s="5" customFormat="1" ht="12.95">
      <c r="A12" s="4">
        <v>45827</v>
      </c>
      <c r="B12" s="129"/>
      <c r="C12" s="7">
        <v>31.41</v>
      </c>
      <c r="D12" s="8">
        <v>18.510000000000002</v>
      </c>
      <c r="E12" s="8">
        <v>30.87</v>
      </c>
      <c r="F12" s="6">
        <f t="shared" si="0"/>
        <v>19.209999999999994</v>
      </c>
      <c r="G12" s="8">
        <v>10.24</v>
      </c>
      <c r="H12" s="8">
        <v>10.58</v>
      </c>
      <c r="I12" s="8">
        <v>50.86</v>
      </c>
      <c r="J12" s="6">
        <f t="shared" si="1"/>
        <v>28.319999999999993</v>
      </c>
      <c r="K12" s="8">
        <v>17.05</v>
      </c>
      <c r="L12" s="8">
        <v>13.13</v>
      </c>
      <c r="M12" s="8">
        <v>44.9</v>
      </c>
      <c r="N12" s="6">
        <f t="shared" si="2"/>
        <v>24.92</v>
      </c>
      <c r="O12" s="8">
        <v>0.56000000000000005</v>
      </c>
      <c r="P12" s="8">
        <v>0.21</v>
      </c>
      <c r="Q12" s="8">
        <v>66</v>
      </c>
      <c r="R12" s="6">
        <f t="shared" si="3"/>
        <v>33.230000000000004</v>
      </c>
      <c r="S12" s="8">
        <v>37.450000000000003</v>
      </c>
      <c r="T12" s="8">
        <v>40.479999999999997</v>
      </c>
      <c r="U12" s="8" t="s">
        <v>48</v>
      </c>
      <c r="V12" s="6">
        <f t="shared" si="4"/>
        <v>22.069999999999993</v>
      </c>
      <c r="W12" s="8">
        <v>33.94</v>
      </c>
      <c r="X12" s="8">
        <v>34.26</v>
      </c>
      <c r="Y12" s="8" t="s">
        <v>48</v>
      </c>
      <c r="Z12" s="6">
        <f t="shared" si="5"/>
        <v>31.800000000000011</v>
      </c>
      <c r="AA12" s="8">
        <v>28.63</v>
      </c>
      <c r="AB12" s="8">
        <v>10.039999999999999</v>
      </c>
      <c r="AC12" s="8" t="s">
        <v>48</v>
      </c>
      <c r="AD12" s="6">
        <f t="shared" si="6"/>
        <v>61.33</v>
      </c>
      <c r="AE12" s="8">
        <v>17.03</v>
      </c>
      <c r="AF12" s="8">
        <v>3.33</v>
      </c>
      <c r="AG12" s="8" t="s">
        <v>48</v>
      </c>
      <c r="AH12" s="6">
        <f t="shared" si="7"/>
        <v>79.64</v>
      </c>
      <c r="AI12" s="8">
        <v>6.19</v>
      </c>
      <c r="AJ12" s="8">
        <v>1.57</v>
      </c>
      <c r="AK12" s="8">
        <v>1.24</v>
      </c>
      <c r="AL12" s="6">
        <f t="shared" si="8"/>
        <v>91</v>
      </c>
      <c r="AM12" s="8">
        <v>2.38</v>
      </c>
      <c r="AN12" s="8" t="s">
        <v>48</v>
      </c>
      <c r="AO12" s="8" t="s">
        <v>48</v>
      </c>
      <c r="AP12" s="6">
        <f t="shared" si="9"/>
        <v>97.62</v>
      </c>
      <c r="AQ12" s="8">
        <v>0.48</v>
      </c>
      <c r="AR12" s="8">
        <v>0.19</v>
      </c>
      <c r="AS12" s="9">
        <v>71</v>
      </c>
      <c r="AT12" s="6">
        <f t="shared" si="10"/>
        <v>28.33</v>
      </c>
    </row>
    <row r="13" spans="1:46" s="5" customFormat="1" ht="12.95">
      <c r="A13" s="4">
        <v>45828</v>
      </c>
      <c r="B13" s="129"/>
      <c r="C13" s="7">
        <v>30.35</v>
      </c>
      <c r="D13" s="7">
        <v>19.600000000000001</v>
      </c>
      <c r="E13" s="7">
        <v>31.47</v>
      </c>
      <c r="F13" s="6">
        <f t="shared" si="0"/>
        <v>18.579999999999998</v>
      </c>
      <c r="G13" s="19"/>
      <c r="H13" s="19"/>
      <c r="I13" s="19"/>
      <c r="J13" s="6">
        <f t="shared" si="1"/>
        <v>100</v>
      </c>
      <c r="K13" s="19"/>
      <c r="L13" s="19"/>
      <c r="M13" s="19"/>
      <c r="N13" s="6">
        <f t="shared" si="2"/>
        <v>100</v>
      </c>
      <c r="O13" s="19"/>
      <c r="P13" s="19"/>
      <c r="Q13" s="19"/>
      <c r="R13" s="6">
        <f t="shared" si="3"/>
        <v>100</v>
      </c>
      <c r="S13" s="19"/>
      <c r="T13" s="19"/>
      <c r="U13" s="19"/>
      <c r="V13" s="6">
        <f t="shared" si="4"/>
        <v>100</v>
      </c>
      <c r="W13" s="19"/>
      <c r="X13" s="19"/>
      <c r="Y13" s="19"/>
      <c r="Z13" s="6">
        <f t="shared" si="5"/>
        <v>100</v>
      </c>
      <c r="AA13" s="19"/>
      <c r="AB13" s="19"/>
      <c r="AC13" s="19"/>
      <c r="AD13" s="6">
        <f t="shared" si="6"/>
        <v>100</v>
      </c>
      <c r="AE13" s="19"/>
      <c r="AF13" s="19"/>
      <c r="AG13" s="19"/>
      <c r="AH13" s="6">
        <f t="shared" si="7"/>
        <v>100</v>
      </c>
      <c r="AI13" s="19"/>
      <c r="AJ13" s="19"/>
      <c r="AK13" s="19"/>
      <c r="AL13" s="6">
        <f t="shared" si="8"/>
        <v>100</v>
      </c>
      <c r="AM13" s="19"/>
      <c r="AN13" s="19"/>
      <c r="AO13" s="19"/>
      <c r="AP13" s="6">
        <f t="shared" si="9"/>
        <v>100</v>
      </c>
      <c r="AQ13" s="19"/>
      <c r="AR13" s="19"/>
      <c r="AS13" s="19"/>
      <c r="AT13" s="6">
        <f t="shared" si="10"/>
        <v>100</v>
      </c>
    </row>
    <row r="14" spans="1:46" s="5" customFormat="1" ht="12.95">
      <c r="A14" s="4">
        <v>45829</v>
      </c>
      <c r="B14" s="129"/>
      <c r="C14" s="19"/>
      <c r="D14" s="19"/>
      <c r="E14" s="19"/>
      <c r="F14" s="6">
        <f t="shared" si="0"/>
        <v>100</v>
      </c>
      <c r="G14" s="19"/>
      <c r="H14" s="19"/>
      <c r="I14" s="19"/>
      <c r="J14" s="6">
        <f t="shared" si="1"/>
        <v>100</v>
      </c>
      <c r="K14" s="19"/>
      <c r="L14" s="19"/>
      <c r="M14" s="19"/>
      <c r="N14" s="6">
        <f t="shared" si="2"/>
        <v>100</v>
      </c>
      <c r="O14" s="19"/>
      <c r="P14" s="19"/>
      <c r="Q14" s="19"/>
      <c r="R14" s="6">
        <f t="shared" si="3"/>
        <v>100</v>
      </c>
      <c r="S14" s="19"/>
      <c r="T14" s="19"/>
      <c r="U14" s="19"/>
      <c r="V14" s="6">
        <f t="shared" si="4"/>
        <v>100</v>
      </c>
      <c r="W14" s="19"/>
      <c r="X14" s="19"/>
      <c r="Y14" s="19"/>
      <c r="Z14" s="6">
        <f t="shared" si="5"/>
        <v>100</v>
      </c>
      <c r="AA14" s="19"/>
      <c r="AB14" s="19"/>
      <c r="AC14" s="19"/>
      <c r="AD14" s="6">
        <f t="shared" si="6"/>
        <v>100</v>
      </c>
      <c r="AE14" s="19"/>
      <c r="AF14" s="19"/>
      <c r="AG14" s="19"/>
      <c r="AH14" s="6">
        <f t="shared" si="7"/>
        <v>100</v>
      </c>
      <c r="AI14" s="19"/>
      <c r="AJ14" s="19"/>
      <c r="AK14" s="19"/>
      <c r="AL14" s="6">
        <f t="shared" si="8"/>
        <v>100</v>
      </c>
      <c r="AM14" s="19"/>
      <c r="AN14" s="19"/>
      <c r="AO14" s="19"/>
      <c r="AP14" s="6">
        <f t="shared" si="9"/>
        <v>100</v>
      </c>
      <c r="AQ14" s="19"/>
      <c r="AR14" s="19"/>
      <c r="AS14" s="19"/>
      <c r="AT14" s="6">
        <f t="shared" si="10"/>
        <v>100</v>
      </c>
    </row>
    <row r="15" spans="1:46" s="5" customFormat="1" ht="12.95">
      <c r="A15" s="4">
        <v>45830</v>
      </c>
      <c r="B15" s="129"/>
      <c r="C15" s="19"/>
      <c r="D15" s="19"/>
      <c r="E15" s="19"/>
      <c r="F15" s="6">
        <f t="shared" si="0"/>
        <v>100</v>
      </c>
      <c r="G15" s="19"/>
      <c r="H15" s="19"/>
      <c r="I15" s="19"/>
      <c r="J15" s="6">
        <f t="shared" si="1"/>
        <v>100</v>
      </c>
      <c r="K15" s="19"/>
      <c r="L15" s="19"/>
      <c r="M15" s="19"/>
      <c r="N15" s="6">
        <f t="shared" si="2"/>
        <v>100</v>
      </c>
      <c r="O15" s="19"/>
      <c r="P15" s="19"/>
      <c r="Q15" s="19"/>
      <c r="R15" s="6">
        <f t="shared" si="3"/>
        <v>100</v>
      </c>
      <c r="S15" s="19"/>
      <c r="T15" s="19"/>
      <c r="U15" s="19"/>
      <c r="V15" s="6">
        <f t="shared" si="4"/>
        <v>100</v>
      </c>
      <c r="W15" s="19"/>
      <c r="X15" s="19"/>
      <c r="Y15" s="19"/>
      <c r="Z15" s="6">
        <f t="shared" si="5"/>
        <v>100</v>
      </c>
      <c r="AA15" s="19"/>
      <c r="AB15" s="19"/>
      <c r="AC15" s="19"/>
      <c r="AD15" s="6">
        <f t="shared" si="6"/>
        <v>100</v>
      </c>
      <c r="AE15" s="19"/>
      <c r="AF15" s="19"/>
      <c r="AG15" s="19"/>
      <c r="AH15" s="6">
        <f t="shared" si="7"/>
        <v>100</v>
      </c>
      <c r="AI15" s="19"/>
      <c r="AJ15" s="19"/>
      <c r="AK15" s="19"/>
      <c r="AL15" s="6">
        <f t="shared" si="8"/>
        <v>100</v>
      </c>
      <c r="AM15" s="19"/>
      <c r="AN15" s="19"/>
      <c r="AO15" s="19"/>
      <c r="AP15" s="6">
        <f t="shared" si="9"/>
        <v>100</v>
      </c>
      <c r="AQ15" s="19"/>
      <c r="AR15" s="19"/>
      <c r="AS15" s="19"/>
      <c r="AT15" s="6">
        <f t="shared" si="10"/>
        <v>100</v>
      </c>
    </row>
    <row r="16" spans="1:46" s="5" customFormat="1" ht="12.95">
      <c r="A16" s="4">
        <v>45831</v>
      </c>
      <c r="B16" s="129"/>
      <c r="C16" s="7">
        <v>31.78</v>
      </c>
      <c r="D16" s="8">
        <v>19.96</v>
      </c>
      <c r="E16" s="8">
        <v>31.28</v>
      </c>
      <c r="F16" s="6">
        <f t="shared" si="0"/>
        <v>16.97999999999999</v>
      </c>
      <c r="G16" s="8">
        <v>10.23</v>
      </c>
      <c r="H16" s="8">
        <v>10.72</v>
      </c>
      <c r="I16" s="8">
        <v>49.92</v>
      </c>
      <c r="J16" s="6">
        <f t="shared" si="1"/>
        <v>29.129999999999995</v>
      </c>
      <c r="K16" s="8">
        <v>17.09</v>
      </c>
      <c r="L16" s="8">
        <v>13.07</v>
      </c>
      <c r="M16" s="8">
        <v>44.3</v>
      </c>
      <c r="N16" s="6">
        <f t="shared" si="2"/>
        <v>25.540000000000006</v>
      </c>
      <c r="O16" s="8"/>
      <c r="P16" s="8"/>
      <c r="Q16" s="8"/>
      <c r="R16" s="6">
        <f t="shared" si="3"/>
        <v>100</v>
      </c>
      <c r="S16" s="8">
        <v>37.28</v>
      </c>
      <c r="T16" s="8">
        <v>39.119999999999997</v>
      </c>
      <c r="U16" s="8">
        <v>0</v>
      </c>
      <c r="V16" s="6">
        <f t="shared" si="4"/>
        <v>23.599999999999994</v>
      </c>
      <c r="W16" s="8"/>
      <c r="X16" s="8"/>
      <c r="Y16" s="8"/>
      <c r="Z16" s="6">
        <f t="shared" si="5"/>
        <v>100</v>
      </c>
      <c r="AA16" s="8">
        <v>29.32</v>
      </c>
      <c r="AB16" s="8">
        <v>10.68</v>
      </c>
      <c r="AC16" s="8" t="s">
        <v>48</v>
      </c>
      <c r="AD16" s="6">
        <f t="shared" si="6"/>
        <v>60</v>
      </c>
      <c r="AE16" s="8">
        <v>16.82</v>
      </c>
      <c r="AF16" s="8">
        <v>3.52</v>
      </c>
      <c r="AG16" s="8" t="s">
        <v>48</v>
      </c>
      <c r="AH16" s="6">
        <f t="shared" si="7"/>
        <v>79.66</v>
      </c>
      <c r="AI16" s="8">
        <v>6.49</v>
      </c>
      <c r="AJ16" s="8">
        <v>1.64</v>
      </c>
      <c r="AK16" s="8">
        <v>1.32</v>
      </c>
      <c r="AL16" s="6">
        <f t="shared" si="8"/>
        <v>90.55</v>
      </c>
      <c r="AM16" s="8">
        <v>2.2400000000000002</v>
      </c>
      <c r="AN16" s="8" t="s">
        <v>48</v>
      </c>
      <c r="AO16" s="8" t="s">
        <v>48</v>
      </c>
      <c r="AP16" s="6">
        <f t="shared" si="9"/>
        <v>97.76</v>
      </c>
      <c r="AQ16" s="8">
        <v>0.51</v>
      </c>
      <c r="AR16" s="8">
        <v>0.22</v>
      </c>
      <c r="AS16" s="9">
        <v>70</v>
      </c>
      <c r="AT16" s="6">
        <f t="shared" si="10"/>
        <v>29.269999999999996</v>
      </c>
    </row>
    <row r="17" spans="1:46" s="5" customFormat="1" ht="12.95">
      <c r="A17" s="4">
        <v>45832</v>
      </c>
      <c r="B17" s="129"/>
      <c r="C17" s="7">
        <v>30.69</v>
      </c>
      <c r="D17" s="7">
        <v>19.12</v>
      </c>
      <c r="E17" s="7">
        <v>31.67</v>
      </c>
      <c r="F17" s="6">
        <f t="shared" si="0"/>
        <v>18.519999999999996</v>
      </c>
      <c r="G17" s="19"/>
      <c r="H17" s="19"/>
      <c r="I17" s="19"/>
      <c r="J17" s="6">
        <f t="shared" si="1"/>
        <v>100</v>
      </c>
      <c r="K17" s="19"/>
      <c r="L17" s="19"/>
      <c r="M17" s="19"/>
      <c r="N17" s="6">
        <f t="shared" si="2"/>
        <v>100</v>
      </c>
      <c r="O17" s="19"/>
      <c r="P17" s="19"/>
      <c r="Q17" s="19"/>
      <c r="R17" s="6">
        <f t="shared" si="3"/>
        <v>100</v>
      </c>
      <c r="S17" s="19"/>
      <c r="T17" s="19"/>
      <c r="U17" s="19"/>
      <c r="V17" s="6">
        <f t="shared" si="4"/>
        <v>100</v>
      </c>
      <c r="W17" s="19"/>
      <c r="X17" s="19"/>
      <c r="Y17" s="19"/>
      <c r="Z17" s="6">
        <f t="shared" si="5"/>
        <v>100</v>
      </c>
      <c r="AA17" s="19"/>
      <c r="AB17" s="19"/>
      <c r="AC17" s="19"/>
      <c r="AD17" s="6">
        <f t="shared" si="6"/>
        <v>100</v>
      </c>
      <c r="AE17" s="19"/>
      <c r="AF17" s="19"/>
      <c r="AG17" s="19"/>
      <c r="AH17" s="6">
        <f t="shared" si="7"/>
        <v>100</v>
      </c>
      <c r="AI17" s="19"/>
      <c r="AJ17" s="19"/>
      <c r="AK17" s="19"/>
      <c r="AL17" s="6">
        <f t="shared" si="8"/>
        <v>100</v>
      </c>
      <c r="AM17" s="19"/>
      <c r="AN17" s="19"/>
      <c r="AO17" s="19"/>
      <c r="AP17" s="6">
        <f t="shared" si="9"/>
        <v>100</v>
      </c>
      <c r="AQ17" s="19"/>
      <c r="AR17" s="19"/>
      <c r="AS17" s="19"/>
      <c r="AT17" s="6">
        <f t="shared" si="10"/>
        <v>100</v>
      </c>
    </row>
    <row r="18" spans="1:46" s="5" customFormat="1" ht="12.95">
      <c r="A18" s="4">
        <v>45833</v>
      </c>
      <c r="B18" s="129"/>
      <c r="C18" s="7">
        <v>29.82</v>
      </c>
      <c r="D18" s="8">
        <v>18.62</v>
      </c>
      <c r="E18" s="8">
        <v>31.19</v>
      </c>
      <c r="F18" s="6">
        <f t="shared" si="0"/>
        <v>20.370000000000005</v>
      </c>
      <c r="G18" s="19"/>
      <c r="H18" s="19"/>
      <c r="I18" s="19"/>
      <c r="J18" s="6">
        <f t="shared" si="1"/>
        <v>100</v>
      </c>
      <c r="K18" s="19"/>
      <c r="L18" s="19"/>
      <c r="M18" s="19"/>
      <c r="N18" s="6">
        <f t="shared" si="2"/>
        <v>100</v>
      </c>
      <c r="O18" s="19"/>
      <c r="P18" s="19"/>
      <c r="Q18" s="19"/>
      <c r="R18" s="6">
        <f t="shared" si="3"/>
        <v>100</v>
      </c>
      <c r="S18" s="19"/>
      <c r="T18" s="19"/>
      <c r="U18" s="19"/>
      <c r="V18" s="6">
        <f t="shared" si="4"/>
        <v>100</v>
      </c>
      <c r="W18" s="19"/>
      <c r="X18" s="19"/>
      <c r="Y18" s="19"/>
      <c r="Z18" s="6">
        <f t="shared" si="5"/>
        <v>100</v>
      </c>
      <c r="AA18" s="19"/>
      <c r="AB18" s="19"/>
      <c r="AC18" s="19"/>
      <c r="AD18" s="6">
        <f t="shared" si="6"/>
        <v>100</v>
      </c>
      <c r="AE18" s="19"/>
      <c r="AF18" s="19"/>
      <c r="AG18" s="19"/>
      <c r="AH18" s="6">
        <f t="shared" si="7"/>
        <v>100</v>
      </c>
      <c r="AI18" s="19"/>
      <c r="AJ18" s="19"/>
      <c r="AK18" s="19"/>
      <c r="AL18" s="6">
        <f t="shared" si="8"/>
        <v>100</v>
      </c>
      <c r="AM18" s="19"/>
      <c r="AN18" s="19"/>
      <c r="AO18" s="19"/>
      <c r="AP18" s="6">
        <f t="shared" si="9"/>
        <v>100</v>
      </c>
      <c r="AQ18" s="19"/>
      <c r="AR18" s="19"/>
      <c r="AS18" s="19"/>
      <c r="AT18" s="6">
        <f t="shared" si="10"/>
        <v>100</v>
      </c>
    </row>
    <row r="19" spans="1:46" s="5" customFormat="1" ht="12.95">
      <c r="A19" s="4">
        <v>45834</v>
      </c>
      <c r="B19" s="129"/>
      <c r="C19" s="7">
        <v>31.09</v>
      </c>
      <c r="D19" s="8">
        <v>18.97</v>
      </c>
      <c r="E19" s="8">
        <v>30.92</v>
      </c>
      <c r="F19" s="6">
        <f t="shared" si="0"/>
        <v>19.019999999999996</v>
      </c>
      <c r="G19" s="8">
        <v>10.49</v>
      </c>
      <c r="H19" s="8">
        <v>10.49</v>
      </c>
      <c r="I19" s="8">
        <v>50.51</v>
      </c>
      <c r="J19" s="6">
        <f t="shared" si="1"/>
        <v>28.510000000000005</v>
      </c>
      <c r="K19" s="8">
        <v>16.87</v>
      </c>
      <c r="L19" s="8">
        <v>13.41</v>
      </c>
      <c r="M19" s="8">
        <v>44.22</v>
      </c>
      <c r="N19" s="6">
        <f t="shared" si="2"/>
        <v>25.5</v>
      </c>
      <c r="O19" s="8">
        <v>0.67</v>
      </c>
      <c r="P19" s="8">
        <v>0.26</v>
      </c>
      <c r="Q19" s="8">
        <v>62</v>
      </c>
      <c r="R19" s="6">
        <f t="shared" si="3"/>
        <v>37.07</v>
      </c>
      <c r="S19" s="8">
        <v>36.340000000000003</v>
      </c>
      <c r="T19" s="8">
        <v>38.97</v>
      </c>
      <c r="U19" s="8">
        <v>0</v>
      </c>
      <c r="V19" s="6">
        <f t="shared" si="4"/>
        <v>24.689999999999998</v>
      </c>
      <c r="W19" s="8">
        <v>33.15</v>
      </c>
      <c r="X19" s="8">
        <v>33.92</v>
      </c>
      <c r="Y19" s="8">
        <v>0</v>
      </c>
      <c r="Z19" s="6">
        <f t="shared" si="5"/>
        <v>32.930000000000007</v>
      </c>
      <c r="AA19" s="8">
        <v>29.97</v>
      </c>
      <c r="AB19" s="8">
        <v>10.83</v>
      </c>
      <c r="AC19" s="8" t="s">
        <v>48</v>
      </c>
      <c r="AD19" s="6">
        <f t="shared" si="6"/>
        <v>59.2</v>
      </c>
      <c r="AE19" s="8">
        <v>15.64</v>
      </c>
      <c r="AF19" s="8">
        <v>3.29</v>
      </c>
      <c r="AG19" s="8" t="s">
        <v>48</v>
      </c>
      <c r="AH19" s="6">
        <f t="shared" si="7"/>
        <v>81.069999999999993</v>
      </c>
      <c r="AI19" s="8">
        <v>6.29</v>
      </c>
      <c r="AJ19" s="8">
        <v>1.51</v>
      </c>
      <c r="AK19" s="8">
        <v>1.26</v>
      </c>
      <c r="AL19" s="6">
        <f t="shared" si="8"/>
        <v>90.94</v>
      </c>
      <c r="AM19" s="8">
        <v>2.21</v>
      </c>
      <c r="AN19" s="8" t="s">
        <v>48</v>
      </c>
      <c r="AO19" s="8" t="s">
        <v>48</v>
      </c>
      <c r="AP19" s="6">
        <f t="shared" si="9"/>
        <v>97.79</v>
      </c>
      <c r="AQ19" s="8">
        <v>0.53</v>
      </c>
      <c r="AR19" s="8">
        <v>0.21</v>
      </c>
      <c r="AS19" s="9">
        <v>71</v>
      </c>
      <c r="AT19" s="6">
        <f t="shared" si="10"/>
        <v>28.260000000000005</v>
      </c>
    </row>
    <row r="20" spans="1:46" s="5" customFormat="1" ht="12.95">
      <c r="A20" s="4">
        <v>45835</v>
      </c>
      <c r="B20" s="129"/>
      <c r="C20" s="7">
        <v>30.09</v>
      </c>
      <c r="D20" s="7">
        <v>19.04</v>
      </c>
      <c r="E20" s="7">
        <v>30.75</v>
      </c>
      <c r="F20" s="6">
        <f t="shared" si="0"/>
        <v>20.120000000000005</v>
      </c>
      <c r="G20" s="19"/>
      <c r="H20" s="19"/>
      <c r="I20" s="19"/>
      <c r="J20" s="6">
        <f t="shared" si="1"/>
        <v>100</v>
      </c>
      <c r="K20" s="19"/>
      <c r="L20" s="19"/>
      <c r="M20" s="19"/>
      <c r="N20" s="6">
        <f t="shared" si="2"/>
        <v>100</v>
      </c>
      <c r="O20" s="19"/>
      <c r="P20" s="19"/>
      <c r="Q20" s="19"/>
      <c r="R20" s="6">
        <f t="shared" si="3"/>
        <v>100</v>
      </c>
      <c r="S20" s="19"/>
      <c r="T20" s="19"/>
      <c r="U20" s="19"/>
      <c r="V20" s="6">
        <f t="shared" si="4"/>
        <v>100</v>
      </c>
      <c r="W20" s="19"/>
      <c r="X20" s="19"/>
      <c r="Y20" s="19"/>
      <c r="Z20" s="6">
        <f t="shared" si="5"/>
        <v>100</v>
      </c>
      <c r="AA20" s="19"/>
      <c r="AB20" s="19"/>
      <c r="AC20" s="19"/>
      <c r="AD20" s="6">
        <f t="shared" si="6"/>
        <v>100</v>
      </c>
      <c r="AE20" s="19"/>
      <c r="AF20" s="19"/>
      <c r="AG20" s="19"/>
      <c r="AH20" s="6">
        <f t="shared" si="7"/>
        <v>100</v>
      </c>
      <c r="AI20" s="19"/>
      <c r="AJ20" s="19"/>
      <c r="AK20" s="19"/>
      <c r="AL20" s="6">
        <f t="shared" si="8"/>
        <v>100</v>
      </c>
      <c r="AM20" s="19"/>
      <c r="AN20" s="19"/>
      <c r="AO20" s="19"/>
      <c r="AP20" s="6">
        <f t="shared" si="9"/>
        <v>100</v>
      </c>
      <c r="AQ20" s="19"/>
      <c r="AR20" s="19"/>
      <c r="AS20" s="19"/>
      <c r="AT20" s="6">
        <f t="shared" si="10"/>
        <v>100</v>
      </c>
    </row>
    <row r="21" spans="1:46" s="5" customFormat="1" ht="12.95">
      <c r="A21" s="4"/>
      <c r="B21" s="129"/>
      <c r="C21" s="7"/>
      <c r="D21" s="7"/>
      <c r="E21" s="7"/>
      <c r="F21" s="6"/>
      <c r="G21" s="19"/>
      <c r="H21" s="19"/>
      <c r="I21" s="19"/>
      <c r="J21" s="6"/>
      <c r="K21" s="19"/>
      <c r="L21" s="19"/>
      <c r="M21" s="19"/>
      <c r="N21" s="6"/>
      <c r="O21" s="19"/>
      <c r="P21" s="19"/>
      <c r="Q21" s="19"/>
      <c r="R21" s="6"/>
      <c r="S21" s="19"/>
      <c r="T21" s="19"/>
      <c r="U21" s="19"/>
      <c r="V21" s="6"/>
      <c r="W21" s="19"/>
      <c r="X21" s="19"/>
      <c r="Y21" s="19"/>
      <c r="Z21" s="6"/>
      <c r="AA21" s="19"/>
      <c r="AB21" s="19"/>
      <c r="AC21" s="19"/>
      <c r="AD21" s="6"/>
      <c r="AE21" s="19"/>
      <c r="AF21" s="19"/>
      <c r="AG21" s="19"/>
      <c r="AH21" s="6"/>
      <c r="AI21" s="19"/>
      <c r="AJ21" s="19"/>
      <c r="AK21" s="19"/>
      <c r="AL21" s="6"/>
      <c r="AM21" s="19"/>
      <c r="AN21" s="19"/>
      <c r="AO21" s="19"/>
      <c r="AP21" s="6"/>
      <c r="AQ21" s="19"/>
      <c r="AR21" s="19"/>
      <c r="AS21" s="19"/>
      <c r="AT21" s="6"/>
    </row>
    <row r="22" spans="1:46" s="5" customFormat="1" ht="12.95">
      <c r="A22" s="4">
        <v>45836</v>
      </c>
      <c r="B22" s="129"/>
      <c r="C22" s="19"/>
      <c r="D22" s="19"/>
      <c r="E22" s="19"/>
      <c r="F22" s="6">
        <f t="shared" si="0"/>
        <v>100</v>
      </c>
      <c r="G22" s="19"/>
      <c r="H22" s="19"/>
      <c r="I22" s="19"/>
      <c r="J22" s="6">
        <f t="shared" si="1"/>
        <v>100</v>
      </c>
      <c r="K22" s="19"/>
      <c r="L22" s="19"/>
      <c r="M22" s="19"/>
      <c r="N22" s="6">
        <f t="shared" si="2"/>
        <v>100</v>
      </c>
      <c r="O22" s="19"/>
      <c r="P22" s="19"/>
      <c r="Q22" s="19"/>
      <c r="R22" s="6">
        <f t="shared" si="3"/>
        <v>100</v>
      </c>
      <c r="S22" s="19"/>
      <c r="T22" s="19"/>
      <c r="U22" s="19"/>
      <c r="V22" s="6">
        <f t="shared" si="4"/>
        <v>100</v>
      </c>
      <c r="W22" s="19"/>
      <c r="X22" s="19"/>
      <c r="Y22" s="19"/>
      <c r="Z22" s="6">
        <f t="shared" si="5"/>
        <v>100</v>
      </c>
      <c r="AA22" s="19"/>
      <c r="AB22" s="19"/>
      <c r="AC22" s="19"/>
      <c r="AD22" s="6">
        <f t="shared" si="6"/>
        <v>100</v>
      </c>
      <c r="AE22" s="19"/>
      <c r="AF22" s="19"/>
      <c r="AG22" s="19"/>
      <c r="AH22" s="6">
        <f t="shared" si="7"/>
        <v>100</v>
      </c>
      <c r="AI22" s="19"/>
      <c r="AJ22" s="19"/>
      <c r="AK22" s="19"/>
      <c r="AL22" s="6">
        <f t="shared" si="8"/>
        <v>100</v>
      </c>
      <c r="AM22" s="19"/>
      <c r="AN22" s="19"/>
      <c r="AO22" s="19"/>
      <c r="AP22" s="6">
        <f t="shared" si="9"/>
        <v>100</v>
      </c>
      <c r="AQ22" s="19"/>
      <c r="AR22" s="19"/>
      <c r="AS22" s="19"/>
      <c r="AT22" s="6">
        <f t="shared" si="10"/>
        <v>100</v>
      </c>
    </row>
    <row r="23" spans="1:46" s="5" customFormat="1" ht="12.95">
      <c r="A23" s="4">
        <v>45837</v>
      </c>
      <c r="B23" s="129"/>
      <c r="C23" s="19"/>
      <c r="D23" s="19"/>
      <c r="E23" s="19"/>
      <c r="F23" s="6">
        <f t="shared" si="0"/>
        <v>100</v>
      </c>
      <c r="G23" s="19"/>
      <c r="H23" s="19"/>
      <c r="I23" s="19"/>
      <c r="J23" s="6">
        <f t="shared" si="1"/>
        <v>100</v>
      </c>
      <c r="K23" s="19"/>
      <c r="L23" s="19"/>
      <c r="M23" s="19"/>
      <c r="N23" s="6">
        <f t="shared" si="2"/>
        <v>100</v>
      </c>
      <c r="O23" s="19"/>
      <c r="P23" s="19"/>
      <c r="Q23" s="19"/>
      <c r="R23" s="6">
        <f t="shared" si="3"/>
        <v>100</v>
      </c>
      <c r="S23" s="19"/>
      <c r="T23" s="19"/>
      <c r="U23" s="19"/>
      <c r="V23" s="6">
        <f t="shared" si="4"/>
        <v>100</v>
      </c>
      <c r="W23" s="19"/>
      <c r="X23" s="19"/>
      <c r="Y23" s="19"/>
      <c r="Z23" s="6">
        <f t="shared" si="5"/>
        <v>100</v>
      </c>
      <c r="AA23" s="19"/>
      <c r="AB23" s="19"/>
      <c r="AC23" s="19"/>
      <c r="AD23" s="6">
        <f t="shared" si="6"/>
        <v>100</v>
      </c>
      <c r="AE23" s="19"/>
      <c r="AF23" s="19"/>
      <c r="AG23" s="19"/>
      <c r="AH23" s="6">
        <f t="shared" si="7"/>
        <v>100</v>
      </c>
      <c r="AI23" s="19"/>
      <c r="AJ23" s="19"/>
      <c r="AK23" s="19"/>
      <c r="AL23" s="6">
        <f t="shared" si="8"/>
        <v>100</v>
      </c>
      <c r="AM23" s="19"/>
      <c r="AN23" s="19"/>
      <c r="AO23" s="19"/>
      <c r="AP23" s="6">
        <f t="shared" si="9"/>
        <v>100</v>
      </c>
      <c r="AQ23" s="19"/>
      <c r="AR23" s="19"/>
      <c r="AS23" s="19"/>
      <c r="AT23" s="6">
        <f t="shared" si="10"/>
        <v>100</v>
      </c>
    </row>
    <row r="24" spans="1:46" s="5" customFormat="1" ht="12.95">
      <c r="A24" s="4">
        <v>45838</v>
      </c>
      <c r="B24" s="129"/>
      <c r="C24" s="7">
        <v>31.07</v>
      </c>
      <c r="D24" s="8">
        <v>19.3</v>
      </c>
      <c r="E24" s="8">
        <v>30.96</v>
      </c>
      <c r="F24" s="6">
        <f t="shared" si="0"/>
        <v>18.669999999999987</v>
      </c>
      <c r="G24" s="8">
        <v>10.18</v>
      </c>
      <c r="H24" s="8">
        <v>10.53</v>
      </c>
      <c r="I24" s="8">
        <v>49.94</v>
      </c>
      <c r="J24" s="6">
        <f t="shared" si="1"/>
        <v>29.349999999999994</v>
      </c>
      <c r="K24" s="10">
        <v>16.920000000000002</v>
      </c>
      <c r="L24" s="10">
        <v>13.07</v>
      </c>
      <c r="M24" s="10">
        <v>44.78</v>
      </c>
      <c r="N24" s="6">
        <f t="shared" si="2"/>
        <v>25.22999999999999</v>
      </c>
      <c r="O24" s="10">
        <v>0.54</v>
      </c>
      <c r="P24" s="10">
        <v>0.22</v>
      </c>
      <c r="Q24" s="10">
        <v>62</v>
      </c>
      <c r="R24" s="6">
        <f t="shared" si="3"/>
        <v>37.24</v>
      </c>
      <c r="S24" s="10">
        <v>36.43</v>
      </c>
      <c r="T24" s="10">
        <v>39.76</v>
      </c>
      <c r="U24" s="10">
        <v>0</v>
      </c>
      <c r="V24" s="6">
        <f t="shared" si="4"/>
        <v>23.810000000000002</v>
      </c>
      <c r="W24" s="10">
        <v>33.58</v>
      </c>
      <c r="X24" s="10">
        <v>33.92</v>
      </c>
      <c r="Y24" s="10">
        <v>0</v>
      </c>
      <c r="Z24" s="6">
        <f t="shared" si="5"/>
        <v>32.5</v>
      </c>
      <c r="AA24" s="8">
        <v>28.98</v>
      </c>
      <c r="AB24" s="8">
        <v>13.31</v>
      </c>
      <c r="AC24" s="8" t="s">
        <v>48</v>
      </c>
      <c r="AD24" s="6">
        <f t="shared" si="6"/>
        <v>57.71</v>
      </c>
      <c r="AE24" s="8">
        <v>15.37</v>
      </c>
      <c r="AF24" s="8">
        <v>3.36</v>
      </c>
      <c r="AG24" s="8" t="s">
        <v>48</v>
      </c>
      <c r="AH24" s="6">
        <f t="shared" si="7"/>
        <v>81.27</v>
      </c>
      <c r="AI24" s="8">
        <v>4.5199999999999996</v>
      </c>
      <c r="AJ24" s="8">
        <v>1.35</v>
      </c>
      <c r="AK24" s="8">
        <v>1.26</v>
      </c>
      <c r="AL24" s="6">
        <f t="shared" si="8"/>
        <v>92.87</v>
      </c>
      <c r="AM24" s="8">
        <v>2.04</v>
      </c>
      <c r="AN24" s="8" t="s">
        <v>48</v>
      </c>
      <c r="AO24" s="8" t="s">
        <v>48</v>
      </c>
      <c r="AP24" s="6">
        <f t="shared" si="9"/>
        <v>97.96</v>
      </c>
      <c r="AQ24" s="8">
        <v>0.46</v>
      </c>
      <c r="AR24" s="8">
        <v>0.19</v>
      </c>
      <c r="AS24" s="9">
        <v>70</v>
      </c>
      <c r="AT24" s="6">
        <f t="shared" si="10"/>
        <v>29.349999999999994</v>
      </c>
    </row>
    <row r="25" spans="1:46" s="5" customFormat="1" ht="12.95">
      <c r="A25" s="4">
        <v>45839</v>
      </c>
      <c r="B25" s="129"/>
      <c r="C25" s="7">
        <v>29.98</v>
      </c>
      <c r="D25" s="8">
        <v>19.11</v>
      </c>
      <c r="E25" s="8">
        <v>31.2</v>
      </c>
      <c r="F25" s="6">
        <f t="shared" si="0"/>
        <v>19.709999999999994</v>
      </c>
      <c r="G25" s="19"/>
      <c r="H25" s="19"/>
      <c r="I25" s="19"/>
      <c r="J25" s="6">
        <f t="shared" si="1"/>
        <v>100</v>
      </c>
      <c r="K25" s="19"/>
      <c r="L25" s="19"/>
      <c r="M25" s="19"/>
      <c r="N25" s="6">
        <f t="shared" si="2"/>
        <v>100</v>
      </c>
      <c r="O25" s="19"/>
      <c r="P25" s="19"/>
      <c r="Q25" s="19"/>
      <c r="R25" s="6">
        <f t="shared" si="3"/>
        <v>100</v>
      </c>
      <c r="S25" s="19"/>
      <c r="T25" s="19"/>
      <c r="U25" s="19"/>
      <c r="V25" s="6">
        <f t="shared" si="4"/>
        <v>100</v>
      </c>
      <c r="W25" s="19"/>
      <c r="X25" s="19"/>
      <c r="Y25" s="19"/>
      <c r="Z25" s="6">
        <f t="shared" si="5"/>
        <v>100</v>
      </c>
      <c r="AA25" s="19"/>
      <c r="AB25" s="19"/>
      <c r="AC25" s="19"/>
      <c r="AD25" s="6">
        <f t="shared" si="6"/>
        <v>100</v>
      </c>
      <c r="AE25" s="19"/>
      <c r="AF25" s="19"/>
      <c r="AG25" s="19"/>
      <c r="AH25" s="6">
        <f t="shared" si="7"/>
        <v>100</v>
      </c>
      <c r="AI25" s="19"/>
      <c r="AJ25" s="19"/>
      <c r="AK25" s="19"/>
      <c r="AL25" s="6">
        <f t="shared" si="8"/>
        <v>100</v>
      </c>
      <c r="AM25" s="19"/>
      <c r="AN25" s="19"/>
      <c r="AO25" s="19"/>
      <c r="AP25" s="6">
        <f t="shared" si="9"/>
        <v>100</v>
      </c>
      <c r="AQ25" s="19"/>
      <c r="AR25" s="19"/>
      <c r="AS25" s="19"/>
      <c r="AT25" s="6">
        <f t="shared" si="10"/>
        <v>100</v>
      </c>
    </row>
    <row r="26" spans="1:46" s="5" customFormat="1" ht="12.95">
      <c r="A26" s="4">
        <v>45840</v>
      </c>
      <c r="B26" s="129"/>
      <c r="C26" s="7">
        <v>29.92</v>
      </c>
      <c r="D26" s="8">
        <v>19.75</v>
      </c>
      <c r="E26" s="8">
        <v>31.44</v>
      </c>
      <c r="F26" s="6">
        <f t="shared" si="0"/>
        <v>18.89</v>
      </c>
      <c r="G26" s="19"/>
      <c r="H26" s="19"/>
      <c r="I26" s="19"/>
      <c r="J26" s="6">
        <f t="shared" si="1"/>
        <v>100</v>
      </c>
      <c r="K26" s="19"/>
      <c r="L26" s="19"/>
      <c r="M26" s="19"/>
      <c r="N26" s="6">
        <f t="shared" si="2"/>
        <v>100</v>
      </c>
      <c r="O26" s="19"/>
      <c r="P26" s="19"/>
      <c r="Q26" s="19"/>
      <c r="R26" s="6">
        <f t="shared" si="3"/>
        <v>100</v>
      </c>
      <c r="S26" s="19"/>
      <c r="T26" s="19"/>
      <c r="U26" s="19"/>
      <c r="V26" s="6">
        <f t="shared" si="4"/>
        <v>100</v>
      </c>
      <c r="W26" s="19"/>
      <c r="X26" s="19"/>
      <c r="Y26" s="19"/>
      <c r="Z26" s="6">
        <f t="shared" si="5"/>
        <v>100</v>
      </c>
      <c r="AA26" s="19"/>
      <c r="AB26" s="19"/>
      <c r="AC26" s="19"/>
      <c r="AD26" s="6">
        <f t="shared" si="6"/>
        <v>100</v>
      </c>
      <c r="AE26" s="19"/>
      <c r="AF26" s="19"/>
      <c r="AG26" s="19"/>
      <c r="AH26" s="6">
        <f t="shared" si="7"/>
        <v>100</v>
      </c>
      <c r="AI26" s="19"/>
      <c r="AJ26" s="19"/>
      <c r="AK26" s="19"/>
      <c r="AL26" s="6">
        <f t="shared" si="8"/>
        <v>100</v>
      </c>
      <c r="AM26" s="19"/>
      <c r="AN26" s="19"/>
      <c r="AO26" s="19"/>
      <c r="AP26" s="6">
        <f t="shared" si="9"/>
        <v>100</v>
      </c>
      <c r="AQ26" s="19"/>
      <c r="AR26" s="19"/>
      <c r="AS26" s="19"/>
      <c r="AT26" s="6">
        <f t="shared" si="10"/>
        <v>100</v>
      </c>
    </row>
    <row r="27" spans="1:46" s="5" customFormat="1" ht="12.95">
      <c r="A27" s="4">
        <v>45841</v>
      </c>
      <c r="B27" s="129"/>
      <c r="C27" s="7">
        <v>30.89</v>
      </c>
      <c r="D27" s="7">
        <v>19.66</v>
      </c>
      <c r="E27" s="7">
        <v>31.68</v>
      </c>
      <c r="F27" s="6">
        <f t="shared" si="0"/>
        <v>17.77000000000001</v>
      </c>
      <c r="G27" s="8">
        <v>9.94</v>
      </c>
      <c r="H27" s="8">
        <v>10.41</v>
      </c>
      <c r="I27" s="8">
        <v>50.19</v>
      </c>
      <c r="J27" s="6">
        <f t="shared" si="1"/>
        <v>29.460000000000008</v>
      </c>
      <c r="K27" s="8">
        <v>16.920000000000002</v>
      </c>
      <c r="L27" s="8">
        <v>12.98</v>
      </c>
      <c r="M27" s="8">
        <v>44.91</v>
      </c>
      <c r="N27" s="6">
        <f t="shared" si="2"/>
        <v>25.189999999999998</v>
      </c>
      <c r="O27" s="8">
        <v>0.61</v>
      </c>
      <c r="P27" s="8">
        <v>0.23</v>
      </c>
      <c r="Q27" s="9">
        <v>61</v>
      </c>
      <c r="R27" s="6">
        <f t="shared" si="3"/>
        <v>38.159999999999997</v>
      </c>
      <c r="S27" s="8">
        <v>36.93</v>
      </c>
      <c r="T27" s="8">
        <v>39.89</v>
      </c>
      <c r="U27" s="8">
        <v>0</v>
      </c>
      <c r="V27" s="6">
        <f t="shared" si="4"/>
        <v>23.180000000000007</v>
      </c>
      <c r="W27" s="8">
        <v>33.72</v>
      </c>
      <c r="X27" s="8">
        <v>34.07</v>
      </c>
      <c r="Y27" s="8">
        <v>0</v>
      </c>
      <c r="Z27" s="6">
        <f t="shared" si="5"/>
        <v>32.210000000000008</v>
      </c>
      <c r="AA27" s="8">
        <v>28.61</v>
      </c>
      <c r="AB27" s="8">
        <v>13.16</v>
      </c>
      <c r="AC27" s="8" t="s">
        <v>48</v>
      </c>
      <c r="AD27" s="6">
        <f t="shared" si="6"/>
        <v>58.230000000000004</v>
      </c>
      <c r="AE27" s="8">
        <v>17.13</v>
      </c>
      <c r="AF27" s="8">
        <v>3.84</v>
      </c>
      <c r="AG27" s="8" t="s">
        <v>48</v>
      </c>
      <c r="AH27" s="6">
        <f t="shared" si="7"/>
        <v>79.03</v>
      </c>
      <c r="AI27" s="8">
        <v>6.26</v>
      </c>
      <c r="AJ27" s="8">
        <v>1.39</v>
      </c>
      <c r="AK27" s="8">
        <v>1.24</v>
      </c>
      <c r="AL27" s="6">
        <f t="shared" si="8"/>
        <v>91.11</v>
      </c>
      <c r="AM27" s="8">
        <v>3.06</v>
      </c>
      <c r="AN27" s="8" t="s">
        <v>48</v>
      </c>
      <c r="AO27" s="8" t="s">
        <v>48</v>
      </c>
      <c r="AP27" s="6">
        <f t="shared" si="9"/>
        <v>96.94</v>
      </c>
      <c r="AQ27" s="8">
        <v>0.44</v>
      </c>
      <c r="AR27" s="8">
        <v>0.18</v>
      </c>
      <c r="AS27" s="9">
        <v>70</v>
      </c>
      <c r="AT27" s="6">
        <f t="shared" si="10"/>
        <v>29.379999999999995</v>
      </c>
    </row>
    <row r="28" spans="1:46" s="5" customFormat="1" ht="12.95">
      <c r="A28" s="4">
        <v>45842</v>
      </c>
      <c r="B28" s="129"/>
      <c r="C28" s="7">
        <v>31.89</v>
      </c>
      <c r="D28" s="7">
        <v>18.91</v>
      </c>
      <c r="E28" s="7">
        <v>31.97</v>
      </c>
      <c r="F28" s="6">
        <f>100-SUM(C28:E28)</f>
        <v>17.230000000000004</v>
      </c>
      <c r="G28" s="19"/>
      <c r="H28" s="19"/>
      <c r="I28" s="19"/>
      <c r="J28" s="6">
        <f>100-SUM(G28:I28)</f>
        <v>100</v>
      </c>
      <c r="K28" s="19"/>
      <c r="L28" s="19"/>
      <c r="M28" s="19"/>
      <c r="N28" s="6">
        <f>100-SUM(K28:M28)</f>
        <v>100</v>
      </c>
      <c r="O28" s="19"/>
      <c r="P28" s="19"/>
      <c r="Q28" s="19"/>
      <c r="R28" s="6">
        <f>100-SUM(O28:Q28)</f>
        <v>100</v>
      </c>
      <c r="S28" s="19"/>
      <c r="T28" s="19"/>
      <c r="U28" s="19"/>
      <c r="V28" s="6">
        <f>100-SUM(S28:U28)</f>
        <v>100</v>
      </c>
      <c r="W28" s="19"/>
      <c r="X28" s="19"/>
      <c r="Y28" s="19"/>
      <c r="Z28" s="6">
        <f>100-SUM(W28:Y28)</f>
        <v>100</v>
      </c>
      <c r="AA28" s="19"/>
      <c r="AB28" s="19"/>
      <c r="AC28" s="19"/>
      <c r="AD28" s="6">
        <f>100-SUM(AA28:AC28)</f>
        <v>100</v>
      </c>
      <c r="AE28" s="19"/>
      <c r="AF28" s="19"/>
      <c r="AG28" s="19"/>
      <c r="AH28" s="6">
        <f>100-SUM(AE28:AG28)</f>
        <v>100</v>
      </c>
      <c r="AI28" s="19"/>
      <c r="AJ28" s="19"/>
      <c r="AK28" s="19"/>
      <c r="AL28" s="6">
        <f>100-SUM(AI28:AK28)</f>
        <v>100</v>
      </c>
      <c r="AM28" s="19"/>
      <c r="AN28" s="19"/>
      <c r="AO28" s="19"/>
      <c r="AP28" s="6">
        <f>100-SUM(AM28:AO28)</f>
        <v>100</v>
      </c>
      <c r="AQ28" s="19"/>
      <c r="AR28" s="19"/>
      <c r="AS28" s="19"/>
      <c r="AT28" s="6">
        <f>100-SUM(AQ28:AS28)</f>
        <v>100</v>
      </c>
    </row>
    <row r="29" spans="1:46" s="5" customFormat="1" ht="12.95">
      <c r="A29" s="4">
        <v>45843</v>
      </c>
      <c r="B29" s="129"/>
      <c r="C29" s="19"/>
      <c r="D29" s="19"/>
      <c r="E29" s="19"/>
      <c r="F29" s="6">
        <f t="shared" si="0"/>
        <v>100</v>
      </c>
      <c r="G29" s="19"/>
      <c r="H29" s="19"/>
      <c r="I29" s="19"/>
      <c r="J29" s="6">
        <f t="shared" si="1"/>
        <v>100</v>
      </c>
      <c r="K29" s="19"/>
      <c r="L29" s="19"/>
      <c r="M29" s="19"/>
      <c r="N29" s="6">
        <f t="shared" si="2"/>
        <v>100</v>
      </c>
      <c r="O29" s="19"/>
      <c r="P29" s="19"/>
      <c r="Q29" s="19"/>
      <c r="R29" s="6">
        <f t="shared" si="3"/>
        <v>100</v>
      </c>
      <c r="S29" s="19"/>
      <c r="T29" s="19"/>
      <c r="U29" s="19"/>
      <c r="V29" s="6">
        <f t="shared" si="4"/>
        <v>100</v>
      </c>
      <c r="W29" s="19"/>
      <c r="X29" s="19"/>
      <c r="Y29" s="19"/>
      <c r="Z29" s="6">
        <f t="shared" si="5"/>
        <v>100</v>
      </c>
      <c r="AA29" s="19"/>
      <c r="AB29" s="19"/>
      <c r="AC29" s="19"/>
      <c r="AD29" s="6">
        <f t="shared" si="6"/>
        <v>100</v>
      </c>
      <c r="AE29" s="19"/>
      <c r="AF29" s="19"/>
      <c r="AG29" s="19"/>
      <c r="AH29" s="6">
        <f t="shared" si="7"/>
        <v>100</v>
      </c>
      <c r="AI29" s="19"/>
      <c r="AJ29" s="19"/>
      <c r="AK29" s="19"/>
      <c r="AL29" s="6">
        <f t="shared" si="8"/>
        <v>100</v>
      </c>
      <c r="AM29" s="19"/>
      <c r="AN29" s="19"/>
      <c r="AO29" s="19"/>
      <c r="AP29" s="6">
        <f t="shared" si="9"/>
        <v>100</v>
      </c>
      <c r="AQ29" s="19"/>
      <c r="AR29" s="19"/>
      <c r="AS29" s="19"/>
      <c r="AT29" s="6">
        <f t="shared" si="10"/>
        <v>100</v>
      </c>
    </row>
    <row r="30" spans="1:46" s="5" customFormat="1" ht="12.95">
      <c r="A30" s="4">
        <v>45844</v>
      </c>
      <c r="B30" s="129"/>
      <c r="C30" s="19"/>
      <c r="D30" s="19"/>
      <c r="E30" s="19"/>
      <c r="F30" s="6">
        <f t="shared" si="0"/>
        <v>100</v>
      </c>
      <c r="G30" s="19"/>
      <c r="H30" s="19"/>
      <c r="I30" s="19"/>
      <c r="J30" s="6">
        <f t="shared" si="1"/>
        <v>100</v>
      </c>
      <c r="K30" s="19"/>
      <c r="L30" s="19"/>
      <c r="M30" s="19"/>
      <c r="N30" s="6">
        <f t="shared" si="2"/>
        <v>100</v>
      </c>
      <c r="O30" s="19"/>
      <c r="P30" s="19"/>
      <c r="Q30" s="19"/>
      <c r="R30" s="6">
        <f t="shared" si="3"/>
        <v>100</v>
      </c>
      <c r="S30" s="19"/>
      <c r="T30" s="19"/>
      <c r="U30" s="19"/>
      <c r="V30" s="6">
        <f t="shared" si="4"/>
        <v>100</v>
      </c>
      <c r="W30" s="19"/>
      <c r="X30" s="19"/>
      <c r="Y30" s="19"/>
      <c r="Z30" s="6">
        <f t="shared" si="5"/>
        <v>100</v>
      </c>
      <c r="AA30" s="19"/>
      <c r="AB30" s="19"/>
      <c r="AC30" s="19"/>
      <c r="AD30" s="6">
        <f t="shared" si="6"/>
        <v>100</v>
      </c>
      <c r="AE30" s="19"/>
      <c r="AF30" s="19"/>
      <c r="AG30" s="19"/>
      <c r="AH30" s="6">
        <f t="shared" si="7"/>
        <v>100</v>
      </c>
      <c r="AI30" s="19"/>
      <c r="AJ30" s="19"/>
      <c r="AK30" s="19"/>
      <c r="AL30" s="6">
        <f t="shared" si="8"/>
        <v>100</v>
      </c>
      <c r="AM30" s="19"/>
      <c r="AN30" s="19"/>
      <c r="AO30" s="19"/>
      <c r="AP30" s="6">
        <f t="shared" si="9"/>
        <v>100</v>
      </c>
      <c r="AQ30" s="19"/>
      <c r="AR30" s="19"/>
      <c r="AS30" s="19"/>
      <c r="AT30" s="6">
        <f t="shared" si="10"/>
        <v>100</v>
      </c>
    </row>
    <row r="31" spans="1:46" s="5" customFormat="1" ht="12.95">
      <c r="A31" s="4">
        <v>45845</v>
      </c>
      <c r="B31" s="129"/>
      <c r="C31" s="19"/>
      <c r="D31" s="19"/>
      <c r="E31" s="19"/>
      <c r="F31" s="6">
        <f t="shared" si="0"/>
        <v>100</v>
      </c>
      <c r="G31" s="19"/>
      <c r="H31" s="19"/>
      <c r="I31" s="19"/>
      <c r="J31" s="6">
        <f t="shared" si="1"/>
        <v>100</v>
      </c>
      <c r="K31" s="19"/>
      <c r="L31" s="19"/>
      <c r="M31" s="19"/>
      <c r="N31" s="6">
        <f t="shared" si="2"/>
        <v>100</v>
      </c>
      <c r="O31" s="19"/>
      <c r="P31" s="19"/>
      <c r="Q31" s="19"/>
      <c r="R31" s="6">
        <f t="shared" si="3"/>
        <v>100</v>
      </c>
      <c r="S31" s="19"/>
      <c r="T31" s="19"/>
      <c r="U31" s="19"/>
      <c r="V31" s="6">
        <f t="shared" si="4"/>
        <v>100</v>
      </c>
      <c r="W31" s="19"/>
      <c r="X31" s="19"/>
      <c r="Y31" s="19"/>
      <c r="Z31" s="6">
        <f t="shared" si="5"/>
        <v>100</v>
      </c>
      <c r="AA31" s="19"/>
      <c r="AB31" s="19"/>
      <c r="AC31" s="19"/>
      <c r="AD31" s="6">
        <f t="shared" si="6"/>
        <v>100</v>
      </c>
      <c r="AE31" s="19"/>
      <c r="AF31" s="19"/>
      <c r="AG31" s="19"/>
      <c r="AH31" s="6">
        <f t="shared" si="7"/>
        <v>100</v>
      </c>
      <c r="AI31" s="19"/>
      <c r="AJ31" s="19"/>
      <c r="AK31" s="19"/>
      <c r="AL31" s="6">
        <f t="shared" si="8"/>
        <v>100</v>
      </c>
      <c r="AM31" s="19"/>
      <c r="AN31" s="19"/>
      <c r="AO31" s="19"/>
      <c r="AP31" s="6">
        <f t="shared" si="9"/>
        <v>100</v>
      </c>
      <c r="AQ31" s="19"/>
      <c r="AR31" s="19"/>
      <c r="AS31" s="19"/>
      <c r="AT31" s="6">
        <f t="shared" si="10"/>
        <v>100</v>
      </c>
    </row>
    <row r="32" spans="1:46" s="5" customFormat="1" ht="12.95">
      <c r="A32" s="4">
        <v>45846</v>
      </c>
      <c r="B32" s="129"/>
      <c r="C32" s="7">
        <v>30.61</v>
      </c>
      <c r="D32" s="7">
        <v>19.93</v>
      </c>
      <c r="E32" s="7">
        <v>31.62</v>
      </c>
      <c r="F32" s="6">
        <f t="shared" si="0"/>
        <v>17.840000000000003</v>
      </c>
      <c r="G32" s="8">
        <v>10.63</v>
      </c>
      <c r="H32" s="8">
        <v>10.92</v>
      </c>
      <c r="I32" s="8">
        <v>49.8</v>
      </c>
      <c r="J32" s="6">
        <f>100-SUM(G32:I32)</f>
        <v>28.650000000000006</v>
      </c>
      <c r="K32" s="19"/>
      <c r="L32" s="19"/>
      <c r="M32" s="19"/>
      <c r="N32" s="6">
        <f>100-SUM(K32:M32)</f>
        <v>100</v>
      </c>
      <c r="O32" s="19"/>
      <c r="P32" s="19"/>
      <c r="Q32" s="19"/>
      <c r="R32" s="6">
        <f>100-SUM(O32:Q32)</f>
        <v>100</v>
      </c>
      <c r="S32" s="8">
        <v>36.49</v>
      </c>
      <c r="T32" s="8">
        <v>40.79</v>
      </c>
      <c r="U32" s="8">
        <v>0.55000000000000004</v>
      </c>
      <c r="V32" s="6">
        <f>100-SUM(S32:U32)</f>
        <v>22.17</v>
      </c>
      <c r="W32" s="8">
        <v>33.15</v>
      </c>
      <c r="X32" s="8">
        <v>33.9</v>
      </c>
      <c r="Y32" s="8">
        <v>0.4</v>
      </c>
      <c r="Z32" s="6">
        <f>100-SUM(W32:Y32)</f>
        <v>32.549999999999997</v>
      </c>
      <c r="AA32" s="19"/>
      <c r="AB32" s="19"/>
      <c r="AC32" s="19"/>
      <c r="AD32" s="6">
        <f>100-SUM(AA32:AC32)</f>
        <v>100</v>
      </c>
      <c r="AE32" s="19"/>
      <c r="AF32" s="19"/>
      <c r="AG32" s="19"/>
      <c r="AH32" s="6">
        <f>100-SUM(AE32:AG32)</f>
        <v>100</v>
      </c>
      <c r="AI32" s="19"/>
      <c r="AJ32" s="19"/>
      <c r="AK32" s="19"/>
      <c r="AL32" s="6">
        <f>100-SUM(AI32:AK32)</f>
        <v>100</v>
      </c>
      <c r="AM32" s="19"/>
      <c r="AN32" s="19"/>
      <c r="AO32" s="19"/>
      <c r="AP32" s="6">
        <f>100-SUM(AM32:AO32)</f>
        <v>100</v>
      </c>
      <c r="AQ32" s="19"/>
      <c r="AR32" s="19"/>
      <c r="AS32" s="19"/>
      <c r="AT32" s="6">
        <f>100-SUM(AQ32:AS32)</f>
        <v>100</v>
      </c>
    </row>
    <row r="33" spans="1:46" s="5" customFormat="1" ht="12.95">
      <c r="A33" s="4">
        <v>45847</v>
      </c>
      <c r="B33" s="129"/>
      <c r="C33" s="7">
        <v>29.87</v>
      </c>
      <c r="D33" s="7">
        <v>19.649999999999999</v>
      </c>
      <c r="E33" s="7">
        <v>31.68</v>
      </c>
      <c r="F33" s="6">
        <f>100-SUM(C33:E33)</f>
        <v>18.800000000000011</v>
      </c>
      <c r="G33" s="8">
        <v>10.97</v>
      </c>
      <c r="H33" s="8">
        <v>11.01</v>
      </c>
      <c r="I33" s="8">
        <v>49.17</v>
      </c>
      <c r="J33" s="6">
        <f t="shared" si="1"/>
        <v>28.849999999999994</v>
      </c>
      <c r="K33" s="19"/>
      <c r="L33" s="19"/>
      <c r="M33" s="19"/>
      <c r="N33" s="6">
        <f t="shared" si="2"/>
        <v>100</v>
      </c>
      <c r="O33" s="19"/>
      <c r="P33" s="19"/>
      <c r="Q33" s="19"/>
      <c r="R33" s="6">
        <f t="shared" si="3"/>
        <v>100</v>
      </c>
      <c r="S33" s="8">
        <v>37.36</v>
      </c>
      <c r="T33" s="8">
        <v>40.54</v>
      </c>
      <c r="U33" s="8">
        <v>0.49</v>
      </c>
      <c r="V33" s="6">
        <f t="shared" si="4"/>
        <v>21.61</v>
      </c>
      <c r="W33" s="8">
        <v>34.15</v>
      </c>
      <c r="X33" s="8">
        <v>35.06</v>
      </c>
      <c r="Y33" s="8">
        <v>0.52</v>
      </c>
      <c r="Z33" s="6">
        <f t="shared" si="5"/>
        <v>30.269999999999996</v>
      </c>
      <c r="AA33" s="19"/>
      <c r="AB33" s="19"/>
      <c r="AC33" s="19"/>
      <c r="AD33" s="6">
        <f t="shared" si="6"/>
        <v>100</v>
      </c>
      <c r="AE33" s="19"/>
      <c r="AF33" s="19"/>
      <c r="AG33" s="19"/>
      <c r="AH33" s="6">
        <f t="shared" si="7"/>
        <v>100</v>
      </c>
      <c r="AI33" s="19"/>
      <c r="AJ33" s="19"/>
      <c r="AK33" s="19"/>
      <c r="AL33" s="6">
        <f t="shared" si="8"/>
        <v>100</v>
      </c>
      <c r="AM33" s="19"/>
      <c r="AN33" s="19"/>
      <c r="AO33" s="19"/>
      <c r="AP33" s="6">
        <f t="shared" si="9"/>
        <v>100</v>
      </c>
      <c r="AQ33" s="19"/>
      <c r="AR33" s="19"/>
      <c r="AS33" s="19"/>
      <c r="AT33" s="6">
        <f t="shared" si="10"/>
        <v>100</v>
      </c>
    </row>
    <row r="34" spans="1:46">
      <c r="A34" s="4">
        <v>45848</v>
      </c>
      <c r="B34" s="129"/>
      <c r="C34" s="11">
        <v>29.66</v>
      </c>
      <c r="D34" s="12">
        <v>19.73</v>
      </c>
      <c r="E34" s="12">
        <v>32.04</v>
      </c>
      <c r="F34" s="6">
        <f>100-SUM(C34:E34)</f>
        <v>18.569999999999993</v>
      </c>
      <c r="G34" s="8"/>
      <c r="H34" s="8"/>
      <c r="I34" s="8"/>
      <c r="J34" s="6">
        <f t="shared" si="1"/>
        <v>100</v>
      </c>
      <c r="K34" s="19"/>
      <c r="L34" s="19"/>
      <c r="M34" s="19"/>
      <c r="N34" s="6">
        <f t="shared" si="2"/>
        <v>100</v>
      </c>
      <c r="O34" s="19"/>
      <c r="P34" s="19"/>
      <c r="Q34" s="19"/>
      <c r="R34" s="6">
        <f t="shared" si="3"/>
        <v>100</v>
      </c>
      <c r="S34" s="8"/>
      <c r="T34" s="8"/>
      <c r="U34" s="8"/>
      <c r="V34" s="6">
        <f t="shared" si="4"/>
        <v>100</v>
      </c>
      <c r="W34" s="8"/>
      <c r="X34" s="8"/>
      <c r="Y34" s="8"/>
      <c r="Z34" s="6">
        <f t="shared" si="5"/>
        <v>100</v>
      </c>
      <c r="AA34" s="19"/>
      <c r="AB34" s="19"/>
      <c r="AC34" s="19"/>
      <c r="AD34" s="6">
        <f t="shared" si="6"/>
        <v>100</v>
      </c>
      <c r="AE34" s="19"/>
      <c r="AF34" s="19"/>
      <c r="AG34" s="19"/>
      <c r="AH34" s="6">
        <f t="shared" si="7"/>
        <v>100</v>
      </c>
      <c r="AI34" s="12">
        <v>5.39</v>
      </c>
      <c r="AJ34" s="12">
        <v>0</v>
      </c>
      <c r="AK34" s="12">
        <v>1.68</v>
      </c>
      <c r="AL34" s="6">
        <f t="shared" si="8"/>
        <v>92.93</v>
      </c>
      <c r="AM34" s="12">
        <v>2.04</v>
      </c>
      <c r="AN34" s="12" t="s">
        <v>48</v>
      </c>
      <c r="AO34" s="12">
        <v>8.1999999999999993</v>
      </c>
      <c r="AP34" s="6">
        <f t="shared" si="9"/>
        <v>89.76</v>
      </c>
      <c r="AQ34" s="19"/>
      <c r="AR34" s="19"/>
      <c r="AS34" s="19"/>
      <c r="AT34" s="6">
        <f t="shared" si="10"/>
        <v>100</v>
      </c>
    </row>
    <row r="35" spans="1:46">
      <c r="A35" s="4">
        <v>45849</v>
      </c>
      <c r="B35" s="129"/>
      <c r="C35" s="11"/>
      <c r="D35" s="11"/>
      <c r="E35" s="11"/>
      <c r="F35" s="6">
        <f t="shared" ref="F35:F74" si="11">100-SUM(C35:E35)</f>
        <v>100</v>
      </c>
      <c r="G35" s="8"/>
      <c r="H35" s="8"/>
      <c r="I35" s="8"/>
      <c r="J35" s="6">
        <f t="shared" ref="J35:J74" si="12">100-SUM(G35:I35)</f>
        <v>100</v>
      </c>
      <c r="K35" s="19"/>
      <c r="L35" s="19"/>
      <c r="M35" s="19"/>
      <c r="N35" s="6">
        <f t="shared" ref="N35:N74" si="13">100-SUM(K35:M35)</f>
        <v>100</v>
      </c>
      <c r="O35" s="19"/>
      <c r="P35" s="19"/>
      <c r="Q35" s="19"/>
      <c r="R35" s="6">
        <f t="shared" ref="R35:R74" si="14">100-SUM(O35:Q35)</f>
        <v>100</v>
      </c>
      <c r="S35" s="8"/>
      <c r="T35" s="8"/>
      <c r="U35" s="8"/>
      <c r="V35" s="6">
        <f t="shared" ref="V35:V74" si="15">100-SUM(S35:U35)</f>
        <v>100</v>
      </c>
      <c r="W35" s="8"/>
      <c r="X35" s="8"/>
      <c r="Y35" s="8"/>
      <c r="Z35" s="6">
        <f t="shared" ref="Z35:Z74" si="16">100-SUM(W35:Y35)</f>
        <v>100</v>
      </c>
      <c r="AA35" s="19"/>
      <c r="AB35" s="19"/>
      <c r="AC35" s="19"/>
      <c r="AD35" s="6">
        <f t="shared" ref="AD35:AD74" si="17">100-SUM(AA35:AC35)</f>
        <v>100</v>
      </c>
      <c r="AE35" s="19"/>
      <c r="AF35" s="19"/>
      <c r="AG35" s="19"/>
      <c r="AH35" s="6">
        <f t="shared" ref="AH35:AH74" si="18">100-SUM(AE35:AG35)</f>
        <v>100</v>
      </c>
      <c r="AI35" s="19"/>
      <c r="AJ35" s="19"/>
      <c r="AK35" s="19"/>
      <c r="AL35" s="6">
        <f t="shared" ref="AL35:AL74" si="19">100-SUM(AI35:AK35)</f>
        <v>100</v>
      </c>
      <c r="AM35" s="19"/>
      <c r="AN35" s="19"/>
      <c r="AO35" s="19"/>
      <c r="AP35" s="6">
        <f t="shared" ref="AP35:AP74" si="20">100-SUM(AM35:AO35)</f>
        <v>100</v>
      </c>
      <c r="AQ35" s="19"/>
      <c r="AR35" s="19"/>
      <c r="AS35" s="19"/>
      <c r="AT35" s="6">
        <f t="shared" ref="AT35:AT74" si="21">100-SUM(AQ35:AS35)</f>
        <v>100</v>
      </c>
    </row>
    <row r="36" spans="1:46">
      <c r="A36" s="4">
        <v>45850</v>
      </c>
      <c r="B36" s="129"/>
      <c r="C36" s="7"/>
      <c r="D36" s="7"/>
      <c r="E36" s="7"/>
      <c r="F36" s="6">
        <f t="shared" si="11"/>
        <v>100</v>
      </c>
      <c r="G36" s="8"/>
      <c r="H36" s="8"/>
      <c r="I36" s="8"/>
      <c r="J36" s="6">
        <f t="shared" si="12"/>
        <v>100</v>
      </c>
      <c r="K36" s="19"/>
      <c r="L36" s="19"/>
      <c r="M36" s="19"/>
      <c r="N36" s="6">
        <f t="shared" si="13"/>
        <v>100</v>
      </c>
      <c r="O36" s="19"/>
      <c r="P36" s="19"/>
      <c r="Q36" s="19"/>
      <c r="R36" s="6">
        <f t="shared" si="14"/>
        <v>100</v>
      </c>
      <c r="S36" s="8"/>
      <c r="T36" s="8"/>
      <c r="U36" s="8"/>
      <c r="V36" s="6">
        <f t="shared" si="15"/>
        <v>100</v>
      </c>
      <c r="W36" s="8"/>
      <c r="X36" s="8"/>
      <c r="Y36" s="8"/>
      <c r="Z36" s="6">
        <f t="shared" si="16"/>
        <v>100</v>
      </c>
      <c r="AA36" s="19"/>
      <c r="AB36" s="19"/>
      <c r="AC36" s="19"/>
      <c r="AD36" s="6">
        <f t="shared" si="17"/>
        <v>100</v>
      </c>
      <c r="AE36" s="19"/>
      <c r="AF36" s="19"/>
      <c r="AG36" s="19"/>
      <c r="AH36" s="6">
        <f t="shared" si="18"/>
        <v>100</v>
      </c>
      <c r="AI36" s="19"/>
      <c r="AJ36" s="19"/>
      <c r="AK36" s="19"/>
      <c r="AL36" s="6">
        <f t="shared" si="19"/>
        <v>100</v>
      </c>
      <c r="AM36" s="19"/>
      <c r="AN36" s="19"/>
      <c r="AO36" s="19"/>
      <c r="AP36" s="6">
        <f t="shared" si="20"/>
        <v>100</v>
      </c>
      <c r="AQ36" s="19"/>
      <c r="AR36" s="19"/>
      <c r="AS36" s="19"/>
      <c r="AT36" s="6">
        <f t="shared" si="21"/>
        <v>100</v>
      </c>
    </row>
    <row r="37" spans="1:46">
      <c r="A37" s="4">
        <v>45851</v>
      </c>
      <c r="B37" s="129"/>
      <c r="C37" s="7"/>
      <c r="D37" s="7"/>
      <c r="E37" s="7"/>
      <c r="F37" s="6">
        <f t="shared" si="11"/>
        <v>100</v>
      </c>
      <c r="G37" s="8"/>
      <c r="H37" s="8"/>
      <c r="I37" s="8"/>
      <c r="J37" s="6">
        <f t="shared" si="12"/>
        <v>100</v>
      </c>
      <c r="K37" s="19"/>
      <c r="L37" s="19"/>
      <c r="M37" s="19"/>
      <c r="N37" s="6">
        <f t="shared" si="13"/>
        <v>100</v>
      </c>
      <c r="O37" s="19"/>
      <c r="P37" s="19"/>
      <c r="Q37" s="19"/>
      <c r="R37" s="6">
        <f t="shared" si="14"/>
        <v>100</v>
      </c>
      <c r="S37" s="8"/>
      <c r="T37" s="8"/>
      <c r="U37" s="8"/>
      <c r="V37" s="6">
        <f t="shared" si="15"/>
        <v>100</v>
      </c>
      <c r="W37" s="8"/>
      <c r="X37" s="8"/>
      <c r="Y37" s="8"/>
      <c r="Z37" s="6">
        <f t="shared" si="16"/>
        <v>100</v>
      </c>
      <c r="AA37" s="19"/>
      <c r="AB37" s="19"/>
      <c r="AC37" s="19"/>
      <c r="AD37" s="6">
        <f t="shared" si="17"/>
        <v>100</v>
      </c>
      <c r="AE37" s="19"/>
      <c r="AF37" s="19"/>
      <c r="AG37" s="19"/>
      <c r="AH37" s="6">
        <f t="shared" si="18"/>
        <v>100</v>
      </c>
      <c r="AI37" s="19"/>
      <c r="AJ37" s="19"/>
      <c r="AK37" s="19"/>
      <c r="AL37" s="6">
        <f t="shared" si="19"/>
        <v>100</v>
      </c>
      <c r="AM37" s="19"/>
      <c r="AN37" s="19"/>
      <c r="AO37" s="19"/>
      <c r="AP37" s="6">
        <f t="shared" si="20"/>
        <v>100</v>
      </c>
      <c r="AQ37" s="19"/>
      <c r="AR37" s="19"/>
      <c r="AS37" s="19"/>
      <c r="AT37" s="6">
        <f t="shared" si="21"/>
        <v>100</v>
      </c>
    </row>
    <row r="38" spans="1:46">
      <c r="A38" s="4">
        <v>45852</v>
      </c>
      <c r="B38" s="129"/>
      <c r="C38" s="7"/>
      <c r="D38" s="7"/>
      <c r="E38" s="7"/>
      <c r="F38" s="6">
        <f t="shared" si="11"/>
        <v>100</v>
      </c>
      <c r="G38" s="8"/>
      <c r="H38" s="8"/>
      <c r="I38" s="8"/>
      <c r="J38" s="6">
        <f t="shared" si="12"/>
        <v>100</v>
      </c>
      <c r="K38" s="19"/>
      <c r="L38" s="19"/>
      <c r="M38" s="19"/>
      <c r="N38" s="6">
        <f t="shared" si="13"/>
        <v>100</v>
      </c>
      <c r="O38" s="19"/>
      <c r="P38" s="19"/>
      <c r="Q38" s="19"/>
      <c r="R38" s="6">
        <f t="shared" si="14"/>
        <v>100</v>
      </c>
      <c r="S38" s="8"/>
      <c r="T38" s="8"/>
      <c r="U38" s="8"/>
      <c r="V38" s="6">
        <f t="shared" si="15"/>
        <v>100</v>
      </c>
      <c r="W38" s="8"/>
      <c r="X38" s="8"/>
      <c r="Y38" s="8"/>
      <c r="Z38" s="6">
        <f t="shared" si="16"/>
        <v>100</v>
      </c>
      <c r="AA38" s="19"/>
      <c r="AB38" s="19"/>
      <c r="AC38" s="19"/>
      <c r="AD38" s="6">
        <f t="shared" si="17"/>
        <v>100</v>
      </c>
      <c r="AE38" s="19"/>
      <c r="AF38" s="19"/>
      <c r="AG38" s="19"/>
      <c r="AH38" s="6">
        <f t="shared" si="18"/>
        <v>100</v>
      </c>
      <c r="AI38" s="19"/>
      <c r="AJ38" s="19"/>
      <c r="AK38" s="19"/>
      <c r="AL38" s="6">
        <f t="shared" si="19"/>
        <v>100</v>
      </c>
      <c r="AM38" s="19"/>
      <c r="AN38" s="19"/>
      <c r="AO38" s="19"/>
      <c r="AP38" s="6">
        <f t="shared" si="20"/>
        <v>100</v>
      </c>
      <c r="AQ38" s="19"/>
      <c r="AR38" s="19"/>
      <c r="AS38" s="19"/>
      <c r="AT38" s="6">
        <f t="shared" si="21"/>
        <v>100</v>
      </c>
    </row>
    <row r="39" spans="1:46">
      <c r="A39" s="4">
        <v>45853</v>
      </c>
      <c r="B39" s="129"/>
      <c r="C39" s="7"/>
      <c r="D39" s="7"/>
      <c r="E39" s="7"/>
      <c r="F39" s="6">
        <f t="shared" si="11"/>
        <v>100</v>
      </c>
      <c r="G39" s="8"/>
      <c r="H39" s="8"/>
      <c r="I39" s="8"/>
      <c r="J39" s="6">
        <f t="shared" si="12"/>
        <v>100</v>
      </c>
      <c r="K39" s="19"/>
      <c r="L39" s="19"/>
      <c r="M39" s="19"/>
      <c r="N39" s="6">
        <f t="shared" si="13"/>
        <v>100</v>
      </c>
      <c r="O39" s="19"/>
      <c r="P39" s="19"/>
      <c r="Q39" s="19"/>
      <c r="R39" s="6">
        <f t="shared" si="14"/>
        <v>100</v>
      </c>
      <c r="S39" s="8"/>
      <c r="T39" s="8"/>
      <c r="U39" s="8"/>
      <c r="V39" s="6">
        <f t="shared" si="15"/>
        <v>100</v>
      </c>
      <c r="W39" s="8"/>
      <c r="X39" s="8"/>
      <c r="Y39" s="8"/>
      <c r="Z39" s="6">
        <f t="shared" si="16"/>
        <v>100</v>
      </c>
      <c r="AA39" s="19"/>
      <c r="AB39" s="19"/>
      <c r="AC39" s="19"/>
      <c r="AD39" s="6">
        <f t="shared" si="17"/>
        <v>100</v>
      </c>
      <c r="AE39" s="19"/>
      <c r="AF39" s="19"/>
      <c r="AG39" s="19"/>
      <c r="AH39" s="6">
        <f t="shared" si="18"/>
        <v>100</v>
      </c>
      <c r="AI39" s="19"/>
      <c r="AJ39" s="19"/>
      <c r="AK39" s="19"/>
      <c r="AL39" s="6">
        <f t="shared" si="19"/>
        <v>100</v>
      </c>
      <c r="AM39" s="19"/>
      <c r="AN39" s="19"/>
      <c r="AO39" s="19"/>
      <c r="AP39" s="6">
        <f t="shared" si="20"/>
        <v>100</v>
      </c>
      <c r="AQ39" s="19"/>
      <c r="AR39" s="19"/>
      <c r="AS39" s="19"/>
      <c r="AT39" s="6">
        <f t="shared" si="21"/>
        <v>100</v>
      </c>
    </row>
    <row r="40" spans="1:46">
      <c r="A40" s="4">
        <v>45854</v>
      </c>
      <c r="B40" s="129"/>
      <c r="C40" s="7"/>
      <c r="D40" s="7"/>
      <c r="E40" s="7"/>
      <c r="F40" s="6">
        <f t="shared" si="11"/>
        <v>100</v>
      </c>
      <c r="G40" s="8"/>
      <c r="H40" s="8"/>
      <c r="I40" s="8"/>
      <c r="J40" s="6">
        <f t="shared" si="12"/>
        <v>100</v>
      </c>
      <c r="K40" s="19"/>
      <c r="L40" s="19"/>
      <c r="M40" s="19"/>
      <c r="N40" s="6">
        <f t="shared" si="13"/>
        <v>100</v>
      </c>
      <c r="O40" s="19"/>
      <c r="P40" s="19"/>
      <c r="Q40" s="19"/>
      <c r="R40" s="6">
        <f t="shared" si="14"/>
        <v>100</v>
      </c>
      <c r="S40" s="8"/>
      <c r="T40" s="8"/>
      <c r="U40" s="8"/>
      <c r="V40" s="6">
        <f t="shared" si="15"/>
        <v>100</v>
      </c>
      <c r="W40" s="8"/>
      <c r="X40" s="8"/>
      <c r="Y40" s="8"/>
      <c r="Z40" s="6">
        <f t="shared" si="16"/>
        <v>100</v>
      </c>
      <c r="AA40" s="19"/>
      <c r="AB40" s="19"/>
      <c r="AC40" s="19"/>
      <c r="AD40" s="6">
        <f t="shared" si="17"/>
        <v>100</v>
      </c>
      <c r="AE40" s="19"/>
      <c r="AF40" s="19"/>
      <c r="AG40" s="19"/>
      <c r="AH40" s="6">
        <f t="shared" si="18"/>
        <v>100</v>
      </c>
      <c r="AI40" s="19"/>
      <c r="AJ40" s="19"/>
      <c r="AK40" s="19"/>
      <c r="AL40" s="6">
        <f t="shared" si="19"/>
        <v>100</v>
      </c>
      <c r="AM40" s="19"/>
      <c r="AN40" s="19"/>
      <c r="AO40" s="19"/>
      <c r="AP40" s="6">
        <f t="shared" si="20"/>
        <v>100</v>
      </c>
      <c r="AQ40" s="19"/>
      <c r="AR40" s="19"/>
      <c r="AS40" s="19"/>
      <c r="AT40" s="6">
        <f t="shared" si="21"/>
        <v>100</v>
      </c>
    </row>
    <row r="41" spans="1:46">
      <c r="A41" s="4">
        <v>45855</v>
      </c>
      <c r="B41" s="130">
        <v>108</v>
      </c>
      <c r="C41" s="71">
        <v>30.52</v>
      </c>
      <c r="D41" s="72">
        <v>18.47</v>
      </c>
      <c r="E41" s="72">
        <v>32.1</v>
      </c>
      <c r="F41" s="6">
        <f t="shared" si="11"/>
        <v>18.909999999999997</v>
      </c>
      <c r="G41" s="72">
        <v>10.33</v>
      </c>
      <c r="H41" s="72">
        <v>10.85</v>
      </c>
      <c r="I41" s="72">
        <v>50.21</v>
      </c>
      <c r="J41" s="6">
        <f t="shared" si="12"/>
        <v>28.61</v>
      </c>
      <c r="K41" s="72">
        <v>17.010000000000002</v>
      </c>
      <c r="L41" s="72">
        <v>12.86</v>
      </c>
      <c r="M41" s="72">
        <v>45.26</v>
      </c>
      <c r="N41" s="6">
        <f t="shared" si="13"/>
        <v>24.870000000000005</v>
      </c>
      <c r="O41" s="72">
        <v>0.64</v>
      </c>
      <c r="P41" s="72">
        <v>0.22</v>
      </c>
      <c r="Q41" s="72">
        <v>66</v>
      </c>
      <c r="R41" s="6">
        <f t="shared" si="14"/>
        <v>33.14</v>
      </c>
      <c r="S41" s="72">
        <v>37.049999999999997</v>
      </c>
      <c r="T41" s="72">
        <v>41.25</v>
      </c>
      <c r="U41" s="72">
        <v>0</v>
      </c>
      <c r="V41" s="6">
        <f t="shared" si="15"/>
        <v>21.700000000000003</v>
      </c>
      <c r="W41" s="72">
        <v>32.979999999999997</v>
      </c>
      <c r="X41" s="72">
        <v>34.47</v>
      </c>
      <c r="Y41" s="73">
        <v>0</v>
      </c>
      <c r="Z41" s="6">
        <f t="shared" si="16"/>
        <v>32.550000000000011</v>
      </c>
      <c r="AA41" s="72">
        <v>27.26</v>
      </c>
      <c r="AB41" s="72">
        <v>11.96</v>
      </c>
      <c r="AC41" s="72">
        <v>0</v>
      </c>
      <c r="AD41" s="6">
        <f t="shared" si="17"/>
        <v>60.78</v>
      </c>
      <c r="AE41" s="72">
        <v>17.43</v>
      </c>
      <c r="AF41" s="72">
        <v>4.9000000000000004</v>
      </c>
      <c r="AG41" s="72">
        <v>0</v>
      </c>
      <c r="AH41" s="6">
        <f t="shared" si="18"/>
        <v>77.67</v>
      </c>
      <c r="AI41" s="72">
        <v>5.55</v>
      </c>
      <c r="AJ41" s="72">
        <v>1.72</v>
      </c>
      <c r="AK41" s="72">
        <v>1.39</v>
      </c>
      <c r="AL41" s="6">
        <f t="shared" si="19"/>
        <v>91.34</v>
      </c>
      <c r="AM41" s="72">
        <v>1.7</v>
      </c>
      <c r="AN41" s="72">
        <v>0</v>
      </c>
      <c r="AO41" s="72">
        <v>0</v>
      </c>
      <c r="AP41" s="6">
        <f t="shared" si="20"/>
        <v>98.3</v>
      </c>
      <c r="AQ41" s="72">
        <v>0.53</v>
      </c>
      <c r="AR41" s="72">
        <v>0.19</v>
      </c>
      <c r="AS41" s="74">
        <v>0</v>
      </c>
      <c r="AT41" s="6">
        <f t="shared" si="21"/>
        <v>99.28</v>
      </c>
    </row>
    <row r="42" spans="1:46">
      <c r="A42" s="4">
        <v>45856</v>
      </c>
      <c r="B42" s="130">
        <v>109</v>
      </c>
      <c r="C42" s="71">
        <v>30.14</v>
      </c>
      <c r="D42" s="71">
        <v>18.84</v>
      </c>
      <c r="E42" s="71">
        <v>31.72</v>
      </c>
      <c r="F42" s="6">
        <f t="shared" si="11"/>
        <v>19.299999999999997</v>
      </c>
      <c r="G42" s="8"/>
      <c r="H42" s="8"/>
      <c r="I42" s="8"/>
      <c r="J42" s="6">
        <f t="shared" si="12"/>
        <v>100</v>
      </c>
      <c r="K42" s="19"/>
      <c r="L42" s="19"/>
      <c r="M42" s="19"/>
      <c r="N42" s="6">
        <f t="shared" si="13"/>
        <v>100</v>
      </c>
      <c r="O42" s="19"/>
      <c r="P42" s="19"/>
      <c r="Q42" s="19"/>
      <c r="R42" s="6">
        <f t="shared" si="14"/>
        <v>100</v>
      </c>
      <c r="S42" s="72">
        <v>36.89</v>
      </c>
      <c r="T42" s="72">
        <v>40.42</v>
      </c>
      <c r="U42" s="72">
        <v>0</v>
      </c>
      <c r="V42" s="6">
        <f t="shared" si="15"/>
        <v>22.689999999999998</v>
      </c>
      <c r="W42" s="72">
        <v>33.28</v>
      </c>
      <c r="X42" s="72">
        <v>33.65</v>
      </c>
      <c r="Y42" s="73">
        <v>0</v>
      </c>
      <c r="Z42" s="6">
        <f t="shared" si="16"/>
        <v>33.069999999999993</v>
      </c>
      <c r="AA42" s="19"/>
      <c r="AB42" s="19"/>
      <c r="AC42" s="19"/>
      <c r="AD42" s="6">
        <f t="shared" si="17"/>
        <v>100</v>
      </c>
      <c r="AE42" s="19"/>
      <c r="AF42" s="19"/>
      <c r="AG42" s="19"/>
      <c r="AH42" s="6">
        <f t="shared" si="18"/>
        <v>100</v>
      </c>
      <c r="AI42" s="19"/>
      <c r="AJ42" s="19"/>
      <c r="AK42" s="19"/>
      <c r="AL42" s="6">
        <f t="shared" si="19"/>
        <v>100</v>
      </c>
      <c r="AM42" s="19"/>
      <c r="AN42" s="19"/>
      <c r="AO42" s="19"/>
      <c r="AP42" s="6">
        <f t="shared" si="20"/>
        <v>100</v>
      </c>
      <c r="AQ42" s="19"/>
      <c r="AR42" s="19"/>
      <c r="AS42" s="19"/>
      <c r="AT42" s="6">
        <f t="shared" si="21"/>
        <v>100</v>
      </c>
    </row>
    <row r="43" spans="1:46">
      <c r="A43" s="4">
        <v>45857</v>
      </c>
      <c r="B43" s="130"/>
      <c r="C43" s="7"/>
      <c r="D43" s="7"/>
      <c r="E43" s="7"/>
      <c r="F43" s="6">
        <f t="shared" si="11"/>
        <v>100</v>
      </c>
      <c r="G43" s="8"/>
      <c r="H43" s="8"/>
      <c r="I43" s="8"/>
      <c r="J43" s="6">
        <f t="shared" si="12"/>
        <v>100</v>
      </c>
      <c r="K43" s="19"/>
      <c r="L43" s="19"/>
      <c r="M43" s="19"/>
      <c r="N43" s="6">
        <f t="shared" si="13"/>
        <v>100</v>
      </c>
      <c r="O43" s="19"/>
      <c r="P43" s="19"/>
      <c r="Q43" s="19"/>
      <c r="R43" s="6">
        <f t="shared" si="14"/>
        <v>100</v>
      </c>
      <c r="S43" s="8"/>
      <c r="T43" s="8"/>
      <c r="U43" s="8"/>
      <c r="V43" s="6">
        <f t="shared" si="15"/>
        <v>100</v>
      </c>
      <c r="W43" s="8"/>
      <c r="X43" s="8"/>
      <c r="Y43" s="8"/>
      <c r="Z43" s="6">
        <f t="shared" si="16"/>
        <v>100</v>
      </c>
      <c r="AA43" s="19"/>
      <c r="AB43" s="19"/>
      <c r="AC43" s="19"/>
      <c r="AD43" s="6">
        <f t="shared" si="17"/>
        <v>100</v>
      </c>
      <c r="AE43" s="19"/>
      <c r="AF43" s="19"/>
      <c r="AG43" s="19"/>
      <c r="AH43" s="6">
        <f t="shared" si="18"/>
        <v>100</v>
      </c>
      <c r="AI43" s="19"/>
      <c r="AJ43" s="19"/>
      <c r="AK43" s="19"/>
      <c r="AL43" s="6">
        <f t="shared" si="19"/>
        <v>100</v>
      </c>
      <c r="AM43" s="19"/>
      <c r="AN43" s="19"/>
      <c r="AO43" s="19"/>
      <c r="AP43" s="6">
        <f t="shared" si="20"/>
        <v>100</v>
      </c>
      <c r="AQ43" s="19"/>
      <c r="AR43" s="19"/>
      <c r="AS43" s="19"/>
      <c r="AT43" s="6">
        <f t="shared" si="21"/>
        <v>100</v>
      </c>
    </row>
    <row r="44" spans="1:46">
      <c r="A44" s="4">
        <v>45858</v>
      </c>
      <c r="B44" s="130"/>
      <c r="C44" s="7"/>
      <c r="D44" s="7"/>
      <c r="E44" s="7"/>
      <c r="F44" s="6">
        <f t="shared" si="11"/>
        <v>100</v>
      </c>
      <c r="G44" s="8"/>
      <c r="H44" s="8"/>
      <c r="I44" s="8"/>
      <c r="J44" s="6">
        <f t="shared" si="12"/>
        <v>100</v>
      </c>
      <c r="K44" s="19"/>
      <c r="L44" s="19"/>
      <c r="M44" s="19"/>
      <c r="N44" s="6">
        <f t="shared" si="13"/>
        <v>100</v>
      </c>
      <c r="O44" s="19"/>
      <c r="P44" s="19"/>
      <c r="Q44" s="19"/>
      <c r="R44" s="6">
        <f t="shared" si="14"/>
        <v>100</v>
      </c>
      <c r="S44" s="8"/>
      <c r="T44" s="8"/>
      <c r="U44" s="8"/>
      <c r="V44" s="6">
        <f t="shared" si="15"/>
        <v>100</v>
      </c>
      <c r="W44" s="8"/>
      <c r="X44" s="8"/>
      <c r="Y44" s="8"/>
      <c r="Z44" s="6">
        <f t="shared" si="16"/>
        <v>100</v>
      </c>
      <c r="AA44" s="19"/>
      <c r="AB44" s="19"/>
      <c r="AC44" s="19"/>
      <c r="AD44" s="6">
        <f t="shared" si="17"/>
        <v>100</v>
      </c>
      <c r="AE44" s="19"/>
      <c r="AF44" s="19"/>
      <c r="AG44" s="19"/>
      <c r="AH44" s="6">
        <f t="shared" si="18"/>
        <v>100</v>
      </c>
      <c r="AI44" s="19"/>
      <c r="AJ44" s="19"/>
      <c r="AK44" s="19"/>
      <c r="AL44" s="6">
        <f t="shared" si="19"/>
        <v>100</v>
      </c>
      <c r="AM44" s="19"/>
      <c r="AN44" s="19"/>
      <c r="AO44" s="19"/>
      <c r="AP44" s="6">
        <f t="shared" si="20"/>
        <v>100</v>
      </c>
      <c r="AQ44" s="19"/>
      <c r="AR44" s="19"/>
      <c r="AS44" s="19"/>
      <c r="AT44" s="6">
        <f t="shared" si="21"/>
        <v>100</v>
      </c>
    </row>
    <row r="45" spans="1:46">
      <c r="A45" s="4">
        <v>45859</v>
      </c>
      <c r="B45" s="130">
        <v>108</v>
      </c>
      <c r="C45" s="78">
        <v>30.15</v>
      </c>
      <c r="D45" s="80">
        <v>19.100000000000001</v>
      </c>
      <c r="E45" s="80">
        <v>31.96</v>
      </c>
      <c r="F45" s="6">
        <f t="shared" si="11"/>
        <v>18.789999999999992</v>
      </c>
      <c r="G45" s="75">
        <v>10.68</v>
      </c>
      <c r="H45" s="76">
        <v>10.97</v>
      </c>
      <c r="I45" s="76">
        <v>49.88</v>
      </c>
      <c r="J45" s="6">
        <f t="shared" si="12"/>
        <v>28.47</v>
      </c>
      <c r="K45" s="77">
        <v>16.149999999999999</v>
      </c>
      <c r="L45" s="77">
        <v>11.69</v>
      </c>
      <c r="M45" s="77">
        <v>45.45</v>
      </c>
      <c r="N45" s="6">
        <f t="shared" si="13"/>
        <v>26.710000000000008</v>
      </c>
      <c r="O45" s="77">
        <v>0.64</v>
      </c>
      <c r="P45" s="77">
        <v>0.22</v>
      </c>
      <c r="Q45" s="77">
        <v>64</v>
      </c>
      <c r="R45" s="6">
        <f t="shared" si="14"/>
        <v>35.14</v>
      </c>
      <c r="S45" s="77">
        <v>37.26</v>
      </c>
      <c r="T45" s="77">
        <v>39.799999999999997</v>
      </c>
      <c r="U45" s="8">
        <v>0</v>
      </c>
      <c r="V45" s="6">
        <f t="shared" si="15"/>
        <v>22.939999999999998</v>
      </c>
      <c r="W45" s="77">
        <v>33.35</v>
      </c>
      <c r="X45" s="77">
        <v>34.380000000000003</v>
      </c>
      <c r="Y45" s="8">
        <v>0</v>
      </c>
      <c r="Z45" s="6">
        <f t="shared" si="16"/>
        <v>32.269999999999996</v>
      </c>
      <c r="AA45" s="77">
        <v>27.66</v>
      </c>
      <c r="AB45" s="77">
        <v>14.18</v>
      </c>
      <c r="AC45" s="19"/>
      <c r="AD45" s="6">
        <f t="shared" si="17"/>
        <v>58.16</v>
      </c>
      <c r="AE45" s="77">
        <v>16.47</v>
      </c>
      <c r="AF45" s="77">
        <v>3.96</v>
      </c>
      <c r="AG45" s="19"/>
      <c r="AH45" s="6">
        <f t="shared" si="18"/>
        <v>79.569999999999993</v>
      </c>
      <c r="AI45" s="77">
        <v>4.8600000000000003</v>
      </c>
      <c r="AJ45" s="77">
        <v>1.72</v>
      </c>
      <c r="AK45" s="77">
        <v>1.54</v>
      </c>
      <c r="AL45" s="6">
        <f t="shared" si="19"/>
        <v>91.88</v>
      </c>
      <c r="AM45" s="77">
        <v>2.04</v>
      </c>
      <c r="AN45" s="19">
        <v>0</v>
      </c>
      <c r="AO45" s="19">
        <v>0</v>
      </c>
      <c r="AP45" s="6">
        <f t="shared" si="20"/>
        <v>97.96</v>
      </c>
      <c r="AQ45" s="77">
        <v>0.47</v>
      </c>
      <c r="AR45" s="77">
        <v>0.19</v>
      </c>
      <c r="AS45" s="79">
        <v>70</v>
      </c>
      <c r="AT45" s="6">
        <f t="shared" si="21"/>
        <v>29.340000000000003</v>
      </c>
    </row>
    <row r="46" spans="1:46">
      <c r="A46" s="4">
        <v>45860</v>
      </c>
      <c r="B46" s="130">
        <v>108</v>
      </c>
      <c r="C46" s="7"/>
      <c r="D46" s="7"/>
      <c r="E46" s="7"/>
      <c r="F46" s="6">
        <f t="shared" si="11"/>
        <v>100</v>
      </c>
      <c r="G46" s="8"/>
      <c r="H46" s="8"/>
      <c r="I46" s="8"/>
      <c r="J46" s="6">
        <f t="shared" si="12"/>
        <v>100</v>
      </c>
      <c r="K46" s="19"/>
      <c r="L46" s="19"/>
      <c r="M46" s="19"/>
      <c r="N46" s="6">
        <f t="shared" si="13"/>
        <v>100</v>
      </c>
      <c r="O46" s="19"/>
      <c r="P46" s="19"/>
      <c r="Q46" s="19"/>
      <c r="R46" s="6">
        <f t="shared" si="14"/>
        <v>100</v>
      </c>
      <c r="S46" s="8"/>
      <c r="T46" s="8"/>
      <c r="U46" s="8"/>
      <c r="V46" s="6">
        <f t="shared" si="15"/>
        <v>100</v>
      </c>
      <c r="W46" s="8"/>
      <c r="X46" s="8"/>
      <c r="Y46" s="8"/>
      <c r="Z46" s="6">
        <f t="shared" si="16"/>
        <v>100</v>
      </c>
      <c r="AA46" s="19"/>
      <c r="AB46" s="19"/>
      <c r="AC46" s="19"/>
      <c r="AD46" s="6">
        <f t="shared" si="17"/>
        <v>100</v>
      </c>
      <c r="AE46" s="19"/>
      <c r="AF46" s="19"/>
      <c r="AG46" s="19"/>
      <c r="AH46" s="6">
        <f t="shared" si="18"/>
        <v>100</v>
      </c>
      <c r="AI46" s="19"/>
      <c r="AJ46" s="19"/>
      <c r="AK46" s="19"/>
      <c r="AL46" s="6">
        <f t="shared" si="19"/>
        <v>100</v>
      </c>
      <c r="AM46" s="19"/>
      <c r="AN46" s="19"/>
      <c r="AO46" s="19"/>
      <c r="AP46" s="6">
        <f t="shared" si="20"/>
        <v>100</v>
      </c>
      <c r="AQ46" s="19"/>
      <c r="AR46" s="19"/>
      <c r="AS46" s="19"/>
      <c r="AT46" s="6">
        <f t="shared" si="21"/>
        <v>100</v>
      </c>
    </row>
    <row r="47" spans="1:46">
      <c r="A47" s="4">
        <v>45861</v>
      </c>
      <c r="B47" s="130"/>
      <c r="C47" s="7"/>
      <c r="D47" s="7"/>
      <c r="E47" s="7"/>
      <c r="F47" s="6">
        <f t="shared" si="11"/>
        <v>100</v>
      </c>
      <c r="G47" s="8"/>
      <c r="H47" s="8"/>
      <c r="I47" s="8"/>
      <c r="J47" s="6">
        <f t="shared" si="12"/>
        <v>100</v>
      </c>
      <c r="K47" s="19"/>
      <c r="L47" s="19"/>
      <c r="M47" s="19"/>
      <c r="N47" s="6">
        <f t="shared" si="13"/>
        <v>100</v>
      </c>
      <c r="O47" s="19"/>
      <c r="P47" s="19"/>
      <c r="Q47" s="19"/>
      <c r="R47" s="6">
        <f t="shared" si="14"/>
        <v>100</v>
      </c>
      <c r="S47" s="8"/>
      <c r="T47" s="8"/>
      <c r="U47" s="8"/>
      <c r="V47" s="6">
        <f t="shared" si="15"/>
        <v>100</v>
      </c>
      <c r="W47" s="8"/>
      <c r="X47" s="8"/>
      <c r="Y47" s="8"/>
      <c r="Z47" s="6">
        <f t="shared" si="16"/>
        <v>100</v>
      </c>
      <c r="AA47" s="19"/>
      <c r="AB47" s="19"/>
      <c r="AC47" s="19"/>
      <c r="AD47" s="6">
        <f t="shared" si="17"/>
        <v>100</v>
      </c>
      <c r="AE47" s="19"/>
      <c r="AF47" s="19"/>
      <c r="AG47" s="19"/>
      <c r="AH47" s="6">
        <f t="shared" si="18"/>
        <v>100</v>
      </c>
      <c r="AI47" s="19"/>
      <c r="AJ47" s="19"/>
      <c r="AK47" s="19"/>
      <c r="AL47" s="6">
        <f t="shared" si="19"/>
        <v>100</v>
      </c>
      <c r="AM47" s="19"/>
      <c r="AN47" s="19"/>
      <c r="AO47" s="19"/>
      <c r="AP47" s="6">
        <f t="shared" si="20"/>
        <v>100</v>
      </c>
      <c r="AQ47" s="19"/>
      <c r="AR47" s="19"/>
      <c r="AS47" s="19"/>
      <c r="AT47" s="6">
        <f t="shared" si="21"/>
        <v>100</v>
      </c>
    </row>
    <row r="48" spans="1:46">
      <c r="A48" s="4">
        <v>45862</v>
      </c>
      <c r="B48" s="130"/>
      <c r="C48" s="7"/>
      <c r="D48" s="7"/>
      <c r="E48" s="7"/>
      <c r="F48" s="6">
        <f t="shared" si="11"/>
        <v>100</v>
      </c>
      <c r="G48" s="8"/>
      <c r="H48" s="8"/>
      <c r="I48" s="8"/>
      <c r="J48" s="6">
        <f t="shared" si="12"/>
        <v>100</v>
      </c>
      <c r="K48" s="19"/>
      <c r="L48" s="19"/>
      <c r="M48" s="19"/>
      <c r="N48" s="6">
        <f t="shared" si="13"/>
        <v>100</v>
      </c>
      <c r="O48" s="19"/>
      <c r="P48" s="19"/>
      <c r="Q48" s="19"/>
      <c r="R48" s="6">
        <f t="shared" si="14"/>
        <v>100</v>
      </c>
      <c r="S48" s="8"/>
      <c r="T48" s="8"/>
      <c r="U48" s="8"/>
      <c r="V48" s="6">
        <f t="shared" si="15"/>
        <v>100</v>
      </c>
      <c r="W48" s="8"/>
      <c r="X48" s="8"/>
      <c r="Y48" s="8"/>
      <c r="Z48" s="6">
        <f t="shared" si="16"/>
        <v>100</v>
      </c>
      <c r="AA48" s="19"/>
      <c r="AB48" s="19"/>
      <c r="AC48" s="19"/>
      <c r="AD48" s="6">
        <f t="shared" si="17"/>
        <v>100</v>
      </c>
      <c r="AE48" s="19"/>
      <c r="AF48" s="19"/>
      <c r="AG48" s="19"/>
      <c r="AH48" s="6">
        <f t="shared" si="18"/>
        <v>100</v>
      </c>
      <c r="AI48" s="19"/>
      <c r="AJ48" s="19"/>
      <c r="AK48" s="19"/>
      <c r="AL48" s="6">
        <f t="shared" si="19"/>
        <v>100</v>
      </c>
      <c r="AM48" s="19"/>
      <c r="AN48" s="19"/>
      <c r="AO48" s="19"/>
      <c r="AP48" s="6">
        <f t="shared" si="20"/>
        <v>100</v>
      </c>
      <c r="AQ48" s="19"/>
      <c r="AR48" s="19"/>
      <c r="AS48" s="19"/>
      <c r="AT48" s="6">
        <f t="shared" si="21"/>
        <v>100</v>
      </c>
    </row>
    <row r="49" spans="1:46">
      <c r="A49" s="4">
        <v>45863</v>
      </c>
      <c r="B49" s="130"/>
      <c r="C49" s="7"/>
      <c r="D49" s="7"/>
      <c r="E49" s="7"/>
      <c r="F49" s="6">
        <f t="shared" si="11"/>
        <v>100</v>
      </c>
      <c r="G49" s="8"/>
      <c r="H49" s="8"/>
      <c r="I49" s="8"/>
      <c r="J49" s="6">
        <f t="shared" si="12"/>
        <v>100</v>
      </c>
      <c r="K49" s="19"/>
      <c r="L49" s="19"/>
      <c r="M49" s="19"/>
      <c r="N49" s="6">
        <f t="shared" si="13"/>
        <v>100</v>
      </c>
      <c r="O49" s="19"/>
      <c r="P49" s="19"/>
      <c r="Q49" s="19"/>
      <c r="R49" s="6">
        <f t="shared" si="14"/>
        <v>100</v>
      </c>
      <c r="S49" s="8"/>
      <c r="T49" s="8"/>
      <c r="U49" s="8"/>
      <c r="V49" s="6">
        <f t="shared" si="15"/>
        <v>100</v>
      </c>
      <c r="W49" s="8"/>
      <c r="X49" s="8"/>
      <c r="Y49" s="8"/>
      <c r="Z49" s="6">
        <f t="shared" si="16"/>
        <v>100</v>
      </c>
      <c r="AA49" s="19"/>
      <c r="AB49" s="19"/>
      <c r="AC49" s="19"/>
      <c r="AD49" s="6">
        <f t="shared" si="17"/>
        <v>100</v>
      </c>
      <c r="AE49" s="19"/>
      <c r="AF49" s="19"/>
      <c r="AG49" s="19"/>
      <c r="AH49" s="6">
        <f t="shared" si="18"/>
        <v>100</v>
      </c>
      <c r="AI49" s="19"/>
      <c r="AJ49" s="19"/>
      <c r="AK49" s="19"/>
      <c r="AL49" s="6">
        <f t="shared" si="19"/>
        <v>100</v>
      </c>
      <c r="AM49" s="19"/>
      <c r="AN49" s="19"/>
      <c r="AO49" s="19"/>
      <c r="AP49" s="6">
        <f t="shared" si="20"/>
        <v>100</v>
      </c>
      <c r="AQ49" s="19"/>
      <c r="AR49" s="19"/>
      <c r="AS49" s="19"/>
      <c r="AT49" s="6">
        <f t="shared" si="21"/>
        <v>100</v>
      </c>
    </row>
    <row r="50" spans="1:46">
      <c r="A50" s="4">
        <v>45864</v>
      </c>
      <c r="B50" s="130"/>
      <c r="C50" s="7"/>
      <c r="D50" s="7"/>
      <c r="E50" s="7"/>
      <c r="F50" s="6">
        <f t="shared" si="11"/>
        <v>100</v>
      </c>
      <c r="G50" s="8"/>
      <c r="H50" s="8"/>
      <c r="I50" s="8"/>
      <c r="J50" s="6">
        <f t="shared" si="12"/>
        <v>100</v>
      </c>
      <c r="K50" s="19"/>
      <c r="L50" s="19"/>
      <c r="M50" s="19"/>
      <c r="N50" s="6">
        <f t="shared" si="13"/>
        <v>100</v>
      </c>
      <c r="O50" s="19"/>
      <c r="P50" s="19"/>
      <c r="Q50" s="19"/>
      <c r="R50" s="6">
        <f t="shared" si="14"/>
        <v>100</v>
      </c>
      <c r="S50" s="8"/>
      <c r="T50" s="8"/>
      <c r="U50" s="8"/>
      <c r="V50" s="6">
        <f t="shared" si="15"/>
        <v>100</v>
      </c>
      <c r="W50" s="8"/>
      <c r="X50" s="8"/>
      <c r="Y50" s="8"/>
      <c r="Z50" s="6">
        <f t="shared" si="16"/>
        <v>100</v>
      </c>
      <c r="AA50" s="19"/>
      <c r="AB50" s="19"/>
      <c r="AC50" s="19"/>
      <c r="AD50" s="6">
        <f t="shared" si="17"/>
        <v>100</v>
      </c>
      <c r="AE50" s="19"/>
      <c r="AF50" s="19"/>
      <c r="AG50" s="19"/>
      <c r="AH50" s="6">
        <f t="shared" si="18"/>
        <v>100</v>
      </c>
      <c r="AI50" s="19"/>
      <c r="AJ50" s="19"/>
      <c r="AK50" s="19"/>
      <c r="AL50" s="6">
        <f t="shared" si="19"/>
        <v>100</v>
      </c>
      <c r="AM50" s="19"/>
      <c r="AN50" s="19"/>
      <c r="AO50" s="19"/>
      <c r="AP50" s="6">
        <f t="shared" si="20"/>
        <v>100</v>
      </c>
      <c r="AQ50" s="19"/>
      <c r="AR50" s="19"/>
      <c r="AS50" s="19"/>
      <c r="AT50" s="6">
        <f t="shared" si="21"/>
        <v>100</v>
      </c>
    </row>
    <row r="51" spans="1:46">
      <c r="A51" s="4">
        <v>45865</v>
      </c>
      <c r="B51" s="130"/>
      <c r="C51" s="7"/>
      <c r="D51" s="7"/>
      <c r="E51" s="7"/>
      <c r="F51" s="6">
        <f t="shared" si="11"/>
        <v>100</v>
      </c>
      <c r="G51" s="8"/>
      <c r="H51" s="8"/>
      <c r="I51" s="8"/>
      <c r="J51" s="6">
        <f t="shared" si="12"/>
        <v>100</v>
      </c>
      <c r="K51" s="19"/>
      <c r="L51" s="19"/>
      <c r="M51" s="19"/>
      <c r="N51" s="6">
        <f t="shared" si="13"/>
        <v>100</v>
      </c>
      <c r="O51" s="19"/>
      <c r="P51" s="19"/>
      <c r="Q51" s="19"/>
      <c r="R51" s="6">
        <f t="shared" si="14"/>
        <v>100</v>
      </c>
      <c r="S51" s="8"/>
      <c r="T51" s="8"/>
      <c r="U51" s="8"/>
      <c r="V51" s="6">
        <f t="shared" si="15"/>
        <v>100</v>
      </c>
      <c r="W51" s="8"/>
      <c r="X51" s="8"/>
      <c r="Y51" s="8"/>
      <c r="Z51" s="6">
        <f t="shared" si="16"/>
        <v>100</v>
      </c>
      <c r="AA51" s="19"/>
      <c r="AB51" s="19"/>
      <c r="AC51" s="19"/>
      <c r="AD51" s="6">
        <f t="shared" si="17"/>
        <v>100</v>
      </c>
      <c r="AE51" s="19"/>
      <c r="AF51" s="19"/>
      <c r="AG51" s="19"/>
      <c r="AH51" s="6">
        <f t="shared" si="18"/>
        <v>100</v>
      </c>
      <c r="AI51" s="19"/>
      <c r="AJ51" s="19"/>
      <c r="AK51" s="19"/>
      <c r="AL51" s="6">
        <f t="shared" si="19"/>
        <v>100</v>
      </c>
      <c r="AM51" s="19"/>
      <c r="AN51" s="19"/>
      <c r="AO51" s="19"/>
      <c r="AP51" s="6">
        <f t="shared" si="20"/>
        <v>100</v>
      </c>
      <c r="AQ51" s="19"/>
      <c r="AR51" s="19"/>
      <c r="AS51" s="19"/>
      <c r="AT51" s="6">
        <f t="shared" si="21"/>
        <v>100</v>
      </c>
    </row>
    <row r="52" spans="1:46">
      <c r="A52" s="4">
        <v>45866</v>
      </c>
      <c r="B52" s="130">
        <v>102</v>
      </c>
      <c r="C52" s="78">
        <v>29.47</v>
      </c>
      <c r="D52" s="80">
        <v>18.899999999999999</v>
      </c>
      <c r="E52" s="80">
        <v>31.89</v>
      </c>
      <c r="F52" s="6">
        <f t="shared" si="11"/>
        <v>19.740000000000009</v>
      </c>
      <c r="G52" s="78">
        <v>10.98</v>
      </c>
      <c r="H52" s="80">
        <v>11.1</v>
      </c>
      <c r="I52" s="80">
        <v>49.3</v>
      </c>
      <c r="J52" s="6">
        <f t="shared" si="12"/>
        <v>28.620000000000005</v>
      </c>
      <c r="K52" s="19"/>
      <c r="L52" s="19"/>
      <c r="M52" s="19"/>
      <c r="N52" s="6">
        <f t="shared" si="13"/>
        <v>100</v>
      </c>
      <c r="O52" s="78">
        <v>0.69</v>
      </c>
      <c r="P52" s="80">
        <v>0.23</v>
      </c>
      <c r="Q52" s="80">
        <v>69</v>
      </c>
      <c r="R52" s="6">
        <f t="shared" si="14"/>
        <v>30.08</v>
      </c>
      <c r="S52" s="78">
        <v>34.619999999999997</v>
      </c>
      <c r="T52" s="80">
        <v>40.81</v>
      </c>
      <c r="U52" s="8">
        <v>0</v>
      </c>
      <c r="V52" s="6">
        <f t="shared" si="15"/>
        <v>24.569999999999993</v>
      </c>
      <c r="W52" s="78">
        <v>32.43</v>
      </c>
      <c r="X52" s="80">
        <v>35.44</v>
      </c>
      <c r="Y52" s="8"/>
      <c r="Z52" s="6">
        <f t="shared" si="16"/>
        <v>32.129999999999995</v>
      </c>
      <c r="AA52" s="78">
        <v>24.05</v>
      </c>
      <c r="AB52" s="80">
        <v>16.14</v>
      </c>
      <c r="AC52" s="19"/>
      <c r="AD52" s="6">
        <f t="shared" si="17"/>
        <v>59.81</v>
      </c>
      <c r="AE52" s="78">
        <v>10.27</v>
      </c>
      <c r="AF52" s="80">
        <v>7.71</v>
      </c>
      <c r="AG52" s="19"/>
      <c r="AH52" s="6">
        <f t="shared" si="18"/>
        <v>82.02</v>
      </c>
      <c r="AI52" s="78">
        <v>5</v>
      </c>
      <c r="AJ52" s="80">
        <v>2.79</v>
      </c>
      <c r="AK52" s="80">
        <v>1.24</v>
      </c>
      <c r="AL52" s="6">
        <f t="shared" si="19"/>
        <v>90.97</v>
      </c>
      <c r="AM52" s="78">
        <v>1.36</v>
      </c>
      <c r="AN52" s="19"/>
      <c r="AO52" s="19"/>
      <c r="AP52" s="6">
        <f t="shared" si="20"/>
        <v>98.64</v>
      </c>
      <c r="AQ52" s="78">
        <v>0.56999999999999995</v>
      </c>
      <c r="AR52" s="80">
        <v>0.23</v>
      </c>
      <c r="AS52" s="80">
        <v>70</v>
      </c>
      <c r="AT52" s="6">
        <f t="shared" si="21"/>
        <v>29.200000000000003</v>
      </c>
    </row>
    <row r="53" spans="1:46">
      <c r="A53" s="4">
        <v>45867</v>
      </c>
      <c r="B53" s="130">
        <v>108</v>
      </c>
      <c r="C53" s="78">
        <v>30.43</v>
      </c>
      <c r="D53" s="80">
        <v>19.100000000000001</v>
      </c>
      <c r="E53" s="80">
        <v>31.67</v>
      </c>
      <c r="F53" s="6">
        <f t="shared" si="11"/>
        <v>18.799999999999997</v>
      </c>
      <c r="G53" s="78">
        <v>9.48</v>
      </c>
      <c r="H53" s="80">
        <v>9.52</v>
      </c>
      <c r="I53" s="80">
        <v>50.89</v>
      </c>
      <c r="J53" s="6">
        <f t="shared" si="12"/>
        <v>30.11</v>
      </c>
      <c r="K53" s="19"/>
      <c r="L53" s="19"/>
      <c r="M53" s="19"/>
      <c r="N53" s="6">
        <f t="shared" si="13"/>
        <v>100</v>
      </c>
      <c r="O53" s="19"/>
      <c r="P53" s="19"/>
      <c r="Q53" s="19"/>
      <c r="R53" s="6">
        <f t="shared" si="14"/>
        <v>100</v>
      </c>
      <c r="S53" s="8"/>
      <c r="T53" s="8"/>
      <c r="U53" s="8"/>
      <c r="V53" s="6">
        <f t="shared" si="15"/>
        <v>100</v>
      </c>
      <c r="W53" s="8"/>
      <c r="X53" s="8"/>
      <c r="Y53" s="8"/>
      <c r="Z53" s="6">
        <f t="shared" si="16"/>
        <v>100</v>
      </c>
      <c r="AA53" s="19"/>
      <c r="AB53" s="19"/>
      <c r="AC53" s="19"/>
      <c r="AD53" s="6">
        <f t="shared" si="17"/>
        <v>100</v>
      </c>
      <c r="AE53" s="19"/>
      <c r="AF53" s="19"/>
      <c r="AG53" s="19"/>
      <c r="AH53" s="6">
        <f t="shared" si="18"/>
        <v>100</v>
      </c>
      <c r="AI53" s="19"/>
      <c r="AJ53" s="19"/>
      <c r="AK53" s="19"/>
      <c r="AL53" s="6">
        <f t="shared" si="19"/>
        <v>100</v>
      </c>
      <c r="AM53" s="19"/>
      <c r="AN53" s="19"/>
      <c r="AO53" s="19"/>
      <c r="AP53" s="6">
        <f t="shared" si="20"/>
        <v>100</v>
      </c>
      <c r="AQ53" s="19"/>
      <c r="AR53" s="19"/>
      <c r="AS53" s="19"/>
      <c r="AT53" s="6">
        <f t="shared" si="21"/>
        <v>100</v>
      </c>
    </row>
    <row r="54" spans="1:46">
      <c r="A54" s="4">
        <v>45868</v>
      </c>
      <c r="B54" s="130">
        <v>110</v>
      </c>
      <c r="C54" s="78">
        <v>30.37</v>
      </c>
      <c r="D54" s="80">
        <v>20.07</v>
      </c>
      <c r="E54" s="80">
        <v>32.21</v>
      </c>
      <c r="F54" s="6">
        <f t="shared" si="11"/>
        <v>17.349999999999994</v>
      </c>
      <c r="G54" s="78">
        <v>9.9700000000000006</v>
      </c>
      <c r="H54" s="80">
        <v>10.52</v>
      </c>
      <c r="I54" s="80">
        <v>50.47</v>
      </c>
      <c r="J54" s="6">
        <f t="shared" si="12"/>
        <v>29.039999999999992</v>
      </c>
      <c r="K54" s="19"/>
      <c r="L54" s="19"/>
      <c r="M54" s="19"/>
      <c r="N54" s="6">
        <f t="shared" si="13"/>
        <v>100</v>
      </c>
      <c r="O54" s="78">
        <v>0.57999999999999996</v>
      </c>
      <c r="P54" s="80">
        <v>0.34</v>
      </c>
      <c r="Q54" s="80">
        <v>71</v>
      </c>
      <c r="R54" s="6">
        <f t="shared" si="14"/>
        <v>28.08</v>
      </c>
      <c r="S54" s="8"/>
      <c r="T54" s="8"/>
      <c r="U54" s="8"/>
      <c r="V54" s="6">
        <f t="shared" si="15"/>
        <v>100</v>
      </c>
      <c r="W54" s="78">
        <v>32.53</v>
      </c>
      <c r="X54" s="80">
        <v>34.56</v>
      </c>
      <c r="Y54" s="8"/>
      <c r="Z54" s="6">
        <f t="shared" si="16"/>
        <v>32.909999999999997</v>
      </c>
      <c r="AA54" s="78">
        <v>26.3</v>
      </c>
      <c r="AB54" s="80">
        <v>12.57</v>
      </c>
      <c r="AC54" s="19"/>
      <c r="AD54" s="6">
        <f t="shared" si="17"/>
        <v>61.129999999999995</v>
      </c>
      <c r="AE54" s="78">
        <v>12.29</v>
      </c>
      <c r="AF54" s="80">
        <v>4.34</v>
      </c>
      <c r="AG54" s="19"/>
      <c r="AH54" s="6">
        <f t="shared" si="18"/>
        <v>83.37</v>
      </c>
      <c r="AI54" s="78">
        <v>4.72</v>
      </c>
      <c r="AJ54" s="80">
        <v>1.69</v>
      </c>
      <c r="AK54" s="80">
        <v>1.52</v>
      </c>
      <c r="AL54" s="6">
        <f t="shared" si="19"/>
        <v>92.07</v>
      </c>
      <c r="AM54" s="78">
        <v>2.04</v>
      </c>
      <c r="AN54" s="19"/>
      <c r="AO54" s="19"/>
      <c r="AP54" s="6">
        <f t="shared" si="20"/>
        <v>97.96</v>
      </c>
      <c r="AQ54" s="78">
        <v>0.51</v>
      </c>
      <c r="AR54" s="80">
        <v>0.34</v>
      </c>
      <c r="AS54" s="80">
        <v>71</v>
      </c>
      <c r="AT54" s="6">
        <f t="shared" si="21"/>
        <v>28.150000000000006</v>
      </c>
    </row>
    <row r="55" spans="1:46">
      <c r="A55" s="4">
        <v>45869</v>
      </c>
      <c r="B55" s="130">
        <v>111</v>
      </c>
      <c r="C55" s="78">
        <v>29.77</v>
      </c>
      <c r="D55" s="80">
        <v>19.489999999999998</v>
      </c>
      <c r="E55" s="80">
        <v>31.84</v>
      </c>
      <c r="F55" s="6">
        <f t="shared" si="11"/>
        <v>18.900000000000006</v>
      </c>
      <c r="G55" s="8"/>
      <c r="H55" s="8"/>
      <c r="I55" s="8"/>
      <c r="J55" s="6">
        <f t="shared" si="12"/>
        <v>100</v>
      </c>
      <c r="K55" s="19"/>
      <c r="L55" s="19"/>
      <c r="M55" s="19"/>
      <c r="N55" s="6">
        <f t="shared" si="13"/>
        <v>100</v>
      </c>
      <c r="O55" s="19"/>
      <c r="P55" s="19"/>
      <c r="Q55" s="19"/>
      <c r="R55" s="6">
        <f t="shared" si="14"/>
        <v>100</v>
      </c>
      <c r="S55" s="78">
        <v>37.81</v>
      </c>
      <c r="T55" s="80">
        <v>40.619999999999997</v>
      </c>
      <c r="U55" s="8"/>
      <c r="V55" s="6">
        <f t="shared" si="15"/>
        <v>21.569999999999993</v>
      </c>
      <c r="W55" s="8"/>
      <c r="X55" s="8"/>
      <c r="Y55" s="8"/>
      <c r="Z55" s="6">
        <f t="shared" si="16"/>
        <v>100</v>
      </c>
      <c r="AA55" s="19"/>
      <c r="AB55" s="19"/>
      <c r="AC55" s="19"/>
      <c r="AD55" s="6">
        <f t="shared" si="17"/>
        <v>100</v>
      </c>
      <c r="AE55" s="19"/>
      <c r="AF55" s="19"/>
      <c r="AG55" s="19"/>
      <c r="AH55" s="6">
        <f t="shared" si="18"/>
        <v>100</v>
      </c>
      <c r="AI55" s="19"/>
      <c r="AJ55" s="19"/>
      <c r="AK55" s="19"/>
      <c r="AL55" s="6">
        <f t="shared" si="19"/>
        <v>100</v>
      </c>
      <c r="AM55" s="19"/>
      <c r="AN55" s="19"/>
      <c r="AO55" s="19"/>
      <c r="AP55" s="6">
        <f t="shared" si="20"/>
        <v>100</v>
      </c>
      <c r="AQ55" s="19"/>
      <c r="AR55" s="19"/>
      <c r="AS55" s="19"/>
      <c r="AT55" s="6">
        <f t="shared" si="21"/>
        <v>100</v>
      </c>
    </row>
    <row r="56" spans="1:46">
      <c r="A56" s="4">
        <v>45870</v>
      </c>
      <c r="B56" s="130">
        <v>111</v>
      </c>
      <c r="C56" s="78">
        <v>29.39</v>
      </c>
      <c r="D56" s="80">
        <v>19.12</v>
      </c>
      <c r="E56" s="80">
        <v>31.51</v>
      </c>
      <c r="F56" s="6">
        <f t="shared" si="11"/>
        <v>19.97999999999999</v>
      </c>
      <c r="G56" s="8"/>
      <c r="H56" s="8"/>
      <c r="I56" s="8"/>
      <c r="J56" s="6">
        <f t="shared" si="12"/>
        <v>100</v>
      </c>
      <c r="K56" s="19"/>
      <c r="L56" s="19"/>
      <c r="M56" s="19"/>
      <c r="N56" s="6">
        <f t="shared" si="13"/>
        <v>100</v>
      </c>
      <c r="O56" s="19"/>
      <c r="P56" s="19"/>
      <c r="Q56" s="19"/>
      <c r="R56" s="6">
        <f t="shared" si="14"/>
        <v>100</v>
      </c>
      <c r="S56" s="8"/>
      <c r="T56" s="8"/>
      <c r="U56" s="8"/>
      <c r="V56" s="6">
        <f t="shared" si="15"/>
        <v>100</v>
      </c>
      <c r="W56" s="8"/>
      <c r="X56" s="8"/>
      <c r="Y56" s="8"/>
      <c r="Z56" s="6">
        <f t="shared" si="16"/>
        <v>100</v>
      </c>
      <c r="AA56" s="19"/>
      <c r="AB56" s="19"/>
      <c r="AC56" s="19"/>
      <c r="AD56" s="6">
        <f t="shared" si="17"/>
        <v>100</v>
      </c>
      <c r="AE56" s="19"/>
      <c r="AF56" s="19"/>
      <c r="AG56" s="19"/>
      <c r="AH56" s="6">
        <f t="shared" si="18"/>
        <v>100</v>
      </c>
      <c r="AI56" s="19"/>
      <c r="AJ56" s="19"/>
      <c r="AK56" s="19"/>
      <c r="AL56" s="6">
        <f t="shared" si="19"/>
        <v>100</v>
      </c>
      <c r="AM56" s="19"/>
      <c r="AN56" s="19"/>
      <c r="AO56" s="19"/>
      <c r="AP56" s="6">
        <f t="shared" si="20"/>
        <v>100</v>
      </c>
      <c r="AQ56" s="19"/>
      <c r="AR56" s="19"/>
      <c r="AS56" s="19"/>
      <c r="AT56" s="6">
        <f t="shared" si="21"/>
        <v>100</v>
      </c>
    </row>
    <row r="57" spans="1:46">
      <c r="A57" s="4">
        <v>45871</v>
      </c>
      <c r="B57" s="130">
        <v>113</v>
      </c>
      <c r="C57" s="78">
        <v>29.48</v>
      </c>
      <c r="D57" s="80">
        <v>19.18</v>
      </c>
      <c r="E57" s="80">
        <v>31.62</v>
      </c>
      <c r="F57" s="6">
        <f t="shared" si="11"/>
        <v>19.72</v>
      </c>
      <c r="G57" s="8"/>
      <c r="H57" s="8"/>
      <c r="I57" s="8"/>
      <c r="J57" s="6">
        <f t="shared" si="12"/>
        <v>100</v>
      </c>
      <c r="K57" s="19"/>
      <c r="L57" s="19"/>
      <c r="M57" s="19"/>
      <c r="N57" s="6">
        <f t="shared" si="13"/>
        <v>100</v>
      </c>
      <c r="O57" s="19"/>
      <c r="P57" s="19"/>
      <c r="Q57" s="19"/>
      <c r="R57" s="6">
        <f t="shared" si="14"/>
        <v>100</v>
      </c>
      <c r="S57" s="8"/>
      <c r="T57" s="8"/>
      <c r="U57" s="8"/>
      <c r="V57" s="6">
        <f t="shared" si="15"/>
        <v>100</v>
      </c>
      <c r="W57" s="8"/>
      <c r="X57" s="8"/>
      <c r="Y57" s="8"/>
      <c r="Z57" s="6">
        <f t="shared" si="16"/>
        <v>100</v>
      </c>
      <c r="AA57" s="19"/>
      <c r="AB57" s="19"/>
      <c r="AC57" s="19"/>
      <c r="AD57" s="6">
        <f t="shared" si="17"/>
        <v>100</v>
      </c>
      <c r="AE57" s="19"/>
      <c r="AF57" s="19"/>
      <c r="AG57" s="19"/>
      <c r="AH57" s="6">
        <f t="shared" si="18"/>
        <v>100</v>
      </c>
      <c r="AI57" s="19"/>
      <c r="AJ57" s="19"/>
      <c r="AK57" s="19"/>
      <c r="AL57" s="6">
        <f t="shared" si="19"/>
        <v>100</v>
      </c>
      <c r="AM57" s="19"/>
      <c r="AN57" s="19"/>
      <c r="AO57" s="19"/>
      <c r="AP57" s="6">
        <f t="shared" si="20"/>
        <v>100</v>
      </c>
      <c r="AQ57" s="19"/>
      <c r="AR57" s="19"/>
      <c r="AS57" s="19"/>
      <c r="AT57" s="6">
        <f t="shared" si="21"/>
        <v>100</v>
      </c>
    </row>
    <row r="58" spans="1:46">
      <c r="A58" s="4">
        <v>45872</v>
      </c>
      <c r="B58" s="130"/>
      <c r="C58" s="7"/>
      <c r="D58" s="7"/>
      <c r="E58" s="7"/>
      <c r="F58" s="6">
        <f t="shared" si="11"/>
        <v>100</v>
      </c>
      <c r="G58" s="8"/>
      <c r="H58" s="8"/>
      <c r="I58" s="8"/>
      <c r="J58" s="6">
        <f t="shared" si="12"/>
        <v>100</v>
      </c>
      <c r="K58" s="19"/>
      <c r="L58" s="19"/>
      <c r="M58" s="19"/>
      <c r="N58" s="6">
        <f t="shared" si="13"/>
        <v>100</v>
      </c>
      <c r="O58" s="19"/>
      <c r="P58" s="19"/>
      <c r="Q58" s="19"/>
      <c r="R58" s="6">
        <f t="shared" si="14"/>
        <v>100</v>
      </c>
      <c r="S58" s="8"/>
      <c r="T58" s="8"/>
      <c r="U58" s="8"/>
      <c r="V58" s="6">
        <f t="shared" si="15"/>
        <v>100</v>
      </c>
      <c r="W58" s="8"/>
      <c r="X58" s="8"/>
      <c r="Y58" s="8"/>
      <c r="Z58" s="6">
        <f t="shared" si="16"/>
        <v>100</v>
      </c>
      <c r="AA58" s="19"/>
      <c r="AB58" s="19"/>
      <c r="AC58" s="19"/>
      <c r="AD58" s="6">
        <f t="shared" si="17"/>
        <v>100</v>
      </c>
      <c r="AE58" s="19"/>
      <c r="AF58" s="19"/>
      <c r="AG58" s="19"/>
      <c r="AH58" s="6">
        <f t="shared" si="18"/>
        <v>100</v>
      </c>
      <c r="AI58" s="19"/>
      <c r="AJ58" s="19"/>
      <c r="AK58" s="19"/>
      <c r="AL58" s="6">
        <f t="shared" si="19"/>
        <v>100</v>
      </c>
      <c r="AM58" s="19"/>
      <c r="AN58" s="19"/>
      <c r="AO58" s="19"/>
      <c r="AP58" s="6">
        <f t="shared" si="20"/>
        <v>100</v>
      </c>
      <c r="AQ58" s="19"/>
      <c r="AR58" s="19"/>
      <c r="AS58" s="19"/>
      <c r="AT58" s="6">
        <f t="shared" si="21"/>
        <v>100</v>
      </c>
    </row>
    <row r="59" spans="1:46">
      <c r="A59" s="4">
        <v>45873</v>
      </c>
      <c r="B59" s="130"/>
      <c r="C59" s="7"/>
      <c r="D59" s="7"/>
      <c r="E59" s="7"/>
      <c r="F59" s="6">
        <f t="shared" si="11"/>
        <v>100</v>
      </c>
      <c r="G59" s="8"/>
      <c r="H59" s="8"/>
      <c r="I59" s="8"/>
      <c r="J59" s="6">
        <f t="shared" si="12"/>
        <v>100</v>
      </c>
      <c r="K59" s="19"/>
      <c r="L59" s="19"/>
      <c r="M59" s="19"/>
      <c r="N59" s="6">
        <f t="shared" si="13"/>
        <v>100</v>
      </c>
      <c r="O59" s="19"/>
      <c r="P59" s="19"/>
      <c r="Q59" s="19"/>
      <c r="R59" s="6">
        <f t="shared" si="14"/>
        <v>100</v>
      </c>
      <c r="S59" s="8"/>
      <c r="T59" s="8"/>
      <c r="U59" s="8"/>
      <c r="V59" s="6">
        <f t="shared" si="15"/>
        <v>100</v>
      </c>
      <c r="W59" s="8"/>
      <c r="X59" s="8"/>
      <c r="Y59" s="8"/>
      <c r="Z59" s="6">
        <f t="shared" si="16"/>
        <v>100</v>
      </c>
      <c r="AA59" s="19"/>
      <c r="AB59" s="19"/>
      <c r="AC59" s="19"/>
      <c r="AD59" s="6">
        <f t="shared" si="17"/>
        <v>100</v>
      </c>
      <c r="AE59" s="19"/>
      <c r="AF59" s="19"/>
      <c r="AG59" s="19"/>
      <c r="AH59" s="6">
        <f t="shared" si="18"/>
        <v>100</v>
      </c>
      <c r="AI59" s="19"/>
      <c r="AJ59" s="19"/>
      <c r="AK59" s="19"/>
      <c r="AL59" s="6">
        <f t="shared" si="19"/>
        <v>100</v>
      </c>
      <c r="AM59" s="19"/>
      <c r="AN59" s="19"/>
      <c r="AO59" s="19"/>
      <c r="AP59" s="6">
        <f t="shared" si="20"/>
        <v>100</v>
      </c>
      <c r="AQ59" s="19"/>
      <c r="AR59" s="19"/>
      <c r="AS59" s="19"/>
      <c r="AT59" s="6">
        <f t="shared" si="21"/>
        <v>100</v>
      </c>
    </row>
    <row r="60" spans="1:46">
      <c r="A60" s="4">
        <v>45874</v>
      </c>
      <c r="B60" s="130">
        <v>114</v>
      </c>
      <c r="C60" s="78">
        <v>29.16</v>
      </c>
      <c r="D60" s="80">
        <v>19.25</v>
      </c>
      <c r="E60" s="80">
        <v>31.85</v>
      </c>
      <c r="F60" s="6">
        <f t="shared" si="11"/>
        <v>19.740000000000009</v>
      </c>
      <c r="G60" s="8"/>
      <c r="H60" s="8"/>
      <c r="I60" s="8"/>
      <c r="J60" s="6">
        <f t="shared" si="12"/>
        <v>100</v>
      </c>
      <c r="K60" s="19"/>
      <c r="L60" s="19"/>
      <c r="M60" s="19"/>
      <c r="N60" s="6">
        <f t="shared" si="13"/>
        <v>100</v>
      </c>
      <c r="O60" s="19"/>
      <c r="P60" s="19"/>
      <c r="Q60" s="19"/>
      <c r="R60" s="6">
        <f t="shared" si="14"/>
        <v>100</v>
      </c>
      <c r="S60" s="78">
        <v>34.85</v>
      </c>
      <c r="T60" s="80">
        <v>40.72</v>
      </c>
      <c r="U60" s="8"/>
      <c r="V60" s="6">
        <f t="shared" si="15"/>
        <v>24.430000000000007</v>
      </c>
      <c r="W60" s="8"/>
      <c r="X60" s="8"/>
      <c r="Y60" s="8"/>
      <c r="Z60" s="6">
        <f t="shared" si="16"/>
        <v>100</v>
      </c>
      <c r="AA60" s="19"/>
      <c r="AB60" s="19"/>
      <c r="AC60" s="19"/>
      <c r="AD60" s="6">
        <f t="shared" si="17"/>
        <v>100</v>
      </c>
      <c r="AE60" s="19"/>
      <c r="AF60" s="19"/>
      <c r="AG60" s="19"/>
      <c r="AH60" s="6">
        <f t="shared" si="18"/>
        <v>100</v>
      </c>
      <c r="AI60" s="19"/>
      <c r="AJ60" s="19"/>
      <c r="AK60" s="19"/>
      <c r="AL60" s="6">
        <f t="shared" si="19"/>
        <v>100</v>
      </c>
      <c r="AM60" s="19"/>
      <c r="AN60" s="19"/>
      <c r="AO60" s="19"/>
      <c r="AP60" s="6">
        <f t="shared" si="20"/>
        <v>100</v>
      </c>
      <c r="AQ60" s="19"/>
      <c r="AR60" s="19"/>
      <c r="AS60" s="19"/>
      <c r="AT60" s="6">
        <f t="shared" si="21"/>
        <v>100</v>
      </c>
    </row>
    <row r="61" spans="1:46">
      <c r="A61" s="4">
        <v>45875</v>
      </c>
      <c r="B61" s="130"/>
      <c r="C61" s="7"/>
      <c r="D61" s="7"/>
      <c r="E61" s="7"/>
      <c r="F61" s="6">
        <f t="shared" si="11"/>
        <v>100</v>
      </c>
      <c r="G61" s="8"/>
      <c r="H61" s="8"/>
      <c r="I61" s="8"/>
      <c r="J61" s="6">
        <f t="shared" si="12"/>
        <v>100</v>
      </c>
      <c r="K61" s="19"/>
      <c r="L61" s="19"/>
      <c r="M61" s="19"/>
      <c r="N61" s="6">
        <f t="shared" si="13"/>
        <v>100</v>
      </c>
      <c r="O61" s="19"/>
      <c r="P61" s="19"/>
      <c r="Q61" s="19"/>
      <c r="R61" s="6">
        <f t="shared" si="14"/>
        <v>100</v>
      </c>
      <c r="S61" s="8"/>
      <c r="T61" s="8"/>
      <c r="U61" s="8"/>
      <c r="V61" s="6">
        <f t="shared" si="15"/>
        <v>100</v>
      </c>
      <c r="W61" s="8"/>
      <c r="X61" s="8"/>
      <c r="Y61" s="8"/>
      <c r="Z61" s="6">
        <f t="shared" si="16"/>
        <v>100</v>
      </c>
      <c r="AA61" s="19"/>
      <c r="AB61" s="19"/>
      <c r="AC61" s="19"/>
      <c r="AD61" s="6">
        <f t="shared" si="17"/>
        <v>100</v>
      </c>
      <c r="AE61" s="19"/>
      <c r="AF61" s="19"/>
      <c r="AG61" s="19"/>
      <c r="AH61" s="6">
        <f t="shared" si="18"/>
        <v>100</v>
      </c>
      <c r="AI61" s="19"/>
      <c r="AJ61" s="19"/>
      <c r="AK61" s="19"/>
      <c r="AL61" s="6">
        <f t="shared" si="19"/>
        <v>100</v>
      </c>
      <c r="AM61" s="19"/>
      <c r="AN61" s="19"/>
      <c r="AO61" s="19"/>
      <c r="AP61" s="6">
        <f t="shared" si="20"/>
        <v>100</v>
      </c>
      <c r="AQ61" s="19"/>
      <c r="AR61" s="19"/>
      <c r="AS61" s="19"/>
      <c r="AT61" s="6">
        <f t="shared" si="21"/>
        <v>100</v>
      </c>
    </row>
    <row r="62" spans="1:46">
      <c r="A62" s="4">
        <v>45876</v>
      </c>
      <c r="B62" s="130"/>
      <c r="C62" s="7"/>
      <c r="D62" s="7"/>
      <c r="E62" s="7"/>
      <c r="F62" s="6">
        <f t="shared" si="11"/>
        <v>100</v>
      </c>
      <c r="G62" s="8"/>
      <c r="H62" s="8"/>
      <c r="I62" s="8"/>
      <c r="J62" s="6">
        <f t="shared" si="12"/>
        <v>100</v>
      </c>
      <c r="K62" s="19"/>
      <c r="L62" s="19"/>
      <c r="M62" s="19"/>
      <c r="N62" s="6">
        <f t="shared" si="13"/>
        <v>100</v>
      </c>
      <c r="O62" s="19"/>
      <c r="P62" s="19"/>
      <c r="Q62" s="19"/>
      <c r="R62" s="6">
        <f t="shared" si="14"/>
        <v>100</v>
      </c>
      <c r="S62" s="8"/>
      <c r="T62" s="8"/>
      <c r="U62" s="8"/>
      <c r="V62" s="6">
        <f t="shared" si="15"/>
        <v>100</v>
      </c>
      <c r="W62" s="8"/>
      <c r="X62" s="8"/>
      <c r="Y62" s="8"/>
      <c r="Z62" s="6">
        <f t="shared" si="16"/>
        <v>100</v>
      </c>
      <c r="AA62" s="19"/>
      <c r="AB62" s="19"/>
      <c r="AC62" s="19"/>
      <c r="AD62" s="6">
        <f t="shared" si="17"/>
        <v>100</v>
      </c>
      <c r="AE62" s="19"/>
      <c r="AF62" s="19"/>
      <c r="AG62" s="19"/>
      <c r="AH62" s="6">
        <f t="shared" si="18"/>
        <v>100</v>
      </c>
      <c r="AI62" s="19"/>
      <c r="AJ62" s="19"/>
      <c r="AK62" s="19"/>
      <c r="AL62" s="6">
        <f t="shared" si="19"/>
        <v>100</v>
      </c>
      <c r="AM62" s="19"/>
      <c r="AN62" s="19"/>
      <c r="AO62" s="19"/>
      <c r="AP62" s="6">
        <f t="shared" si="20"/>
        <v>100</v>
      </c>
      <c r="AQ62" s="19"/>
      <c r="AR62" s="19"/>
      <c r="AS62" s="19"/>
      <c r="AT62" s="6">
        <f t="shared" si="21"/>
        <v>100</v>
      </c>
    </row>
    <row r="63" spans="1:46">
      <c r="A63" s="4">
        <v>45877</v>
      </c>
      <c r="B63" s="130"/>
      <c r="C63" s="78">
        <v>28.97</v>
      </c>
      <c r="D63" s="80">
        <v>18.59</v>
      </c>
      <c r="E63" s="80">
        <v>31.46</v>
      </c>
      <c r="F63" s="6">
        <f t="shared" si="11"/>
        <v>20.97999999999999</v>
      </c>
      <c r="G63" s="8"/>
      <c r="H63" s="8"/>
      <c r="I63" s="8"/>
      <c r="J63" s="6">
        <f t="shared" si="12"/>
        <v>100</v>
      </c>
      <c r="K63" s="19"/>
      <c r="L63" s="19"/>
      <c r="M63" s="19"/>
      <c r="N63" s="6">
        <f t="shared" si="13"/>
        <v>100</v>
      </c>
      <c r="O63" s="19"/>
      <c r="P63" s="19"/>
      <c r="Q63" s="19"/>
      <c r="R63" s="6">
        <f t="shared" si="14"/>
        <v>100</v>
      </c>
      <c r="S63" s="8"/>
      <c r="T63" s="8"/>
      <c r="U63" s="8"/>
      <c r="V63" s="6">
        <f t="shared" si="15"/>
        <v>100</v>
      </c>
      <c r="W63" s="8"/>
      <c r="X63" s="8"/>
      <c r="Y63" s="8"/>
      <c r="Z63" s="6">
        <f t="shared" si="16"/>
        <v>100</v>
      </c>
      <c r="AA63" s="19"/>
      <c r="AB63" s="19"/>
      <c r="AC63" s="19"/>
      <c r="AD63" s="6">
        <f t="shared" si="17"/>
        <v>100</v>
      </c>
      <c r="AE63" s="19"/>
      <c r="AF63" s="19"/>
      <c r="AG63" s="19"/>
      <c r="AH63" s="6">
        <f t="shared" si="18"/>
        <v>100</v>
      </c>
      <c r="AI63" s="19"/>
      <c r="AJ63" s="19"/>
      <c r="AK63" s="19"/>
      <c r="AL63" s="6">
        <f t="shared" si="19"/>
        <v>100</v>
      </c>
      <c r="AM63" s="19"/>
      <c r="AN63" s="19"/>
      <c r="AO63" s="19"/>
      <c r="AP63" s="6">
        <f t="shared" si="20"/>
        <v>100</v>
      </c>
      <c r="AQ63" s="19"/>
      <c r="AR63" s="19"/>
      <c r="AS63" s="19"/>
      <c r="AT63" s="6">
        <f t="shared" si="21"/>
        <v>100</v>
      </c>
    </row>
    <row r="64" spans="1:46">
      <c r="A64" s="4">
        <v>45878</v>
      </c>
      <c r="B64" s="130"/>
      <c r="C64" s="7"/>
      <c r="D64" s="7"/>
      <c r="E64" s="7"/>
      <c r="F64" s="6">
        <f t="shared" si="11"/>
        <v>100</v>
      </c>
      <c r="G64" s="8"/>
      <c r="H64" s="8"/>
      <c r="I64" s="8"/>
      <c r="J64" s="6">
        <f t="shared" si="12"/>
        <v>100</v>
      </c>
      <c r="K64" s="19"/>
      <c r="L64" s="19"/>
      <c r="M64" s="19"/>
      <c r="N64" s="6">
        <f t="shared" si="13"/>
        <v>100</v>
      </c>
      <c r="O64" s="19"/>
      <c r="P64" s="19"/>
      <c r="Q64" s="19"/>
      <c r="R64" s="6">
        <f t="shared" si="14"/>
        <v>100</v>
      </c>
      <c r="S64" s="8"/>
      <c r="T64" s="8"/>
      <c r="U64" s="8"/>
      <c r="V64" s="6">
        <f t="shared" si="15"/>
        <v>100</v>
      </c>
      <c r="W64" s="8"/>
      <c r="X64" s="8"/>
      <c r="Y64" s="8"/>
      <c r="Z64" s="6">
        <f t="shared" si="16"/>
        <v>100</v>
      </c>
      <c r="AA64" s="19"/>
      <c r="AB64" s="19"/>
      <c r="AC64" s="19"/>
      <c r="AD64" s="6">
        <f t="shared" si="17"/>
        <v>100</v>
      </c>
      <c r="AE64" s="19"/>
      <c r="AF64" s="19"/>
      <c r="AG64" s="19"/>
      <c r="AH64" s="6">
        <f t="shared" si="18"/>
        <v>100</v>
      </c>
      <c r="AI64" s="19"/>
      <c r="AJ64" s="19"/>
      <c r="AK64" s="19"/>
      <c r="AL64" s="6">
        <f t="shared" si="19"/>
        <v>100</v>
      </c>
      <c r="AM64" s="19"/>
      <c r="AN64" s="19"/>
      <c r="AO64" s="19"/>
      <c r="AP64" s="6">
        <f t="shared" si="20"/>
        <v>100</v>
      </c>
      <c r="AQ64" s="19"/>
      <c r="AR64" s="19"/>
      <c r="AS64" s="19"/>
      <c r="AT64" s="6">
        <f t="shared" si="21"/>
        <v>100</v>
      </c>
    </row>
    <row r="65" spans="1:46">
      <c r="A65" s="4">
        <v>45879</v>
      </c>
      <c r="B65" s="130"/>
      <c r="C65" s="7"/>
      <c r="D65" s="7"/>
      <c r="E65" s="7"/>
      <c r="F65" s="6">
        <f t="shared" si="11"/>
        <v>100</v>
      </c>
      <c r="G65" s="8"/>
      <c r="H65" s="8"/>
      <c r="I65" s="8"/>
      <c r="J65" s="6">
        <f t="shared" si="12"/>
        <v>100</v>
      </c>
      <c r="K65" s="19"/>
      <c r="L65" s="19"/>
      <c r="M65" s="19"/>
      <c r="N65" s="6">
        <f t="shared" si="13"/>
        <v>100</v>
      </c>
      <c r="O65" s="19"/>
      <c r="P65" s="19"/>
      <c r="Q65" s="19"/>
      <c r="R65" s="6">
        <f t="shared" si="14"/>
        <v>100</v>
      </c>
      <c r="S65" s="8"/>
      <c r="T65" s="8"/>
      <c r="U65" s="8"/>
      <c r="V65" s="6">
        <f t="shared" si="15"/>
        <v>100</v>
      </c>
      <c r="W65" s="8"/>
      <c r="X65" s="8"/>
      <c r="Y65" s="8"/>
      <c r="Z65" s="6">
        <f t="shared" si="16"/>
        <v>100</v>
      </c>
      <c r="AA65" s="19"/>
      <c r="AB65" s="19"/>
      <c r="AC65" s="19"/>
      <c r="AD65" s="6">
        <f t="shared" si="17"/>
        <v>100</v>
      </c>
      <c r="AE65" s="19"/>
      <c r="AF65" s="19"/>
      <c r="AG65" s="19"/>
      <c r="AH65" s="6">
        <f t="shared" si="18"/>
        <v>100</v>
      </c>
      <c r="AI65" s="19"/>
      <c r="AJ65" s="19"/>
      <c r="AK65" s="19"/>
      <c r="AL65" s="6">
        <f t="shared" si="19"/>
        <v>100</v>
      </c>
      <c r="AM65" s="19"/>
      <c r="AN65" s="19"/>
      <c r="AO65" s="19"/>
      <c r="AP65" s="6">
        <f t="shared" si="20"/>
        <v>100</v>
      </c>
      <c r="AQ65" s="19"/>
      <c r="AR65" s="19"/>
      <c r="AS65" s="19"/>
      <c r="AT65" s="6">
        <f t="shared" si="21"/>
        <v>100</v>
      </c>
    </row>
    <row r="66" spans="1:46">
      <c r="A66" s="4">
        <v>45880</v>
      </c>
      <c r="B66" s="130">
        <v>114</v>
      </c>
      <c r="C66" s="75">
        <v>29.12</v>
      </c>
      <c r="D66" s="76">
        <v>18.86</v>
      </c>
      <c r="E66" s="76">
        <v>32.340000000000003</v>
      </c>
      <c r="F66" s="6">
        <f t="shared" si="11"/>
        <v>19.679999999999993</v>
      </c>
      <c r="G66" s="75">
        <v>10.11</v>
      </c>
      <c r="H66" s="76">
        <v>10.93</v>
      </c>
      <c r="I66" s="76">
        <v>50.93</v>
      </c>
      <c r="J66" s="6">
        <f t="shared" si="12"/>
        <v>28.03</v>
      </c>
      <c r="K66" s="75">
        <v>17.100000000000001</v>
      </c>
      <c r="L66" s="76">
        <v>13.07</v>
      </c>
      <c r="M66" s="76">
        <v>45.35</v>
      </c>
      <c r="N66" s="6">
        <f t="shared" si="13"/>
        <v>24.47999999999999</v>
      </c>
      <c r="O66" s="75">
        <v>0.95</v>
      </c>
      <c r="P66" s="76">
        <v>0.41</v>
      </c>
      <c r="Q66" s="76">
        <v>70</v>
      </c>
      <c r="R66" s="6">
        <f t="shared" si="14"/>
        <v>28.64</v>
      </c>
      <c r="S66" s="75">
        <v>37.270000000000003</v>
      </c>
      <c r="T66" s="76">
        <v>43.07</v>
      </c>
      <c r="U66" s="8"/>
      <c r="V66" s="6">
        <f t="shared" si="15"/>
        <v>19.659999999999997</v>
      </c>
      <c r="W66" s="75">
        <v>33.65</v>
      </c>
      <c r="X66" s="76">
        <v>36.11</v>
      </c>
      <c r="Y66" s="8"/>
      <c r="Z66" s="6">
        <f t="shared" si="16"/>
        <v>30.240000000000009</v>
      </c>
      <c r="AA66" s="75">
        <v>26.41</v>
      </c>
      <c r="AB66" s="76">
        <v>16.96</v>
      </c>
      <c r="AC66" s="19"/>
      <c r="AD66" s="6">
        <f t="shared" si="17"/>
        <v>56.629999999999995</v>
      </c>
      <c r="AE66" s="75">
        <v>14.1</v>
      </c>
      <c r="AF66" s="76">
        <v>6.24</v>
      </c>
      <c r="AG66" s="19"/>
      <c r="AH66" s="6">
        <f t="shared" si="18"/>
        <v>79.66</v>
      </c>
      <c r="AI66" s="75">
        <v>5.29</v>
      </c>
      <c r="AJ66" s="76">
        <v>2.4900000000000002</v>
      </c>
      <c r="AK66" s="76">
        <v>1.49</v>
      </c>
      <c r="AL66" s="6">
        <f t="shared" si="19"/>
        <v>90.73</v>
      </c>
      <c r="AM66" s="75">
        <v>2.38</v>
      </c>
      <c r="AN66" s="19"/>
      <c r="AO66" s="19"/>
      <c r="AP66" s="6">
        <f t="shared" si="20"/>
        <v>97.62</v>
      </c>
      <c r="AQ66" s="75">
        <v>0.56000000000000005</v>
      </c>
      <c r="AR66" s="76">
        <v>0.26</v>
      </c>
      <c r="AS66" s="76">
        <v>74</v>
      </c>
      <c r="AT66" s="6">
        <f t="shared" si="21"/>
        <v>25.180000000000007</v>
      </c>
    </row>
    <row r="67" spans="1:46">
      <c r="A67" s="4">
        <v>45881</v>
      </c>
      <c r="B67" s="130"/>
      <c r="C67" s="75">
        <v>30.1</v>
      </c>
      <c r="D67" s="76">
        <v>19.21</v>
      </c>
      <c r="E67" s="76">
        <v>32.11</v>
      </c>
      <c r="F67" s="6">
        <f t="shared" si="11"/>
        <v>18.579999999999998</v>
      </c>
      <c r="G67" s="8"/>
      <c r="H67" s="8"/>
      <c r="I67" s="8"/>
      <c r="J67" s="6">
        <f t="shared" si="12"/>
        <v>100</v>
      </c>
      <c r="K67" s="19"/>
      <c r="L67" s="19"/>
      <c r="M67" s="19"/>
      <c r="N67" s="6">
        <f t="shared" si="13"/>
        <v>100</v>
      </c>
      <c r="O67" s="19"/>
      <c r="P67" s="19"/>
      <c r="Q67" s="19"/>
      <c r="R67" s="6">
        <f t="shared" si="14"/>
        <v>100</v>
      </c>
      <c r="S67" s="8"/>
      <c r="T67" s="8"/>
      <c r="U67" s="8"/>
      <c r="V67" s="6">
        <f t="shared" si="15"/>
        <v>100</v>
      </c>
      <c r="W67" s="8"/>
      <c r="X67" s="8"/>
      <c r="Y67" s="8"/>
      <c r="Z67" s="6">
        <f t="shared" si="16"/>
        <v>100</v>
      </c>
      <c r="AA67" s="19"/>
      <c r="AB67" s="19"/>
      <c r="AC67" s="19"/>
      <c r="AD67" s="6">
        <f t="shared" si="17"/>
        <v>100</v>
      </c>
      <c r="AE67" s="19"/>
      <c r="AF67" s="19"/>
      <c r="AG67" s="19"/>
      <c r="AH67" s="6">
        <f t="shared" si="18"/>
        <v>100</v>
      </c>
      <c r="AI67" s="19"/>
      <c r="AJ67" s="19"/>
      <c r="AK67" s="19"/>
      <c r="AL67" s="6">
        <f t="shared" si="19"/>
        <v>100</v>
      </c>
      <c r="AM67" s="19"/>
      <c r="AN67" s="19"/>
      <c r="AO67" s="19"/>
      <c r="AP67" s="6">
        <f t="shared" si="20"/>
        <v>100</v>
      </c>
      <c r="AQ67" s="19"/>
      <c r="AR67" s="19"/>
      <c r="AS67" s="19"/>
      <c r="AT67" s="6">
        <f t="shared" si="21"/>
        <v>100</v>
      </c>
    </row>
    <row r="68" spans="1:46">
      <c r="A68" s="4">
        <v>45882</v>
      </c>
      <c r="B68" s="130">
        <v>113.5</v>
      </c>
      <c r="C68" s="78">
        <v>29.94</v>
      </c>
      <c r="D68" s="80">
        <v>18.97</v>
      </c>
      <c r="E68" s="80">
        <v>32.04</v>
      </c>
      <c r="F68" s="6">
        <f t="shared" si="11"/>
        <v>19.050000000000011</v>
      </c>
      <c r="G68" s="8"/>
      <c r="H68" s="8"/>
      <c r="I68" s="8"/>
      <c r="J68" s="6">
        <f t="shared" si="12"/>
        <v>100</v>
      </c>
      <c r="K68" s="19"/>
      <c r="L68" s="19"/>
      <c r="M68" s="19"/>
      <c r="N68" s="6">
        <f t="shared" si="13"/>
        <v>100</v>
      </c>
      <c r="O68" s="19"/>
      <c r="P68" s="19"/>
      <c r="Q68" s="19"/>
      <c r="R68" s="6">
        <f t="shared" si="14"/>
        <v>100</v>
      </c>
      <c r="S68" s="8"/>
      <c r="T68" s="8"/>
      <c r="U68" s="8"/>
      <c r="V68" s="6">
        <f t="shared" si="15"/>
        <v>100</v>
      </c>
      <c r="W68" s="8"/>
      <c r="X68" s="8"/>
      <c r="Y68" s="8"/>
      <c r="Z68" s="6">
        <f t="shared" si="16"/>
        <v>100</v>
      </c>
      <c r="AA68" s="19"/>
      <c r="AB68" s="19"/>
      <c r="AC68" s="19"/>
      <c r="AD68" s="6">
        <f t="shared" si="17"/>
        <v>100</v>
      </c>
      <c r="AE68" s="19"/>
      <c r="AF68" s="19"/>
      <c r="AG68" s="19"/>
      <c r="AH68" s="6">
        <f t="shared" si="18"/>
        <v>100</v>
      </c>
      <c r="AI68" s="19"/>
      <c r="AJ68" s="19"/>
      <c r="AK68" s="19"/>
      <c r="AL68" s="6">
        <f t="shared" si="19"/>
        <v>100</v>
      </c>
      <c r="AM68" s="19"/>
      <c r="AN68" s="19"/>
      <c r="AO68" s="19"/>
      <c r="AP68" s="6">
        <f t="shared" si="20"/>
        <v>100</v>
      </c>
      <c r="AQ68" s="19"/>
      <c r="AR68" s="19"/>
      <c r="AS68" s="19"/>
      <c r="AT68" s="6">
        <f t="shared" si="21"/>
        <v>100</v>
      </c>
    </row>
    <row r="69" spans="1:46">
      <c r="A69" s="4">
        <v>45883</v>
      </c>
      <c r="B69" s="130"/>
      <c r="C69" s="7"/>
      <c r="D69" s="7"/>
      <c r="E69" s="7"/>
      <c r="F69" s="6">
        <f t="shared" si="11"/>
        <v>100</v>
      </c>
      <c r="G69" s="8"/>
      <c r="H69" s="8"/>
      <c r="I69" s="8"/>
      <c r="J69" s="6">
        <f t="shared" si="12"/>
        <v>100</v>
      </c>
      <c r="K69" s="19"/>
      <c r="L69" s="19"/>
      <c r="M69" s="19"/>
      <c r="N69" s="6">
        <f t="shared" si="13"/>
        <v>100</v>
      </c>
      <c r="O69" s="19"/>
      <c r="P69" s="19"/>
      <c r="Q69" s="19"/>
      <c r="R69" s="6">
        <f t="shared" si="14"/>
        <v>100</v>
      </c>
      <c r="S69" s="8"/>
      <c r="T69" s="8"/>
      <c r="U69" s="8"/>
      <c r="V69" s="6">
        <f t="shared" si="15"/>
        <v>100</v>
      </c>
      <c r="W69" s="8"/>
      <c r="X69" s="8"/>
      <c r="Y69" s="8"/>
      <c r="Z69" s="6">
        <f t="shared" si="16"/>
        <v>100</v>
      </c>
      <c r="AA69" s="19"/>
      <c r="AB69" s="19"/>
      <c r="AC69" s="19"/>
      <c r="AD69" s="6">
        <f t="shared" si="17"/>
        <v>100</v>
      </c>
      <c r="AE69" s="19"/>
      <c r="AF69" s="19"/>
      <c r="AG69" s="19"/>
      <c r="AH69" s="6">
        <f t="shared" si="18"/>
        <v>100</v>
      </c>
      <c r="AI69" s="19"/>
      <c r="AJ69" s="19"/>
      <c r="AK69" s="19"/>
      <c r="AL69" s="6">
        <f t="shared" si="19"/>
        <v>100</v>
      </c>
      <c r="AM69" s="19"/>
      <c r="AN69" s="19"/>
      <c r="AO69" s="19"/>
      <c r="AP69" s="6">
        <f t="shared" si="20"/>
        <v>100</v>
      </c>
      <c r="AQ69" s="19"/>
      <c r="AR69" s="19"/>
      <c r="AS69" s="19"/>
      <c r="AT69" s="6">
        <f t="shared" si="21"/>
        <v>100</v>
      </c>
    </row>
    <row r="70" spans="1:46">
      <c r="A70" s="4">
        <v>45884</v>
      </c>
      <c r="B70" s="130">
        <v>113.5</v>
      </c>
      <c r="C70" s="78">
        <v>29.41</v>
      </c>
      <c r="D70" s="80">
        <v>19.100000000000001</v>
      </c>
      <c r="E70" s="80">
        <v>31.85</v>
      </c>
      <c r="F70" s="6">
        <f t="shared" si="11"/>
        <v>19.639999999999986</v>
      </c>
      <c r="G70" s="8"/>
      <c r="H70" s="8"/>
      <c r="I70" s="8"/>
      <c r="J70" s="6">
        <f t="shared" si="12"/>
        <v>100</v>
      </c>
      <c r="K70" s="19"/>
      <c r="L70" s="19"/>
      <c r="M70" s="19"/>
      <c r="N70" s="6">
        <f t="shared" si="13"/>
        <v>100</v>
      </c>
      <c r="O70" s="19"/>
      <c r="P70" s="19"/>
      <c r="Q70" s="19"/>
      <c r="R70" s="6">
        <f t="shared" si="14"/>
        <v>100</v>
      </c>
      <c r="S70" s="8"/>
      <c r="T70" s="8"/>
      <c r="U70" s="8"/>
      <c r="V70" s="6">
        <f t="shared" si="15"/>
        <v>100</v>
      </c>
      <c r="W70" s="8"/>
      <c r="X70" s="8"/>
      <c r="Y70" s="8"/>
      <c r="Z70" s="6">
        <f t="shared" si="16"/>
        <v>100</v>
      </c>
      <c r="AA70" s="19"/>
      <c r="AB70" s="19"/>
      <c r="AC70" s="19"/>
      <c r="AD70" s="6">
        <f t="shared" si="17"/>
        <v>100</v>
      </c>
      <c r="AE70" s="19"/>
      <c r="AF70" s="19"/>
      <c r="AG70" s="19"/>
      <c r="AH70" s="6">
        <f t="shared" si="18"/>
        <v>100</v>
      </c>
      <c r="AI70" s="19"/>
      <c r="AJ70" s="19"/>
      <c r="AK70" s="19"/>
      <c r="AL70" s="6">
        <f t="shared" si="19"/>
        <v>100</v>
      </c>
      <c r="AM70" s="19"/>
      <c r="AN70" s="19"/>
      <c r="AO70" s="19"/>
      <c r="AP70" s="6">
        <f t="shared" si="20"/>
        <v>100</v>
      </c>
      <c r="AQ70" s="19"/>
      <c r="AR70" s="19"/>
      <c r="AS70" s="19"/>
      <c r="AT70" s="6">
        <f t="shared" si="21"/>
        <v>100</v>
      </c>
    </row>
    <row r="71" spans="1:46">
      <c r="A71" s="4">
        <v>45885</v>
      </c>
      <c r="B71" s="130"/>
      <c r="C71" s="7"/>
      <c r="D71" s="7"/>
      <c r="E71" s="7"/>
      <c r="F71" s="6">
        <f t="shared" si="11"/>
        <v>100</v>
      </c>
      <c r="G71" s="8"/>
      <c r="H71" s="8"/>
      <c r="I71" s="8"/>
      <c r="J71" s="6">
        <f t="shared" si="12"/>
        <v>100</v>
      </c>
      <c r="K71" s="19"/>
      <c r="L71" s="19"/>
      <c r="M71" s="19"/>
      <c r="N71" s="6">
        <f t="shared" si="13"/>
        <v>100</v>
      </c>
      <c r="O71" s="19"/>
      <c r="P71" s="19"/>
      <c r="Q71" s="19"/>
      <c r="R71" s="6">
        <f t="shared" si="14"/>
        <v>100</v>
      </c>
      <c r="S71" s="8"/>
      <c r="T71" s="8"/>
      <c r="U71" s="8"/>
      <c r="V71" s="6">
        <f t="shared" si="15"/>
        <v>100</v>
      </c>
      <c r="W71" s="8"/>
      <c r="X71" s="8"/>
      <c r="Y71" s="8"/>
      <c r="Z71" s="6">
        <f t="shared" si="16"/>
        <v>100</v>
      </c>
      <c r="AA71" s="19"/>
      <c r="AB71" s="19"/>
      <c r="AC71" s="19"/>
      <c r="AD71" s="6">
        <f t="shared" si="17"/>
        <v>100</v>
      </c>
      <c r="AE71" s="19"/>
      <c r="AF71" s="19"/>
      <c r="AG71" s="19"/>
      <c r="AH71" s="6">
        <f t="shared" si="18"/>
        <v>100</v>
      </c>
      <c r="AI71" s="19"/>
      <c r="AJ71" s="19"/>
      <c r="AK71" s="19"/>
      <c r="AL71" s="6">
        <f t="shared" si="19"/>
        <v>100</v>
      </c>
      <c r="AM71" s="19"/>
      <c r="AN71" s="19"/>
      <c r="AO71" s="19"/>
      <c r="AP71" s="6">
        <f t="shared" si="20"/>
        <v>100</v>
      </c>
      <c r="AQ71" s="19"/>
      <c r="AR71" s="19"/>
      <c r="AS71" s="19"/>
      <c r="AT71" s="6">
        <f t="shared" si="21"/>
        <v>100</v>
      </c>
    </row>
    <row r="72" spans="1:46">
      <c r="A72" s="4">
        <v>45886</v>
      </c>
      <c r="B72" s="130"/>
      <c r="C72" s="7"/>
      <c r="D72" s="7"/>
      <c r="E72" s="7"/>
      <c r="F72" s="6">
        <f t="shared" si="11"/>
        <v>100</v>
      </c>
      <c r="G72" s="8"/>
      <c r="H72" s="8"/>
      <c r="I72" s="8"/>
      <c r="J72" s="6">
        <f t="shared" si="12"/>
        <v>100</v>
      </c>
      <c r="K72" s="19"/>
      <c r="L72" s="19"/>
      <c r="M72" s="19"/>
      <c r="N72" s="6">
        <f t="shared" si="13"/>
        <v>100</v>
      </c>
      <c r="O72" s="19"/>
      <c r="P72" s="19"/>
      <c r="Q72" s="19"/>
      <c r="R72" s="6">
        <f t="shared" si="14"/>
        <v>100</v>
      </c>
      <c r="S72" s="8"/>
      <c r="T72" s="8"/>
      <c r="U72" s="8"/>
      <c r="V72" s="6">
        <f t="shared" si="15"/>
        <v>100</v>
      </c>
      <c r="W72" s="8"/>
      <c r="X72" s="8"/>
      <c r="Y72" s="8"/>
      <c r="Z72" s="6">
        <f t="shared" si="16"/>
        <v>100</v>
      </c>
      <c r="AA72" s="19"/>
      <c r="AB72" s="19"/>
      <c r="AC72" s="19"/>
      <c r="AD72" s="6">
        <f t="shared" si="17"/>
        <v>100</v>
      </c>
      <c r="AE72" s="19"/>
      <c r="AF72" s="19"/>
      <c r="AG72" s="19"/>
      <c r="AH72" s="6">
        <f t="shared" si="18"/>
        <v>100</v>
      </c>
      <c r="AI72" s="19"/>
      <c r="AJ72" s="19"/>
      <c r="AK72" s="19"/>
      <c r="AL72" s="6">
        <f t="shared" si="19"/>
        <v>100</v>
      </c>
      <c r="AM72" s="19"/>
      <c r="AN72" s="19"/>
      <c r="AO72" s="19"/>
      <c r="AP72" s="6">
        <f t="shared" si="20"/>
        <v>100</v>
      </c>
      <c r="AQ72" s="19"/>
      <c r="AR72" s="19"/>
      <c r="AS72" s="19"/>
      <c r="AT72" s="6">
        <f t="shared" si="21"/>
        <v>100</v>
      </c>
    </row>
    <row r="73" spans="1:46">
      <c r="A73" s="4">
        <v>45887</v>
      </c>
      <c r="B73" s="130">
        <v>113.5</v>
      </c>
      <c r="C73" s="78">
        <v>29.06</v>
      </c>
      <c r="D73" s="80">
        <v>18.510000000000002</v>
      </c>
      <c r="E73" s="80">
        <v>31.93</v>
      </c>
      <c r="F73" s="6">
        <f t="shared" si="11"/>
        <v>20.5</v>
      </c>
      <c r="G73" s="78">
        <v>10.119999999999999</v>
      </c>
      <c r="H73" s="80">
        <v>10.89</v>
      </c>
      <c r="I73" s="80">
        <v>50.31</v>
      </c>
      <c r="J73" s="6">
        <f t="shared" si="12"/>
        <v>28.680000000000007</v>
      </c>
      <c r="K73" s="78">
        <v>17.29</v>
      </c>
      <c r="L73" s="80">
        <v>12.97</v>
      </c>
      <c r="M73" s="80">
        <v>44.91</v>
      </c>
      <c r="N73" s="6">
        <f t="shared" si="13"/>
        <v>24.830000000000013</v>
      </c>
      <c r="O73" s="78">
        <v>0.82</v>
      </c>
      <c r="P73" s="80">
        <v>0.39</v>
      </c>
      <c r="Q73" s="80">
        <v>69</v>
      </c>
      <c r="R73" s="6">
        <f t="shared" si="14"/>
        <v>29.790000000000006</v>
      </c>
      <c r="S73" s="78">
        <v>37.28</v>
      </c>
      <c r="T73" s="80">
        <v>40.56</v>
      </c>
      <c r="U73" s="8"/>
      <c r="V73" s="6">
        <f t="shared" si="15"/>
        <v>22.159999999999997</v>
      </c>
      <c r="W73" s="78">
        <v>33.4</v>
      </c>
      <c r="X73" s="80">
        <v>35.770000000000003</v>
      </c>
      <c r="Y73" s="8"/>
      <c r="Z73" s="6">
        <f t="shared" si="16"/>
        <v>30.83</v>
      </c>
      <c r="AA73" s="78">
        <v>25.41</v>
      </c>
      <c r="AB73" s="80">
        <v>13.33</v>
      </c>
      <c r="AC73" s="19"/>
      <c r="AD73" s="6">
        <f t="shared" si="17"/>
        <v>61.26</v>
      </c>
      <c r="AE73" s="78">
        <v>13.76</v>
      </c>
      <c r="AF73" s="80">
        <v>5.74</v>
      </c>
      <c r="AG73" s="19"/>
      <c r="AH73" s="6">
        <f t="shared" si="18"/>
        <v>80.5</v>
      </c>
      <c r="AI73" s="78">
        <v>5.51</v>
      </c>
      <c r="AJ73" s="80">
        <v>1.72</v>
      </c>
      <c r="AK73" s="80">
        <v>1.3</v>
      </c>
      <c r="AL73" s="6">
        <f t="shared" si="19"/>
        <v>91.47</v>
      </c>
      <c r="AM73" s="78">
        <v>4.08</v>
      </c>
      <c r="AN73" s="19"/>
      <c r="AO73" s="19"/>
      <c r="AP73" s="6">
        <f t="shared" si="20"/>
        <v>95.92</v>
      </c>
      <c r="AQ73" s="78">
        <v>0.63</v>
      </c>
      <c r="AR73" s="80">
        <v>0.26</v>
      </c>
      <c r="AS73" s="80">
        <v>70</v>
      </c>
      <c r="AT73" s="6">
        <f t="shared" si="21"/>
        <v>29.11</v>
      </c>
    </row>
    <row r="74" spans="1:46">
      <c r="A74" s="4">
        <v>45888</v>
      </c>
      <c r="B74" s="130">
        <v>113.5</v>
      </c>
      <c r="C74" s="7">
        <v>29.19</v>
      </c>
      <c r="D74" s="7">
        <v>18.670000000000002</v>
      </c>
      <c r="E74" s="7">
        <v>31.85</v>
      </c>
      <c r="F74" s="6">
        <f t="shared" si="11"/>
        <v>20.289999999999992</v>
      </c>
      <c r="G74" s="8"/>
      <c r="H74" s="8"/>
      <c r="I74" s="8"/>
      <c r="J74" s="6">
        <f t="shared" si="12"/>
        <v>100</v>
      </c>
      <c r="K74" s="19"/>
      <c r="L74" s="19"/>
      <c r="M74" s="19"/>
      <c r="N74" s="6">
        <f t="shared" si="13"/>
        <v>100</v>
      </c>
      <c r="O74" s="19"/>
      <c r="P74" s="19"/>
      <c r="Q74" s="19"/>
      <c r="R74" s="6">
        <f t="shared" si="14"/>
        <v>100</v>
      </c>
      <c r="S74" s="8"/>
      <c r="T74" s="8"/>
      <c r="U74" s="8"/>
      <c r="V74" s="6">
        <f t="shared" si="15"/>
        <v>100</v>
      </c>
      <c r="W74" s="8"/>
      <c r="X74" s="8"/>
      <c r="Y74" s="8"/>
      <c r="Z74" s="6">
        <f t="shared" si="16"/>
        <v>100</v>
      </c>
      <c r="AA74" s="19"/>
      <c r="AB74" s="19"/>
      <c r="AC74" s="19"/>
      <c r="AD74" s="6">
        <f t="shared" si="17"/>
        <v>100</v>
      </c>
      <c r="AE74" s="19"/>
      <c r="AF74" s="19"/>
      <c r="AG74" s="19"/>
      <c r="AH74" s="6">
        <f t="shared" si="18"/>
        <v>100</v>
      </c>
      <c r="AI74" s="19"/>
      <c r="AJ74" s="19"/>
      <c r="AK74" s="19"/>
      <c r="AL74" s="6">
        <f t="shared" si="19"/>
        <v>100</v>
      </c>
      <c r="AM74" s="19"/>
      <c r="AN74" s="19"/>
      <c r="AO74" s="19"/>
      <c r="AP74" s="6">
        <f t="shared" si="20"/>
        <v>100</v>
      </c>
      <c r="AQ74" s="19"/>
      <c r="AR74" s="19"/>
      <c r="AS74" s="19"/>
      <c r="AT74" s="6">
        <f t="shared" si="21"/>
        <v>100</v>
      </c>
    </row>
    <row r="75" spans="1:46">
      <c r="A75" s="4">
        <v>45889</v>
      </c>
      <c r="B75" s="130">
        <v>113.5</v>
      </c>
      <c r="C75" s="78">
        <v>29.03</v>
      </c>
      <c r="D75" s="80">
        <v>18.77</v>
      </c>
      <c r="E75" s="80">
        <v>32.119999999999997</v>
      </c>
      <c r="F75" s="6">
        <f t="shared" ref="F75:F138" si="22">100-SUM(C75:E75)</f>
        <v>20.080000000000013</v>
      </c>
      <c r="G75" s="8"/>
      <c r="H75" s="8"/>
      <c r="I75" s="8"/>
      <c r="J75" s="6">
        <f t="shared" ref="J75:J138" si="23">100-SUM(G75:I75)</f>
        <v>100</v>
      </c>
      <c r="K75" s="19"/>
      <c r="L75" s="19"/>
      <c r="M75" s="19"/>
      <c r="N75" s="6">
        <f t="shared" ref="N75:N138" si="24">100-SUM(K75:M75)</f>
        <v>100</v>
      </c>
      <c r="O75" s="19"/>
      <c r="P75" s="19"/>
      <c r="Q75" s="19"/>
      <c r="R75" s="6">
        <f t="shared" ref="R75:R138" si="25">100-SUM(O75:Q75)</f>
        <v>100</v>
      </c>
      <c r="S75" s="8"/>
      <c r="T75" s="8"/>
      <c r="U75" s="8"/>
      <c r="V75" s="6">
        <f t="shared" ref="V75:V138" si="26">100-SUM(S75:U75)</f>
        <v>100</v>
      </c>
      <c r="W75" s="8"/>
      <c r="X75" s="8"/>
      <c r="Y75" s="8"/>
      <c r="Z75" s="6">
        <f t="shared" ref="Z75:Z138" si="27">100-SUM(W75:Y75)</f>
        <v>100</v>
      </c>
      <c r="AA75" s="19"/>
      <c r="AB75" s="19"/>
      <c r="AC75" s="19"/>
      <c r="AD75" s="6">
        <f t="shared" ref="AD75:AD138" si="28">100-SUM(AA75:AC75)</f>
        <v>100</v>
      </c>
      <c r="AE75" s="19"/>
      <c r="AF75" s="19"/>
      <c r="AG75" s="19"/>
      <c r="AH75" s="6">
        <f t="shared" ref="AH75:AH138" si="29">100-SUM(AE75:AG75)</f>
        <v>100</v>
      </c>
      <c r="AI75" s="19"/>
      <c r="AJ75" s="19"/>
      <c r="AK75" s="19"/>
      <c r="AL75" s="6">
        <f t="shared" ref="AL75:AL138" si="30">100-SUM(AI75:AK75)</f>
        <v>100</v>
      </c>
      <c r="AM75" s="19"/>
      <c r="AN75" s="19"/>
      <c r="AO75" s="19"/>
      <c r="AP75" s="6">
        <f t="shared" ref="AP75:AP138" si="31">100-SUM(AM75:AO75)</f>
        <v>100</v>
      </c>
      <c r="AQ75" s="19"/>
      <c r="AR75" s="19"/>
      <c r="AS75" s="19"/>
      <c r="AT75" s="6">
        <f t="shared" ref="AT75:AT138" si="32">100-SUM(AQ75:AS75)</f>
        <v>100</v>
      </c>
    </row>
    <row r="76" spans="1:46">
      <c r="A76" s="4">
        <v>45890</v>
      </c>
      <c r="B76" s="130"/>
      <c r="C76" s="78">
        <v>28.84</v>
      </c>
      <c r="D76" s="80">
        <v>18.829999999999998</v>
      </c>
      <c r="E76" s="80">
        <v>32.119999999999997</v>
      </c>
      <c r="F76" s="6">
        <f t="shared" si="22"/>
        <v>20.210000000000008</v>
      </c>
      <c r="G76" s="78">
        <v>10.14</v>
      </c>
      <c r="H76" s="80">
        <v>10.72</v>
      </c>
      <c r="I76" s="80">
        <v>50.71</v>
      </c>
      <c r="J76" s="6">
        <f t="shared" si="23"/>
        <v>28.430000000000007</v>
      </c>
      <c r="K76" s="78">
        <v>16.809999999999999</v>
      </c>
      <c r="L76" s="80">
        <v>12.46</v>
      </c>
      <c r="M76" s="80">
        <v>44.92</v>
      </c>
      <c r="N76" s="6">
        <f t="shared" si="24"/>
        <v>25.810000000000002</v>
      </c>
      <c r="O76" s="19"/>
      <c r="P76" s="19"/>
      <c r="Q76" s="19"/>
      <c r="R76" s="6">
        <f t="shared" si="25"/>
        <v>100</v>
      </c>
      <c r="S76" s="78">
        <v>36.46</v>
      </c>
      <c r="T76" s="80">
        <v>39.119999999999997</v>
      </c>
      <c r="U76" s="8"/>
      <c r="V76" s="6">
        <f t="shared" si="26"/>
        <v>24.42</v>
      </c>
      <c r="W76" s="78">
        <v>33.92</v>
      </c>
      <c r="X76" s="80">
        <v>35.409999999999997</v>
      </c>
      <c r="Y76" s="8"/>
      <c r="Z76" s="6">
        <f t="shared" si="27"/>
        <v>30.67</v>
      </c>
      <c r="AA76" s="78">
        <v>26.12</v>
      </c>
      <c r="AB76" s="80">
        <v>12.96</v>
      </c>
      <c r="AC76" s="19"/>
      <c r="AD76" s="6">
        <f t="shared" si="28"/>
        <v>60.92</v>
      </c>
      <c r="AE76" s="78">
        <v>13.91</v>
      </c>
      <c r="AF76" s="80">
        <v>5.55</v>
      </c>
      <c r="AG76" s="19"/>
      <c r="AH76" s="6">
        <f t="shared" si="29"/>
        <v>80.539999999999992</v>
      </c>
      <c r="AI76" s="78">
        <v>5.44</v>
      </c>
      <c r="AJ76" s="80">
        <v>1.48</v>
      </c>
      <c r="AK76" s="80">
        <v>1.36</v>
      </c>
      <c r="AL76" s="6">
        <f t="shared" si="30"/>
        <v>91.72</v>
      </c>
      <c r="AM76" s="78">
        <v>2.72</v>
      </c>
      <c r="AN76" s="19"/>
      <c r="AO76" s="19"/>
      <c r="AP76" s="6">
        <f t="shared" si="31"/>
        <v>97.28</v>
      </c>
      <c r="AQ76" s="78">
        <v>0.49</v>
      </c>
      <c r="AR76" s="80">
        <v>0.27</v>
      </c>
      <c r="AS76" s="80">
        <v>70</v>
      </c>
      <c r="AT76" s="6">
        <f t="shared" si="32"/>
        <v>29.239999999999995</v>
      </c>
    </row>
    <row r="77" spans="1:46">
      <c r="A77" s="4">
        <v>45891</v>
      </c>
      <c r="B77" s="130"/>
      <c r="C77" s="7"/>
      <c r="D77" s="7"/>
      <c r="E77" s="7"/>
      <c r="F77" s="6">
        <f t="shared" si="22"/>
        <v>100</v>
      </c>
      <c r="G77" s="8"/>
      <c r="H77" s="8"/>
      <c r="I77" s="8"/>
      <c r="J77" s="6">
        <f t="shared" si="23"/>
        <v>100</v>
      </c>
      <c r="K77" s="19"/>
      <c r="L77" s="19"/>
      <c r="M77" s="19"/>
      <c r="N77" s="6">
        <f t="shared" si="24"/>
        <v>100</v>
      </c>
      <c r="O77" s="19"/>
      <c r="P77" s="19"/>
      <c r="Q77" s="19"/>
      <c r="R77" s="6">
        <f t="shared" si="25"/>
        <v>100</v>
      </c>
      <c r="S77" s="8"/>
      <c r="T77" s="8"/>
      <c r="U77" s="8"/>
      <c r="V77" s="6">
        <f t="shared" si="26"/>
        <v>100</v>
      </c>
      <c r="W77" s="8"/>
      <c r="X77" s="8"/>
      <c r="Y77" s="8"/>
      <c r="Z77" s="6">
        <f t="shared" si="27"/>
        <v>100</v>
      </c>
      <c r="AA77" s="19"/>
      <c r="AB77" s="19"/>
      <c r="AC77" s="19"/>
      <c r="AD77" s="6">
        <f t="shared" si="28"/>
        <v>100</v>
      </c>
      <c r="AE77" s="19"/>
      <c r="AF77" s="19"/>
      <c r="AG77" s="19"/>
      <c r="AH77" s="6">
        <f t="shared" si="29"/>
        <v>100</v>
      </c>
      <c r="AI77" s="19"/>
      <c r="AJ77" s="19"/>
      <c r="AK77" s="19"/>
      <c r="AL77" s="6">
        <f t="shared" si="30"/>
        <v>100</v>
      </c>
      <c r="AM77" s="19"/>
      <c r="AN77" s="19"/>
      <c r="AO77" s="19"/>
      <c r="AP77" s="6">
        <f t="shared" si="31"/>
        <v>100</v>
      </c>
      <c r="AQ77" s="19"/>
      <c r="AR77" s="19"/>
      <c r="AS77" s="19"/>
      <c r="AT77" s="6">
        <f t="shared" si="32"/>
        <v>100</v>
      </c>
    </row>
    <row r="78" spans="1:46">
      <c r="A78" s="4">
        <v>45892</v>
      </c>
      <c r="B78" s="130"/>
      <c r="C78" s="7"/>
      <c r="D78" s="7"/>
      <c r="E78" s="7"/>
      <c r="F78" s="6">
        <f t="shared" si="22"/>
        <v>100</v>
      </c>
      <c r="G78" s="8"/>
      <c r="H78" s="8"/>
      <c r="I78" s="8"/>
      <c r="J78" s="6">
        <f t="shared" si="23"/>
        <v>100</v>
      </c>
      <c r="K78" s="19"/>
      <c r="L78" s="19"/>
      <c r="M78" s="19"/>
      <c r="N78" s="6">
        <f t="shared" si="24"/>
        <v>100</v>
      </c>
      <c r="O78" s="19"/>
      <c r="P78" s="19"/>
      <c r="Q78" s="19"/>
      <c r="R78" s="6">
        <f t="shared" si="25"/>
        <v>100</v>
      </c>
      <c r="S78" s="8"/>
      <c r="T78" s="8"/>
      <c r="U78" s="8"/>
      <c r="V78" s="6">
        <f t="shared" si="26"/>
        <v>100</v>
      </c>
      <c r="W78" s="8"/>
      <c r="X78" s="8"/>
      <c r="Y78" s="8"/>
      <c r="Z78" s="6">
        <f t="shared" si="27"/>
        <v>100</v>
      </c>
      <c r="AA78" s="19"/>
      <c r="AB78" s="19"/>
      <c r="AC78" s="19"/>
      <c r="AD78" s="6">
        <f t="shared" si="28"/>
        <v>100</v>
      </c>
      <c r="AE78" s="19"/>
      <c r="AF78" s="19"/>
      <c r="AG78" s="19"/>
      <c r="AH78" s="6">
        <f t="shared" si="29"/>
        <v>100</v>
      </c>
      <c r="AI78" s="19"/>
      <c r="AJ78" s="19"/>
      <c r="AK78" s="19"/>
      <c r="AL78" s="6">
        <f t="shared" si="30"/>
        <v>100</v>
      </c>
      <c r="AM78" s="19"/>
      <c r="AN78" s="19"/>
      <c r="AO78" s="19"/>
      <c r="AP78" s="6">
        <f t="shared" si="31"/>
        <v>100</v>
      </c>
      <c r="AQ78" s="19"/>
      <c r="AR78" s="19"/>
      <c r="AS78" s="19"/>
      <c r="AT78" s="6">
        <f t="shared" si="32"/>
        <v>100</v>
      </c>
    </row>
    <row r="79" spans="1:46">
      <c r="A79" s="4">
        <v>45893</v>
      </c>
      <c r="B79" s="130"/>
      <c r="C79" s="7"/>
      <c r="D79" s="7"/>
      <c r="E79" s="7"/>
      <c r="F79" s="6">
        <f t="shared" si="22"/>
        <v>100</v>
      </c>
      <c r="G79" s="8"/>
      <c r="H79" s="8"/>
      <c r="I79" s="8"/>
      <c r="J79" s="6">
        <f t="shared" si="23"/>
        <v>100</v>
      </c>
      <c r="K79" s="19"/>
      <c r="L79" s="19"/>
      <c r="M79" s="19"/>
      <c r="N79" s="6">
        <f t="shared" si="24"/>
        <v>100</v>
      </c>
      <c r="O79" s="19"/>
      <c r="P79" s="19"/>
      <c r="Q79" s="19"/>
      <c r="R79" s="6">
        <f t="shared" si="25"/>
        <v>100</v>
      </c>
      <c r="S79" s="8"/>
      <c r="T79" s="8"/>
      <c r="U79" s="8"/>
      <c r="V79" s="6">
        <f t="shared" si="26"/>
        <v>100</v>
      </c>
      <c r="W79" s="8"/>
      <c r="X79" s="8"/>
      <c r="Y79" s="8"/>
      <c r="Z79" s="6">
        <f t="shared" si="27"/>
        <v>100</v>
      </c>
      <c r="AA79" s="19"/>
      <c r="AB79" s="19"/>
      <c r="AC79" s="19"/>
      <c r="AD79" s="6">
        <f t="shared" si="28"/>
        <v>100</v>
      </c>
      <c r="AE79" s="19"/>
      <c r="AF79" s="19"/>
      <c r="AG79" s="19"/>
      <c r="AH79" s="6">
        <f t="shared" si="29"/>
        <v>100</v>
      </c>
      <c r="AI79" s="19"/>
      <c r="AJ79" s="19"/>
      <c r="AK79" s="19"/>
      <c r="AL79" s="6">
        <f t="shared" si="30"/>
        <v>100</v>
      </c>
      <c r="AM79" s="19"/>
      <c r="AN79" s="19"/>
      <c r="AO79" s="19"/>
      <c r="AP79" s="6">
        <f t="shared" si="31"/>
        <v>100</v>
      </c>
      <c r="AQ79" s="19"/>
      <c r="AR79" s="19"/>
      <c r="AS79" s="19"/>
      <c r="AT79" s="6">
        <f t="shared" si="32"/>
        <v>100</v>
      </c>
    </row>
    <row r="80" spans="1:46">
      <c r="A80" s="4">
        <v>45894</v>
      </c>
      <c r="B80" s="130">
        <v>113.5</v>
      </c>
      <c r="C80" s="78">
        <v>28.89</v>
      </c>
      <c r="D80" s="80">
        <v>18.46</v>
      </c>
      <c r="E80" s="80">
        <v>31.79</v>
      </c>
      <c r="F80" s="6">
        <f t="shared" si="22"/>
        <v>20.86</v>
      </c>
      <c r="G80" s="78">
        <v>10.02</v>
      </c>
      <c r="H80" s="80">
        <v>10.56</v>
      </c>
      <c r="I80" s="80">
        <v>50.63</v>
      </c>
      <c r="J80" s="6">
        <f t="shared" si="23"/>
        <v>28.789999999999992</v>
      </c>
      <c r="K80" s="78">
        <v>16.29</v>
      </c>
      <c r="L80" s="80">
        <v>12.58</v>
      </c>
      <c r="M80" s="80">
        <v>45.91</v>
      </c>
      <c r="N80" s="6">
        <f t="shared" si="24"/>
        <v>25.22</v>
      </c>
      <c r="O80" s="78">
        <v>0.65</v>
      </c>
      <c r="P80" s="80">
        <v>0.3</v>
      </c>
      <c r="Q80" s="80">
        <v>70</v>
      </c>
      <c r="R80" s="6">
        <f t="shared" si="25"/>
        <v>29.049999999999997</v>
      </c>
      <c r="S80" s="78">
        <v>36.9</v>
      </c>
      <c r="T80" s="80">
        <v>40.770000000000003</v>
      </c>
      <c r="U80" s="8"/>
      <c r="V80" s="6">
        <f t="shared" si="26"/>
        <v>22.33</v>
      </c>
      <c r="W80" s="78">
        <v>33.76</v>
      </c>
      <c r="X80" s="80">
        <v>35.92</v>
      </c>
      <c r="Y80" s="8"/>
      <c r="Z80" s="6">
        <f t="shared" si="27"/>
        <v>30.319999999999993</v>
      </c>
      <c r="AA80" s="78">
        <v>23.52</v>
      </c>
      <c r="AB80" s="80">
        <v>11.97</v>
      </c>
      <c r="AC80" s="19"/>
      <c r="AD80" s="6">
        <f t="shared" si="28"/>
        <v>64.509999999999991</v>
      </c>
      <c r="AE80" s="78">
        <v>13.88</v>
      </c>
      <c r="AF80" s="80">
        <v>5.74</v>
      </c>
      <c r="AG80" s="19"/>
      <c r="AH80" s="6">
        <f t="shared" si="29"/>
        <v>80.38</v>
      </c>
      <c r="AI80" s="78">
        <v>6.36</v>
      </c>
      <c r="AJ80" s="80">
        <v>1.92</v>
      </c>
      <c r="AK80" s="80">
        <v>1.31</v>
      </c>
      <c r="AL80" s="6">
        <f t="shared" si="30"/>
        <v>90.41</v>
      </c>
      <c r="AM80" s="78">
        <v>2.72</v>
      </c>
      <c r="AN80" s="19"/>
      <c r="AO80" s="19"/>
      <c r="AP80" s="6">
        <f t="shared" si="31"/>
        <v>97.28</v>
      </c>
      <c r="AQ80" s="78">
        <v>0.47</v>
      </c>
      <c r="AR80" s="80">
        <v>0.23</v>
      </c>
      <c r="AS80" s="80">
        <v>72</v>
      </c>
      <c r="AT80" s="6">
        <f t="shared" si="32"/>
        <v>27.299999999999997</v>
      </c>
    </row>
    <row r="81" spans="1:46">
      <c r="A81" s="4">
        <v>45895</v>
      </c>
      <c r="B81" s="130">
        <v>113.5</v>
      </c>
      <c r="C81" s="78">
        <v>28.72</v>
      </c>
      <c r="D81" s="80">
        <v>18.57</v>
      </c>
      <c r="E81" s="80">
        <v>31.71</v>
      </c>
      <c r="F81" s="6">
        <f t="shared" si="22"/>
        <v>21</v>
      </c>
      <c r="G81" s="8"/>
      <c r="H81" s="8"/>
      <c r="I81" s="8"/>
      <c r="J81" s="6">
        <f t="shared" si="23"/>
        <v>100</v>
      </c>
      <c r="K81" s="19"/>
      <c r="L81" s="19"/>
      <c r="M81" s="19"/>
      <c r="N81" s="6">
        <f t="shared" si="24"/>
        <v>100</v>
      </c>
      <c r="O81" s="19"/>
      <c r="P81" s="19"/>
      <c r="Q81" s="19"/>
      <c r="R81" s="6">
        <f t="shared" si="25"/>
        <v>100</v>
      </c>
      <c r="S81" s="8"/>
      <c r="T81" s="8"/>
      <c r="U81" s="8"/>
      <c r="V81" s="6">
        <f t="shared" si="26"/>
        <v>100</v>
      </c>
      <c r="W81" s="8"/>
      <c r="X81" s="8"/>
      <c r="Y81" s="8"/>
      <c r="Z81" s="6">
        <f t="shared" si="27"/>
        <v>100</v>
      </c>
      <c r="AA81" s="19"/>
      <c r="AB81" s="19"/>
      <c r="AC81" s="19"/>
      <c r="AD81" s="6">
        <f t="shared" si="28"/>
        <v>100</v>
      </c>
      <c r="AE81" s="19"/>
      <c r="AF81" s="19"/>
      <c r="AG81" s="19"/>
      <c r="AH81" s="6">
        <f t="shared" si="29"/>
        <v>100</v>
      </c>
      <c r="AI81" s="19"/>
      <c r="AJ81" s="19"/>
      <c r="AK81" s="19"/>
      <c r="AL81" s="6">
        <f t="shared" si="30"/>
        <v>100</v>
      </c>
      <c r="AM81" s="19"/>
      <c r="AN81" s="19"/>
      <c r="AO81" s="19"/>
      <c r="AP81" s="6">
        <f t="shared" si="31"/>
        <v>100</v>
      </c>
      <c r="AQ81" s="19"/>
      <c r="AR81" s="19"/>
      <c r="AS81" s="19"/>
      <c r="AT81" s="6">
        <f t="shared" si="32"/>
        <v>100</v>
      </c>
    </row>
    <row r="82" spans="1:46">
      <c r="A82" s="4">
        <v>45896</v>
      </c>
      <c r="B82" s="130"/>
      <c r="C82" s="7"/>
      <c r="D82" s="7"/>
      <c r="E82" s="7"/>
      <c r="F82" s="6">
        <f t="shared" si="22"/>
        <v>100</v>
      </c>
      <c r="G82" s="8"/>
      <c r="H82" s="8"/>
      <c r="I82" s="8"/>
      <c r="J82" s="6">
        <f t="shared" si="23"/>
        <v>100</v>
      </c>
      <c r="K82" s="19"/>
      <c r="L82" s="19"/>
      <c r="M82" s="19"/>
      <c r="N82" s="6">
        <f t="shared" si="24"/>
        <v>100</v>
      </c>
      <c r="O82" s="19"/>
      <c r="P82" s="19"/>
      <c r="Q82" s="19"/>
      <c r="R82" s="6">
        <f t="shared" si="25"/>
        <v>100</v>
      </c>
      <c r="S82" s="8"/>
      <c r="T82" s="8"/>
      <c r="U82" s="8"/>
      <c r="V82" s="6">
        <f t="shared" si="26"/>
        <v>100</v>
      </c>
      <c r="W82" s="8"/>
      <c r="X82" s="8"/>
      <c r="Y82" s="8"/>
      <c r="Z82" s="6">
        <f t="shared" si="27"/>
        <v>100</v>
      </c>
      <c r="AA82" s="19"/>
      <c r="AB82" s="19"/>
      <c r="AC82" s="19"/>
      <c r="AD82" s="6">
        <f t="shared" si="28"/>
        <v>100</v>
      </c>
      <c r="AE82" s="19"/>
      <c r="AF82" s="19"/>
      <c r="AG82" s="19"/>
      <c r="AH82" s="6">
        <f t="shared" si="29"/>
        <v>100</v>
      </c>
      <c r="AI82" s="19"/>
      <c r="AJ82" s="19"/>
      <c r="AK82" s="19"/>
      <c r="AL82" s="6">
        <f t="shared" si="30"/>
        <v>100</v>
      </c>
      <c r="AM82" s="19"/>
      <c r="AN82" s="19"/>
      <c r="AO82" s="19"/>
      <c r="AP82" s="6">
        <f t="shared" si="31"/>
        <v>100</v>
      </c>
      <c r="AQ82" s="19"/>
      <c r="AR82" s="19"/>
      <c r="AS82" s="19"/>
      <c r="AT82" s="6">
        <f t="shared" si="32"/>
        <v>100</v>
      </c>
    </row>
    <row r="83" spans="1:46">
      <c r="A83" s="4">
        <v>45897</v>
      </c>
      <c r="B83" s="129"/>
      <c r="C83" s="78">
        <v>28.78</v>
      </c>
      <c r="D83" s="80">
        <v>18.63</v>
      </c>
      <c r="E83" s="80">
        <v>31.91</v>
      </c>
      <c r="F83" s="6">
        <f t="shared" si="22"/>
        <v>20.680000000000007</v>
      </c>
      <c r="G83" s="78">
        <v>10.220000000000001</v>
      </c>
      <c r="H83" s="80">
        <v>10.73</v>
      </c>
      <c r="I83" s="80">
        <v>50.19</v>
      </c>
      <c r="J83" s="6">
        <f t="shared" si="23"/>
        <v>28.86</v>
      </c>
      <c r="K83" s="78">
        <v>16.86</v>
      </c>
      <c r="L83" s="80">
        <v>12.44</v>
      </c>
      <c r="M83" s="80">
        <v>45.16</v>
      </c>
      <c r="N83" s="6">
        <f t="shared" si="24"/>
        <v>25.540000000000006</v>
      </c>
      <c r="O83" s="78">
        <v>0.68</v>
      </c>
      <c r="P83" s="80">
        <v>0.32</v>
      </c>
      <c r="Q83" s="80">
        <v>70</v>
      </c>
      <c r="R83" s="6">
        <f t="shared" si="25"/>
        <v>29</v>
      </c>
      <c r="S83" s="78">
        <v>36.880000000000003</v>
      </c>
      <c r="T83" s="80">
        <v>39.9</v>
      </c>
      <c r="U83" s="8"/>
      <c r="V83" s="6">
        <f t="shared" si="26"/>
        <v>23.22</v>
      </c>
      <c r="W83" s="78">
        <v>33.409999999999997</v>
      </c>
      <c r="X83" s="80">
        <v>35.82</v>
      </c>
      <c r="Y83" s="8"/>
      <c r="Z83" s="6">
        <f t="shared" si="27"/>
        <v>30.77000000000001</v>
      </c>
      <c r="AA83" s="78">
        <v>24.4</v>
      </c>
      <c r="AB83" s="80">
        <v>12.1</v>
      </c>
      <c r="AC83" s="19"/>
      <c r="AD83" s="6">
        <f t="shared" si="28"/>
        <v>63.5</v>
      </c>
      <c r="AE83" s="78">
        <v>13.48</v>
      </c>
      <c r="AF83" s="80">
        <v>5.77</v>
      </c>
      <c r="AG83" s="19"/>
      <c r="AH83" s="6">
        <f t="shared" si="29"/>
        <v>80.75</v>
      </c>
      <c r="AI83" s="78">
        <v>5.71</v>
      </c>
      <c r="AJ83" s="80">
        <v>1.31</v>
      </c>
      <c r="AK83" s="80">
        <v>1.48</v>
      </c>
      <c r="AL83" s="6">
        <f t="shared" si="30"/>
        <v>91.5</v>
      </c>
      <c r="AM83" s="78">
        <v>2.38</v>
      </c>
      <c r="AN83" s="19"/>
      <c r="AO83" s="19"/>
      <c r="AP83" s="6">
        <f t="shared" si="31"/>
        <v>97.62</v>
      </c>
      <c r="AQ83" s="78">
        <v>0.47</v>
      </c>
      <c r="AR83" s="80">
        <v>0.23</v>
      </c>
      <c r="AS83" s="80">
        <v>72</v>
      </c>
      <c r="AT83" s="6">
        <f t="shared" si="32"/>
        <v>27.299999999999997</v>
      </c>
    </row>
    <row r="84" spans="1:46">
      <c r="A84" s="4">
        <v>45898</v>
      </c>
      <c r="B84" s="129"/>
      <c r="C84" s="78">
        <v>28.67</v>
      </c>
      <c r="D84" s="80">
        <v>18.510000000000002</v>
      </c>
      <c r="E84" s="80">
        <v>31.74</v>
      </c>
      <c r="F84" s="6">
        <f t="shared" si="22"/>
        <v>21.08</v>
      </c>
      <c r="G84" s="8"/>
      <c r="H84" s="8"/>
      <c r="I84" s="8"/>
      <c r="J84" s="6">
        <f t="shared" si="23"/>
        <v>100</v>
      </c>
      <c r="K84" s="19"/>
      <c r="L84" s="19"/>
      <c r="M84" s="19"/>
      <c r="N84" s="6">
        <f t="shared" si="24"/>
        <v>100</v>
      </c>
      <c r="O84" s="19"/>
      <c r="P84" s="19"/>
      <c r="Q84" s="19"/>
      <c r="R84" s="6">
        <f t="shared" si="25"/>
        <v>100</v>
      </c>
      <c r="S84" s="8"/>
      <c r="T84" s="8"/>
      <c r="U84" s="8"/>
      <c r="V84" s="6">
        <f t="shared" si="26"/>
        <v>100</v>
      </c>
      <c r="W84" s="8"/>
      <c r="X84" s="8"/>
      <c r="Y84" s="8"/>
      <c r="Z84" s="6">
        <f t="shared" si="27"/>
        <v>100</v>
      </c>
      <c r="AA84" s="19"/>
      <c r="AB84" s="19"/>
      <c r="AC84" s="19"/>
      <c r="AD84" s="6">
        <f t="shared" si="28"/>
        <v>100</v>
      </c>
      <c r="AE84" s="19"/>
      <c r="AF84" s="19"/>
      <c r="AG84" s="19"/>
      <c r="AH84" s="6">
        <f t="shared" si="29"/>
        <v>100</v>
      </c>
      <c r="AI84" s="19"/>
      <c r="AJ84" s="19"/>
      <c r="AK84" s="19"/>
      <c r="AL84" s="6">
        <f t="shared" si="30"/>
        <v>100</v>
      </c>
      <c r="AM84" s="19"/>
      <c r="AN84" s="19"/>
      <c r="AO84" s="19"/>
      <c r="AP84" s="6">
        <f t="shared" si="31"/>
        <v>100</v>
      </c>
      <c r="AQ84" s="19"/>
      <c r="AR84" s="19"/>
      <c r="AS84" s="19"/>
      <c r="AT84" s="6">
        <f t="shared" si="32"/>
        <v>100</v>
      </c>
    </row>
    <row r="85" spans="1:46">
      <c r="A85" s="4">
        <v>45899</v>
      </c>
      <c r="B85" s="129"/>
      <c r="C85" s="7"/>
      <c r="D85" s="7"/>
      <c r="E85" s="7"/>
      <c r="F85" s="6">
        <f t="shared" si="22"/>
        <v>100</v>
      </c>
      <c r="G85" s="8"/>
      <c r="H85" s="8"/>
      <c r="I85" s="8"/>
      <c r="J85" s="6">
        <f t="shared" si="23"/>
        <v>100</v>
      </c>
      <c r="K85" s="19"/>
      <c r="L85" s="19"/>
      <c r="M85" s="19"/>
      <c r="N85" s="6">
        <f t="shared" si="24"/>
        <v>100</v>
      </c>
      <c r="O85" s="19"/>
      <c r="P85" s="19"/>
      <c r="Q85" s="19"/>
      <c r="R85" s="6">
        <f t="shared" si="25"/>
        <v>100</v>
      </c>
      <c r="S85" s="8"/>
      <c r="T85" s="8"/>
      <c r="U85" s="8"/>
      <c r="V85" s="6">
        <f t="shared" si="26"/>
        <v>100</v>
      </c>
      <c r="W85" s="8"/>
      <c r="X85" s="8"/>
      <c r="Y85" s="8"/>
      <c r="Z85" s="6">
        <f t="shared" si="27"/>
        <v>100</v>
      </c>
      <c r="AA85" s="19"/>
      <c r="AB85" s="19"/>
      <c r="AC85" s="19"/>
      <c r="AD85" s="6">
        <f t="shared" si="28"/>
        <v>100</v>
      </c>
      <c r="AE85" s="19"/>
      <c r="AF85" s="19"/>
      <c r="AG85" s="19"/>
      <c r="AH85" s="6">
        <f t="shared" si="29"/>
        <v>100</v>
      </c>
      <c r="AI85" s="19"/>
      <c r="AJ85" s="19"/>
      <c r="AK85" s="19"/>
      <c r="AL85" s="6">
        <f t="shared" si="30"/>
        <v>100</v>
      </c>
      <c r="AM85" s="19"/>
      <c r="AN85" s="19"/>
      <c r="AO85" s="19"/>
      <c r="AP85" s="6">
        <f t="shared" si="31"/>
        <v>100</v>
      </c>
      <c r="AQ85" s="19"/>
      <c r="AR85" s="19"/>
      <c r="AS85" s="19"/>
      <c r="AT85" s="6">
        <f t="shared" si="32"/>
        <v>100</v>
      </c>
    </row>
    <row r="86" spans="1:46">
      <c r="A86" s="4">
        <v>45900</v>
      </c>
      <c r="B86" s="129"/>
      <c r="C86" s="7"/>
      <c r="D86" s="7"/>
      <c r="E86" s="7"/>
      <c r="F86" s="6">
        <f t="shared" si="22"/>
        <v>100</v>
      </c>
      <c r="G86" s="8"/>
      <c r="H86" s="8"/>
      <c r="I86" s="8"/>
      <c r="J86" s="6">
        <f t="shared" si="23"/>
        <v>100</v>
      </c>
      <c r="K86" s="19"/>
      <c r="L86" s="19"/>
      <c r="M86" s="19"/>
      <c r="N86" s="6">
        <f t="shared" si="24"/>
        <v>100</v>
      </c>
      <c r="O86" s="19"/>
      <c r="P86" s="19"/>
      <c r="Q86" s="19"/>
      <c r="R86" s="6">
        <f t="shared" si="25"/>
        <v>100</v>
      </c>
      <c r="S86" s="8"/>
      <c r="T86" s="8"/>
      <c r="U86" s="8"/>
      <c r="V86" s="6">
        <f t="shared" si="26"/>
        <v>100</v>
      </c>
      <c r="W86" s="8"/>
      <c r="X86" s="8"/>
      <c r="Y86" s="8"/>
      <c r="Z86" s="6">
        <f t="shared" si="27"/>
        <v>100</v>
      </c>
      <c r="AA86" s="19"/>
      <c r="AB86" s="19"/>
      <c r="AC86" s="19"/>
      <c r="AD86" s="6">
        <f t="shared" si="28"/>
        <v>100</v>
      </c>
      <c r="AE86" s="19"/>
      <c r="AF86" s="19"/>
      <c r="AG86" s="19"/>
      <c r="AH86" s="6">
        <f t="shared" si="29"/>
        <v>100</v>
      </c>
      <c r="AI86" s="19"/>
      <c r="AJ86" s="19"/>
      <c r="AK86" s="19"/>
      <c r="AL86" s="6">
        <f t="shared" si="30"/>
        <v>100</v>
      </c>
      <c r="AM86" s="19"/>
      <c r="AN86" s="19"/>
      <c r="AO86" s="19"/>
      <c r="AP86" s="6">
        <f t="shared" si="31"/>
        <v>100</v>
      </c>
      <c r="AQ86" s="19"/>
      <c r="AR86" s="19"/>
      <c r="AS86" s="19"/>
      <c r="AT86" s="6">
        <f t="shared" si="32"/>
        <v>100</v>
      </c>
    </row>
    <row r="87" spans="1:46">
      <c r="A87" s="4">
        <v>45901</v>
      </c>
      <c r="B87" s="129"/>
      <c r="C87" s="7"/>
      <c r="D87" s="7"/>
      <c r="E87" s="7"/>
      <c r="F87" s="6">
        <f t="shared" si="22"/>
        <v>100</v>
      </c>
      <c r="G87" s="8"/>
      <c r="H87" s="8"/>
      <c r="I87" s="8"/>
      <c r="J87" s="6">
        <f t="shared" si="23"/>
        <v>100</v>
      </c>
      <c r="K87" s="19"/>
      <c r="L87" s="19"/>
      <c r="M87" s="19"/>
      <c r="N87" s="6">
        <f t="shared" si="24"/>
        <v>100</v>
      </c>
      <c r="O87" s="19"/>
      <c r="P87" s="19"/>
      <c r="Q87" s="19"/>
      <c r="R87" s="6">
        <f t="shared" si="25"/>
        <v>100</v>
      </c>
      <c r="S87" s="8"/>
      <c r="T87" s="8"/>
      <c r="U87" s="8"/>
      <c r="V87" s="6">
        <f t="shared" si="26"/>
        <v>100</v>
      </c>
      <c r="W87" s="8"/>
      <c r="X87" s="8"/>
      <c r="Y87" s="8"/>
      <c r="Z87" s="6">
        <f t="shared" si="27"/>
        <v>100</v>
      </c>
      <c r="AA87" s="19"/>
      <c r="AB87" s="19"/>
      <c r="AC87" s="19"/>
      <c r="AD87" s="6">
        <f t="shared" si="28"/>
        <v>100</v>
      </c>
      <c r="AE87" s="19"/>
      <c r="AF87" s="19"/>
      <c r="AG87" s="19"/>
      <c r="AH87" s="6">
        <f t="shared" si="29"/>
        <v>100</v>
      </c>
      <c r="AI87" s="19"/>
      <c r="AJ87" s="19"/>
      <c r="AK87" s="19"/>
      <c r="AL87" s="6">
        <f t="shared" si="30"/>
        <v>100</v>
      </c>
      <c r="AM87" s="19"/>
      <c r="AN87" s="19"/>
      <c r="AO87" s="19"/>
      <c r="AP87" s="6">
        <f t="shared" si="31"/>
        <v>100</v>
      </c>
      <c r="AQ87" s="19"/>
      <c r="AR87" s="19"/>
      <c r="AS87" s="19"/>
      <c r="AT87" s="6">
        <f t="shared" si="32"/>
        <v>100</v>
      </c>
    </row>
    <row r="88" spans="1:46">
      <c r="A88" s="4">
        <v>45902</v>
      </c>
      <c r="B88" s="129"/>
      <c r="C88" s="78">
        <v>28.76</v>
      </c>
      <c r="D88" s="80">
        <v>18.559999999999999</v>
      </c>
      <c r="E88" s="80">
        <v>31.66</v>
      </c>
      <c r="F88" s="6">
        <f t="shared" si="22"/>
        <v>21.019999999999996</v>
      </c>
      <c r="G88" s="78">
        <v>10.17</v>
      </c>
      <c r="H88" s="80">
        <v>10.79</v>
      </c>
      <c r="I88" s="80">
        <v>50.33</v>
      </c>
      <c r="J88" s="6">
        <f t="shared" si="23"/>
        <v>28.710000000000008</v>
      </c>
      <c r="K88" s="78">
        <v>15.91</v>
      </c>
      <c r="L88" s="80">
        <v>12.07</v>
      </c>
      <c r="M88" s="80">
        <v>44.97</v>
      </c>
      <c r="N88" s="6">
        <f t="shared" si="24"/>
        <v>27.049999999999997</v>
      </c>
      <c r="O88" s="78">
        <v>0.66</v>
      </c>
      <c r="P88" s="80">
        <v>0.34</v>
      </c>
      <c r="Q88" s="80">
        <v>71</v>
      </c>
      <c r="R88" s="6">
        <f t="shared" si="25"/>
        <v>28</v>
      </c>
      <c r="S88" s="78">
        <v>37.22</v>
      </c>
      <c r="T88" s="80">
        <v>40.130000000000003</v>
      </c>
      <c r="U88" s="8"/>
      <c r="V88" s="6">
        <f t="shared" si="26"/>
        <v>22.650000000000006</v>
      </c>
      <c r="W88" s="78">
        <v>33.74</v>
      </c>
      <c r="X88" s="80">
        <v>35.71</v>
      </c>
      <c r="Y88" s="8"/>
      <c r="Z88" s="6">
        <f t="shared" si="27"/>
        <v>30.549999999999997</v>
      </c>
      <c r="AA88" s="78">
        <v>25.11</v>
      </c>
      <c r="AB88" s="80">
        <v>11.84</v>
      </c>
      <c r="AC88" s="19"/>
      <c r="AD88" s="6">
        <f t="shared" si="28"/>
        <v>63.05</v>
      </c>
      <c r="AE88" s="78">
        <v>13.82</v>
      </c>
      <c r="AF88" s="80">
        <v>5.47</v>
      </c>
      <c r="AG88" s="19"/>
      <c r="AH88" s="6">
        <f t="shared" si="29"/>
        <v>80.710000000000008</v>
      </c>
      <c r="AI88" s="78">
        <v>6.77</v>
      </c>
      <c r="AJ88" s="80">
        <v>1.34</v>
      </c>
      <c r="AK88" s="80">
        <v>1.27</v>
      </c>
      <c r="AL88" s="6">
        <f t="shared" si="30"/>
        <v>90.62</v>
      </c>
      <c r="AM88" s="78">
        <v>2.72</v>
      </c>
      <c r="AN88" s="19"/>
      <c r="AO88" s="19"/>
      <c r="AP88" s="6">
        <f t="shared" si="31"/>
        <v>97.28</v>
      </c>
      <c r="AQ88" s="78">
        <v>0.44</v>
      </c>
      <c r="AR88" s="80">
        <v>0.2</v>
      </c>
      <c r="AS88" s="80">
        <v>73</v>
      </c>
      <c r="AT88" s="6">
        <f t="shared" si="32"/>
        <v>26.36</v>
      </c>
    </row>
    <row r="89" spans="1:46">
      <c r="A89" s="4">
        <v>45903</v>
      </c>
      <c r="B89" s="129"/>
      <c r="C89" s="78">
        <v>28.63</v>
      </c>
      <c r="D89" s="80">
        <v>18.41</v>
      </c>
      <c r="E89" s="80">
        <v>31.43</v>
      </c>
      <c r="F89" s="6">
        <f t="shared" si="22"/>
        <v>21.53</v>
      </c>
      <c r="G89" s="8"/>
      <c r="H89" s="8"/>
      <c r="I89" s="8"/>
      <c r="J89" s="6">
        <f t="shared" si="23"/>
        <v>100</v>
      </c>
      <c r="K89" s="19"/>
      <c r="L89" s="19"/>
      <c r="M89" s="19"/>
      <c r="N89" s="6">
        <f t="shared" si="24"/>
        <v>100</v>
      </c>
      <c r="O89" s="19"/>
      <c r="P89" s="19"/>
      <c r="Q89" s="19"/>
      <c r="R89" s="6">
        <f t="shared" si="25"/>
        <v>100</v>
      </c>
      <c r="S89" s="8"/>
      <c r="T89" s="8"/>
      <c r="U89" s="8"/>
      <c r="V89" s="6">
        <f t="shared" si="26"/>
        <v>100</v>
      </c>
      <c r="W89" s="8"/>
      <c r="X89" s="8"/>
      <c r="Y89" s="8"/>
      <c r="Z89" s="6">
        <f t="shared" si="27"/>
        <v>100</v>
      </c>
      <c r="AA89" s="19"/>
      <c r="AB89" s="19"/>
      <c r="AC89" s="19"/>
      <c r="AD89" s="6">
        <f t="shared" si="28"/>
        <v>100</v>
      </c>
      <c r="AE89" s="19"/>
      <c r="AF89" s="19"/>
      <c r="AG89" s="19"/>
      <c r="AH89" s="6">
        <f t="shared" si="29"/>
        <v>100</v>
      </c>
      <c r="AI89" s="19"/>
      <c r="AJ89" s="19"/>
      <c r="AK89" s="19"/>
      <c r="AL89" s="6">
        <f t="shared" si="30"/>
        <v>100</v>
      </c>
      <c r="AM89" s="19"/>
      <c r="AN89" s="19"/>
      <c r="AO89" s="19"/>
      <c r="AP89" s="6">
        <f t="shared" si="31"/>
        <v>100</v>
      </c>
      <c r="AQ89" s="19"/>
      <c r="AR89" s="19"/>
      <c r="AS89" s="19"/>
      <c r="AT89" s="6">
        <f t="shared" si="32"/>
        <v>100</v>
      </c>
    </row>
    <row r="90" spans="1:46">
      <c r="A90" s="4">
        <v>45904</v>
      </c>
      <c r="B90" s="129"/>
      <c r="C90" s="78">
        <v>29.43</v>
      </c>
      <c r="D90" s="80">
        <v>18.7</v>
      </c>
      <c r="E90" s="80">
        <v>31.92</v>
      </c>
      <c r="F90" s="6">
        <f t="shared" si="22"/>
        <v>19.950000000000003</v>
      </c>
      <c r="G90" s="78">
        <v>10.119999999999999</v>
      </c>
      <c r="H90" s="80">
        <v>10.63</v>
      </c>
      <c r="I90" s="80">
        <v>50.67</v>
      </c>
      <c r="J90" s="6">
        <f t="shared" si="23"/>
        <v>28.58</v>
      </c>
      <c r="K90" s="78">
        <v>16.93</v>
      </c>
      <c r="L90" s="80">
        <v>12.26</v>
      </c>
      <c r="M90" s="80">
        <v>45.75</v>
      </c>
      <c r="N90" s="6">
        <f t="shared" si="24"/>
        <v>25.060000000000002</v>
      </c>
      <c r="O90" s="78">
        <v>0.72</v>
      </c>
      <c r="P90" s="80">
        <v>0.43</v>
      </c>
      <c r="Q90" s="80">
        <v>70</v>
      </c>
      <c r="R90" s="6">
        <f t="shared" si="25"/>
        <v>28.849999999999994</v>
      </c>
      <c r="S90" s="78">
        <v>36.130000000000003</v>
      </c>
      <c r="T90" s="80">
        <v>39.31</v>
      </c>
      <c r="U90" s="8"/>
      <c r="V90" s="6">
        <f t="shared" si="26"/>
        <v>24.560000000000002</v>
      </c>
      <c r="W90" s="78">
        <v>34.46</v>
      </c>
      <c r="X90" s="80">
        <v>35.94</v>
      </c>
      <c r="Y90" s="8"/>
      <c r="Z90" s="6">
        <f t="shared" si="27"/>
        <v>29.599999999999994</v>
      </c>
      <c r="AA90" s="78">
        <v>25.42</v>
      </c>
      <c r="AB90" s="80">
        <v>11.7</v>
      </c>
      <c r="AC90" s="19"/>
      <c r="AD90" s="6">
        <f t="shared" si="28"/>
        <v>62.879999999999995</v>
      </c>
      <c r="AE90" s="78">
        <v>15.59</v>
      </c>
      <c r="AF90" s="80">
        <v>6.21</v>
      </c>
      <c r="AG90" s="19"/>
      <c r="AH90" s="6">
        <f t="shared" si="29"/>
        <v>78.2</v>
      </c>
      <c r="AI90" s="78">
        <v>5.44</v>
      </c>
      <c r="AJ90" s="80">
        <v>1.31</v>
      </c>
      <c r="AK90" s="80">
        <v>1.2</v>
      </c>
      <c r="AL90" s="6">
        <f t="shared" si="30"/>
        <v>92.05</v>
      </c>
      <c r="AM90" s="78">
        <v>2.72</v>
      </c>
      <c r="AN90" s="19"/>
      <c r="AO90" s="19"/>
      <c r="AP90" s="6">
        <f t="shared" si="31"/>
        <v>97.28</v>
      </c>
      <c r="AQ90" s="78">
        <v>0.48</v>
      </c>
      <c r="AR90" s="80">
        <v>0.27</v>
      </c>
      <c r="AS90" s="80">
        <v>72</v>
      </c>
      <c r="AT90" s="6">
        <f t="shared" si="32"/>
        <v>27.25</v>
      </c>
    </row>
    <row r="91" spans="1:46">
      <c r="A91" s="4">
        <v>45905</v>
      </c>
      <c r="B91" s="129"/>
      <c r="C91" s="78">
        <v>28.91</v>
      </c>
      <c r="D91" s="80">
        <v>18.399999999999999</v>
      </c>
      <c r="E91" s="80">
        <v>31.76</v>
      </c>
      <c r="F91" s="6">
        <f t="shared" si="22"/>
        <v>20.929999999999993</v>
      </c>
      <c r="G91" s="8"/>
      <c r="H91" s="8"/>
      <c r="I91" s="8"/>
      <c r="J91" s="6">
        <f t="shared" si="23"/>
        <v>100</v>
      </c>
      <c r="K91" s="19"/>
      <c r="L91" s="19"/>
      <c r="M91" s="19"/>
      <c r="N91" s="6">
        <f t="shared" si="24"/>
        <v>100</v>
      </c>
      <c r="O91" s="19"/>
      <c r="P91" s="19"/>
      <c r="Q91" s="19"/>
      <c r="R91" s="6">
        <f t="shared" si="25"/>
        <v>100</v>
      </c>
      <c r="S91" s="8"/>
      <c r="T91" s="8"/>
      <c r="U91" s="8"/>
      <c r="V91" s="6">
        <f t="shared" si="26"/>
        <v>100</v>
      </c>
      <c r="W91" s="8"/>
      <c r="X91" s="8"/>
      <c r="Y91" s="8"/>
      <c r="Z91" s="6">
        <f t="shared" si="27"/>
        <v>100</v>
      </c>
      <c r="AA91" s="19"/>
      <c r="AB91" s="19"/>
      <c r="AC91" s="19"/>
      <c r="AD91" s="6">
        <f t="shared" si="28"/>
        <v>100</v>
      </c>
      <c r="AE91" s="19"/>
      <c r="AF91" s="19"/>
      <c r="AG91" s="19"/>
      <c r="AH91" s="6">
        <f t="shared" si="29"/>
        <v>100</v>
      </c>
      <c r="AI91" s="19"/>
      <c r="AJ91" s="19"/>
      <c r="AK91" s="19"/>
      <c r="AL91" s="6">
        <f t="shared" si="30"/>
        <v>100</v>
      </c>
      <c r="AM91" s="19"/>
      <c r="AN91" s="19"/>
      <c r="AO91" s="19"/>
      <c r="AP91" s="6">
        <f t="shared" si="31"/>
        <v>100</v>
      </c>
      <c r="AQ91" s="19"/>
      <c r="AR91" s="19"/>
      <c r="AS91" s="19"/>
      <c r="AT91" s="6">
        <f t="shared" si="32"/>
        <v>100</v>
      </c>
    </row>
    <row r="92" spans="1:46">
      <c r="A92" s="4">
        <v>45906</v>
      </c>
      <c r="B92" s="129"/>
      <c r="C92" s="7"/>
      <c r="D92" s="7"/>
      <c r="E92" s="7"/>
      <c r="F92" s="6">
        <f t="shared" si="22"/>
        <v>100</v>
      </c>
      <c r="G92" s="8"/>
      <c r="H92" s="8"/>
      <c r="I92" s="8"/>
      <c r="J92" s="6">
        <f t="shared" si="23"/>
        <v>100</v>
      </c>
      <c r="K92" s="19"/>
      <c r="L92" s="19"/>
      <c r="M92" s="19"/>
      <c r="N92" s="6">
        <f t="shared" si="24"/>
        <v>100</v>
      </c>
      <c r="O92" s="19"/>
      <c r="P92" s="19"/>
      <c r="Q92" s="19"/>
      <c r="R92" s="6">
        <f t="shared" si="25"/>
        <v>100</v>
      </c>
      <c r="S92" s="8"/>
      <c r="T92" s="8"/>
      <c r="U92" s="8"/>
      <c r="V92" s="6">
        <f t="shared" si="26"/>
        <v>100</v>
      </c>
      <c r="W92" s="8"/>
      <c r="X92" s="8"/>
      <c r="Y92" s="8"/>
      <c r="Z92" s="6">
        <f t="shared" si="27"/>
        <v>100</v>
      </c>
      <c r="AA92" s="19"/>
      <c r="AB92" s="19"/>
      <c r="AC92" s="19"/>
      <c r="AD92" s="6">
        <f t="shared" si="28"/>
        <v>100</v>
      </c>
      <c r="AE92" s="19"/>
      <c r="AF92" s="19"/>
      <c r="AG92" s="19"/>
      <c r="AH92" s="6">
        <f t="shared" si="29"/>
        <v>100</v>
      </c>
      <c r="AI92" s="19"/>
      <c r="AJ92" s="19"/>
      <c r="AK92" s="19"/>
      <c r="AL92" s="6">
        <f t="shared" si="30"/>
        <v>100</v>
      </c>
      <c r="AM92" s="19"/>
      <c r="AN92" s="19"/>
      <c r="AO92" s="19"/>
      <c r="AP92" s="6">
        <f t="shared" si="31"/>
        <v>100</v>
      </c>
      <c r="AQ92" s="19"/>
      <c r="AR92" s="19"/>
      <c r="AS92" s="19"/>
      <c r="AT92" s="6">
        <f t="shared" si="32"/>
        <v>100</v>
      </c>
    </row>
    <row r="93" spans="1:46">
      <c r="A93" s="4">
        <v>45907</v>
      </c>
      <c r="B93" s="129"/>
      <c r="C93" s="7"/>
      <c r="D93" s="7"/>
      <c r="E93" s="7"/>
      <c r="F93" s="6">
        <f t="shared" si="22"/>
        <v>100</v>
      </c>
      <c r="G93" s="8"/>
      <c r="H93" s="8"/>
      <c r="I93" s="8"/>
      <c r="J93" s="6">
        <f t="shared" si="23"/>
        <v>100</v>
      </c>
      <c r="K93" s="19"/>
      <c r="L93" s="19"/>
      <c r="M93" s="19"/>
      <c r="N93" s="6">
        <f t="shared" si="24"/>
        <v>100</v>
      </c>
      <c r="O93" s="19"/>
      <c r="P93" s="19"/>
      <c r="Q93" s="19"/>
      <c r="R93" s="6">
        <f t="shared" si="25"/>
        <v>100</v>
      </c>
      <c r="S93" s="8"/>
      <c r="T93" s="8"/>
      <c r="U93" s="8"/>
      <c r="V93" s="6">
        <f t="shared" si="26"/>
        <v>100</v>
      </c>
      <c r="W93" s="8"/>
      <c r="X93" s="8"/>
      <c r="Y93" s="8"/>
      <c r="Z93" s="6">
        <f t="shared" si="27"/>
        <v>100</v>
      </c>
      <c r="AA93" s="19"/>
      <c r="AB93" s="19"/>
      <c r="AC93" s="19"/>
      <c r="AD93" s="6">
        <f t="shared" si="28"/>
        <v>100</v>
      </c>
      <c r="AE93" s="19"/>
      <c r="AF93" s="19"/>
      <c r="AG93" s="19"/>
      <c r="AH93" s="6">
        <f t="shared" si="29"/>
        <v>100</v>
      </c>
      <c r="AI93" s="19"/>
      <c r="AJ93" s="19"/>
      <c r="AK93" s="19"/>
      <c r="AL93" s="6">
        <f t="shared" si="30"/>
        <v>100</v>
      </c>
      <c r="AM93" s="19"/>
      <c r="AN93" s="19"/>
      <c r="AO93" s="19"/>
      <c r="AP93" s="6">
        <f t="shared" si="31"/>
        <v>100</v>
      </c>
      <c r="AQ93" s="19"/>
      <c r="AR93" s="19"/>
      <c r="AS93" s="19"/>
      <c r="AT93" s="6">
        <f t="shared" si="32"/>
        <v>100</v>
      </c>
    </row>
    <row r="94" spans="1:46">
      <c r="A94" s="4">
        <v>45908</v>
      </c>
      <c r="B94" s="129"/>
      <c r="C94" s="7"/>
      <c r="D94" s="7"/>
      <c r="E94" s="7"/>
      <c r="F94" s="6">
        <f t="shared" si="22"/>
        <v>100</v>
      </c>
      <c r="G94" s="8"/>
      <c r="H94" s="8"/>
      <c r="I94" s="8"/>
      <c r="J94" s="6">
        <f t="shared" si="23"/>
        <v>100</v>
      </c>
      <c r="K94" s="19"/>
      <c r="L94" s="19"/>
      <c r="M94" s="19"/>
      <c r="N94" s="6">
        <f t="shared" si="24"/>
        <v>100</v>
      </c>
      <c r="O94" s="19"/>
      <c r="P94" s="19"/>
      <c r="Q94" s="19"/>
      <c r="R94" s="6">
        <f t="shared" si="25"/>
        <v>100</v>
      </c>
      <c r="S94" s="8"/>
      <c r="T94" s="8"/>
      <c r="U94" s="8"/>
      <c r="V94" s="6">
        <f t="shared" si="26"/>
        <v>100</v>
      </c>
      <c r="W94" s="8"/>
      <c r="X94" s="8"/>
      <c r="Y94" s="8"/>
      <c r="Z94" s="6">
        <f t="shared" si="27"/>
        <v>100</v>
      </c>
      <c r="AA94" s="19"/>
      <c r="AB94" s="19"/>
      <c r="AC94" s="19"/>
      <c r="AD94" s="6">
        <f t="shared" si="28"/>
        <v>100</v>
      </c>
      <c r="AE94" s="19"/>
      <c r="AF94" s="19"/>
      <c r="AG94" s="19"/>
      <c r="AH94" s="6">
        <f t="shared" si="29"/>
        <v>100</v>
      </c>
      <c r="AI94" s="19"/>
      <c r="AJ94" s="19"/>
      <c r="AK94" s="19"/>
      <c r="AL94" s="6">
        <f t="shared" si="30"/>
        <v>100</v>
      </c>
      <c r="AM94" s="19"/>
      <c r="AN94" s="19"/>
      <c r="AO94" s="19"/>
      <c r="AP94" s="6">
        <f t="shared" si="31"/>
        <v>100</v>
      </c>
      <c r="AQ94" s="19"/>
      <c r="AR94" s="19"/>
      <c r="AS94" s="19"/>
      <c r="AT94" s="6">
        <f t="shared" si="32"/>
        <v>100</v>
      </c>
    </row>
    <row r="95" spans="1:46">
      <c r="A95" s="4">
        <v>45909</v>
      </c>
      <c r="B95" s="129"/>
      <c r="C95" s="78">
        <v>29.06</v>
      </c>
      <c r="D95" s="80">
        <v>18.690000000000001</v>
      </c>
      <c r="E95" s="80">
        <v>31.89</v>
      </c>
      <c r="F95" s="6">
        <f t="shared" si="22"/>
        <v>20.36</v>
      </c>
      <c r="G95" s="8"/>
      <c r="H95" s="8"/>
      <c r="I95" s="8"/>
      <c r="J95" s="6">
        <f t="shared" si="23"/>
        <v>100</v>
      </c>
      <c r="K95" s="19"/>
      <c r="L95" s="19"/>
      <c r="M95" s="19"/>
      <c r="N95" s="6">
        <f t="shared" si="24"/>
        <v>100</v>
      </c>
      <c r="O95" s="19"/>
      <c r="P95" s="19"/>
      <c r="Q95" s="19"/>
      <c r="R95" s="6">
        <f t="shared" si="25"/>
        <v>100</v>
      </c>
      <c r="S95" s="8"/>
      <c r="T95" s="8"/>
      <c r="U95" s="8"/>
      <c r="V95" s="6">
        <f t="shared" si="26"/>
        <v>100</v>
      </c>
      <c r="W95" s="8"/>
      <c r="X95" s="8"/>
      <c r="Y95" s="8"/>
      <c r="Z95" s="6">
        <f t="shared" si="27"/>
        <v>100</v>
      </c>
      <c r="AA95" s="19"/>
      <c r="AB95" s="19"/>
      <c r="AC95" s="19"/>
      <c r="AD95" s="6">
        <f t="shared" si="28"/>
        <v>100</v>
      </c>
      <c r="AE95" s="19"/>
      <c r="AF95" s="19"/>
      <c r="AG95" s="19"/>
      <c r="AH95" s="6">
        <f t="shared" si="29"/>
        <v>100</v>
      </c>
      <c r="AI95" s="19"/>
      <c r="AJ95" s="19"/>
      <c r="AK95" s="19"/>
      <c r="AL95" s="6">
        <f t="shared" si="30"/>
        <v>100</v>
      </c>
      <c r="AM95" s="19"/>
      <c r="AN95" s="19"/>
      <c r="AO95" s="19"/>
      <c r="AP95" s="6">
        <f t="shared" si="31"/>
        <v>100</v>
      </c>
      <c r="AQ95" s="19"/>
      <c r="AR95" s="19"/>
      <c r="AS95" s="19"/>
      <c r="AT95" s="6">
        <f t="shared" si="32"/>
        <v>100</v>
      </c>
    </row>
    <row r="96" spans="1:46">
      <c r="A96" s="4">
        <v>45910</v>
      </c>
      <c r="B96" s="129"/>
      <c r="C96" s="78">
        <v>28.89</v>
      </c>
      <c r="D96" s="80">
        <v>18.96</v>
      </c>
      <c r="E96" s="80">
        <v>31.93</v>
      </c>
      <c r="F96" s="6">
        <f t="shared" si="22"/>
        <v>20.22</v>
      </c>
      <c r="G96" s="8"/>
      <c r="H96" s="8"/>
      <c r="I96" s="8"/>
      <c r="J96" s="6">
        <f t="shared" si="23"/>
        <v>100</v>
      </c>
      <c r="K96" s="19"/>
      <c r="L96" s="19"/>
      <c r="M96" s="19"/>
      <c r="N96" s="6">
        <f t="shared" si="24"/>
        <v>100</v>
      </c>
      <c r="O96" s="19"/>
      <c r="P96" s="19"/>
      <c r="Q96" s="19"/>
      <c r="R96" s="6">
        <f t="shared" si="25"/>
        <v>100</v>
      </c>
      <c r="S96" s="8"/>
      <c r="T96" s="8"/>
      <c r="U96" s="8"/>
      <c r="V96" s="6">
        <f t="shared" si="26"/>
        <v>100</v>
      </c>
      <c r="W96" s="8"/>
      <c r="X96" s="8"/>
      <c r="Y96" s="8"/>
      <c r="Z96" s="6">
        <f t="shared" si="27"/>
        <v>100</v>
      </c>
      <c r="AA96" s="19"/>
      <c r="AB96" s="19"/>
      <c r="AC96" s="19"/>
      <c r="AD96" s="6">
        <f t="shared" si="28"/>
        <v>100</v>
      </c>
      <c r="AE96" s="19"/>
      <c r="AF96" s="19"/>
      <c r="AG96" s="19"/>
      <c r="AH96" s="6">
        <f t="shared" si="29"/>
        <v>100</v>
      </c>
      <c r="AI96" s="19"/>
      <c r="AJ96" s="19"/>
      <c r="AK96" s="19"/>
      <c r="AL96" s="6">
        <f t="shared" si="30"/>
        <v>100</v>
      </c>
      <c r="AM96" s="19"/>
      <c r="AN96" s="19"/>
      <c r="AO96" s="19"/>
      <c r="AP96" s="6">
        <f t="shared" si="31"/>
        <v>100</v>
      </c>
      <c r="AQ96" s="19"/>
      <c r="AR96" s="19"/>
      <c r="AS96" s="19"/>
      <c r="AT96" s="6">
        <f t="shared" si="32"/>
        <v>100</v>
      </c>
    </row>
    <row r="97" spans="1:46">
      <c r="A97" s="4">
        <v>45911</v>
      </c>
      <c r="B97" s="129"/>
      <c r="C97" s="78">
        <v>28.85</v>
      </c>
      <c r="D97" s="80">
        <v>18.66</v>
      </c>
      <c r="E97" s="80">
        <v>31.84</v>
      </c>
      <c r="F97" s="6">
        <f t="shared" si="22"/>
        <v>20.649999999999991</v>
      </c>
      <c r="G97" s="78">
        <v>9.9499999999999993</v>
      </c>
      <c r="H97" s="80">
        <v>10.41</v>
      </c>
      <c r="I97" s="80">
        <v>51.8</v>
      </c>
      <c r="J97" s="6">
        <f t="shared" si="23"/>
        <v>27.840000000000003</v>
      </c>
      <c r="K97" s="78">
        <v>18.25</v>
      </c>
      <c r="L97" s="80">
        <v>12.96</v>
      </c>
      <c r="M97" s="80">
        <v>45.04</v>
      </c>
      <c r="N97" s="6">
        <f t="shared" si="24"/>
        <v>23.75</v>
      </c>
      <c r="O97" s="78">
        <v>0.85</v>
      </c>
      <c r="P97" s="80">
        <v>0.43</v>
      </c>
      <c r="Q97" s="80">
        <v>70</v>
      </c>
      <c r="R97" s="6">
        <f t="shared" si="25"/>
        <v>28.72</v>
      </c>
      <c r="S97" s="78">
        <v>36.119999999999997</v>
      </c>
      <c r="T97" s="80">
        <v>40.14</v>
      </c>
      <c r="U97" s="8"/>
      <c r="V97" s="6">
        <f t="shared" si="26"/>
        <v>23.740000000000009</v>
      </c>
      <c r="W97" s="78">
        <v>34.71</v>
      </c>
      <c r="X97" s="80">
        <v>35.76</v>
      </c>
      <c r="Y97" s="8"/>
      <c r="Z97" s="6">
        <f t="shared" si="27"/>
        <v>29.53</v>
      </c>
      <c r="AA97" s="78">
        <v>24.36</v>
      </c>
      <c r="AB97" s="80">
        <v>12.01</v>
      </c>
      <c r="AC97" s="19"/>
      <c r="AD97" s="6">
        <f t="shared" si="28"/>
        <v>63.63</v>
      </c>
      <c r="AE97" s="78">
        <v>15.7</v>
      </c>
      <c r="AF97" s="80">
        <v>7.41</v>
      </c>
      <c r="AG97" s="19"/>
      <c r="AH97" s="6">
        <f t="shared" si="29"/>
        <v>76.89</v>
      </c>
      <c r="AI97" s="78">
        <v>5.78</v>
      </c>
      <c r="AJ97" s="80">
        <v>1.49</v>
      </c>
      <c r="AK97" s="80">
        <v>1.31</v>
      </c>
      <c r="AL97" s="6">
        <f t="shared" si="30"/>
        <v>91.42</v>
      </c>
      <c r="AM97" s="78">
        <v>2.38</v>
      </c>
      <c r="AN97" s="19"/>
      <c r="AO97" s="19"/>
      <c r="AP97" s="6">
        <f t="shared" si="31"/>
        <v>97.62</v>
      </c>
      <c r="AQ97" s="78">
        <v>0.56000000000000005</v>
      </c>
      <c r="AR97" s="80">
        <v>0.28999999999999998</v>
      </c>
      <c r="AS97" s="80">
        <v>72</v>
      </c>
      <c r="AT97" s="6">
        <f t="shared" si="32"/>
        <v>27.150000000000006</v>
      </c>
    </row>
    <row r="98" spans="1:46">
      <c r="A98" s="4">
        <v>45912</v>
      </c>
      <c r="B98" s="129"/>
      <c r="C98" s="78">
        <v>28.26</v>
      </c>
      <c r="D98" s="80">
        <v>18.100000000000001</v>
      </c>
      <c r="E98" s="80">
        <v>31.21</v>
      </c>
      <c r="F98" s="6">
        <f t="shared" si="22"/>
        <v>22.430000000000007</v>
      </c>
      <c r="G98" s="8"/>
      <c r="H98" s="8"/>
      <c r="I98" s="8"/>
      <c r="J98" s="6">
        <f t="shared" si="23"/>
        <v>100</v>
      </c>
      <c r="K98" s="19"/>
      <c r="L98" s="19"/>
      <c r="M98" s="19"/>
      <c r="N98" s="6">
        <f t="shared" si="24"/>
        <v>100</v>
      </c>
      <c r="O98" s="19"/>
      <c r="P98" s="19"/>
      <c r="Q98" s="19"/>
      <c r="R98" s="6">
        <f t="shared" si="25"/>
        <v>100</v>
      </c>
      <c r="S98" s="8"/>
      <c r="T98" s="8"/>
      <c r="U98" s="8"/>
      <c r="V98" s="6">
        <f t="shared" si="26"/>
        <v>100</v>
      </c>
      <c r="W98" s="8"/>
      <c r="X98" s="8"/>
      <c r="Y98" s="8"/>
      <c r="Z98" s="6">
        <f t="shared" si="27"/>
        <v>100</v>
      </c>
      <c r="AA98" s="19"/>
      <c r="AB98" s="19"/>
      <c r="AC98" s="19"/>
      <c r="AD98" s="6">
        <f t="shared" si="28"/>
        <v>100</v>
      </c>
      <c r="AE98" s="19"/>
      <c r="AF98" s="19"/>
      <c r="AG98" s="19"/>
      <c r="AH98" s="6">
        <f t="shared" si="29"/>
        <v>100</v>
      </c>
      <c r="AI98" s="19"/>
      <c r="AJ98" s="19"/>
      <c r="AK98" s="19"/>
      <c r="AL98" s="6">
        <f t="shared" si="30"/>
        <v>100</v>
      </c>
      <c r="AM98" s="19"/>
      <c r="AN98" s="19"/>
      <c r="AO98" s="19"/>
      <c r="AP98" s="6">
        <f t="shared" si="31"/>
        <v>100</v>
      </c>
      <c r="AQ98" s="19"/>
      <c r="AR98" s="19"/>
      <c r="AS98" s="19"/>
      <c r="AT98" s="6">
        <f t="shared" si="32"/>
        <v>100</v>
      </c>
    </row>
    <row r="99" spans="1:46">
      <c r="A99" s="4">
        <v>45913</v>
      </c>
      <c r="B99" s="129"/>
      <c r="C99" s="7"/>
      <c r="D99" s="7"/>
      <c r="E99" s="7"/>
      <c r="F99" s="6">
        <f t="shared" si="22"/>
        <v>100</v>
      </c>
      <c r="G99" s="8"/>
      <c r="H99" s="8"/>
      <c r="I99" s="8"/>
      <c r="J99" s="6">
        <f t="shared" si="23"/>
        <v>100</v>
      </c>
      <c r="K99" s="19"/>
      <c r="L99" s="19"/>
      <c r="M99" s="19"/>
      <c r="N99" s="6">
        <f t="shared" si="24"/>
        <v>100</v>
      </c>
      <c r="O99" s="19"/>
      <c r="P99" s="19"/>
      <c r="Q99" s="19"/>
      <c r="R99" s="6">
        <f t="shared" si="25"/>
        <v>100</v>
      </c>
      <c r="S99" s="8"/>
      <c r="T99" s="8"/>
      <c r="U99" s="8"/>
      <c r="V99" s="6">
        <f t="shared" si="26"/>
        <v>100</v>
      </c>
      <c r="W99" s="8"/>
      <c r="X99" s="8"/>
      <c r="Y99" s="8"/>
      <c r="Z99" s="6">
        <f t="shared" si="27"/>
        <v>100</v>
      </c>
      <c r="AA99" s="19"/>
      <c r="AB99" s="19"/>
      <c r="AC99" s="19"/>
      <c r="AD99" s="6">
        <f t="shared" si="28"/>
        <v>100</v>
      </c>
      <c r="AE99" s="19"/>
      <c r="AF99" s="19"/>
      <c r="AG99" s="19"/>
      <c r="AH99" s="6">
        <f t="shared" si="29"/>
        <v>100</v>
      </c>
      <c r="AI99" s="19"/>
      <c r="AJ99" s="19"/>
      <c r="AK99" s="19"/>
      <c r="AL99" s="6">
        <f t="shared" si="30"/>
        <v>100</v>
      </c>
      <c r="AM99" s="19"/>
      <c r="AN99" s="19"/>
      <c r="AO99" s="19"/>
      <c r="AP99" s="6">
        <f t="shared" si="31"/>
        <v>100</v>
      </c>
      <c r="AQ99" s="19"/>
      <c r="AR99" s="19"/>
      <c r="AS99" s="19"/>
      <c r="AT99" s="6">
        <f t="shared" si="32"/>
        <v>100</v>
      </c>
    </row>
    <row r="100" spans="1:46">
      <c r="A100" s="4">
        <v>45914</v>
      </c>
      <c r="B100" s="129"/>
      <c r="C100" s="7"/>
      <c r="D100" s="7"/>
      <c r="E100" s="7"/>
      <c r="F100" s="6">
        <f t="shared" si="22"/>
        <v>100</v>
      </c>
      <c r="G100" s="8"/>
      <c r="H100" s="8"/>
      <c r="I100" s="8"/>
      <c r="J100" s="6">
        <f t="shared" si="23"/>
        <v>100</v>
      </c>
      <c r="K100" s="19"/>
      <c r="L100" s="19"/>
      <c r="M100" s="19"/>
      <c r="N100" s="6">
        <f t="shared" si="24"/>
        <v>100</v>
      </c>
      <c r="O100" s="19"/>
      <c r="P100" s="19"/>
      <c r="Q100" s="19"/>
      <c r="R100" s="6">
        <f t="shared" si="25"/>
        <v>100</v>
      </c>
      <c r="S100" s="8"/>
      <c r="T100" s="8"/>
      <c r="U100" s="8"/>
      <c r="V100" s="6">
        <f t="shared" si="26"/>
        <v>100</v>
      </c>
      <c r="W100" s="8"/>
      <c r="X100" s="8"/>
      <c r="Y100" s="8"/>
      <c r="Z100" s="6">
        <f t="shared" si="27"/>
        <v>100</v>
      </c>
      <c r="AA100" s="19"/>
      <c r="AB100" s="19"/>
      <c r="AC100" s="19"/>
      <c r="AD100" s="6">
        <f t="shared" si="28"/>
        <v>100</v>
      </c>
      <c r="AE100" s="19"/>
      <c r="AF100" s="19"/>
      <c r="AG100" s="19"/>
      <c r="AH100" s="6">
        <f t="shared" si="29"/>
        <v>100</v>
      </c>
      <c r="AI100" s="19"/>
      <c r="AJ100" s="19"/>
      <c r="AK100" s="19"/>
      <c r="AL100" s="6">
        <f t="shared" si="30"/>
        <v>100</v>
      </c>
      <c r="AM100" s="19"/>
      <c r="AN100" s="19"/>
      <c r="AO100" s="19"/>
      <c r="AP100" s="6">
        <f t="shared" si="31"/>
        <v>100</v>
      </c>
      <c r="AQ100" s="19"/>
      <c r="AR100" s="19"/>
      <c r="AS100" s="19"/>
      <c r="AT100" s="6">
        <f t="shared" si="32"/>
        <v>100</v>
      </c>
    </row>
    <row r="101" spans="1:46">
      <c r="A101" s="4">
        <v>45915</v>
      </c>
      <c r="B101" s="129"/>
      <c r="C101" s="7"/>
      <c r="D101" s="7"/>
      <c r="E101" s="7"/>
      <c r="F101" s="6">
        <f t="shared" si="22"/>
        <v>100</v>
      </c>
      <c r="G101" s="8"/>
      <c r="H101" s="8"/>
      <c r="I101" s="8"/>
      <c r="J101" s="6">
        <f t="shared" si="23"/>
        <v>100</v>
      </c>
      <c r="K101" s="19"/>
      <c r="L101" s="19"/>
      <c r="M101" s="19"/>
      <c r="N101" s="6">
        <f t="shared" si="24"/>
        <v>100</v>
      </c>
      <c r="O101" s="19"/>
      <c r="P101" s="19"/>
      <c r="Q101" s="19"/>
      <c r="R101" s="6">
        <f t="shared" si="25"/>
        <v>100</v>
      </c>
      <c r="S101" s="8"/>
      <c r="T101" s="8"/>
      <c r="U101" s="8"/>
      <c r="V101" s="6">
        <f t="shared" si="26"/>
        <v>100</v>
      </c>
      <c r="W101" s="8"/>
      <c r="X101" s="8"/>
      <c r="Y101" s="8"/>
      <c r="Z101" s="6">
        <f t="shared" si="27"/>
        <v>100</v>
      </c>
      <c r="AA101" s="19"/>
      <c r="AB101" s="19"/>
      <c r="AC101" s="19"/>
      <c r="AD101" s="6">
        <f t="shared" si="28"/>
        <v>100</v>
      </c>
      <c r="AE101" s="19"/>
      <c r="AF101" s="19"/>
      <c r="AG101" s="19"/>
      <c r="AH101" s="6">
        <f t="shared" si="29"/>
        <v>100</v>
      </c>
      <c r="AI101" s="19"/>
      <c r="AJ101" s="19"/>
      <c r="AK101" s="19"/>
      <c r="AL101" s="6">
        <f t="shared" si="30"/>
        <v>100</v>
      </c>
      <c r="AM101" s="19"/>
      <c r="AN101" s="19"/>
      <c r="AO101" s="19"/>
      <c r="AP101" s="6">
        <f t="shared" si="31"/>
        <v>100</v>
      </c>
      <c r="AQ101" s="19"/>
      <c r="AR101" s="19"/>
      <c r="AS101" s="19"/>
      <c r="AT101" s="6">
        <f t="shared" si="32"/>
        <v>100</v>
      </c>
    </row>
    <row r="102" spans="1:46">
      <c r="A102" s="4">
        <v>45916</v>
      </c>
      <c r="B102" s="129"/>
      <c r="C102" s="78">
        <v>32.01</v>
      </c>
      <c r="D102" s="80">
        <v>19.12</v>
      </c>
      <c r="E102" s="80">
        <v>30.75</v>
      </c>
      <c r="F102" s="6">
        <f t="shared" si="22"/>
        <v>18.120000000000005</v>
      </c>
      <c r="G102" s="8"/>
      <c r="H102" s="8"/>
      <c r="I102" s="8"/>
      <c r="J102" s="6">
        <f t="shared" si="23"/>
        <v>100</v>
      </c>
      <c r="K102" s="19"/>
      <c r="L102" s="19"/>
      <c r="M102" s="19"/>
      <c r="N102" s="6">
        <f t="shared" si="24"/>
        <v>100</v>
      </c>
      <c r="O102" s="19"/>
      <c r="P102" s="19"/>
      <c r="Q102" s="19"/>
      <c r="R102" s="6">
        <f t="shared" si="25"/>
        <v>100</v>
      </c>
      <c r="S102" s="8"/>
      <c r="T102" s="8"/>
      <c r="U102" s="8"/>
      <c r="V102" s="6">
        <f t="shared" si="26"/>
        <v>100</v>
      </c>
      <c r="W102" s="8"/>
      <c r="X102" s="8"/>
      <c r="Y102" s="8"/>
      <c r="Z102" s="6">
        <f t="shared" si="27"/>
        <v>100</v>
      </c>
      <c r="AA102" s="19"/>
      <c r="AB102" s="19"/>
      <c r="AC102" s="19"/>
      <c r="AD102" s="6">
        <f t="shared" si="28"/>
        <v>100</v>
      </c>
      <c r="AE102" s="19"/>
      <c r="AF102" s="19"/>
      <c r="AG102" s="19"/>
      <c r="AH102" s="6">
        <f t="shared" si="29"/>
        <v>100</v>
      </c>
      <c r="AI102" s="19"/>
      <c r="AJ102" s="19"/>
      <c r="AK102" s="19"/>
      <c r="AL102" s="6">
        <f t="shared" si="30"/>
        <v>100</v>
      </c>
      <c r="AM102" s="19"/>
      <c r="AN102" s="19"/>
      <c r="AO102" s="19"/>
      <c r="AP102" s="6">
        <f t="shared" si="31"/>
        <v>100</v>
      </c>
      <c r="AQ102" s="19"/>
      <c r="AR102" s="19"/>
      <c r="AS102" s="19"/>
      <c r="AT102" s="6">
        <f t="shared" si="32"/>
        <v>100</v>
      </c>
    </row>
    <row r="103" spans="1:46">
      <c r="A103" s="4">
        <v>45917</v>
      </c>
      <c r="B103" s="129"/>
      <c r="C103" s="78">
        <v>29.74</v>
      </c>
      <c r="D103" s="80">
        <v>18.5</v>
      </c>
      <c r="E103" s="80">
        <v>31.74</v>
      </c>
      <c r="F103" s="6">
        <f t="shared" si="22"/>
        <v>20.02000000000001</v>
      </c>
      <c r="G103" s="8"/>
      <c r="H103" s="8"/>
      <c r="I103" s="8"/>
      <c r="J103" s="6">
        <f t="shared" si="23"/>
        <v>100</v>
      </c>
      <c r="K103" s="19"/>
      <c r="L103" s="19"/>
      <c r="M103" s="19"/>
      <c r="N103" s="6">
        <f t="shared" si="24"/>
        <v>100</v>
      </c>
      <c r="O103" s="19"/>
      <c r="P103" s="19"/>
      <c r="Q103" s="19"/>
      <c r="R103" s="6">
        <f t="shared" si="25"/>
        <v>100</v>
      </c>
      <c r="S103" s="8"/>
      <c r="T103" s="8"/>
      <c r="U103" s="8"/>
      <c r="V103" s="6">
        <f t="shared" si="26"/>
        <v>100</v>
      </c>
      <c r="W103" s="8"/>
      <c r="X103" s="8"/>
      <c r="Y103" s="8"/>
      <c r="Z103" s="6">
        <f t="shared" si="27"/>
        <v>100</v>
      </c>
      <c r="AA103" s="19"/>
      <c r="AB103" s="19"/>
      <c r="AC103" s="19"/>
      <c r="AD103" s="6">
        <f t="shared" si="28"/>
        <v>100</v>
      </c>
      <c r="AE103" s="19"/>
      <c r="AF103" s="19"/>
      <c r="AG103" s="19"/>
      <c r="AH103" s="6">
        <f t="shared" si="29"/>
        <v>100</v>
      </c>
      <c r="AI103" s="19"/>
      <c r="AJ103" s="19"/>
      <c r="AK103" s="19"/>
      <c r="AL103" s="6">
        <f t="shared" si="30"/>
        <v>100</v>
      </c>
      <c r="AM103" s="19"/>
      <c r="AN103" s="19"/>
      <c r="AO103" s="19"/>
      <c r="AP103" s="6">
        <f t="shared" si="31"/>
        <v>100</v>
      </c>
      <c r="AQ103" s="19"/>
      <c r="AR103" s="19"/>
      <c r="AS103" s="19"/>
      <c r="AT103" s="6">
        <f t="shared" si="32"/>
        <v>100</v>
      </c>
    </row>
    <row r="104" spans="1:46">
      <c r="A104" s="4">
        <v>45918</v>
      </c>
      <c r="B104" s="129"/>
      <c r="C104" s="78">
        <v>29.19</v>
      </c>
      <c r="D104" s="80">
        <v>18.43</v>
      </c>
      <c r="E104" s="80">
        <v>31.13</v>
      </c>
      <c r="F104" s="6">
        <f t="shared" si="22"/>
        <v>21.25</v>
      </c>
      <c r="G104" s="78">
        <v>10.15</v>
      </c>
      <c r="H104" s="80">
        <v>10.63</v>
      </c>
      <c r="I104" s="80">
        <v>51.87</v>
      </c>
      <c r="J104" s="6">
        <f t="shared" si="23"/>
        <v>27.349999999999994</v>
      </c>
      <c r="K104" s="78">
        <v>17.41</v>
      </c>
      <c r="L104" s="80">
        <v>12.76</v>
      </c>
      <c r="M104" s="80">
        <v>46.1</v>
      </c>
      <c r="N104" s="6">
        <f t="shared" si="24"/>
        <v>23.72999999999999</v>
      </c>
      <c r="O104" s="78">
        <v>0.85</v>
      </c>
      <c r="P104" s="80">
        <v>0.42</v>
      </c>
      <c r="Q104" s="80">
        <v>70</v>
      </c>
      <c r="R104" s="6">
        <f t="shared" si="25"/>
        <v>28.730000000000004</v>
      </c>
      <c r="S104" s="78">
        <v>36.97</v>
      </c>
      <c r="T104" s="80">
        <v>39.78</v>
      </c>
      <c r="U104" s="8"/>
      <c r="V104" s="6">
        <f t="shared" si="26"/>
        <v>23.25</v>
      </c>
      <c r="W104" s="78">
        <v>33.81</v>
      </c>
      <c r="X104" s="80">
        <v>35.700000000000003</v>
      </c>
      <c r="Y104" s="8"/>
      <c r="Z104" s="6">
        <f t="shared" si="27"/>
        <v>30.489999999999995</v>
      </c>
      <c r="AA104" s="78">
        <v>22.9</v>
      </c>
      <c r="AB104" s="80">
        <v>11.67</v>
      </c>
      <c r="AC104" s="19"/>
      <c r="AD104" s="6">
        <f t="shared" si="28"/>
        <v>65.430000000000007</v>
      </c>
      <c r="AE104" s="78">
        <v>16.86</v>
      </c>
      <c r="AF104" s="80">
        <v>5.74</v>
      </c>
      <c r="AG104" s="19"/>
      <c r="AH104" s="6">
        <f t="shared" si="29"/>
        <v>77.400000000000006</v>
      </c>
      <c r="AI104" s="78">
        <v>4.5199999999999996</v>
      </c>
      <c r="AJ104" s="80">
        <v>1.29</v>
      </c>
      <c r="AK104" s="80">
        <v>1.1599999999999999</v>
      </c>
      <c r="AL104" s="6">
        <f t="shared" si="30"/>
        <v>93.03</v>
      </c>
      <c r="AM104" s="78">
        <v>3.06</v>
      </c>
      <c r="AN104" s="19"/>
      <c r="AO104" s="19"/>
      <c r="AP104" s="6">
        <f t="shared" si="31"/>
        <v>96.94</v>
      </c>
      <c r="AQ104" s="78">
        <v>0.54</v>
      </c>
      <c r="AR104" s="80">
        <v>0.27</v>
      </c>
      <c r="AS104" s="80">
        <v>72</v>
      </c>
      <c r="AT104" s="6">
        <f t="shared" si="32"/>
        <v>27.189999999999998</v>
      </c>
    </row>
    <row r="105" spans="1:46">
      <c r="A105" s="4">
        <v>45919</v>
      </c>
      <c r="B105" s="129"/>
      <c r="C105" s="78">
        <v>29.6</v>
      </c>
      <c r="D105" s="80">
        <v>18.63</v>
      </c>
      <c r="E105" s="80">
        <v>31.66</v>
      </c>
      <c r="F105" s="6">
        <f t="shared" si="22"/>
        <v>20.11</v>
      </c>
      <c r="G105" s="8"/>
      <c r="H105" s="8"/>
      <c r="I105" s="8"/>
      <c r="J105" s="6">
        <f t="shared" si="23"/>
        <v>100</v>
      </c>
      <c r="K105" s="19"/>
      <c r="L105" s="19"/>
      <c r="M105" s="19"/>
      <c r="N105" s="6">
        <f t="shared" si="24"/>
        <v>100</v>
      </c>
      <c r="O105" s="19"/>
      <c r="P105" s="19"/>
      <c r="Q105" s="19"/>
      <c r="R105" s="6">
        <f t="shared" si="25"/>
        <v>100</v>
      </c>
      <c r="S105" s="8"/>
      <c r="T105" s="8"/>
      <c r="U105" s="8"/>
      <c r="V105" s="6">
        <f t="shared" si="26"/>
        <v>100</v>
      </c>
      <c r="W105" s="8"/>
      <c r="X105" s="8"/>
      <c r="Y105" s="8"/>
      <c r="Z105" s="6">
        <f t="shared" si="27"/>
        <v>100</v>
      </c>
      <c r="AA105" s="19"/>
      <c r="AB105" s="19"/>
      <c r="AC105" s="19"/>
      <c r="AD105" s="6">
        <f t="shared" si="28"/>
        <v>100</v>
      </c>
      <c r="AE105" s="19"/>
      <c r="AF105" s="19"/>
      <c r="AG105" s="19"/>
      <c r="AH105" s="6">
        <f t="shared" si="29"/>
        <v>100</v>
      </c>
      <c r="AI105" s="19"/>
      <c r="AJ105" s="19"/>
      <c r="AK105" s="19"/>
      <c r="AL105" s="6">
        <f t="shared" si="30"/>
        <v>100</v>
      </c>
      <c r="AM105" s="19"/>
      <c r="AN105" s="19"/>
      <c r="AO105" s="19"/>
      <c r="AP105" s="6">
        <f t="shared" si="31"/>
        <v>100</v>
      </c>
      <c r="AQ105" s="19"/>
      <c r="AR105" s="19"/>
      <c r="AS105" s="19"/>
      <c r="AT105" s="6">
        <f t="shared" si="32"/>
        <v>100</v>
      </c>
    </row>
    <row r="106" spans="1:46">
      <c r="A106" s="4">
        <v>45920</v>
      </c>
      <c r="B106" s="129"/>
      <c r="C106" s="7"/>
      <c r="D106" s="7"/>
      <c r="E106" s="7"/>
      <c r="F106" s="6">
        <f t="shared" si="22"/>
        <v>100</v>
      </c>
      <c r="G106" s="8"/>
      <c r="H106" s="8"/>
      <c r="I106" s="8"/>
      <c r="J106" s="6">
        <f t="shared" si="23"/>
        <v>100</v>
      </c>
      <c r="K106" s="19"/>
      <c r="L106" s="19"/>
      <c r="M106" s="19"/>
      <c r="N106" s="6">
        <f t="shared" si="24"/>
        <v>100</v>
      </c>
      <c r="O106" s="19"/>
      <c r="P106" s="19"/>
      <c r="Q106" s="19"/>
      <c r="R106" s="6">
        <f t="shared" si="25"/>
        <v>100</v>
      </c>
      <c r="S106" s="8"/>
      <c r="T106" s="8"/>
      <c r="U106" s="8"/>
      <c r="V106" s="6">
        <f t="shared" si="26"/>
        <v>100</v>
      </c>
      <c r="W106" s="8"/>
      <c r="X106" s="8"/>
      <c r="Y106" s="8"/>
      <c r="Z106" s="6">
        <f t="shared" si="27"/>
        <v>100</v>
      </c>
      <c r="AA106" s="19"/>
      <c r="AB106" s="19"/>
      <c r="AC106" s="19"/>
      <c r="AD106" s="6">
        <f t="shared" si="28"/>
        <v>100</v>
      </c>
      <c r="AE106" s="19"/>
      <c r="AF106" s="19"/>
      <c r="AG106" s="19"/>
      <c r="AH106" s="6">
        <f t="shared" si="29"/>
        <v>100</v>
      </c>
      <c r="AI106" s="19"/>
      <c r="AJ106" s="19"/>
      <c r="AK106" s="19"/>
      <c r="AL106" s="6">
        <f t="shared" si="30"/>
        <v>100</v>
      </c>
      <c r="AM106" s="19"/>
      <c r="AN106" s="19"/>
      <c r="AO106" s="19"/>
      <c r="AP106" s="6">
        <f t="shared" si="31"/>
        <v>100</v>
      </c>
      <c r="AQ106" s="19"/>
      <c r="AR106" s="19"/>
      <c r="AS106" s="19"/>
      <c r="AT106" s="6">
        <f t="shared" si="32"/>
        <v>100</v>
      </c>
    </row>
    <row r="107" spans="1:46">
      <c r="A107" s="4">
        <v>45921</v>
      </c>
      <c r="B107" s="129"/>
      <c r="C107" s="7"/>
      <c r="D107" s="7"/>
      <c r="E107" s="7"/>
      <c r="F107" s="6">
        <f t="shared" si="22"/>
        <v>100</v>
      </c>
      <c r="G107" s="8"/>
      <c r="H107" s="8"/>
      <c r="I107" s="8"/>
      <c r="J107" s="6">
        <f t="shared" si="23"/>
        <v>100</v>
      </c>
      <c r="K107" s="19"/>
      <c r="L107" s="19"/>
      <c r="M107" s="19"/>
      <c r="N107" s="6">
        <f t="shared" si="24"/>
        <v>100</v>
      </c>
      <c r="O107" s="19"/>
      <c r="P107" s="19"/>
      <c r="Q107" s="19"/>
      <c r="R107" s="6">
        <f t="shared" si="25"/>
        <v>100</v>
      </c>
      <c r="S107" s="8"/>
      <c r="T107" s="8"/>
      <c r="U107" s="8"/>
      <c r="V107" s="6">
        <f t="shared" si="26"/>
        <v>100</v>
      </c>
      <c r="W107" s="8"/>
      <c r="X107" s="8"/>
      <c r="Y107" s="8"/>
      <c r="Z107" s="6">
        <f t="shared" si="27"/>
        <v>100</v>
      </c>
      <c r="AA107" s="19"/>
      <c r="AB107" s="19"/>
      <c r="AC107" s="19"/>
      <c r="AD107" s="6">
        <f t="shared" si="28"/>
        <v>100</v>
      </c>
      <c r="AE107" s="19"/>
      <c r="AF107" s="19"/>
      <c r="AG107" s="19"/>
      <c r="AH107" s="6">
        <f t="shared" si="29"/>
        <v>100</v>
      </c>
      <c r="AI107" s="19"/>
      <c r="AJ107" s="19"/>
      <c r="AK107" s="19"/>
      <c r="AL107" s="6">
        <f t="shared" si="30"/>
        <v>100</v>
      </c>
      <c r="AM107" s="19"/>
      <c r="AN107" s="19"/>
      <c r="AO107" s="19"/>
      <c r="AP107" s="6">
        <f t="shared" si="31"/>
        <v>100</v>
      </c>
      <c r="AQ107" s="19"/>
      <c r="AR107" s="19"/>
      <c r="AS107" s="19"/>
      <c r="AT107" s="6">
        <f t="shared" si="32"/>
        <v>100</v>
      </c>
    </row>
    <row r="108" spans="1:46">
      <c r="A108" s="4">
        <v>45922</v>
      </c>
      <c r="B108" s="129">
        <v>113</v>
      </c>
      <c r="C108" s="78">
        <v>29.63</v>
      </c>
      <c r="D108" s="80">
        <v>18.16</v>
      </c>
      <c r="E108" s="80">
        <v>32.119999999999997</v>
      </c>
      <c r="F108" s="6">
        <f t="shared" si="22"/>
        <v>20.090000000000003</v>
      </c>
      <c r="G108" s="78">
        <v>10.119999999999999</v>
      </c>
      <c r="H108" s="80">
        <v>10.52</v>
      </c>
      <c r="I108" s="80">
        <v>52.26</v>
      </c>
      <c r="J108" s="6">
        <f t="shared" si="23"/>
        <v>27.099999999999994</v>
      </c>
      <c r="K108" s="78">
        <v>17.12</v>
      </c>
      <c r="L108" s="80">
        <v>12.89</v>
      </c>
      <c r="M108" s="80">
        <v>45.58</v>
      </c>
      <c r="N108" s="6">
        <f t="shared" si="24"/>
        <v>24.409999999999997</v>
      </c>
      <c r="O108" s="78">
        <v>0.82</v>
      </c>
      <c r="P108" s="80">
        <v>0.41</v>
      </c>
      <c r="Q108" s="80">
        <v>70</v>
      </c>
      <c r="R108" s="6">
        <f t="shared" si="25"/>
        <v>28.769999999999996</v>
      </c>
      <c r="S108" s="78">
        <v>36.75</v>
      </c>
      <c r="T108" s="80">
        <v>39.47</v>
      </c>
      <c r="U108" s="8"/>
      <c r="V108" s="6">
        <f t="shared" si="26"/>
        <v>23.78</v>
      </c>
      <c r="W108" s="78">
        <v>33.96</v>
      </c>
      <c r="X108" s="80">
        <v>35.799999999999997</v>
      </c>
      <c r="Y108" s="8"/>
      <c r="Z108" s="6">
        <f t="shared" si="27"/>
        <v>30.240000000000009</v>
      </c>
      <c r="AA108" s="78">
        <v>23.22</v>
      </c>
      <c r="AB108" s="80">
        <v>11.49</v>
      </c>
      <c r="AC108" s="19"/>
      <c r="AD108" s="6">
        <f t="shared" si="28"/>
        <v>65.289999999999992</v>
      </c>
      <c r="AE108" s="78">
        <v>14.29</v>
      </c>
      <c r="AF108" s="80">
        <v>5</v>
      </c>
      <c r="AG108" s="19"/>
      <c r="AH108" s="6">
        <f t="shared" si="29"/>
        <v>80.710000000000008</v>
      </c>
      <c r="AI108" s="78">
        <v>4.8600000000000003</v>
      </c>
      <c r="AJ108" s="80">
        <v>1.45</v>
      </c>
      <c r="AK108" s="80">
        <v>1.37</v>
      </c>
      <c r="AL108" s="6">
        <f t="shared" si="30"/>
        <v>92.32</v>
      </c>
      <c r="AM108" s="78">
        <v>2.72</v>
      </c>
      <c r="AN108" s="19"/>
      <c r="AO108" s="19"/>
      <c r="AP108" s="6">
        <f t="shared" si="31"/>
        <v>97.28</v>
      </c>
      <c r="AQ108" s="78">
        <v>0.49</v>
      </c>
      <c r="AR108" s="80">
        <v>0.26</v>
      </c>
      <c r="AS108" s="80">
        <v>72</v>
      </c>
      <c r="AT108" s="6">
        <f t="shared" si="32"/>
        <v>27.25</v>
      </c>
    </row>
    <row r="109" spans="1:46">
      <c r="A109" s="4">
        <v>45923</v>
      </c>
      <c r="B109" s="129"/>
      <c r="C109" s="137">
        <v>29.34</v>
      </c>
      <c r="D109" s="133">
        <v>18.07</v>
      </c>
      <c r="E109" s="133">
        <v>32.03</v>
      </c>
      <c r="F109" s="6">
        <f t="shared" si="22"/>
        <v>20.560000000000002</v>
      </c>
      <c r="G109" s="8"/>
      <c r="H109" s="8"/>
      <c r="I109" s="8"/>
      <c r="J109" s="6">
        <f t="shared" si="23"/>
        <v>100</v>
      </c>
      <c r="K109" s="19"/>
      <c r="L109" s="19"/>
      <c r="M109" s="19"/>
      <c r="N109" s="6">
        <f t="shared" si="24"/>
        <v>100</v>
      </c>
      <c r="O109" s="19"/>
      <c r="P109" s="19"/>
      <c r="Q109" s="19"/>
      <c r="R109" s="6">
        <f t="shared" si="25"/>
        <v>100</v>
      </c>
      <c r="S109" s="8"/>
      <c r="T109" s="8"/>
      <c r="U109" s="8"/>
      <c r="V109" s="6">
        <f t="shared" si="26"/>
        <v>100</v>
      </c>
      <c r="W109" s="8"/>
      <c r="X109" s="8"/>
      <c r="Y109" s="8"/>
      <c r="Z109" s="6">
        <f t="shared" si="27"/>
        <v>100</v>
      </c>
      <c r="AA109" s="19"/>
      <c r="AB109" s="19"/>
      <c r="AC109" s="19"/>
      <c r="AD109" s="6">
        <f t="shared" si="28"/>
        <v>100</v>
      </c>
      <c r="AE109" s="19"/>
      <c r="AF109" s="19"/>
      <c r="AG109" s="19"/>
      <c r="AH109" s="6">
        <f t="shared" si="29"/>
        <v>100</v>
      </c>
      <c r="AI109" s="19"/>
      <c r="AJ109" s="19"/>
      <c r="AK109" s="19"/>
      <c r="AL109" s="6">
        <f t="shared" si="30"/>
        <v>100</v>
      </c>
      <c r="AM109" s="19"/>
      <c r="AN109" s="19"/>
      <c r="AO109" s="19"/>
      <c r="AP109" s="6">
        <f t="shared" si="31"/>
        <v>100</v>
      </c>
      <c r="AQ109" s="19"/>
      <c r="AR109" s="19"/>
      <c r="AS109" s="19"/>
      <c r="AT109" s="6">
        <f t="shared" si="32"/>
        <v>100</v>
      </c>
    </row>
    <row r="110" spans="1:46">
      <c r="A110" s="4">
        <v>45924</v>
      </c>
      <c r="B110" s="129"/>
      <c r="C110" s="137">
        <v>29.68</v>
      </c>
      <c r="D110" s="133">
        <v>18.29</v>
      </c>
      <c r="E110" s="133">
        <v>31.97</v>
      </c>
      <c r="F110" s="6">
        <f t="shared" si="22"/>
        <v>20.060000000000002</v>
      </c>
      <c r="G110" s="8"/>
      <c r="H110" s="8"/>
      <c r="I110" s="8"/>
      <c r="J110" s="6">
        <f t="shared" si="23"/>
        <v>100</v>
      </c>
      <c r="K110" s="19"/>
      <c r="L110" s="19"/>
      <c r="M110" s="19"/>
      <c r="N110" s="6">
        <f t="shared" si="24"/>
        <v>100</v>
      </c>
      <c r="O110" s="19"/>
      <c r="P110" s="19"/>
      <c r="Q110" s="19"/>
      <c r="R110" s="6">
        <f t="shared" si="25"/>
        <v>100</v>
      </c>
      <c r="S110" s="8"/>
      <c r="T110" s="8"/>
      <c r="U110" s="8"/>
      <c r="V110" s="6">
        <f t="shared" si="26"/>
        <v>100</v>
      </c>
      <c r="W110" s="8"/>
      <c r="X110" s="8"/>
      <c r="Y110" s="8"/>
      <c r="Z110" s="6">
        <f t="shared" si="27"/>
        <v>100</v>
      </c>
      <c r="AA110" s="19"/>
      <c r="AB110" s="19"/>
      <c r="AC110" s="19"/>
      <c r="AD110" s="6">
        <f t="shared" si="28"/>
        <v>100</v>
      </c>
      <c r="AE110" s="19"/>
      <c r="AF110" s="19"/>
      <c r="AG110" s="19"/>
      <c r="AH110" s="6">
        <f t="shared" si="29"/>
        <v>100</v>
      </c>
      <c r="AI110" s="19"/>
      <c r="AJ110" s="19"/>
      <c r="AK110" s="19"/>
      <c r="AL110" s="6">
        <f t="shared" si="30"/>
        <v>100</v>
      </c>
      <c r="AM110" s="19"/>
      <c r="AN110" s="19"/>
      <c r="AO110" s="19"/>
      <c r="AP110" s="6">
        <f t="shared" si="31"/>
        <v>100</v>
      </c>
      <c r="AQ110" s="19"/>
      <c r="AR110" s="19"/>
      <c r="AS110" s="19"/>
      <c r="AT110" s="6">
        <f t="shared" si="32"/>
        <v>100</v>
      </c>
    </row>
    <row r="111" spans="1:46">
      <c r="A111" s="4">
        <v>45925</v>
      </c>
      <c r="B111" s="129">
        <v>112.5</v>
      </c>
      <c r="C111" s="78">
        <v>29.77</v>
      </c>
      <c r="D111" s="80">
        <v>18.34</v>
      </c>
      <c r="E111" s="80">
        <v>31.9</v>
      </c>
      <c r="F111" s="6">
        <f t="shared" si="22"/>
        <v>19.990000000000009</v>
      </c>
      <c r="G111" s="78">
        <v>10.23</v>
      </c>
      <c r="H111" s="80">
        <v>10.69</v>
      </c>
      <c r="I111" s="80">
        <v>51.97</v>
      </c>
      <c r="J111" s="6">
        <f t="shared" si="23"/>
        <v>27.11</v>
      </c>
      <c r="K111" s="78">
        <v>17.059999999999999</v>
      </c>
      <c r="L111" s="80">
        <v>12.67</v>
      </c>
      <c r="M111" s="80">
        <v>45.27</v>
      </c>
      <c r="N111" s="6">
        <f t="shared" si="24"/>
        <v>25</v>
      </c>
      <c r="O111" s="78">
        <v>0.88</v>
      </c>
      <c r="P111" s="80">
        <v>0.42</v>
      </c>
      <c r="Q111" s="80">
        <v>70</v>
      </c>
      <c r="R111" s="6">
        <f t="shared" si="25"/>
        <v>28.700000000000003</v>
      </c>
      <c r="S111" s="78">
        <v>36.89</v>
      </c>
      <c r="T111" s="80">
        <v>39.71</v>
      </c>
      <c r="U111" s="8"/>
      <c r="V111" s="6">
        <f t="shared" si="26"/>
        <v>23.400000000000006</v>
      </c>
      <c r="W111" s="78">
        <v>33.76</v>
      </c>
      <c r="X111" s="80">
        <v>35.659999999999997</v>
      </c>
      <c r="Y111" s="8"/>
      <c r="Z111" s="6">
        <f t="shared" si="27"/>
        <v>30.580000000000013</v>
      </c>
      <c r="AA111" s="78">
        <v>23.01</v>
      </c>
      <c r="AB111" s="80">
        <v>11.34</v>
      </c>
      <c r="AC111" s="19"/>
      <c r="AD111" s="6">
        <f t="shared" si="28"/>
        <v>65.650000000000006</v>
      </c>
      <c r="AE111" s="78">
        <v>14.11</v>
      </c>
      <c r="AF111" s="80">
        <v>5.26</v>
      </c>
      <c r="AG111" s="19"/>
      <c r="AH111" s="6">
        <f t="shared" si="29"/>
        <v>80.63</v>
      </c>
      <c r="AI111" s="78">
        <v>4.83</v>
      </c>
      <c r="AJ111" s="80">
        <v>1.39</v>
      </c>
      <c r="AK111" s="80">
        <v>1.21</v>
      </c>
      <c r="AL111" s="6">
        <f t="shared" si="30"/>
        <v>92.57</v>
      </c>
      <c r="AM111" s="78">
        <v>3.06</v>
      </c>
      <c r="AN111" s="19"/>
      <c r="AO111" s="19"/>
      <c r="AP111" s="6">
        <f t="shared" si="31"/>
        <v>96.94</v>
      </c>
      <c r="AQ111" s="78">
        <v>0.54</v>
      </c>
      <c r="AR111" s="80">
        <v>0.27</v>
      </c>
      <c r="AS111" s="80">
        <v>72</v>
      </c>
      <c r="AT111" s="6">
        <f t="shared" si="32"/>
        <v>27.189999999999998</v>
      </c>
    </row>
    <row r="112" spans="1:46">
      <c r="A112" s="4">
        <v>45926</v>
      </c>
      <c r="B112" s="129">
        <v>113</v>
      </c>
      <c r="C112" s="78">
        <v>29.14</v>
      </c>
      <c r="D112" s="80">
        <v>18.190000000000001</v>
      </c>
      <c r="E112" s="80">
        <v>31.98</v>
      </c>
      <c r="F112" s="6">
        <f t="shared" si="22"/>
        <v>20.689999999999998</v>
      </c>
      <c r="G112" s="8"/>
      <c r="H112" s="8"/>
      <c r="I112" s="8"/>
      <c r="J112" s="6">
        <f t="shared" si="23"/>
        <v>100</v>
      </c>
      <c r="K112" s="19"/>
      <c r="L112" s="19"/>
      <c r="M112" s="19"/>
      <c r="N112" s="6">
        <f t="shared" si="24"/>
        <v>100</v>
      </c>
      <c r="O112" s="19"/>
      <c r="P112" s="19"/>
      <c r="Q112" s="19"/>
      <c r="R112" s="6">
        <f t="shared" si="25"/>
        <v>100</v>
      </c>
      <c r="S112" s="8"/>
      <c r="T112" s="8"/>
      <c r="U112" s="8"/>
      <c r="V112" s="6">
        <f t="shared" si="26"/>
        <v>100</v>
      </c>
      <c r="W112" s="8"/>
      <c r="X112" s="8"/>
      <c r="Y112" s="8"/>
      <c r="Z112" s="6">
        <f t="shared" si="27"/>
        <v>100</v>
      </c>
      <c r="AA112" s="19"/>
      <c r="AB112" s="19"/>
      <c r="AC112" s="19"/>
      <c r="AD112" s="6">
        <f t="shared" si="28"/>
        <v>100</v>
      </c>
      <c r="AE112" s="19"/>
      <c r="AF112" s="19"/>
      <c r="AG112" s="19"/>
      <c r="AH112" s="6">
        <f t="shared" si="29"/>
        <v>100</v>
      </c>
      <c r="AI112" s="19"/>
      <c r="AJ112" s="19"/>
      <c r="AK112" s="19"/>
      <c r="AL112" s="6">
        <f t="shared" si="30"/>
        <v>100</v>
      </c>
      <c r="AM112" s="19"/>
      <c r="AN112" s="19"/>
      <c r="AO112" s="19"/>
      <c r="AP112" s="6">
        <f t="shared" si="31"/>
        <v>100</v>
      </c>
      <c r="AQ112" s="19"/>
      <c r="AR112" s="19"/>
      <c r="AS112" s="19"/>
      <c r="AT112" s="6">
        <f t="shared" si="32"/>
        <v>100</v>
      </c>
    </row>
    <row r="113" spans="1:46">
      <c r="A113" s="4">
        <v>45927</v>
      </c>
      <c r="B113" s="129"/>
      <c r="C113" s="7"/>
      <c r="D113" s="7"/>
      <c r="E113" s="7"/>
      <c r="F113" s="6">
        <f t="shared" si="22"/>
        <v>100</v>
      </c>
      <c r="G113" s="8"/>
      <c r="H113" s="8"/>
      <c r="I113" s="8"/>
      <c r="J113" s="6">
        <f t="shared" si="23"/>
        <v>100</v>
      </c>
      <c r="K113" s="19"/>
      <c r="L113" s="19"/>
      <c r="M113" s="19"/>
      <c r="N113" s="6">
        <f t="shared" si="24"/>
        <v>100</v>
      </c>
      <c r="O113" s="19"/>
      <c r="P113" s="19"/>
      <c r="Q113" s="19"/>
      <c r="R113" s="6">
        <f t="shared" si="25"/>
        <v>100</v>
      </c>
      <c r="S113" s="8"/>
      <c r="T113" s="8"/>
      <c r="U113" s="8"/>
      <c r="V113" s="6">
        <f t="shared" si="26"/>
        <v>100</v>
      </c>
      <c r="W113" s="8"/>
      <c r="X113" s="8"/>
      <c r="Y113" s="8"/>
      <c r="Z113" s="6">
        <f t="shared" si="27"/>
        <v>100</v>
      </c>
      <c r="AA113" s="19"/>
      <c r="AB113" s="19"/>
      <c r="AC113" s="19"/>
      <c r="AD113" s="6">
        <f t="shared" si="28"/>
        <v>100</v>
      </c>
      <c r="AE113" s="19"/>
      <c r="AF113" s="19"/>
      <c r="AG113" s="19"/>
      <c r="AH113" s="6">
        <f t="shared" si="29"/>
        <v>100</v>
      </c>
      <c r="AI113" s="19"/>
      <c r="AJ113" s="19"/>
      <c r="AK113" s="19"/>
      <c r="AL113" s="6">
        <f t="shared" si="30"/>
        <v>100</v>
      </c>
      <c r="AM113" s="19"/>
      <c r="AN113" s="19"/>
      <c r="AO113" s="19"/>
      <c r="AP113" s="6">
        <f t="shared" si="31"/>
        <v>100</v>
      </c>
      <c r="AQ113" s="19"/>
      <c r="AR113" s="19"/>
      <c r="AS113" s="19"/>
      <c r="AT113" s="6">
        <f t="shared" si="32"/>
        <v>100</v>
      </c>
    </row>
    <row r="114" spans="1:46">
      <c r="A114" s="4">
        <v>45928</v>
      </c>
      <c r="B114" s="129"/>
      <c r="C114" s="7"/>
      <c r="D114" s="7"/>
      <c r="E114" s="7"/>
      <c r="F114" s="6">
        <f t="shared" si="22"/>
        <v>100</v>
      </c>
      <c r="G114" s="8"/>
      <c r="H114" s="8"/>
      <c r="I114" s="8"/>
      <c r="J114" s="6">
        <f t="shared" si="23"/>
        <v>100</v>
      </c>
      <c r="K114" s="19"/>
      <c r="L114" s="19"/>
      <c r="M114" s="19"/>
      <c r="N114" s="6">
        <f t="shared" si="24"/>
        <v>100</v>
      </c>
      <c r="O114" s="19"/>
      <c r="P114" s="19"/>
      <c r="Q114" s="19"/>
      <c r="R114" s="6">
        <f t="shared" si="25"/>
        <v>100</v>
      </c>
      <c r="S114" s="8"/>
      <c r="T114" s="8"/>
      <c r="U114" s="8"/>
      <c r="V114" s="6">
        <f t="shared" si="26"/>
        <v>100</v>
      </c>
      <c r="W114" s="8"/>
      <c r="X114" s="8"/>
      <c r="Y114" s="8"/>
      <c r="Z114" s="6">
        <f t="shared" si="27"/>
        <v>100</v>
      </c>
      <c r="AA114" s="19"/>
      <c r="AB114" s="19"/>
      <c r="AC114" s="19"/>
      <c r="AD114" s="6">
        <f t="shared" si="28"/>
        <v>100</v>
      </c>
      <c r="AE114" s="19"/>
      <c r="AF114" s="19"/>
      <c r="AG114" s="19"/>
      <c r="AH114" s="6">
        <f t="shared" si="29"/>
        <v>100</v>
      </c>
      <c r="AI114" s="19"/>
      <c r="AJ114" s="19"/>
      <c r="AK114" s="19"/>
      <c r="AL114" s="6">
        <f t="shared" si="30"/>
        <v>100</v>
      </c>
      <c r="AM114" s="19"/>
      <c r="AN114" s="19"/>
      <c r="AO114" s="19"/>
      <c r="AP114" s="6">
        <f t="shared" si="31"/>
        <v>100</v>
      </c>
      <c r="AQ114" s="19"/>
      <c r="AR114" s="19"/>
      <c r="AS114" s="19"/>
      <c r="AT114" s="6">
        <f t="shared" si="32"/>
        <v>100</v>
      </c>
    </row>
    <row r="115" spans="1:46">
      <c r="A115" s="4">
        <v>45929</v>
      </c>
      <c r="B115" s="129">
        <v>112.4</v>
      </c>
      <c r="C115" s="78">
        <v>29.66</v>
      </c>
      <c r="D115" s="80">
        <v>18.32</v>
      </c>
      <c r="E115" s="80">
        <v>31.83</v>
      </c>
      <c r="F115" s="6">
        <f t="shared" si="22"/>
        <v>20.189999999999998</v>
      </c>
      <c r="G115" s="78">
        <v>10.19</v>
      </c>
      <c r="H115" s="80">
        <v>10.73</v>
      </c>
      <c r="I115" s="80">
        <v>51.8</v>
      </c>
      <c r="J115" s="6">
        <f t="shared" si="23"/>
        <v>27.28</v>
      </c>
      <c r="K115" s="78">
        <v>16.8</v>
      </c>
      <c r="L115" s="80">
        <v>12.49</v>
      </c>
      <c r="M115" s="80">
        <v>44.97</v>
      </c>
      <c r="N115" s="6">
        <f t="shared" si="24"/>
        <v>25.740000000000009</v>
      </c>
      <c r="O115" s="78">
        <v>0.85</v>
      </c>
      <c r="P115" s="80">
        <v>0.4</v>
      </c>
      <c r="Q115" s="80">
        <v>70</v>
      </c>
      <c r="R115" s="6">
        <f t="shared" si="25"/>
        <v>28.75</v>
      </c>
      <c r="S115" s="8"/>
      <c r="T115" s="8"/>
      <c r="U115" s="8"/>
      <c r="V115" s="6">
        <f t="shared" si="26"/>
        <v>100</v>
      </c>
      <c r="W115" s="78">
        <v>33.46</v>
      </c>
      <c r="X115" s="80">
        <v>35.69</v>
      </c>
      <c r="Y115" s="8"/>
      <c r="Z115" s="6">
        <f t="shared" si="27"/>
        <v>30.849999999999994</v>
      </c>
      <c r="AA115" s="78">
        <v>23.44</v>
      </c>
      <c r="AB115" s="80">
        <v>11.56</v>
      </c>
      <c r="AC115" s="19"/>
      <c r="AD115" s="6">
        <f t="shared" si="28"/>
        <v>65</v>
      </c>
      <c r="AE115" s="78">
        <v>12.6</v>
      </c>
      <c r="AF115" s="80">
        <v>5.4</v>
      </c>
      <c r="AG115" s="19"/>
      <c r="AH115" s="6">
        <f t="shared" si="29"/>
        <v>82</v>
      </c>
      <c r="AI115" s="78">
        <v>4.47</v>
      </c>
      <c r="AJ115" s="80">
        <v>1.32</v>
      </c>
      <c r="AK115" s="80">
        <v>1.17</v>
      </c>
      <c r="AL115" s="6">
        <f t="shared" si="30"/>
        <v>93.04</v>
      </c>
      <c r="AM115" s="78">
        <v>3.06</v>
      </c>
      <c r="AN115" s="19"/>
      <c r="AO115" s="19"/>
      <c r="AP115" s="6">
        <f t="shared" si="31"/>
        <v>96.94</v>
      </c>
      <c r="AQ115" s="78">
        <v>0.54</v>
      </c>
      <c r="AR115" s="80">
        <v>0.28999999999999998</v>
      </c>
      <c r="AS115" s="80">
        <v>72</v>
      </c>
      <c r="AT115" s="6">
        <f t="shared" si="32"/>
        <v>27.17</v>
      </c>
    </row>
    <row r="116" spans="1:46">
      <c r="A116" s="4">
        <v>45930</v>
      </c>
      <c r="B116" s="129">
        <v>111.4</v>
      </c>
      <c r="C116" s="78">
        <v>29.87</v>
      </c>
      <c r="D116" s="80">
        <v>18.579999999999998</v>
      </c>
      <c r="E116" s="80">
        <v>31.95</v>
      </c>
      <c r="F116" s="6">
        <f t="shared" si="22"/>
        <v>19.599999999999994</v>
      </c>
      <c r="G116" s="8"/>
      <c r="H116" s="8"/>
      <c r="I116" s="8"/>
      <c r="J116" s="6">
        <f t="shared" si="23"/>
        <v>100</v>
      </c>
      <c r="K116" s="19"/>
      <c r="L116" s="19"/>
      <c r="M116" s="19"/>
      <c r="N116" s="6">
        <f t="shared" si="24"/>
        <v>100</v>
      </c>
      <c r="O116" s="19"/>
      <c r="P116" s="19"/>
      <c r="Q116" s="19"/>
      <c r="R116" s="6">
        <f t="shared" si="25"/>
        <v>100</v>
      </c>
      <c r="S116" s="8"/>
      <c r="T116" s="8"/>
      <c r="U116" s="8"/>
      <c r="V116" s="6">
        <f t="shared" si="26"/>
        <v>100</v>
      </c>
      <c r="W116" s="8"/>
      <c r="X116" s="8"/>
      <c r="Y116" s="8"/>
      <c r="Z116" s="6">
        <f t="shared" si="27"/>
        <v>100</v>
      </c>
      <c r="AA116" s="19"/>
      <c r="AB116" s="19"/>
      <c r="AC116" s="19"/>
      <c r="AD116" s="6">
        <f t="shared" si="28"/>
        <v>100</v>
      </c>
      <c r="AE116" s="19"/>
      <c r="AF116" s="19"/>
      <c r="AG116" s="19"/>
      <c r="AH116" s="6">
        <f t="shared" si="29"/>
        <v>100</v>
      </c>
      <c r="AI116" s="19"/>
      <c r="AJ116" s="19"/>
      <c r="AK116" s="19"/>
      <c r="AL116" s="6">
        <f t="shared" si="30"/>
        <v>100</v>
      </c>
      <c r="AM116" s="19"/>
      <c r="AN116" s="19"/>
      <c r="AO116" s="19"/>
      <c r="AP116" s="6">
        <f t="shared" si="31"/>
        <v>100</v>
      </c>
      <c r="AQ116" s="19"/>
      <c r="AR116" s="19"/>
      <c r="AS116" s="19"/>
      <c r="AT116" s="6">
        <f t="shared" si="32"/>
        <v>100</v>
      </c>
    </row>
    <row r="117" spans="1:46">
      <c r="A117" s="4">
        <v>45931</v>
      </c>
      <c r="B117" s="129"/>
      <c r="C117" s="7"/>
      <c r="D117" s="7"/>
      <c r="E117" s="7"/>
      <c r="F117" s="6">
        <f t="shared" si="22"/>
        <v>100</v>
      </c>
      <c r="G117" s="8"/>
      <c r="H117" s="8"/>
      <c r="I117" s="8"/>
      <c r="J117" s="6">
        <f t="shared" si="23"/>
        <v>100</v>
      </c>
      <c r="K117" s="19"/>
      <c r="L117" s="19"/>
      <c r="M117" s="19"/>
      <c r="N117" s="6">
        <f t="shared" si="24"/>
        <v>100</v>
      </c>
      <c r="O117" s="19"/>
      <c r="P117" s="19"/>
      <c r="Q117" s="19"/>
      <c r="R117" s="6">
        <f t="shared" si="25"/>
        <v>100</v>
      </c>
      <c r="S117" s="8"/>
      <c r="T117" s="8"/>
      <c r="U117" s="8"/>
      <c r="V117" s="6">
        <f t="shared" si="26"/>
        <v>100</v>
      </c>
      <c r="W117" s="8"/>
      <c r="X117" s="8"/>
      <c r="Y117" s="8"/>
      <c r="Z117" s="6">
        <f t="shared" si="27"/>
        <v>100</v>
      </c>
      <c r="AA117" s="19"/>
      <c r="AB117" s="19"/>
      <c r="AC117" s="19"/>
      <c r="AD117" s="6">
        <f t="shared" si="28"/>
        <v>100</v>
      </c>
      <c r="AE117" s="19"/>
      <c r="AF117" s="19"/>
      <c r="AG117" s="19"/>
      <c r="AH117" s="6">
        <f t="shared" si="29"/>
        <v>100</v>
      </c>
      <c r="AI117" s="19"/>
      <c r="AJ117" s="19"/>
      <c r="AK117" s="19"/>
      <c r="AL117" s="6">
        <f t="shared" si="30"/>
        <v>100</v>
      </c>
      <c r="AM117" s="19"/>
      <c r="AN117" s="19"/>
      <c r="AO117" s="19"/>
      <c r="AP117" s="6">
        <f t="shared" si="31"/>
        <v>100</v>
      </c>
      <c r="AQ117" s="19"/>
      <c r="AR117" s="19"/>
      <c r="AS117" s="19"/>
      <c r="AT117" s="6">
        <f t="shared" si="32"/>
        <v>100</v>
      </c>
    </row>
    <row r="118" spans="1:46">
      <c r="A118" s="4">
        <v>45932</v>
      </c>
      <c r="B118" s="129"/>
      <c r="C118" s="78">
        <v>29.13</v>
      </c>
      <c r="D118" s="80">
        <v>18.760000000000002</v>
      </c>
      <c r="E118" s="80">
        <v>32.15</v>
      </c>
      <c r="F118" s="6">
        <f t="shared" si="22"/>
        <v>19.960000000000008</v>
      </c>
      <c r="G118" s="78">
        <v>10.050000000000001</v>
      </c>
      <c r="H118" s="80">
        <v>10.17</v>
      </c>
      <c r="I118" s="80">
        <v>52.3</v>
      </c>
      <c r="J118" s="6">
        <f t="shared" si="23"/>
        <v>27.480000000000004</v>
      </c>
      <c r="K118" s="78">
        <v>16.43</v>
      </c>
      <c r="L118" s="80">
        <v>12.23</v>
      </c>
      <c r="M118" s="80">
        <v>45.32</v>
      </c>
      <c r="N118" s="6">
        <f t="shared" si="24"/>
        <v>26.019999999999996</v>
      </c>
      <c r="O118" s="78">
        <v>0.68</v>
      </c>
      <c r="P118" s="80">
        <v>0.37</v>
      </c>
      <c r="Q118" s="80">
        <v>68</v>
      </c>
      <c r="R118" s="6">
        <f t="shared" si="25"/>
        <v>30.950000000000003</v>
      </c>
      <c r="S118" s="78">
        <v>37.119999999999997</v>
      </c>
      <c r="T118" s="80">
        <v>39.54</v>
      </c>
      <c r="U118" s="8"/>
      <c r="V118" s="6">
        <f t="shared" si="26"/>
        <v>23.340000000000003</v>
      </c>
      <c r="W118" s="78">
        <v>33.08</v>
      </c>
      <c r="X118" s="80">
        <v>35.18</v>
      </c>
      <c r="Y118" s="8"/>
      <c r="Z118" s="6">
        <f t="shared" si="27"/>
        <v>31.740000000000009</v>
      </c>
      <c r="AA118" s="78">
        <v>24.21</v>
      </c>
      <c r="AB118" s="80">
        <v>11.37</v>
      </c>
      <c r="AC118" s="19"/>
      <c r="AD118" s="6">
        <f t="shared" si="28"/>
        <v>64.42</v>
      </c>
      <c r="AE118" s="78">
        <v>15.46</v>
      </c>
      <c r="AF118" s="80">
        <v>4.92</v>
      </c>
      <c r="AG118" s="19"/>
      <c r="AH118" s="6">
        <f t="shared" si="29"/>
        <v>79.62</v>
      </c>
      <c r="AI118" s="78">
        <v>5.43</v>
      </c>
      <c r="AJ118" s="80">
        <v>1.5</v>
      </c>
      <c r="AK118" s="80">
        <v>1.31</v>
      </c>
      <c r="AL118" s="6">
        <f t="shared" si="30"/>
        <v>91.76</v>
      </c>
      <c r="AM118" s="78">
        <v>2.72</v>
      </c>
      <c r="AN118" s="19"/>
      <c r="AO118" s="19"/>
      <c r="AP118" s="6">
        <f t="shared" si="31"/>
        <v>97.28</v>
      </c>
      <c r="AQ118" s="78">
        <v>0.49</v>
      </c>
      <c r="AR118" s="80">
        <v>0.28000000000000003</v>
      </c>
      <c r="AS118" s="80">
        <v>71</v>
      </c>
      <c r="AT118" s="6">
        <f t="shared" si="32"/>
        <v>28.230000000000004</v>
      </c>
    </row>
    <row r="119" spans="1:46">
      <c r="A119" s="4">
        <v>45933</v>
      </c>
      <c r="B119" s="129"/>
      <c r="C119" s="78">
        <v>29.51</v>
      </c>
      <c r="D119" s="80">
        <v>18.12</v>
      </c>
      <c r="E119" s="80">
        <v>32.26</v>
      </c>
      <c r="F119" s="6">
        <f t="shared" si="22"/>
        <v>20.11</v>
      </c>
      <c r="G119" s="8"/>
      <c r="H119" s="8"/>
      <c r="I119" s="8"/>
      <c r="J119" s="6">
        <f t="shared" si="23"/>
        <v>100</v>
      </c>
      <c r="K119" s="19"/>
      <c r="L119" s="19"/>
      <c r="M119" s="19"/>
      <c r="N119" s="6">
        <f t="shared" si="24"/>
        <v>100</v>
      </c>
      <c r="O119" s="19"/>
      <c r="P119" s="19"/>
      <c r="Q119" s="19"/>
      <c r="R119" s="6">
        <f t="shared" si="25"/>
        <v>100</v>
      </c>
      <c r="S119" s="8"/>
      <c r="T119" s="8"/>
      <c r="U119" s="8"/>
      <c r="V119" s="6">
        <f t="shared" si="26"/>
        <v>100</v>
      </c>
      <c r="W119" s="8"/>
      <c r="X119" s="8"/>
      <c r="Y119" s="8"/>
      <c r="Z119" s="6">
        <f t="shared" si="27"/>
        <v>100</v>
      </c>
      <c r="AA119" s="19"/>
      <c r="AB119" s="19"/>
      <c r="AC119" s="19"/>
      <c r="AD119" s="6">
        <f t="shared" si="28"/>
        <v>100</v>
      </c>
      <c r="AE119" s="19"/>
      <c r="AF119" s="19"/>
      <c r="AG119" s="19"/>
      <c r="AH119" s="6">
        <f t="shared" si="29"/>
        <v>100</v>
      </c>
      <c r="AI119" s="19"/>
      <c r="AJ119" s="19"/>
      <c r="AK119" s="19"/>
      <c r="AL119" s="6">
        <f t="shared" si="30"/>
        <v>100</v>
      </c>
      <c r="AM119" s="19"/>
      <c r="AN119" s="19"/>
      <c r="AO119" s="19"/>
      <c r="AP119" s="6">
        <f t="shared" si="31"/>
        <v>100</v>
      </c>
      <c r="AQ119" s="19"/>
      <c r="AR119" s="19"/>
      <c r="AS119" s="19"/>
      <c r="AT119" s="6">
        <f t="shared" si="32"/>
        <v>100</v>
      </c>
    </row>
    <row r="120" spans="1:46">
      <c r="A120" s="4">
        <v>45934</v>
      </c>
      <c r="B120" s="129"/>
      <c r="C120" s="7"/>
      <c r="D120" s="7"/>
      <c r="E120" s="7"/>
      <c r="F120" s="6">
        <f t="shared" si="22"/>
        <v>100</v>
      </c>
      <c r="G120" s="8"/>
      <c r="H120" s="8"/>
      <c r="I120" s="8"/>
      <c r="J120" s="6">
        <f t="shared" si="23"/>
        <v>100</v>
      </c>
      <c r="K120" s="19"/>
      <c r="L120" s="19"/>
      <c r="M120" s="19"/>
      <c r="N120" s="6">
        <f t="shared" si="24"/>
        <v>100</v>
      </c>
      <c r="O120" s="19"/>
      <c r="P120" s="19"/>
      <c r="Q120" s="19"/>
      <c r="R120" s="6">
        <f t="shared" si="25"/>
        <v>100</v>
      </c>
      <c r="S120" s="8"/>
      <c r="T120" s="8"/>
      <c r="U120" s="8"/>
      <c r="V120" s="6">
        <f t="shared" si="26"/>
        <v>100</v>
      </c>
      <c r="W120" s="8"/>
      <c r="X120" s="8"/>
      <c r="Y120" s="8"/>
      <c r="Z120" s="6">
        <f t="shared" si="27"/>
        <v>100</v>
      </c>
      <c r="AA120" s="19"/>
      <c r="AB120" s="19"/>
      <c r="AC120" s="19"/>
      <c r="AD120" s="6">
        <f t="shared" si="28"/>
        <v>100</v>
      </c>
      <c r="AE120" s="19"/>
      <c r="AF120" s="19"/>
      <c r="AG120" s="19"/>
      <c r="AH120" s="6">
        <f t="shared" si="29"/>
        <v>100</v>
      </c>
      <c r="AI120" s="19"/>
      <c r="AJ120" s="19"/>
      <c r="AK120" s="19"/>
      <c r="AL120" s="6">
        <f t="shared" si="30"/>
        <v>100</v>
      </c>
      <c r="AM120" s="19"/>
      <c r="AN120" s="19"/>
      <c r="AO120" s="19"/>
      <c r="AP120" s="6">
        <f t="shared" si="31"/>
        <v>100</v>
      </c>
      <c r="AQ120" s="19"/>
      <c r="AR120" s="19"/>
      <c r="AS120" s="19"/>
      <c r="AT120" s="6">
        <f t="shared" si="32"/>
        <v>100</v>
      </c>
    </row>
    <row r="121" spans="1:46">
      <c r="A121" s="4">
        <v>45935</v>
      </c>
      <c r="B121" s="129"/>
      <c r="C121" s="7"/>
      <c r="D121" s="7"/>
      <c r="E121" s="7"/>
      <c r="F121" s="6">
        <f t="shared" si="22"/>
        <v>100</v>
      </c>
      <c r="G121" s="8"/>
      <c r="H121" s="8"/>
      <c r="I121" s="8"/>
      <c r="J121" s="6">
        <f t="shared" si="23"/>
        <v>100</v>
      </c>
      <c r="K121" s="19"/>
      <c r="L121" s="19"/>
      <c r="M121" s="19"/>
      <c r="N121" s="6">
        <f t="shared" si="24"/>
        <v>100</v>
      </c>
      <c r="O121" s="19"/>
      <c r="P121" s="19"/>
      <c r="Q121" s="19"/>
      <c r="R121" s="6">
        <f t="shared" si="25"/>
        <v>100</v>
      </c>
      <c r="S121" s="8"/>
      <c r="T121" s="8"/>
      <c r="U121" s="8"/>
      <c r="V121" s="6">
        <f t="shared" si="26"/>
        <v>100</v>
      </c>
      <c r="W121" s="8"/>
      <c r="X121" s="8"/>
      <c r="Y121" s="8"/>
      <c r="Z121" s="6">
        <f t="shared" si="27"/>
        <v>100</v>
      </c>
      <c r="AA121" s="19"/>
      <c r="AB121" s="19"/>
      <c r="AC121" s="19"/>
      <c r="AD121" s="6">
        <f t="shared" si="28"/>
        <v>100</v>
      </c>
      <c r="AE121" s="19"/>
      <c r="AF121" s="19"/>
      <c r="AG121" s="19"/>
      <c r="AH121" s="6">
        <f t="shared" si="29"/>
        <v>100</v>
      </c>
      <c r="AI121" s="19"/>
      <c r="AJ121" s="19"/>
      <c r="AK121" s="19"/>
      <c r="AL121" s="6">
        <f t="shared" si="30"/>
        <v>100</v>
      </c>
      <c r="AM121" s="19"/>
      <c r="AN121" s="19"/>
      <c r="AO121" s="19"/>
      <c r="AP121" s="6">
        <f t="shared" si="31"/>
        <v>100</v>
      </c>
      <c r="AQ121" s="19"/>
      <c r="AR121" s="19"/>
      <c r="AS121" s="19"/>
      <c r="AT121" s="6">
        <f t="shared" si="32"/>
        <v>100</v>
      </c>
    </row>
    <row r="122" spans="1:46">
      <c r="A122" s="4">
        <v>45936</v>
      </c>
      <c r="B122" s="129"/>
      <c r="C122" s="7"/>
      <c r="D122" s="7"/>
      <c r="E122" s="7"/>
      <c r="F122" s="6">
        <f t="shared" si="22"/>
        <v>100</v>
      </c>
      <c r="G122" s="8"/>
      <c r="H122" s="8"/>
      <c r="I122" s="8"/>
      <c r="J122" s="6">
        <f t="shared" si="23"/>
        <v>100</v>
      </c>
      <c r="K122" s="19"/>
      <c r="L122" s="19"/>
      <c r="M122" s="19"/>
      <c r="N122" s="6">
        <f t="shared" si="24"/>
        <v>100</v>
      </c>
      <c r="O122" s="19"/>
      <c r="P122" s="19"/>
      <c r="Q122" s="19"/>
      <c r="R122" s="6">
        <f t="shared" si="25"/>
        <v>100</v>
      </c>
      <c r="S122" s="8"/>
      <c r="T122" s="8"/>
      <c r="U122" s="8"/>
      <c r="V122" s="6">
        <f t="shared" si="26"/>
        <v>100</v>
      </c>
      <c r="W122" s="8"/>
      <c r="X122" s="8"/>
      <c r="Y122" s="8"/>
      <c r="Z122" s="6">
        <f t="shared" si="27"/>
        <v>100</v>
      </c>
      <c r="AA122" s="19"/>
      <c r="AB122" s="19"/>
      <c r="AC122" s="19"/>
      <c r="AD122" s="6">
        <f t="shared" si="28"/>
        <v>100</v>
      </c>
      <c r="AE122" s="19"/>
      <c r="AF122" s="19"/>
      <c r="AG122" s="19"/>
      <c r="AH122" s="6">
        <f t="shared" si="29"/>
        <v>100</v>
      </c>
      <c r="AI122" s="19"/>
      <c r="AJ122" s="19"/>
      <c r="AK122" s="19"/>
      <c r="AL122" s="6">
        <f t="shared" si="30"/>
        <v>100</v>
      </c>
      <c r="AM122" s="19"/>
      <c r="AN122" s="19"/>
      <c r="AO122" s="19"/>
      <c r="AP122" s="6">
        <f t="shared" si="31"/>
        <v>100</v>
      </c>
      <c r="AQ122" s="19"/>
      <c r="AR122" s="19"/>
      <c r="AS122" s="19"/>
      <c r="AT122" s="6">
        <f t="shared" si="32"/>
        <v>100</v>
      </c>
    </row>
    <row r="123" spans="1:46">
      <c r="A123" s="4">
        <v>45937</v>
      </c>
      <c r="B123" s="129"/>
      <c r="C123" s="78">
        <v>29.73</v>
      </c>
      <c r="D123" s="80">
        <v>18.690000000000001</v>
      </c>
      <c r="E123" s="80">
        <v>32.69</v>
      </c>
      <c r="F123" s="6">
        <f t="shared" si="22"/>
        <v>18.89</v>
      </c>
      <c r="G123" s="78">
        <v>10.4</v>
      </c>
      <c r="H123" s="80">
        <v>9.7100000000000009</v>
      </c>
      <c r="I123" s="80">
        <v>51.86</v>
      </c>
      <c r="J123" s="6">
        <f t="shared" si="23"/>
        <v>28.03</v>
      </c>
      <c r="K123" s="78">
        <v>16.47</v>
      </c>
      <c r="L123" s="80">
        <v>12.1</v>
      </c>
      <c r="M123" s="80">
        <v>43.54</v>
      </c>
      <c r="N123" s="6">
        <f t="shared" si="24"/>
        <v>27.89</v>
      </c>
      <c r="O123" s="78">
        <v>0.74</v>
      </c>
      <c r="P123" s="80">
        <v>0.38</v>
      </c>
      <c r="Q123" s="80">
        <v>68</v>
      </c>
      <c r="R123" s="6">
        <f t="shared" si="25"/>
        <v>30.879999999999995</v>
      </c>
      <c r="S123" s="78">
        <v>35.96</v>
      </c>
      <c r="T123" s="80">
        <v>39.54</v>
      </c>
      <c r="U123" s="8"/>
      <c r="V123" s="6">
        <f t="shared" si="26"/>
        <v>24.5</v>
      </c>
      <c r="W123" s="78">
        <v>33.909999999999997</v>
      </c>
      <c r="X123" s="80">
        <v>35.229999999999997</v>
      </c>
      <c r="Y123" s="8"/>
      <c r="Z123" s="6">
        <f t="shared" si="27"/>
        <v>30.860000000000014</v>
      </c>
      <c r="AA123" s="78">
        <v>25.26</v>
      </c>
      <c r="AB123" s="80">
        <v>12.03</v>
      </c>
      <c r="AC123" s="19"/>
      <c r="AD123" s="6">
        <f t="shared" si="28"/>
        <v>62.71</v>
      </c>
      <c r="AE123" s="78">
        <v>16.63</v>
      </c>
      <c r="AF123" s="80">
        <v>5.68</v>
      </c>
      <c r="AG123" s="19"/>
      <c r="AH123" s="6">
        <f t="shared" si="29"/>
        <v>77.69</v>
      </c>
      <c r="AI123" s="78">
        <v>6.7</v>
      </c>
      <c r="AJ123" s="80">
        <v>1.85</v>
      </c>
      <c r="AK123" s="80">
        <v>1.43</v>
      </c>
      <c r="AL123" s="6">
        <f t="shared" si="30"/>
        <v>90.02</v>
      </c>
      <c r="AM123" s="78">
        <v>2.72</v>
      </c>
      <c r="AN123" s="19"/>
      <c r="AO123" s="19"/>
      <c r="AP123" s="6">
        <f t="shared" si="31"/>
        <v>97.28</v>
      </c>
      <c r="AQ123" s="78">
        <v>0.51</v>
      </c>
      <c r="AR123" s="80">
        <v>0.28000000000000003</v>
      </c>
      <c r="AS123" s="80">
        <v>71</v>
      </c>
      <c r="AT123" s="6">
        <f t="shared" si="32"/>
        <v>28.209999999999994</v>
      </c>
    </row>
    <row r="124" spans="1:46">
      <c r="A124" s="4">
        <v>45938</v>
      </c>
      <c r="B124" s="129"/>
      <c r="C124" s="7"/>
      <c r="D124" s="7"/>
      <c r="E124" s="7"/>
      <c r="F124" s="6">
        <f t="shared" si="22"/>
        <v>100</v>
      </c>
      <c r="G124" s="8"/>
      <c r="H124" s="8"/>
      <c r="I124" s="8"/>
      <c r="J124" s="6">
        <f t="shared" si="23"/>
        <v>100</v>
      </c>
      <c r="K124" s="19"/>
      <c r="L124" s="19"/>
      <c r="M124" s="19"/>
      <c r="N124" s="6">
        <f t="shared" si="24"/>
        <v>100</v>
      </c>
      <c r="O124" s="19"/>
      <c r="P124" s="19"/>
      <c r="Q124" s="19"/>
      <c r="R124" s="6">
        <f t="shared" si="25"/>
        <v>100</v>
      </c>
      <c r="S124" s="8"/>
      <c r="T124" s="8"/>
      <c r="U124" s="8"/>
      <c r="V124" s="6">
        <f t="shared" si="26"/>
        <v>100</v>
      </c>
      <c r="W124" s="8"/>
      <c r="X124" s="8"/>
      <c r="Y124" s="8"/>
      <c r="Z124" s="6">
        <f t="shared" si="27"/>
        <v>100</v>
      </c>
      <c r="AA124" s="19"/>
      <c r="AB124" s="19"/>
      <c r="AC124" s="19"/>
      <c r="AD124" s="6">
        <f t="shared" si="28"/>
        <v>100</v>
      </c>
      <c r="AE124" s="19"/>
      <c r="AF124" s="19"/>
      <c r="AG124" s="19"/>
      <c r="AH124" s="6">
        <f t="shared" si="29"/>
        <v>100</v>
      </c>
      <c r="AI124" s="19"/>
      <c r="AJ124" s="19"/>
      <c r="AK124" s="19"/>
      <c r="AL124" s="6">
        <f t="shared" si="30"/>
        <v>100</v>
      </c>
      <c r="AM124" s="19"/>
      <c r="AN124" s="19"/>
      <c r="AO124" s="19"/>
      <c r="AP124" s="6">
        <f t="shared" si="31"/>
        <v>100</v>
      </c>
      <c r="AQ124" s="19"/>
      <c r="AR124" s="19"/>
      <c r="AS124" s="19"/>
      <c r="AT124" s="6">
        <f t="shared" si="32"/>
        <v>100</v>
      </c>
    </row>
    <row r="125" spans="1:46">
      <c r="A125" s="4">
        <v>45939</v>
      </c>
      <c r="B125" s="129"/>
      <c r="C125" s="7"/>
      <c r="D125" s="7"/>
      <c r="E125" s="7"/>
      <c r="F125" s="6">
        <f t="shared" si="22"/>
        <v>100</v>
      </c>
      <c r="G125" s="8"/>
      <c r="H125" s="8"/>
      <c r="I125" s="8"/>
      <c r="J125" s="6">
        <f t="shared" si="23"/>
        <v>100</v>
      </c>
      <c r="K125" s="19"/>
      <c r="L125" s="19"/>
      <c r="M125" s="19"/>
      <c r="N125" s="6">
        <f t="shared" si="24"/>
        <v>100</v>
      </c>
      <c r="O125" s="19"/>
      <c r="P125" s="19"/>
      <c r="Q125" s="19"/>
      <c r="R125" s="6">
        <f t="shared" si="25"/>
        <v>100</v>
      </c>
      <c r="S125" s="8"/>
      <c r="T125" s="8"/>
      <c r="U125" s="8"/>
      <c r="V125" s="6">
        <f t="shared" si="26"/>
        <v>100</v>
      </c>
      <c r="W125" s="8"/>
      <c r="X125" s="8"/>
      <c r="Y125" s="8"/>
      <c r="Z125" s="6">
        <f t="shared" si="27"/>
        <v>100</v>
      </c>
      <c r="AA125" s="19"/>
      <c r="AB125" s="19"/>
      <c r="AC125" s="19"/>
      <c r="AD125" s="6">
        <f t="shared" si="28"/>
        <v>100</v>
      </c>
      <c r="AE125" s="19"/>
      <c r="AF125" s="19"/>
      <c r="AG125" s="19"/>
      <c r="AH125" s="6">
        <f t="shared" si="29"/>
        <v>100</v>
      </c>
      <c r="AI125" s="19"/>
      <c r="AJ125" s="19"/>
      <c r="AK125" s="19"/>
      <c r="AL125" s="6">
        <f t="shared" si="30"/>
        <v>100</v>
      </c>
      <c r="AM125" s="19"/>
      <c r="AN125" s="19"/>
      <c r="AO125" s="19"/>
      <c r="AP125" s="6">
        <f t="shared" si="31"/>
        <v>100</v>
      </c>
      <c r="AQ125" s="19"/>
      <c r="AR125" s="19"/>
      <c r="AS125" s="19"/>
      <c r="AT125" s="6">
        <f t="shared" si="32"/>
        <v>100</v>
      </c>
    </row>
    <row r="126" spans="1:46">
      <c r="A126" s="4">
        <v>45940</v>
      </c>
      <c r="B126" s="129"/>
      <c r="C126" s="78">
        <v>30.98</v>
      </c>
      <c r="D126" s="80">
        <v>19.100000000000001</v>
      </c>
      <c r="E126" s="80">
        <v>32.119999999999997</v>
      </c>
      <c r="F126" s="6">
        <f t="shared" si="22"/>
        <v>17.800000000000011</v>
      </c>
      <c r="G126" s="8"/>
      <c r="H126" s="8"/>
      <c r="I126" s="8"/>
      <c r="J126" s="6">
        <f t="shared" si="23"/>
        <v>100</v>
      </c>
      <c r="K126" s="19"/>
      <c r="L126" s="19"/>
      <c r="M126" s="19"/>
      <c r="N126" s="6">
        <f t="shared" si="24"/>
        <v>100</v>
      </c>
      <c r="O126" s="19"/>
      <c r="P126" s="19"/>
      <c r="Q126" s="19"/>
      <c r="R126" s="6">
        <f t="shared" si="25"/>
        <v>100</v>
      </c>
      <c r="S126" s="8"/>
      <c r="T126" s="8"/>
      <c r="U126" s="8"/>
      <c r="V126" s="6">
        <f t="shared" si="26"/>
        <v>100</v>
      </c>
      <c r="W126" s="8"/>
      <c r="X126" s="8"/>
      <c r="Y126" s="8"/>
      <c r="Z126" s="6">
        <f t="shared" si="27"/>
        <v>100</v>
      </c>
      <c r="AA126" s="19"/>
      <c r="AB126" s="19"/>
      <c r="AC126" s="19"/>
      <c r="AD126" s="6">
        <f t="shared" si="28"/>
        <v>100</v>
      </c>
      <c r="AE126" s="19"/>
      <c r="AF126" s="19"/>
      <c r="AG126" s="19"/>
      <c r="AH126" s="6">
        <f t="shared" si="29"/>
        <v>100</v>
      </c>
      <c r="AI126" s="19"/>
      <c r="AJ126" s="19"/>
      <c r="AK126" s="19"/>
      <c r="AL126" s="6">
        <f t="shared" si="30"/>
        <v>100</v>
      </c>
      <c r="AM126" s="19"/>
      <c r="AN126" s="19"/>
      <c r="AO126" s="19"/>
      <c r="AP126" s="6">
        <f t="shared" si="31"/>
        <v>100</v>
      </c>
      <c r="AQ126" s="19"/>
      <c r="AR126" s="19"/>
      <c r="AS126" s="19"/>
      <c r="AT126" s="6">
        <f t="shared" si="32"/>
        <v>100</v>
      </c>
    </row>
    <row r="127" spans="1:46">
      <c r="A127" s="4">
        <v>45941</v>
      </c>
      <c r="B127" s="129"/>
      <c r="C127" s="7"/>
      <c r="D127" s="7"/>
      <c r="E127" s="7"/>
      <c r="F127" s="6">
        <f t="shared" si="22"/>
        <v>100</v>
      </c>
      <c r="G127" s="8"/>
      <c r="H127" s="8"/>
      <c r="I127" s="8"/>
      <c r="J127" s="6">
        <f t="shared" si="23"/>
        <v>100</v>
      </c>
      <c r="K127" s="19"/>
      <c r="L127" s="19"/>
      <c r="M127" s="19"/>
      <c r="N127" s="6">
        <f t="shared" si="24"/>
        <v>100</v>
      </c>
      <c r="O127" s="19"/>
      <c r="P127" s="19"/>
      <c r="Q127" s="19"/>
      <c r="R127" s="6">
        <f t="shared" si="25"/>
        <v>100</v>
      </c>
      <c r="S127" s="8"/>
      <c r="T127" s="8"/>
      <c r="U127" s="8"/>
      <c r="V127" s="6">
        <f t="shared" si="26"/>
        <v>100</v>
      </c>
      <c r="W127" s="8"/>
      <c r="X127" s="8"/>
      <c r="Y127" s="8"/>
      <c r="Z127" s="6">
        <f t="shared" si="27"/>
        <v>100</v>
      </c>
      <c r="AA127" s="19"/>
      <c r="AB127" s="19"/>
      <c r="AC127" s="19"/>
      <c r="AD127" s="6">
        <f t="shared" si="28"/>
        <v>100</v>
      </c>
      <c r="AE127" s="19"/>
      <c r="AF127" s="19"/>
      <c r="AG127" s="19"/>
      <c r="AH127" s="6">
        <f t="shared" si="29"/>
        <v>100</v>
      </c>
      <c r="AI127" s="19"/>
      <c r="AJ127" s="19"/>
      <c r="AK127" s="19"/>
      <c r="AL127" s="6">
        <f t="shared" si="30"/>
        <v>100</v>
      </c>
      <c r="AM127" s="19"/>
      <c r="AN127" s="19"/>
      <c r="AO127" s="19"/>
      <c r="AP127" s="6">
        <f t="shared" si="31"/>
        <v>100</v>
      </c>
      <c r="AQ127" s="19"/>
      <c r="AR127" s="19"/>
      <c r="AS127" s="19"/>
      <c r="AT127" s="6">
        <f t="shared" si="32"/>
        <v>100</v>
      </c>
    </row>
    <row r="128" spans="1:46">
      <c r="A128" s="4">
        <v>45942</v>
      </c>
      <c r="B128" s="129"/>
      <c r="C128" s="7"/>
      <c r="D128" s="7"/>
      <c r="E128" s="7"/>
      <c r="F128" s="6">
        <f t="shared" si="22"/>
        <v>100</v>
      </c>
      <c r="G128" s="8"/>
      <c r="H128" s="8"/>
      <c r="I128" s="8"/>
      <c r="J128" s="6">
        <f t="shared" si="23"/>
        <v>100</v>
      </c>
      <c r="K128" s="19"/>
      <c r="L128" s="19"/>
      <c r="M128" s="19"/>
      <c r="N128" s="6">
        <f t="shared" si="24"/>
        <v>100</v>
      </c>
      <c r="O128" s="19"/>
      <c r="P128" s="19"/>
      <c r="Q128" s="19"/>
      <c r="R128" s="6">
        <f t="shared" si="25"/>
        <v>100</v>
      </c>
      <c r="S128" s="8"/>
      <c r="T128" s="8"/>
      <c r="U128" s="8"/>
      <c r="V128" s="6">
        <f t="shared" si="26"/>
        <v>100</v>
      </c>
      <c r="W128" s="8"/>
      <c r="X128" s="8"/>
      <c r="Y128" s="8"/>
      <c r="Z128" s="6">
        <f t="shared" si="27"/>
        <v>100</v>
      </c>
      <c r="AA128" s="19"/>
      <c r="AB128" s="19"/>
      <c r="AC128" s="19"/>
      <c r="AD128" s="6">
        <f t="shared" si="28"/>
        <v>100</v>
      </c>
      <c r="AE128" s="19"/>
      <c r="AF128" s="19"/>
      <c r="AG128" s="19"/>
      <c r="AH128" s="6">
        <f t="shared" si="29"/>
        <v>100</v>
      </c>
      <c r="AI128" s="19"/>
      <c r="AJ128" s="19"/>
      <c r="AK128" s="19"/>
      <c r="AL128" s="6">
        <f t="shared" si="30"/>
        <v>100</v>
      </c>
      <c r="AM128" s="19"/>
      <c r="AN128" s="19"/>
      <c r="AO128" s="19"/>
      <c r="AP128" s="6">
        <f t="shared" si="31"/>
        <v>100</v>
      </c>
      <c r="AQ128" s="19"/>
      <c r="AR128" s="19"/>
      <c r="AS128" s="19"/>
      <c r="AT128" s="6">
        <f t="shared" si="32"/>
        <v>100</v>
      </c>
    </row>
    <row r="129" spans="1:46">
      <c r="A129" s="4">
        <v>45943</v>
      </c>
      <c r="B129" s="129"/>
      <c r="C129" s="78">
        <v>29.04</v>
      </c>
      <c r="D129" s="80">
        <v>17.82</v>
      </c>
      <c r="E129" s="80">
        <v>32.51</v>
      </c>
      <c r="F129" s="6">
        <f t="shared" si="22"/>
        <v>20.629999999999995</v>
      </c>
      <c r="G129" s="78">
        <v>10.09</v>
      </c>
      <c r="H129" s="80">
        <v>9.93</v>
      </c>
      <c r="I129" s="80">
        <v>51.22</v>
      </c>
      <c r="J129" s="6">
        <f t="shared" si="23"/>
        <v>28.760000000000005</v>
      </c>
      <c r="K129" s="78">
        <v>16.5</v>
      </c>
      <c r="L129" s="80">
        <v>11.79</v>
      </c>
      <c r="M129" s="80">
        <v>43.46</v>
      </c>
      <c r="N129" s="6">
        <f t="shared" si="24"/>
        <v>28.25</v>
      </c>
      <c r="O129" s="78">
        <v>0.49</v>
      </c>
      <c r="P129" s="80">
        <v>0.23</v>
      </c>
      <c r="Q129" s="80">
        <v>70</v>
      </c>
      <c r="R129" s="6">
        <f t="shared" si="25"/>
        <v>29.28</v>
      </c>
      <c r="S129" s="8"/>
      <c r="T129" s="8"/>
      <c r="U129" s="8"/>
      <c r="V129" s="6">
        <f t="shared" si="26"/>
        <v>100</v>
      </c>
      <c r="W129" s="78">
        <v>33.520000000000003</v>
      </c>
      <c r="X129" s="80">
        <v>34.85</v>
      </c>
      <c r="Y129" s="8"/>
      <c r="Z129" s="6">
        <f t="shared" si="27"/>
        <v>31.629999999999995</v>
      </c>
      <c r="AA129" s="78">
        <v>23.47</v>
      </c>
      <c r="AB129" s="80">
        <v>11.07</v>
      </c>
      <c r="AC129" s="19"/>
      <c r="AD129" s="6">
        <f t="shared" si="28"/>
        <v>65.460000000000008</v>
      </c>
      <c r="AE129" s="78">
        <v>13.78</v>
      </c>
      <c r="AF129" s="80">
        <v>5.8</v>
      </c>
      <c r="AG129" s="19"/>
      <c r="AH129" s="6">
        <f t="shared" si="29"/>
        <v>80.42</v>
      </c>
      <c r="AI129" s="78">
        <v>5.0599999999999996</v>
      </c>
      <c r="AJ129" s="80">
        <v>1.39</v>
      </c>
      <c r="AK129" s="80">
        <v>1.1000000000000001</v>
      </c>
      <c r="AL129" s="6">
        <f t="shared" si="30"/>
        <v>92.45</v>
      </c>
      <c r="AM129" s="78">
        <v>1.7</v>
      </c>
      <c r="AN129" s="19"/>
      <c r="AO129" s="19"/>
      <c r="AP129" s="6">
        <f t="shared" si="31"/>
        <v>98.3</v>
      </c>
      <c r="AQ129" s="78">
        <v>0.49</v>
      </c>
      <c r="AR129" s="80">
        <v>0.23</v>
      </c>
      <c r="AS129" s="80">
        <v>71</v>
      </c>
      <c r="AT129" s="6">
        <f t="shared" si="32"/>
        <v>28.28</v>
      </c>
    </row>
    <row r="130" spans="1:46">
      <c r="A130" s="4">
        <v>45944</v>
      </c>
      <c r="B130" s="129"/>
      <c r="C130" s="78">
        <v>29.22</v>
      </c>
      <c r="D130" s="80">
        <v>17.96</v>
      </c>
      <c r="E130" s="80">
        <v>32.369999999999997</v>
      </c>
      <c r="F130" s="6">
        <f t="shared" si="22"/>
        <v>20.450000000000003</v>
      </c>
      <c r="G130" s="8"/>
      <c r="H130" s="8"/>
      <c r="I130" s="8"/>
      <c r="J130" s="6">
        <f t="shared" si="23"/>
        <v>100</v>
      </c>
      <c r="K130" s="19"/>
      <c r="L130" s="19"/>
      <c r="M130" s="19"/>
      <c r="N130" s="6">
        <f t="shared" si="24"/>
        <v>100</v>
      </c>
      <c r="O130" s="19"/>
      <c r="P130" s="19"/>
      <c r="Q130" s="19"/>
      <c r="R130" s="6">
        <f t="shared" si="25"/>
        <v>100</v>
      </c>
      <c r="S130" s="8"/>
      <c r="T130" s="8"/>
      <c r="U130" s="8"/>
      <c r="V130" s="6">
        <f t="shared" si="26"/>
        <v>100</v>
      </c>
      <c r="W130" s="8"/>
      <c r="X130" s="8"/>
      <c r="Y130" s="8"/>
      <c r="Z130" s="6">
        <f t="shared" si="27"/>
        <v>100</v>
      </c>
      <c r="AA130" s="19"/>
      <c r="AB130" s="19"/>
      <c r="AC130" s="19"/>
      <c r="AD130" s="6">
        <f t="shared" si="28"/>
        <v>100</v>
      </c>
      <c r="AE130" s="19"/>
      <c r="AF130" s="19"/>
      <c r="AG130" s="19"/>
      <c r="AH130" s="6">
        <f t="shared" si="29"/>
        <v>100</v>
      </c>
      <c r="AI130" s="19"/>
      <c r="AJ130" s="19"/>
      <c r="AK130" s="19"/>
      <c r="AL130" s="6">
        <f t="shared" si="30"/>
        <v>100</v>
      </c>
      <c r="AM130" s="19"/>
      <c r="AN130" s="19"/>
      <c r="AO130" s="19"/>
      <c r="AP130" s="6">
        <f t="shared" si="31"/>
        <v>100</v>
      </c>
      <c r="AQ130" s="19"/>
      <c r="AR130" s="19"/>
      <c r="AS130" s="19"/>
      <c r="AT130" s="6">
        <f t="shared" si="32"/>
        <v>100</v>
      </c>
    </row>
    <row r="131" spans="1:46">
      <c r="A131" s="4">
        <v>45945</v>
      </c>
      <c r="B131" s="129"/>
      <c r="C131" s="78">
        <v>30.1</v>
      </c>
      <c r="D131" s="80">
        <v>19.21</v>
      </c>
      <c r="E131" s="80">
        <v>32.19</v>
      </c>
      <c r="F131" s="6">
        <f t="shared" si="22"/>
        <v>18.5</v>
      </c>
      <c r="G131" s="8"/>
      <c r="H131" s="8"/>
      <c r="I131" s="8"/>
      <c r="J131" s="6">
        <f t="shared" si="23"/>
        <v>100</v>
      </c>
      <c r="K131" s="19"/>
      <c r="L131" s="19"/>
      <c r="M131" s="19"/>
      <c r="N131" s="6">
        <f t="shared" si="24"/>
        <v>100</v>
      </c>
      <c r="O131" s="19"/>
      <c r="P131" s="19"/>
      <c r="Q131" s="19"/>
      <c r="R131" s="6">
        <f t="shared" si="25"/>
        <v>100</v>
      </c>
      <c r="S131" s="8"/>
      <c r="T131" s="8"/>
      <c r="U131" s="8"/>
      <c r="V131" s="6">
        <f t="shared" si="26"/>
        <v>100</v>
      </c>
      <c r="W131" s="8"/>
      <c r="X131" s="8"/>
      <c r="Y131" s="8"/>
      <c r="Z131" s="6">
        <f t="shared" si="27"/>
        <v>100</v>
      </c>
      <c r="AA131" s="183">
        <v>26.6</v>
      </c>
      <c r="AB131" s="184">
        <v>12.7</v>
      </c>
      <c r="AC131" s="19"/>
      <c r="AD131" s="6">
        <f t="shared" si="28"/>
        <v>60.7</v>
      </c>
      <c r="AE131" s="19"/>
      <c r="AF131" s="19"/>
      <c r="AG131" s="19"/>
      <c r="AH131" s="6">
        <f t="shared" si="29"/>
        <v>100</v>
      </c>
      <c r="AI131" s="183">
        <v>5.17</v>
      </c>
      <c r="AJ131" s="184">
        <v>1.59</v>
      </c>
      <c r="AK131" s="19"/>
      <c r="AL131" s="6">
        <f t="shared" si="30"/>
        <v>93.24</v>
      </c>
      <c r="AM131" s="19"/>
      <c r="AN131" s="19"/>
      <c r="AO131" s="19"/>
      <c r="AP131" s="6">
        <f t="shared" si="31"/>
        <v>100</v>
      </c>
      <c r="AQ131" s="19"/>
      <c r="AR131" s="19"/>
      <c r="AS131" s="19"/>
      <c r="AT131" s="6">
        <f t="shared" si="32"/>
        <v>100</v>
      </c>
    </row>
    <row r="132" spans="1:46">
      <c r="A132" s="4">
        <v>45946</v>
      </c>
      <c r="B132" s="129"/>
      <c r="C132" s="7"/>
      <c r="D132" s="7"/>
      <c r="E132" s="7"/>
      <c r="F132" s="6">
        <f t="shared" si="22"/>
        <v>100</v>
      </c>
      <c r="G132" s="8"/>
      <c r="H132" s="8"/>
      <c r="I132" s="8"/>
      <c r="J132" s="6">
        <f t="shared" si="23"/>
        <v>100</v>
      </c>
      <c r="K132" s="78">
        <v>16.41</v>
      </c>
      <c r="L132" s="80">
        <v>11.79</v>
      </c>
      <c r="M132" s="80">
        <v>42.7</v>
      </c>
      <c r="N132" s="6">
        <f t="shared" si="24"/>
        <v>29.099999999999994</v>
      </c>
      <c r="O132" s="78">
        <v>0.65</v>
      </c>
      <c r="P132" s="80">
        <v>0.32</v>
      </c>
      <c r="Q132" s="80">
        <v>70</v>
      </c>
      <c r="R132" s="6">
        <f t="shared" si="25"/>
        <v>29.03</v>
      </c>
      <c r="S132" s="78">
        <v>35.71</v>
      </c>
      <c r="T132" s="80">
        <v>39.630000000000003</v>
      </c>
      <c r="U132" s="125"/>
      <c r="V132" s="6">
        <f t="shared" si="26"/>
        <v>24.659999999999997</v>
      </c>
      <c r="W132" s="78">
        <v>32.64</v>
      </c>
      <c r="X132" s="80">
        <v>33.58</v>
      </c>
      <c r="Y132" s="8"/>
      <c r="Z132" s="6">
        <f t="shared" si="27"/>
        <v>33.78</v>
      </c>
      <c r="AA132" s="78">
        <v>24.31</v>
      </c>
      <c r="AB132" s="80">
        <v>12.54</v>
      </c>
      <c r="AC132" s="19"/>
      <c r="AD132" s="6">
        <f t="shared" si="28"/>
        <v>63.150000000000006</v>
      </c>
      <c r="AE132" s="78">
        <v>14.26</v>
      </c>
      <c r="AF132" s="80">
        <v>5.36</v>
      </c>
      <c r="AG132" s="19"/>
      <c r="AH132" s="6">
        <f t="shared" si="29"/>
        <v>80.38</v>
      </c>
      <c r="AI132" s="78">
        <v>5.29</v>
      </c>
      <c r="AJ132" s="80">
        <v>1.63</v>
      </c>
      <c r="AK132" s="80">
        <v>1.89</v>
      </c>
      <c r="AL132" s="6">
        <f t="shared" si="30"/>
        <v>91.19</v>
      </c>
      <c r="AM132" s="78">
        <v>1.7</v>
      </c>
      <c r="AN132" s="19"/>
      <c r="AO132" s="19"/>
      <c r="AP132" s="6">
        <f t="shared" si="31"/>
        <v>98.3</v>
      </c>
      <c r="AQ132" s="78">
        <v>0.49</v>
      </c>
      <c r="AR132" s="80">
        <v>0.24</v>
      </c>
      <c r="AS132" s="80">
        <v>71</v>
      </c>
      <c r="AT132" s="6">
        <f t="shared" si="32"/>
        <v>28.269999999999996</v>
      </c>
    </row>
    <row r="133" spans="1:46">
      <c r="A133" s="4">
        <v>45947</v>
      </c>
      <c r="B133" s="129"/>
      <c r="C133" s="7">
        <v>29.95</v>
      </c>
      <c r="D133" s="7">
        <v>19.16</v>
      </c>
      <c r="E133" s="7">
        <v>32.200000000000003</v>
      </c>
      <c r="F133" s="6">
        <f t="shared" si="22"/>
        <v>18.689999999999998</v>
      </c>
      <c r="G133" s="8"/>
      <c r="H133" s="8"/>
      <c r="I133" s="8"/>
      <c r="J133" s="6">
        <f t="shared" si="23"/>
        <v>100</v>
      </c>
      <c r="K133" s="19"/>
      <c r="L133" s="19"/>
      <c r="M133" s="19"/>
      <c r="N133" s="6">
        <f t="shared" si="24"/>
        <v>100</v>
      </c>
      <c r="O133" s="19"/>
      <c r="P133" s="19"/>
      <c r="Q133" s="19"/>
      <c r="R133" s="6">
        <f t="shared" si="25"/>
        <v>100</v>
      </c>
      <c r="S133" s="8"/>
      <c r="T133" s="8"/>
      <c r="U133" s="8"/>
      <c r="V133" s="6">
        <f t="shared" si="26"/>
        <v>100</v>
      </c>
      <c r="W133" s="8"/>
      <c r="X133" s="8"/>
      <c r="Y133" s="8"/>
      <c r="Z133" s="6">
        <f t="shared" si="27"/>
        <v>100</v>
      </c>
      <c r="AA133" s="19"/>
      <c r="AB133" s="19"/>
      <c r="AC133" s="19"/>
      <c r="AD133" s="6">
        <f t="shared" si="28"/>
        <v>100</v>
      </c>
      <c r="AE133" s="19"/>
      <c r="AF133" s="19"/>
      <c r="AG133" s="19"/>
      <c r="AH133" s="6">
        <f t="shared" si="29"/>
        <v>100</v>
      </c>
      <c r="AI133" s="19"/>
      <c r="AJ133" s="19"/>
      <c r="AK133" s="19"/>
      <c r="AL133" s="6">
        <f t="shared" si="30"/>
        <v>100</v>
      </c>
      <c r="AM133" s="19"/>
      <c r="AN133" s="19"/>
      <c r="AO133" s="19"/>
      <c r="AP133" s="6">
        <f t="shared" si="31"/>
        <v>100</v>
      </c>
      <c r="AQ133" s="19"/>
      <c r="AR133" s="19"/>
      <c r="AS133" s="19"/>
      <c r="AT133" s="6">
        <f t="shared" si="32"/>
        <v>100</v>
      </c>
    </row>
    <row r="134" spans="1:46">
      <c r="A134" s="4">
        <v>45948</v>
      </c>
      <c r="B134" s="129"/>
      <c r="C134" s="7"/>
      <c r="D134" s="7"/>
      <c r="E134" s="7"/>
      <c r="F134" s="6">
        <f t="shared" si="22"/>
        <v>100</v>
      </c>
      <c r="G134" s="8"/>
      <c r="H134" s="8"/>
      <c r="I134" s="8"/>
      <c r="J134" s="6">
        <f t="shared" si="23"/>
        <v>100</v>
      </c>
      <c r="K134" s="19"/>
      <c r="L134" s="19"/>
      <c r="M134" s="19"/>
      <c r="N134" s="6">
        <f t="shared" si="24"/>
        <v>100</v>
      </c>
      <c r="O134" s="19"/>
      <c r="P134" s="19"/>
      <c r="Q134" s="19"/>
      <c r="R134" s="6">
        <f t="shared" si="25"/>
        <v>100</v>
      </c>
      <c r="S134" s="8"/>
      <c r="T134" s="8"/>
      <c r="U134" s="8"/>
      <c r="V134" s="6">
        <f t="shared" si="26"/>
        <v>100</v>
      </c>
      <c r="W134" s="8"/>
      <c r="X134" s="8"/>
      <c r="Y134" s="8"/>
      <c r="Z134" s="6">
        <f t="shared" si="27"/>
        <v>100</v>
      </c>
      <c r="AA134" s="19"/>
      <c r="AB134" s="19"/>
      <c r="AC134" s="19"/>
      <c r="AD134" s="6">
        <f t="shared" si="28"/>
        <v>100</v>
      </c>
      <c r="AE134" s="19"/>
      <c r="AF134" s="19"/>
      <c r="AG134" s="19"/>
      <c r="AH134" s="6">
        <f t="shared" si="29"/>
        <v>100</v>
      </c>
      <c r="AI134" s="19"/>
      <c r="AJ134" s="19"/>
      <c r="AK134" s="19"/>
      <c r="AL134" s="6">
        <f t="shared" si="30"/>
        <v>100</v>
      </c>
      <c r="AM134" s="19"/>
      <c r="AN134" s="19"/>
      <c r="AO134" s="19"/>
      <c r="AP134" s="6">
        <f t="shared" si="31"/>
        <v>100</v>
      </c>
      <c r="AQ134" s="19"/>
      <c r="AR134" s="19"/>
      <c r="AS134" s="19"/>
      <c r="AT134" s="6">
        <f t="shared" si="32"/>
        <v>100</v>
      </c>
    </row>
    <row r="135" spans="1:46">
      <c r="A135" s="4">
        <v>45949</v>
      </c>
      <c r="B135" s="129"/>
      <c r="C135" s="7"/>
      <c r="D135" s="7"/>
      <c r="E135" s="7"/>
      <c r="F135" s="6">
        <f t="shared" si="22"/>
        <v>100</v>
      </c>
      <c r="G135" s="8"/>
      <c r="H135" s="8"/>
      <c r="I135" s="8"/>
      <c r="J135" s="6">
        <f t="shared" si="23"/>
        <v>100</v>
      </c>
      <c r="K135" s="19"/>
      <c r="L135" s="19"/>
      <c r="M135" s="19"/>
      <c r="N135" s="6">
        <f t="shared" si="24"/>
        <v>100</v>
      </c>
      <c r="O135" s="19"/>
      <c r="P135" s="19"/>
      <c r="Q135" s="19"/>
      <c r="R135" s="6">
        <f t="shared" si="25"/>
        <v>100</v>
      </c>
      <c r="S135" s="8"/>
      <c r="T135" s="8"/>
      <c r="U135" s="8"/>
      <c r="V135" s="6">
        <f t="shared" si="26"/>
        <v>100</v>
      </c>
      <c r="W135" s="8"/>
      <c r="X135" s="8"/>
      <c r="Y135" s="8"/>
      <c r="Z135" s="6">
        <f t="shared" si="27"/>
        <v>100</v>
      </c>
      <c r="AA135" s="19"/>
      <c r="AB135" s="19"/>
      <c r="AC135" s="19"/>
      <c r="AD135" s="6">
        <f t="shared" si="28"/>
        <v>100</v>
      </c>
      <c r="AE135" s="19"/>
      <c r="AF135" s="19"/>
      <c r="AG135" s="19"/>
      <c r="AH135" s="6">
        <f t="shared" si="29"/>
        <v>100</v>
      </c>
      <c r="AI135" s="19"/>
      <c r="AJ135" s="19"/>
      <c r="AK135" s="19"/>
      <c r="AL135" s="6">
        <f t="shared" si="30"/>
        <v>100</v>
      </c>
      <c r="AM135" s="19"/>
      <c r="AN135" s="19"/>
      <c r="AO135" s="19"/>
      <c r="AP135" s="6">
        <f t="shared" si="31"/>
        <v>100</v>
      </c>
      <c r="AQ135" s="19"/>
      <c r="AR135" s="19"/>
      <c r="AS135" s="19"/>
      <c r="AT135" s="6">
        <f t="shared" si="32"/>
        <v>100</v>
      </c>
    </row>
    <row r="136" spans="1:46">
      <c r="A136" s="4">
        <v>45950</v>
      </c>
      <c r="B136" s="129"/>
      <c r="C136" s="78">
        <v>28.92</v>
      </c>
      <c r="D136" s="80">
        <v>18.62</v>
      </c>
      <c r="E136" s="80">
        <v>32.479999999999997</v>
      </c>
      <c r="F136" s="6">
        <f t="shared" si="22"/>
        <v>19.97999999999999</v>
      </c>
      <c r="G136" s="78">
        <v>10.29</v>
      </c>
      <c r="H136" s="80">
        <v>9.86</v>
      </c>
      <c r="I136" s="80">
        <v>51.74</v>
      </c>
      <c r="J136" s="6">
        <f t="shared" si="23"/>
        <v>28.11</v>
      </c>
      <c r="K136" s="78">
        <v>16.14</v>
      </c>
      <c r="L136" s="80">
        <v>12.37</v>
      </c>
      <c r="M136" s="80">
        <v>43.8</v>
      </c>
      <c r="N136" s="6">
        <f t="shared" si="24"/>
        <v>27.689999999999998</v>
      </c>
      <c r="O136" s="78">
        <v>0.8</v>
      </c>
      <c r="P136" s="80">
        <v>0.41</v>
      </c>
      <c r="Q136" s="80">
        <v>68</v>
      </c>
      <c r="R136" s="6">
        <f t="shared" si="25"/>
        <v>30.790000000000006</v>
      </c>
      <c r="S136" s="78">
        <v>36.24</v>
      </c>
      <c r="T136" s="80">
        <v>39.53</v>
      </c>
      <c r="U136" s="8"/>
      <c r="V136" s="6">
        <f t="shared" si="26"/>
        <v>24.22999999999999</v>
      </c>
      <c r="W136" s="78">
        <v>33.5</v>
      </c>
      <c r="X136" s="80">
        <v>34.97</v>
      </c>
      <c r="Y136" s="8"/>
      <c r="Z136" s="6">
        <f t="shared" si="27"/>
        <v>31.53</v>
      </c>
      <c r="AA136" s="78">
        <v>23.46</v>
      </c>
      <c r="AB136" s="80">
        <v>11.78</v>
      </c>
      <c r="AC136" s="19"/>
      <c r="AD136" s="6">
        <f t="shared" si="28"/>
        <v>64.759999999999991</v>
      </c>
      <c r="AE136" s="78">
        <v>15.08</v>
      </c>
      <c r="AF136" s="80">
        <v>5.41</v>
      </c>
      <c r="AG136" s="19"/>
      <c r="AH136" s="6">
        <f t="shared" si="29"/>
        <v>79.509999999999991</v>
      </c>
      <c r="AI136" s="78">
        <v>5.42</v>
      </c>
      <c r="AJ136" s="80">
        <v>1.54</v>
      </c>
      <c r="AK136" s="80">
        <v>1.73</v>
      </c>
      <c r="AL136" s="6">
        <f t="shared" si="30"/>
        <v>91.31</v>
      </c>
      <c r="AM136" s="78">
        <v>2.72</v>
      </c>
      <c r="AN136" s="19"/>
      <c r="AO136" s="19"/>
      <c r="AP136" s="6">
        <f t="shared" si="31"/>
        <v>97.28</v>
      </c>
      <c r="AQ136" s="78">
        <v>0.54</v>
      </c>
      <c r="AR136" s="80">
        <v>0.32</v>
      </c>
      <c r="AS136" s="80">
        <v>71</v>
      </c>
      <c r="AT136" s="6">
        <f t="shared" si="32"/>
        <v>28.14</v>
      </c>
    </row>
    <row r="137" spans="1:46">
      <c r="A137" s="4">
        <v>45951</v>
      </c>
      <c r="B137" s="129"/>
      <c r="C137" s="7"/>
      <c r="D137" s="7"/>
      <c r="E137" s="7"/>
      <c r="F137" s="6">
        <f t="shared" si="22"/>
        <v>100</v>
      </c>
      <c r="G137" s="8"/>
      <c r="H137" s="8"/>
      <c r="I137" s="8"/>
      <c r="J137" s="6">
        <f t="shared" si="23"/>
        <v>100</v>
      </c>
      <c r="K137" s="19"/>
      <c r="L137" s="19"/>
      <c r="M137" s="19"/>
      <c r="N137" s="6">
        <f t="shared" si="24"/>
        <v>100</v>
      </c>
      <c r="O137" s="19"/>
      <c r="P137" s="19"/>
      <c r="Q137" s="19"/>
      <c r="R137" s="6">
        <f t="shared" si="25"/>
        <v>100</v>
      </c>
      <c r="S137" s="8"/>
      <c r="T137" s="8"/>
      <c r="U137" s="8"/>
      <c r="V137" s="6">
        <f t="shared" si="26"/>
        <v>100</v>
      </c>
      <c r="W137" s="8"/>
      <c r="X137" s="8"/>
      <c r="Y137" s="8"/>
      <c r="Z137" s="6">
        <f t="shared" si="27"/>
        <v>100</v>
      </c>
      <c r="AA137" s="19"/>
      <c r="AB137" s="19"/>
      <c r="AC137" s="19"/>
      <c r="AD137" s="6">
        <f t="shared" si="28"/>
        <v>100</v>
      </c>
      <c r="AE137" s="19"/>
      <c r="AF137" s="19"/>
      <c r="AG137" s="19"/>
      <c r="AH137" s="6">
        <f t="shared" si="29"/>
        <v>100</v>
      </c>
      <c r="AI137" s="19"/>
      <c r="AJ137" s="19"/>
      <c r="AK137" s="19"/>
      <c r="AL137" s="6">
        <f t="shared" si="30"/>
        <v>100</v>
      </c>
      <c r="AM137" s="19"/>
      <c r="AN137" s="19"/>
      <c r="AO137" s="19"/>
      <c r="AP137" s="6">
        <f t="shared" si="31"/>
        <v>100</v>
      </c>
      <c r="AQ137" s="19"/>
      <c r="AR137" s="19"/>
      <c r="AS137" s="19"/>
      <c r="AT137" s="6">
        <f t="shared" si="32"/>
        <v>100</v>
      </c>
    </row>
    <row r="138" spans="1:46">
      <c r="A138" s="4">
        <v>45952</v>
      </c>
      <c r="B138" s="129"/>
      <c r="C138" s="7"/>
      <c r="D138" s="7"/>
      <c r="E138" s="7"/>
      <c r="F138" s="6">
        <f t="shared" si="22"/>
        <v>100</v>
      </c>
      <c r="G138" s="8"/>
      <c r="H138" s="8"/>
      <c r="I138" s="8"/>
      <c r="J138" s="6">
        <f t="shared" si="23"/>
        <v>100</v>
      </c>
      <c r="K138" s="19"/>
      <c r="L138" s="19"/>
      <c r="M138" s="19"/>
      <c r="N138" s="6">
        <f t="shared" si="24"/>
        <v>100</v>
      </c>
      <c r="O138" s="19"/>
      <c r="P138" s="19"/>
      <c r="Q138" s="19"/>
      <c r="R138" s="6">
        <f t="shared" si="25"/>
        <v>100</v>
      </c>
      <c r="S138" s="8"/>
      <c r="T138" s="8"/>
      <c r="U138" s="8"/>
      <c r="V138" s="6">
        <f t="shared" si="26"/>
        <v>100</v>
      </c>
      <c r="W138" s="8"/>
      <c r="X138" s="8"/>
      <c r="Y138" s="8"/>
      <c r="Z138" s="6">
        <f t="shared" si="27"/>
        <v>100</v>
      </c>
      <c r="AA138" s="19"/>
      <c r="AB138" s="19"/>
      <c r="AC138" s="19"/>
      <c r="AD138" s="6">
        <f t="shared" si="28"/>
        <v>100</v>
      </c>
      <c r="AE138" s="19"/>
      <c r="AF138" s="19"/>
      <c r="AG138" s="19"/>
      <c r="AH138" s="6">
        <f t="shared" si="29"/>
        <v>100</v>
      </c>
      <c r="AI138" s="19"/>
      <c r="AJ138" s="19"/>
      <c r="AK138" s="19"/>
      <c r="AL138" s="6">
        <f t="shared" si="30"/>
        <v>100</v>
      </c>
      <c r="AM138" s="19"/>
      <c r="AN138" s="19"/>
      <c r="AO138" s="19"/>
      <c r="AP138" s="6">
        <f t="shared" si="31"/>
        <v>100</v>
      </c>
      <c r="AQ138" s="19"/>
      <c r="AR138" s="19"/>
      <c r="AS138" s="19"/>
      <c r="AT138" s="6">
        <f t="shared" si="32"/>
        <v>100</v>
      </c>
    </row>
    <row r="139" spans="1:46">
      <c r="A139" s="4">
        <v>45953</v>
      </c>
      <c r="B139" s="129"/>
      <c r="C139" s="78">
        <v>28.88</v>
      </c>
      <c r="D139" s="80">
        <v>18.739999999999998</v>
      </c>
      <c r="E139" s="80">
        <v>32.54</v>
      </c>
      <c r="F139" s="6">
        <f t="shared" ref="F139:F202" si="33">100-SUM(C139:E139)</f>
        <v>19.840000000000003</v>
      </c>
      <c r="G139" s="78">
        <v>10.42</v>
      </c>
      <c r="H139" s="80">
        <v>9.8000000000000007</v>
      </c>
      <c r="I139" s="80">
        <v>51.66</v>
      </c>
      <c r="J139" s="6">
        <f t="shared" ref="J139:J202" si="34">100-SUM(G139:I139)</f>
        <v>28.120000000000005</v>
      </c>
      <c r="K139" s="78">
        <v>16.34</v>
      </c>
      <c r="L139" s="80">
        <v>12.42</v>
      </c>
      <c r="M139" s="80">
        <v>43.72</v>
      </c>
      <c r="N139" s="6">
        <f t="shared" ref="N139:N202" si="35">100-SUM(K139:M139)</f>
        <v>27.52000000000001</v>
      </c>
      <c r="O139" s="78">
        <v>0.77</v>
      </c>
      <c r="P139" s="80">
        <v>0.48</v>
      </c>
      <c r="Q139" s="80">
        <v>69</v>
      </c>
      <c r="R139" s="6">
        <f t="shared" ref="R139:R202" si="36">100-SUM(O139:Q139)</f>
        <v>29.75</v>
      </c>
      <c r="S139" s="78">
        <v>36.44</v>
      </c>
      <c r="T139" s="80">
        <v>39.68</v>
      </c>
      <c r="U139" s="8"/>
      <c r="V139" s="6">
        <f t="shared" ref="V139:V202" si="37">100-SUM(S139:U139)</f>
        <v>23.879999999999995</v>
      </c>
      <c r="W139" s="78">
        <v>33.82</v>
      </c>
      <c r="X139" s="80">
        <v>34.840000000000003</v>
      </c>
      <c r="Y139" s="8"/>
      <c r="Z139" s="6">
        <f t="shared" ref="Z139:Z202" si="38">100-SUM(W139:Y139)</f>
        <v>31.340000000000003</v>
      </c>
      <c r="AA139" s="78">
        <v>23.62</v>
      </c>
      <c r="AB139" s="80">
        <v>11.92</v>
      </c>
      <c r="AC139" s="19"/>
      <c r="AD139" s="6">
        <f t="shared" ref="AD139:AD202" si="39">100-SUM(AA139:AC139)</f>
        <v>64.460000000000008</v>
      </c>
      <c r="AE139" s="78">
        <v>15.2</v>
      </c>
      <c r="AF139" s="80">
        <v>5.6</v>
      </c>
      <c r="AG139" s="19"/>
      <c r="AH139" s="6">
        <f t="shared" ref="AH139:AH202" si="40">100-SUM(AE139:AG139)</f>
        <v>79.2</v>
      </c>
      <c r="AI139" s="78">
        <v>5.56</v>
      </c>
      <c r="AJ139" s="80">
        <v>1.58</v>
      </c>
      <c r="AK139" s="80">
        <v>1.7</v>
      </c>
      <c r="AL139" s="6">
        <f t="shared" ref="AL139:AL202" si="41">100-SUM(AI139:AK139)</f>
        <v>91.16</v>
      </c>
      <c r="AM139" s="78">
        <v>2.7</v>
      </c>
      <c r="AN139" s="19"/>
      <c r="AO139" s="19"/>
      <c r="AP139" s="6">
        <f t="shared" ref="AP139:AP202" si="42">100-SUM(AM139:AO139)</f>
        <v>97.3</v>
      </c>
      <c r="AQ139" s="78">
        <v>0.6</v>
      </c>
      <c r="AR139" s="80">
        <v>0.36</v>
      </c>
      <c r="AS139" s="80">
        <v>72</v>
      </c>
      <c r="AT139" s="6">
        <f t="shared" ref="AT139:AT202" si="43">100-SUM(AQ139:AS139)</f>
        <v>27.040000000000006</v>
      </c>
    </row>
    <row r="140" spans="1:46">
      <c r="A140" s="4">
        <v>45954</v>
      </c>
      <c r="B140" s="129"/>
      <c r="C140" s="78">
        <v>28.65</v>
      </c>
      <c r="D140" s="80">
        <v>18.579999999999998</v>
      </c>
      <c r="E140" s="80">
        <v>32.340000000000003</v>
      </c>
      <c r="F140" s="6">
        <f t="shared" si="33"/>
        <v>20.430000000000007</v>
      </c>
      <c r="G140" s="8"/>
      <c r="H140" s="8"/>
      <c r="I140" s="8"/>
      <c r="J140" s="6">
        <f t="shared" si="34"/>
        <v>100</v>
      </c>
      <c r="K140" s="19"/>
      <c r="L140" s="19"/>
      <c r="M140" s="19"/>
      <c r="N140" s="6">
        <f t="shared" si="35"/>
        <v>100</v>
      </c>
      <c r="O140" s="19"/>
      <c r="P140" s="19"/>
      <c r="Q140" s="19"/>
      <c r="R140" s="6">
        <f t="shared" si="36"/>
        <v>100</v>
      </c>
      <c r="S140" s="8"/>
      <c r="T140" s="8"/>
      <c r="U140" s="8"/>
      <c r="V140" s="6">
        <f t="shared" si="37"/>
        <v>100</v>
      </c>
      <c r="W140" s="8"/>
      <c r="X140" s="8"/>
      <c r="Y140" s="8"/>
      <c r="Z140" s="6">
        <f t="shared" si="38"/>
        <v>100</v>
      </c>
      <c r="AA140" s="19"/>
      <c r="AB140" s="19"/>
      <c r="AC140" s="19"/>
      <c r="AD140" s="6">
        <f t="shared" si="39"/>
        <v>100</v>
      </c>
      <c r="AE140" s="19"/>
      <c r="AF140" s="19"/>
      <c r="AG140" s="19"/>
      <c r="AH140" s="6">
        <f t="shared" si="40"/>
        <v>100</v>
      </c>
      <c r="AI140" s="19"/>
      <c r="AJ140" s="19"/>
      <c r="AK140" s="19"/>
      <c r="AL140" s="6">
        <f t="shared" si="41"/>
        <v>100</v>
      </c>
      <c r="AM140" s="19"/>
      <c r="AN140" s="19"/>
      <c r="AO140" s="19"/>
      <c r="AP140" s="6">
        <f t="shared" si="42"/>
        <v>100</v>
      </c>
      <c r="AQ140" s="19"/>
      <c r="AR140" s="19"/>
      <c r="AS140" s="19"/>
      <c r="AT140" s="6">
        <f t="shared" si="43"/>
        <v>100</v>
      </c>
    </row>
    <row r="141" spans="1:46">
      <c r="A141" s="4">
        <v>45955</v>
      </c>
      <c r="B141" s="129"/>
      <c r="C141" s="7"/>
      <c r="D141" s="7"/>
      <c r="E141" s="7"/>
      <c r="F141" s="6">
        <f t="shared" si="33"/>
        <v>100</v>
      </c>
      <c r="G141" s="8"/>
      <c r="H141" s="8"/>
      <c r="I141" s="8"/>
      <c r="J141" s="6">
        <f t="shared" si="34"/>
        <v>100</v>
      </c>
      <c r="K141" s="19"/>
      <c r="L141" s="19"/>
      <c r="M141" s="19"/>
      <c r="N141" s="6">
        <f t="shared" si="35"/>
        <v>100</v>
      </c>
      <c r="O141" s="19"/>
      <c r="P141" s="19"/>
      <c r="Q141" s="19"/>
      <c r="R141" s="6">
        <f t="shared" si="36"/>
        <v>100</v>
      </c>
      <c r="S141" s="8"/>
      <c r="T141" s="8"/>
      <c r="U141" s="8"/>
      <c r="V141" s="6">
        <f t="shared" si="37"/>
        <v>100</v>
      </c>
      <c r="W141" s="8"/>
      <c r="X141" s="8"/>
      <c r="Y141" s="8"/>
      <c r="Z141" s="6">
        <f t="shared" si="38"/>
        <v>100</v>
      </c>
      <c r="AA141" s="19"/>
      <c r="AB141" s="19"/>
      <c r="AC141" s="19"/>
      <c r="AD141" s="6">
        <f t="shared" si="39"/>
        <v>100</v>
      </c>
      <c r="AE141" s="19"/>
      <c r="AF141" s="19"/>
      <c r="AG141" s="19"/>
      <c r="AH141" s="6">
        <f t="shared" si="40"/>
        <v>100</v>
      </c>
      <c r="AI141" s="19"/>
      <c r="AJ141" s="19"/>
      <c r="AK141" s="19"/>
      <c r="AL141" s="6">
        <f t="shared" si="41"/>
        <v>100</v>
      </c>
      <c r="AM141" s="19"/>
      <c r="AN141" s="19"/>
      <c r="AO141" s="19"/>
      <c r="AP141" s="6">
        <f t="shared" si="42"/>
        <v>100</v>
      </c>
      <c r="AQ141" s="19"/>
      <c r="AR141" s="19"/>
      <c r="AS141" s="19"/>
      <c r="AT141" s="6">
        <f t="shared" si="43"/>
        <v>100</v>
      </c>
    </row>
    <row r="142" spans="1:46">
      <c r="A142" s="4">
        <v>45956</v>
      </c>
      <c r="B142" s="129"/>
      <c r="C142" s="7"/>
      <c r="D142" s="7"/>
      <c r="E142" s="7"/>
      <c r="F142" s="6">
        <f t="shared" si="33"/>
        <v>100</v>
      </c>
      <c r="G142" s="8"/>
      <c r="H142" s="8"/>
      <c r="I142" s="8"/>
      <c r="J142" s="6">
        <f t="shared" si="34"/>
        <v>100</v>
      </c>
      <c r="K142" s="19"/>
      <c r="L142" s="19"/>
      <c r="M142" s="19"/>
      <c r="N142" s="6">
        <f t="shared" si="35"/>
        <v>100</v>
      </c>
      <c r="O142" s="19"/>
      <c r="P142" s="19"/>
      <c r="Q142" s="19"/>
      <c r="R142" s="6">
        <f t="shared" si="36"/>
        <v>100</v>
      </c>
      <c r="S142" s="8"/>
      <c r="T142" s="8"/>
      <c r="U142" s="8"/>
      <c r="V142" s="6">
        <f t="shared" si="37"/>
        <v>100</v>
      </c>
      <c r="W142" s="8"/>
      <c r="X142" s="8"/>
      <c r="Y142" s="8"/>
      <c r="Z142" s="6">
        <f t="shared" si="38"/>
        <v>100</v>
      </c>
      <c r="AA142" s="19"/>
      <c r="AB142" s="19"/>
      <c r="AC142" s="19"/>
      <c r="AD142" s="6">
        <f t="shared" si="39"/>
        <v>100</v>
      </c>
      <c r="AE142" s="19"/>
      <c r="AF142" s="19"/>
      <c r="AG142" s="19"/>
      <c r="AH142" s="6">
        <f t="shared" si="40"/>
        <v>100</v>
      </c>
      <c r="AI142" s="19"/>
      <c r="AJ142" s="19"/>
      <c r="AK142" s="19"/>
      <c r="AL142" s="6">
        <f t="shared" si="41"/>
        <v>100</v>
      </c>
      <c r="AM142" s="19"/>
      <c r="AN142" s="19"/>
      <c r="AO142" s="19"/>
      <c r="AP142" s="6">
        <f t="shared" si="42"/>
        <v>100</v>
      </c>
      <c r="AQ142" s="19"/>
      <c r="AR142" s="19"/>
      <c r="AS142" s="19"/>
      <c r="AT142" s="6">
        <f t="shared" si="43"/>
        <v>100</v>
      </c>
    </row>
    <row r="143" spans="1:46">
      <c r="A143" s="4">
        <v>45957</v>
      </c>
      <c r="B143" s="129"/>
      <c r="C143" s="7"/>
      <c r="D143" s="7"/>
      <c r="E143" s="7"/>
      <c r="F143" s="6">
        <f t="shared" si="33"/>
        <v>100</v>
      </c>
      <c r="G143" s="8"/>
      <c r="H143" s="8"/>
      <c r="I143" s="8"/>
      <c r="J143" s="6">
        <f t="shared" si="34"/>
        <v>100</v>
      </c>
      <c r="K143" s="19"/>
      <c r="L143" s="19"/>
      <c r="M143" s="19"/>
      <c r="N143" s="6">
        <f t="shared" si="35"/>
        <v>100</v>
      </c>
      <c r="O143" s="19"/>
      <c r="P143" s="19"/>
      <c r="Q143" s="19"/>
      <c r="R143" s="6">
        <f t="shared" si="36"/>
        <v>100</v>
      </c>
      <c r="S143" s="8"/>
      <c r="T143" s="8"/>
      <c r="U143" s="8"/>
      <c r="V143" s="6">
        <f t="shared" si="37"/>
        <v>100</v>
      </c>
      <c r="W143" s="8"/>
      <c r="X143" s="8"/>
      <c r="Y143" s="8"/>
      <c r="Z143" s="6">
        <f t="shared" si="38"/>
        <v>100</v>
      </c>
      <c r="AA143" s="19"/>
      <c r="AB143" s="19"/>
      <c r="AC143" s="19"/>
      <c r="AD143" s="6">
        <f t="shared" si="39"/>
        <v>100</v>
      </c>
      <c r="AE143" s="19"/>
      <c r="AF143" s="19"/>
      <c r="AG143" s="19"/>
      <c r="AH143" s="6">
        <f t="shared" si="40"/>
        <v>100</v>
      </c>
      <c r="AI143" s="19"/>
      <c r="AJ143" s="19"/>
      <c r="AK143" s="19"/>
      <c r="AL143" s="6">
        <f t="shared" si="41"/>
        <v>100</v>
      </c>
      <c r="AM143" s="19"/>
      <c r="AN143" s="19"/>
      <c r="AO143" s="19"/>
      <c r="AP143" s="6">
        <f t="shared" si="42"/>
        <v>100</v>
      </c>
      <c r="AQ143" s="19"/>
      <c r="AR143" s="19"/>
      <c r="AS143" s="19"/>
      <c r="AT143" s="6">
        <f t="shared" si="43"/>
        <v>100</v>
      </c>
    </row>
    <row r="144" spans="1:46">
      <c r="A144" s="4">
        <v>45958</v>
      </c>
      <c r="B144" s="129"/>
      <c r="C144" s="7">
        <v>29.94</v>
      </c>
      <c r="D144" s="7">
        <v>18.260000000000002</v>
      </c>
      <c r="E144" s="7">
        <v>32.1</v>
      </c>
      <c r="F144" s="6">
        <f t="shared" si="33"/>
        <v>19.699999999999989</v>
      </c>
      <c r="G144" s="8"/>
      <c r="H144" s="8"/>
      <c r="I144" s="8"/>
      <c r="J144" s="6">
        <f t="shared" si="34"/>
        <v>100</v>
      </c>
      <c r="K144" s="19"/>
      <c r="L144" s="19"/>
      <c r="M144" s="19"/>
      <c r="N144" s="6">
        <f t="shared" si="35"/>
        <v>100</v>
      </c>
      <c r="O144" s="19"/>
      <c r="P144" s="19"/>
      <c r="Q144" s="19"/>
      <c r="R144" s="6">
        <f t="shared" si="36"/>
        <v>100</v>
      </c>
      <c r="S144" s="8"/>
      <c r="T144" s="8"/>
      <c r="U144" s="8"/>
      <c r="V144" s="6">
        <f t="shared" si="37"/>
        <v>100</v>
      </c>
      <c r="W144" s="8"/>
      <c r="X144" s="8"/>
      <c r="Y144" s="8"/>
      <c r="Z144" s="6">
        <f t="shared" si="38"/>
        <v>100</v>
      </c>
      <c r="AA144" s="19"/>
      <c r="AB144" s="19"/>
      <c r="AC144" s="19"/>
      <c r="AD144" s="6">
        <f t="shared" si="39"/>
        <v>100</v>
      </c>
      <c r="AE144" s="19"/>
      <c r="AF144" s="19"/>
      <c r="AG144" s="19"/>
      <c r="AH144" s="6">
        <f t="shared" si="40"/>
        <v>100</v>
      </c>
      <c r="AI144" s="19"/>
      <c r="AJ144" s="19"/>
      <c r="AK144" s="19"/>
      <c r="AL144" s="6">
        <f t="shared" si="41"/>
        <v>100</v>
      </c>
      <c r="AM144" s="19"/>
      <c r="AN144" s="19"/>
      <c r="AO144" s="19"/>
      <c r="AP144" s="6">
        <f t="shared" si="42"/>
        <v>100</v>
      </c>
      <c r="AQ144" s="19"/>
      <c r="AR144" s="19"/>
      <c r="AS144" s="19"/>
      <c r="AT144" s="6">
        <f t="shared" si="43"/>
        <v>100</v>
      </c>
    </row>
    <row r="145" spans="1:46">
      <c r="A145" s="4">
        <v>45959</v>
      </c>
      <c r="B145" s="129"/>
      <c r="C145" s="7"/>
      <c r="D145" s="7"/>
      <c r="E145" s="7"/>
      <c r="F145" s="6">
        <f t="shared" si="33"/>
        <v>100</v>
      </c>
      <c r="G145" s="8"/>
      <c r="H145" s="8"/>
      <c r="I145" s="8"/>
      <c r="J145" s="6">
        <f t="shared" si="34"/>
        <v>100</v>
      </c>
      <c r="K145" s="19"/>
      <c r="L145" s="19"/>
      <c r="M145" s="19"/>
      <c r="N145" s="6">
        <f t="shared" si="35"/>
        <v>100</v>
      </c>
      <c r="O145" s="19"/>
      <c r="P145" s="19"/>
      <c r="Q145" s="19"/>
      <c r="R145" s="6">
        <f t="shared" si="36"/>
        <v>100</v>
      </c>
      <c r="S145" s="8"/>
      <c r="T145" s="8"/>
      <c r="U145" s="8"/>
      <c r="V145" s="6">
        <f t="shared" si="37"/>
        <v>100</v>
      </c>
      <c r="W145" s="8"/>
      <c r="X145" s="8"/>
      <c r="Y145" s="8"/>
      <c r="Z145" s="6">
        <f t="shared" si="38"/>
        <v>100</v>
      </c>
      <c r="AA145" s="19"/>
      <c r="AB145" s="19"/>
      <c r="AC145" s="19"/>
      <c r="AD145" s="6">
        <f t="shared" si="39"/>
        <v>100</v>
      </c>
      <c r="AE145" s="19"/>
      <c r="AF145" s="19"/>
      <c r="AG145" s="19"/>
      <c r="AH145" s="6">
        <f t="shared" si="40"/>
        <v>100</v>
      </c>
      <c r="AI145" s="19"/>
      <c r="AJ145" s="19"/>
      <c r="AK145" s="19"/>
      <c r="AL145" s="6">
        <f t="shared" si="41"/>
        <v>100</v>
      </c>
      <c r="AM145" s="19"/>
      <c r="AN145" s="19"/>
      <c r="AO145" s="19"/>
      <c r="AP145" s="6">
        <f t="shared" si="42"/>
        <v>100</v>
      </c>
      <c r="AQ145" s="19"/>
      <c r="AR145" s="19"/>
      <c r="AS145" s="19"/>
      <c r="AT145" s="6">
        <f t="shared" si="43"/>
        <v>100</v>
      </c>
    </row>
    <row r="146" spans="1:46" customFormat="1">
      <c r="A146" s="4">
        <v>45960</v>
      </c>
      <c r="B146" s="129">
        <v>107</v>
      </c>
      <c r="C146" s="75">
        <v>30.01</v>
      </c>
      <c r="D146" s="76">
        <v>18.21</v>
      </c>
      <c r="E146" s="76">
        <v>32.020000000000003</v>
      </c>
      <c r="F146" s="6">
        <f t="shared" si="33"/>
        <v>19.759999999999991</v>
      </c>
      <c r="G146" s="75">
        <v>10.14</v>
      </c>
      <c r="H146" s="76">
        <v>9.1</v>
      </c>
      <c r="I146" s="76">
        <v>50.1</v>
      </c>
      <c r="J146" s="6">
        <f t="shared" si="34"/>
        <v>30.659999999999997</v>
      </c>
      <c r="K146" s="75">
        <v>16.82</v>
      </c>
      <c r="L146" s="76">
        <v>11.81</v>
      </c>
      <c r="M146" s="76">
        <v>40.86</v>
      </c>
      <c r="N146" s="6">
        <f t="shared" si="35"/>
        <v>30.509999999999991</v>
      </c>
      <c r="O146" s="75">
        <v>0.71</v>
      </c>
      <c r="P146" s="76">
        <v>0.34</v>
      </c>
      <c r="Q146" s="76">
        <v>70</v>
      </c>
      <c r="R146" s="6">
        <f t="shared" si="36"/>
        <v>28.950000000000003</v>
      </c>
      <c r="S146" s="8"/>
      <c r="T146" s="8"/>
      <c r="U146" s="8"/>
      <c r="V146" s="6">
        <f t="shared" si="37"/>
        <v>100</v>
      </c>
      <c r="W146" s="75">
        <v>32.26</v>
      </c>
      <c r="X146" s="76">
        <v>32.97</v>
      </c>
      <c r="Y146" s="8"/>
      <c r="Z146" s="6">
        <f t="shared" si="38"/>
        <v>34.77000000000001</v>
      </c>
      <c r="AA146" s="75">
        <v>23.85</v>
      </c>
      <c r="AB146" s="76">
        <v>10.37</v>
      </c>
      <c r="AC146" s="19"/>
      <c r="AD146" s="6">
        <f t="shared" si="39"/>
        <v>65.78</v>
      </c>
      <c r="AE146" s="75">
        <v>17.16</v>
      </c>
      <c r="AF146" s="76">
        <v>3.92</v>
      </c>
      <c r="AG146" s="19"/>
      <c r="AH146" s="6">
        <f t="shared" si="40"/>
        <v>78.92</v>
      </c>
      <c r="AI146" s="75">
        <v>5.13</v>
      </c>
      <c r="AJ146" s="76">
        <v>1.91</v>
      </c>
      <c r="AK146" s="76">
        <v>1.68</v>
      </c>
      <c r="AL146" s="6">
        <f t="shared" si="41"/>
        <v>91.28</v>
      </c>
      <c r="AM146" s="75">
        <v>2.72</v>
      </c>
      <c r="AN146" s="19"/>
      <c r="AO146" s="19"/>
      <c r="AP146" s="6">
        <f t="shared" si="42"/>
        <v>97.28</v>
      </c>
      <c r="AQ146" s="75">
        <v>0.51</v>
      </c>
      <c r="AR146" s="76">
        <v>0.21</v>
      </c>
      <c r="AS146" s="76">
        <v>72</v>
      </c>
      <c r="AT146" s="6">
        <f t="shared" si="43"/>
        <v>27.28</v>
      </c>
    </row>
    <row r="147" spans="1:46">
      <c r="A147" s="4">
        <v>45961</v>
      </c>
      <c r="B147" s="129"/>
      <c r="C147" s="78">
        <v>30.07</v>
      </c>
      <c r="D147" s="80">
        <v>18.100000000000001</v>
      </c>
      <c r="E147" s="80">
        <v>32.26</v>
      </c>
      <c r="F147" s="6">
        <f t="shared" si="33"/>
        <v>19.569999999999993</v>
      </c>
      <c r="G147" s="8"/>
      <c r="H147" s="8"/>
      <c r="I147" s="8"/>
      <c r="J147" s="6">
        <f t="shared" si="34"/>
        <v>100</v>
      </c>
      <c r="K147" s="19"/>
      <c r="L147" s="19"/>
      <c r="M147" s="19"/>
      <c r="N147" s="6">
        <f t="shared" si="35"/>
        <v>100</v>
      </c>
      <c r="O147" s="19"/>
      <c r="P147" s="19"/>
      <c r="Q147" s="19"/>
      <c r="R147" s="6">
        <f t="shared" si="36"/>
        <v>100</v>
      </c>
      <c r="S147" s="8"/>
      <c r="T147" s="8"/>
      <c r="U147" s="8"/>
      <c r="V147" s="6">
        <f t="shared" si="37"/>
        <v>100</v>
      </c>
      <c r="W147" s="8"/>
      <c r="X147" s="8"/>
      <c r="Y147" s="8"/>
      <c r="Z147" s="6">
        <f t="shared" si="38"/>
        <v>100</v>
      </c>
      <c r="AA147" s="19"/>
      <c r="AB147" s="19"/>
      <c r="AC147" s="19"/>
      <c r="AD147" s="6">
        <f t="shared" si="39"/>
        <v>100</v>
      </c>
      <c r="AE147" s="19"/>
      <c r="AF147" s="19"/>
      <c r="AG147" s="19"/>
      <c r="AH147" s="6">
        <f t="shared" si="40"/>
        <v>100</v>
      </c>
      <c r="AI147" s="19"/>
      <c r="AJ147" s="19"/>
      <c r="AK147" s="19"/>
      <c r="AL147" s="6">
        <f t="shared" si="41"/>
        <v>100</v>
      </c>
      <c r="AM147" s="19"/>
      <c r="AN147" s="19"/>
      <c r="AO147" s="19"/>
      <c r="AP147" s="6">
        <f t="shared" si="42"/>
        <v>100</v>
      </c>
      <c r="AQ147" s="19"/>
      <c r="AR147" s="19"/>
      <c r="AS147" s="19"/>
      <c r="AT147" s="6">
        <f t="shared" si="43"/>
        <v>100</v>
      </c>
    </row>
    <row r="148" spans="1:46">
      <c r="A148" s="4">
        <v>45962</v>
      </c>
      <c r="B148" s="129"/>
      <c r="C148" s="78">
        <v>29.53</v>
      </c>
      <c r="D148" s="80">
        <v>18.37</v>
      </c>
      <c r="E148" s="80">
        <v>32.14</v>
      </c>
      <c r="F148" s="6">
        <f t="shared" si="33"/>
        <v>19.959999999999994</v>
      </c>
      <c r="G148" s="8"/>
      <c r="H148" s="8"/>
      <c r="I148" s="8"/>
      <c r="J148" s="6">
        <f t="shared" si="34"/>
        <v>100</v>
      </c>
      <c r="K148" s="19"/>
      <c r="L148" s="19"/>
      <c r="M148" s="19"/>
      <c r="N148" s="6">
        <f t="shared" si="35"/>
        <v>100</v>
      </c>
      <c r="O148" s="19"/>
      <c r="P148" s="19"/>
      <c r="Q148" s="19"/>
      <c r="R148" s="6">
        <f t="shared" si="36"/>
        <v>100</v>
      </c>
      <c r="S148" s="8"/>
      <c r="T148" s="8"/>
      <c r="U148" s="8"/>
      <c r="V148" s="6">
        <f t="shared" si="37"/>
        <v>100</v>
      </c>
      <c r="W148" s="8"/>
      <c r="X148" s="8"/>
      <c r="Y148" s="8"/>
      <c r="Z148" s="6">
        <f t="shared" si="38"/>
        <v>100</v>
      </c>
      <c r="AA148" s="19"/>
      <c r="AB148" s="19"/>
      <c r="AC148" s="19"/>
      <c r="AD148" s="6">
        <f t="shared" si="39"/>
        <v>100</v>
      </c>
      <c r="AE148" s="19"/>
      <c r="AF148" s="19"/>
      <c r="AG148" s="19"/>
      <c r="AH148" s="6">
        <f t="shared" si="40"/>
        <v>100</v>
      </c>
      <c r="AI148" s="19"/>
      <c r="AJ148" s="19"/>
      <c r="AK148" s="19"/>
      <c r="AL148" s="6">
        <f t="shared" si="41"/>
        <v>100</v>
      </c>
      <c r="AM148" s="19"/>
      <c r="AN148" s="19"/>
      <c r="AO148" s="19"/>
      <c r="AP148" s="6">
        <f t="shared" si="42"/>
        <v>100</v>
      </c>
      <c r="AQ148" s="19"/>
      <c r="AR148" s="19"/>
      <c r="AS148" s="19"/>
      <c r="AT148" s="6">
        <f t="shared" si="43"/>
        <v>100</v>
      </c>
    </row>
    <row r="149" spans="1:46">
      <c r="A149" s="4">
        <v>45963</v>
      </c>
      <c r="B149" s="129"/>
      <c r="C149" s="78"/>
      <c r="D149" s="80"/>
      <c r="E149" s="80"/>
      <c r="F149" s="6">
        <f t="shared" si="33"/>
        <v>100</v>
      </c>
      <c r="G149" s="8"/>
      <c r="H149" s="8"/>
      <c r="I149" s="8"/>
      <c r="J149" s="6">
        <f t="shared" si="34"/>
        <v>100</v>
      </c>
      <c r="K149" s="19"/>
      <c r="L149" s="19"/>
      <c r="M149" s="19"/>
      <c r="N149" s="6">
        <f t="shared" si="35"/>
        <v>100</v>
      </c>
      <c r="O149" s="19"/>
      <c r="P149" s="19"/>
      <c r="Q149" s="19"/>
      <c r="R149" s="6">
        <f t="shared" si="36"/>
        <v>100</v>
      </c>
      <c r="S149" s="8"/>
      <c r="T149" s="8"/>
      <c r="U149" s="8"/>
      <c r="V149" s="6">
        <f t="shared" si="37"/>
        <v>100</v>
      </c>
      <c r="W149" s="8"/>
      <c r="X149" s="8"/>
      <c r="Y149" s="8"/>
      <c r="Z149" s="6">
        <f t="shared" si="38"/>
        <v>100</v>
      </c>
      <c r="AA149" s="19"/>
      <c r="AB149" s="19"/>
      <c r="AC149" s="19"/>
      <c r="AD149" s="6">
        <f t="shared" si="39"/>
        <v>100</v>
      </c>
      <c r="AE149" s="19"/>
      <c r="AF149" s="19"/>
      <c r="AG149" s="19"/>
      <c r="AH149" s="6">
        <f t="shared" si="40"/>
        <v>100</v>
      </c>
      <c r="AI149" s="19"/>
      <c r="AJ149" s="19"/>
      <c r="AK149" s="19"/>
      <c r="AL149" s="6">
        <f t="shared" si="41"/>
        <v>100</v>
      </c>
      <c r="AM149" s="19"/>
      <c r="AN149" s="19"/>
      <c r="AO149" s="19"/>
      <c r="AP149" s="6">
        <f t="shared" si="42"/>
        <v>100</v>
      </c>
      <c r="AQ149" s="19"/>
      <c r="AR149" s="19"/>
      <c r="AS149" s="19"/>
      <c r="AT149" s="6">
        <f t="shared" si="43"/>
        <v>100</v>
      </c>
    </row>
    <row r="150" spans="1:46">
      <c r="A150" s="4">
        <v>45964</v>
      </c>
      <c r="B150" s="129"/>
      <c r="C150" s="78">
        <v>29.31</v>
      </c>
      <c r="D150" s="80">
        <v>18.55</v>
      </c>
      <c r="E150" s="80">
        <v>31.96</v>
      </c>
      <c r="F150" s="6">
        <f t="shared" si="33"/>
        <v>20.180000000000007</v>
      </c>
      <c r="G150" s="78">
        <v>10.64</v>
      </c>
      <c r="H150" s="80">
        <v>9.84</v>
      </c>
      <c r="I150" s="80">
        <v>50.72</v>
      </c>
      <c r="J150" s="6">
        <f t="shared" si="34"/>
        <v>28.799999999999997</v>
      </c>
      <c r="K150" s="78">
        <v>16.940000000000001</v>
      </c>
      <c r="L150" s="80">
        <v>13.2</v>
      </c>
      <c r="M150" s="80">
        <v>40.340000000000003</v>
      </c>
      <c r="N150" s="6">
        <f t="shared" si="35"/>
        <v>29.519999999999996</v>
      </c>
      <c r="O150" s="78">
        <v>0.82</v>
      </c>
      <c r="P150" s="80">
        <v>0.36</v>
      </c>
      <c r="Q150" s="80">
        <v>68</v>
      </c>
      <c r="R150" s="6">
        <f t="shared" si="36"/>
        <v>30.819999999999993</v>
      </c>
      <c r="S150" s="8"/>
      <c r="T150" s="8"/>
      <c r="U150" s="8"/>
      <c r="V150" s="6">
        <f t="shared" si="37"/>
        <v>100</v>
      </c>
      <c r="W150" s="78">
        <v>33.58</v>
      </c>
      <c r="X150" s="80">
        <v>34.15</v>
      </c>
      <c r="Y150" s="230">
        <v>0</v>
      </c>
      <c r="Z150" s="6">
        <f t="shared" si="38"/>
        <v>32.27000000000001</v>
      </c>
      <c r="AA150" s="78">
        <v>23.98</v>
      </c>
      <c r="AB150" s="80">
        <v>11.87</v>
      </c>
      <c r="AC150" s="80">
        <v>0</v>
      </c>
      <c r="AD150" s="6">
        <f t="shared" si="39"/>
        <v>64.150000000000006</v>
      </c>
      <c r="AE150" s="78">
        <v>12.99</v>
      </c>
      <c r="AF150" s="80">
        <v>4.88</v>
      </c>
      <c r="AG150" s="80">
        <v>0</v>
      </c>
      <c r="AH150" s="6">
        <f t="shared" si="40"/>
        <v>82.13</v>
      </c>
      <c r="AI150" s="78">
        <v>5.41</v>
      </c>
      <c r="AJ150" s="80">
        <v>1.62</v>
      </c>
      <c r="AK150" s="80">
        <v>1.92</v>
      </c>
      <c r="AL150" s="6">
        <f t="shared" si="41"/>
        <v>91.05</v>
      </c>
      <c r="AM150" s="78">
        <v>3.06</v>
      </c>
      <c r="AN150" s="19"/>
      <c r="AO150" s="19"/>
      <c r="AP150" s="6">
        <f t="shared" si="42"/>
        <v>96.94</v>
      </c>
      <c r="AQ150" s="78">
        <v>0.46</v>
      </c>
      <c r="AR150" s="80">
        <v>0.19</v>
      </c>
      <c r="AS150" s="80">
        <v>69</v>
      </c>
      <c r="AT150" s="6">
        <f t="shared" si="43"/>
        <v>30.349999999999994</v>
      </c>
    </row>
    <row r="151" spans="1:46">
      <c r="A151" s="4">
        <v>45965</v>
      </c>
      <c r="B151" s="129"/>
      <c r="C151" s="78">
        <v>29.13</v>
      </c>
      <c r="D151" s="80">
        <v>18.27</v>
      </c>
      <c r="E151" s="80">
        <v>31.82</v>
      </c>
      <c r="F151" s="6">
        <f t="shared" si="33"/>
        <v>20.78</v>
      </c>
      <c r="G151" s="8"/>
      <c r="H151" s="8"/>
      <c r="I151" s="8"/>
      <c r="J151" s="6">
        <f t="shared" si="34"/>
        <v>100</v>
      </c>
      <c r="K151" s="19"/>
      <c r="L151" s="19"/>
      <c r="M151" s="19"/>
      <c r="N151" s="6">
        <f t="shared" si="35"/>
        <v>100</v>
      </c>
      <c r="O151" s="19"/>
      <c r="P151" s="19"/>
      <c r="Q151" s="19"/>
      <c r="R151" s="6">
        <f t="shared" si="36"/>
        <v>100</v>
      </c>
      <c r="S151" s="8"/>
      <c r="T151" s="8"/>
      <c r="U151" s="8"/>
      <c r="V151" s="6">
        <f t="shared" si="37"/>
        <v>100</v>
      </c>
      <c r="W151" s="8"/>
      <c r="X151" s="8"/>
      <c r="Y151" s="8"/>
      <c r="Z151" s="6">
        <f t="shared" si="38"/>
        <v>100</v>
      </c>
      <c r="AA151" s="19"/>
      <c r="AB151" s="19"/>
      <c r="AC151" s="19"/>
      <c r="AD151" s="6">
        <f t="shared" si="39"/>
        <v>100</v>
      </c>
      <c r="AE151" s="19"/>
      <c r="AF151" s="19"/>
      <c r="AG151" s="19"/>
      <c r="AH151" s="6">
        <f t="shared" si="40"/>
        <v>100</v>
      </c>
      <c r="AI151" s="19"/>
      <c r="AJ151" s="19"/>
      <c r="AK151" s="19"/>
      <c r="AL151" s="6">
        <f t="shared" si="41"/>
        <v>100</v>
      </c>
      <c r="AM151" s="19"/>
      <c r="AN151" s="19"/>
      <c r="AO151" s="19"/>
      <c r="AP151" s="6">
        <f t="shared" si="42"/>
        <v>100</v>
      </c>
      <c r="AQ151" s="19"/>
      <c r="AR151" s="19"/>
      <c r="AS151" s="19"/>
      <c r="AT151" s="6">
        <f t="shared" si="43"/>
        <v>100</v>
      </c>
    </row>
    <row r="152" spans="1:46">
      <c r="A152" s="4">
        <v>45966</v>
      </c>
      <c r="B152" s="129"/>
      <c r="C152" s="78">
        <v>29.43</v>
      </c>
      <c r="D152" s="80">
        <v>18.39</v>
      </c>
      <c r="E152" s="80">
        <v>31.93</v>
      </c>
      <c r="F152" s="6">
        <f t="shared" si="33"/>
        <v>20.25</v>
      </c>
      <c r="G152" s="8"/>
      <c r="H152" s="8"/>
      <c r="I152" s="8"/>
      <c r="J152" s="6">
        <f t="shared" si="34"/>
        <v>100</v>
      </c>
      <c r="K152" s="19"/>
      <c r="L152" s="19"/>
      <c r="M152" s="19"/>
      <c r="N152" s="6">
        <f t="shared" si="35"/>
        <v>100</v>
      </c>
      <c r="O152" s="19"/>
      <c r="P152" s="19"/>
      <c r="Q152" s="19"/>
      <c r="R152" s="6">
        <f t="shared" si="36"/>
        <v>100</v>
      </c>
      <c r="S152" s="8"/>
      <c r="T152" s="8"/>
      <c r="U152" s="8"/>
      <c r="V152" s="6">
        <f t="shared" si="37"/>
        <v>100</v>
      </c>
      <c r="W152" s="8"/>
      <c r="X152" s="8"/>
      <c r="Y152" s="8"/>
      <c r="Z152" s="6">
        <f t="shared" si="38"/>
        <v>100</v>
      </c>
      <c r="AA152" s="19"/>
      <c r="AB152" s="19"/>
      <c r="AC152" s="19"/>
      <c r="AD152" s="6">
        <f t="shared" si="39"/>
        <v>100</v>
      </c>
      <c r="AE152" s="19"/>
      <c r="AF152" s="19"/>
      <c r="AG152" s="19"/>
      <c r="AH152" s="6">
        <f t="shared" si="40"/>
        <v>100</v>
      </c>
      <c r="AI152" s="19"/>
      <c r="AJ152" s="19"/>
      <c r="AK152" s="19"/>
      <c r="AL152" s="6">
        <f t="shared" si="41"/>
        <v>100</v>
      </c>
      <c r="AM152" s="19"/>
      <c r="AN152" s="19"/>
      <c r="AO152" s="19"/>
      <c r="AP152" s="6">
        <f t="shared" si="42"/>
        <v>100</v>
      </c>
      <c r="AQ152" s="19"/>
      <c r="AR152" s="19"/>
      <c r="AS152" s="19"/>
      <c r="AT152" s="6">
        <f t="shared" si="43"/>
        <v>100</v>
      </c>
    </row>
    <row r="153" spans="1:46">
      <c r="A153" s="4">
        <v>45967</v>
      </c>
      <c r="B153" s="129"/>
      <c r="C153" s="78">
        <v>29.07</v>
      </c>
      <c r="D153" s="80">
        <v>18.39</v>
      </c>
      <c r="E153" s="80">
        <v>31.74</v>
      </c>
      <c r="F153" s="6">
        <f t="shared" si="33"/>
        <v>20.799999999999997</v>
      </c>
      <c r="G153" s="78">
        <v>10.31</v>
      </c>
      <c r="H153" s="80">
        <v>10.119999999999999</v>
      </c>
      <c r="I153" s="80">
        <v>51.11</v>
      </c>
      <c r="J153" s="6">
        <f t="shared" si="34"/>
        <v>28.460000000000008</v>
      </c>
      <c r="K153" s="78">
        <v>17.440000000000001</v>
      </c>
      <c r="L153" s="80">
        <v>14.1</v>
      </c>
      <c r="M153" s="80">
        <v>42.81</v>
      </c>
      <c r="N153" s="6">
        <f t="shared" si="35"/>
        <v>25.650000000000006</v>
      </c>
      <c r="O153" s="78">
        <v>0.85</v>
      </c>
      <c r="P153" s="80">
        <v>0.37</v>
      </c>
      <c r="Q153" s="80">
        <v>67</v>
      </c>
      <c r="R153" s="6">
        <f t="shared" si="36"/>
        <v>31.78</v>
      </c>
      <c r="S153" s="8"/>
      <c r="T153" s="8"/>
      <c r="U153" s="8"/>
      <c r="V153" s="6">
        <f t="shared" si="37"/>
        <v>100</v>
      </c>
      <c r="W153" s="78">
        <v>33.28</v>
      </c>
      <c r="X153" s="80">
        <v>34.92</v>
      </c>
      <c r="Y153" s="8"/>
      <c r="Z153" s="6">
        <f t="shared" si="38"/>
        <v>31.799999999999997</v>
      </c>
      <c r="AA153" s="78">
        <v>23.79</v>
      </c>
      <c r="AB153" s="80">
        <v>11.61</v>
      </c>
      <c r="AC153" s="80">
        <v>0</v>
      </c>
      <c r="AD153" s="6">
        <f t="shared" si="39"/>
        <v>64.599999999999994</v>
      </c>
      <c r="AE153" s="78">
        <v>13.96</v>
      </c>
      <c r="AF153" s="80">
        <v>5.29</v>
      </c>
      <c r="AG153" s="80">
        <v>0</v>
      </c>
      <c r="AH153" s="6">
        <f t="shared" si="40"/>
        <v>80.75</v>
      </c>
      <c r="AI153" s="78">
        <v>5.44</v>
      </c>
      <c r="AJ153" s="80">
        <v>1.67</v>
      </c>
      <c r="AK153" s="80">
        <v>1.84</v>
      </c>
      <c r="AL153" s="6">
        <f t="shared" si="41"/>
        <v>91.05</v>
      </c>
      <c r="AM153" s="78">
        <v>6.12</v>
      </c>
      <c r="AN153" s="19"/>
      <c r="AO153" s="19"/>
      <c r="AP153" s="6">
        <f t="shared" si="42"/>
        <v>93.88</v>
      </c>
      <c r="AQ153" s="78">
        <v>0.48</v>
      </c>
      <c r="AR153" s="80">
        <v>0.22</v>
      </c>
      <c r="AS153" s="80">
        <v>69</v>
      </c>
      <c r="AT153" s="6">
        <f t="shared" si="43"/>
        <v>30.299999999999997</v>
      </c>
    </row>
    <row r="154" spans="1:46">
      <c r="A154" s="4">
        <v>45968</v>
      </c>
      <c r="B154" s="129"/>
      <c r="C154" s="78">
        <v>29.78</v>
      </c>
      <c r="D154" s="80">
        <v>18.809999999999999</v>
      </c>
      <c r="E154" s="80">
        <v>32.29</v>
      </c>
      <c r="F154" s="6">
        <f t="shared" si="33"/>
        <v>19.120000000000005</v>
      </c>
      <c r="G154" s="8"/>
      <c r="H154" s="8"/>
      <c r="I154" s="8"/>
      <c r="J154" s="6">
        <f t="shared" si="34"/>
        <v>100</v>
      </c>
      <c r="K154" s="19"/>
      <c r="L154" s="19"/>
      <c r="M154" s="19"/>
      <c r="N154" s="6">
        <f t="shared" si="35"/>
        <v>100</v>
      </c>
      <c r="O154" s="19"/>
      <c r="P154" s="19"/>
      <c r="Q154" s="19"/>
      <c r="R154" s="6">
        <f t="shared" si="36"/>
        <v>100</v>
      </c>
      <c r="S154" s="8"/>
      <c r="T154" s="8"/>
      <c r="U154" s="8"/>
      <c r="V154" s="6">
        <f t="shared" si="37"/>
        <v>100</v>
      </c>
      <c r="W154" s="8"/>
      <c r="X154" s="8"/>
      <c r="Y154" s="8"/>
      <c r="Z154" s="6">
        <f t="shared" si="38"/>
        <v>100</v>
      </c>
      <c r="AA154" s="19"/>
      <c r="AB154" s="19"/>
      <c r="AC154" s="19"/>
      <c r="AD154" s="6">
        <f t="shared" si="39"/>
        <v>100</v>
      </c>
      <c r="AE154" s="19"/>
      <c r="AF154" s="19"/>
      <c r="AG154" s="19"/>
      <c r="AH154" s="6">
        <f t="shared" si="40"/>
        <v>100</v>
      </c>
      <c r="AI154" s="19"/>
      <c r="AJ154" s="19"/>
      <c r="AK154" s="19"/>
      <c r="AL154" s="6">
        <f t="shared" si="41"/>
        <v>100</v>
      </c>
      <c r="AM154" s="19"/>
      <c r="AN154" s="19"/>
      <c r="AO154" s="19"/>
      <c r="AP154" s="6">
        <f t="shared" si="42"/>
        <v>100</v>
      </c>
      <c r="AQ154" s="19"/>
      <c r="AR154" s="19"/>
      <c r="AS154" s="19"/>
      <c r="AT154" s="6">
        <f t="shared" si="43"/>
        <v>100</v>
      </c>
    </row>
    <row r="155" spans="1:46">
      <c r="A155" s="4">
        <v>45969</v>
      </c>
      <c r="B155" s="129"/>
      <c r="C155" s="7"/>
      <c r="D155" s="7"/>
      <c r="E155" s="7"/>
      <c r="F155" s="6">
        <f t="shared" si="33"/>
        <v>100</v>
      </c>
      <c r="G155" s="8"/>
      <c r="H155" s="8"/>
      <c r="I155" s="8"/>
      <c r="J155" s="6">
        <f t="shared" si="34"/>
        <v>100</v>
      </c>
      <c r="K155" s="19"/>
      <c r="L155" s="19"/>
      <c r="M155" s="19"/>
      <c r="N155" s="6">
        <f t="shared" si="35"/>
        <v>100</v>
      </c>
      <c r="O155" s="19"/>
      <c r="P155" s="19"/>
      <c r="Q155" s="19"/>
      <c r="R155" s="6">
        <f t="shared" si="36"/>
        <v>100</v>
      </c>
      <c r="S155" s="8"/>
      <c r="T155" s="8"/>
      <c r="U155" s="8"/>
      <c r="V155" s="6">
        <f t="shared" si="37"/>
        <v>100</v>
      </c>
      <c r="W155" s="8"/>
      <c r="X155" s="8"/>
      <c r="Y155" s="8"/>
      <c r="Z155" s="6">
        <f t="shared" si="38"/>
        <v>100</v>
      </c>
      <c r="AA155" s="19"/>
      <c r="AB155" s="19"/>
      <c r="AC155" s="19"/>
      <c r="AD155" s="6">
        <f t="shared" si="39"/>
        <v>100</v>
      </c>
      <c r="AE155" s="19"/>
      <c r="AF155" s="19"/>
      <c r="AG155" s="19"/>
      <c r="AH155" s="6">
        <f t="shared" si="40"/>
        <v>100</v>
      </c>
      <c r="AI155" s="19"/>
      <c r="AJ155" s="19"/>
      <c r="AK155" s="19"/>
      <c r="AL155" s="6">
        <f t="shared" si="41"/>
        <v>100</v>
      </c>
      <c r="AM155" s="19"/>
      <c r="AN155" s="19"/>
      <c r="AO155" s="19"/>
      <c r="AP155" s="6">
        <f t="shared" si="42"/>
        <v>100</v>
      </c>
      <c r="AQ155" s="19"/>
      <c r="AR155" s="19"/>
      <c r="AS155" s="19"/>
      <c r="AT155" s="6">
        <f t="shared" si="43"/>
        <v>100</v>
      </c>
    </row>
    <row r="156" spans="1:46">
      <c r="A156" s="4">
        <v>45970</v>
      </c>
      <c r="B156" s="129"/>
      <c r="C156" s="7"/>
      <c r="D156" s="7"/>
      <c r="E156" s="7"/>
      <c r="F156" s="6">
        <f t="shared" si="33"/>
        <v>100</v>
      </c>
      <c r="G156" s="8"/>
      <c r="H156" s="8"/>
      <c r="I156" s="8"/>
      <c r="J156" s="6">
        <f t="shared" si="34"/>
        <v>100</v>
      </c>
      <c r="K156" s="19"/>
      <c r="L156" s="19"/>
      <c r="M156" s="19"/>
      <c r="N156" s="6">
        <f t="shared" si="35"/>
        <v>100</v>
      </c>
      <c r="O156" s="19"/>
      <c r="P156" s="19"/>
      <c r="Q156" s="19"/>
      <c r="R156" s="6">
        <f t="shared" si="36"/>
        <v>100</v>
      </c>
      <c r="S156" s="8"/>
      <c r="T156" s="8"/>
      <c r="U156" s="8"/>
      <c r="V156" s="6">
        <f t="shared" si="37"/>
        <v>100</v>
      </c>
      <c r="W156" s="8"/>
      <c r="X156" s="8"/>
      <c r="Y156" s="8"/>
      <c r="Z156" s="6">
        <f t="shared" si="38"/>
        <v>100</v>
      </c>
      <c r="AA156" s="19"/>
      <c r="AB156" s="19"/>
      <c r="AC156" s="19"/>
      <c r="AD156" s="6">
        <f t="shared" si="39"/>
        <v>100</v>
      </c>
      <c r="AE156" s="19"/>
      <c r="AF156" s="19"/>
      <c r="AG156" s="19"/>
      <c r="AH156" s="6">
        <f t="shared" si="40"/>
        <v>100</v>
      </c>
      <c r="AI156" s="19"/>
      <c r="AJ156" s="19"/>
      <c r="AK156" s="19"/>
      <c r="AL156" s="6">
        <f t="shared" si="41"/>
        <v>100</v>
      </c>
      <c r="AM156" s="19"/>
      <c r="AN156" s="19"/>
      <c r="AO156" s="19"/>
      <c r="AP156" s="6">
        <f t="shared" si="42"/>
        <v>100</v>
      </c>
      <c r="AQ156" s="19"/>
      <c r="AR156" s="19"/>
      <c r="AS156" s="19"/>
      <c r="AT156" s="6">
        <f t="shared" si="43"/>
        <v>100</v>
      </c>
    </row>
    <row r="157" spans="1:46">
      <c r="A157" s="4">
        <v>45971</v>
      </c>
      <c r="B157" s="129"/>
      <c r="C157" s="78">
        <v>30.97</v>
      </c>
      <c r="D157" s="80">
        <v>19.12</v>
      </c>
      <c r="E157" s="80">
        <v>31.47</v>
      </c>
      <c r="F157" s="6">
        <f t="shared" si="33"/>
        <v>18.439999999999998</v>
      </c>
      <c r="G157" s="78">
        <v>9.94</v>
      </c>
      <c r="H157" s="80">
        <v>9.1999999999999993</v>
      </c>
      <c r="I157" s="80">
        <v>52.1</v>
      </c>
      <c r="J157" s="6">
        <f t="shared" si="34"/>
        <v>28.759999999999991</v>
      </c>
      <c r="K157" s="78">
        <v>17.559999999999999</v>
      </c>
      <c r="L157" s="80">
        <v>13.62</v>
      </c>
      <c r="M157" s="80">
        <v>46.58</v>
      </c>
      <c r="N157" s="6">
        <f t="shared" si="35"/>
        <v>22.240000000000009</v>
      </c>
      <c r="O157" s="78">
        <v>0.77</v>
      </c>
      <c r="P157" s="80">
        <v>0.37</v>
      </c>
      <c r="Q157" s="80">
        <v>69</v>
      </c>
      <c r="R157" s="6">
        <f t="shared" si="36"/>
        <v>29.86</v>
      </c>
      <c r="S157" s="8"/>
      <c r="T157" s="8"/>
      <c r="U157" s="8"/>
      <c r="V157" s="6">
        <f t="shared" si="37"/>
        <v>100</v>
      </c>
      <c r="W157" s="78">
        <v>33.729999999999997</v>
      </c>
      <c r="X157" s="80">
        <v>35.409999999999997</v>
      </c>
      <c r="Y157" s="230">
        <v>0</v>
      </c>
      <c r="Z157" s="6">
        <f t="shared" si="38"/>
        <v>30.860000000000014</v>
      </c>
      <c r="AA157" s="78">
        <v>21.92</v>
      </c>
      <c r="AB157" s="80">
        <v>11.7</v>
      </c>
      <c r="AC157" s="80">
        <v>0</v>
      </c>
      <c r="AD157" s="6">
        <f t="shared" si="39"/>
        <v>66.38</v>
      </c>
      <c r="AE157" s="78">
        <v>17.16</v>
      </c>
      <c r="AF157" s="80">
        <v>5.48</v>
      </c>
      <c r="AG157" s="19"/>
      <c r="AH157" s="6">
        <f t="shared" si="40"/>
        <v>77.36</v>
      </c>
      <c r="AI157" s="78">
        <v>4.9000000000000004</v>
      </c>
      <c r="AJ157" s="80">
        <v>1.77</v>
      </c>
      <c r="AK157" s="80">
        <v>1.55</v>
      </c>
      <c r="AL157" s="6">
        <f t="shared" si="41"/>
        <v>91.78</v>
      </c>
      <c r="AM157" s="78">
        <v>7.82</v>
      </c>
      <c r="AN157" s="19"/>
      <c r="AO157" s="19"/>
      <c r="AP157" s="6">
        <f t="shared" si="42"/>
        <v>92.18</v>
      </c>
      <c r="AQ157" s="78">
        <v>0.51</v>
      </c>
      <c r="AR157" s="80">
        <v>0.28999999999999998</v>
      </c>
      <c r="AS157" s="80">
        <v>71</v>
      </c>
      <c r="AT157" s="6">
        <f t="shared" si="43"/>
        <v>28.200000000000003</v>
      </c>
    </row>
    <row r="158" spans="1:46">
      <c r="A158" s="4">
        <v>45972</v>
      </c>
      <c r="B158" s="129"/>
      <c r="C158" s="78">
        <v>30.41</v>
      </c>
      <c r="D158" s="80">
        <v>18.98</v>
      </c>
      <c r="E158" s="80">
        <v>31.73</v>
      </c>
      <c r="F158" s="6">
        <f t="shared" si="33"/>
        <v>18.879999999999995</v>
      </c>
      <c r="G158" s="8"/>
      <c r="H158" s="8"/>
      <c r="I158" s="8"/>
      <c r="J158" s="6">
        <f t="shared" si="34"/>
        <v>100</v>
      </c>
      <c r="K158" s="19"/>
      <c r="L158" s="19"/>
      <c r="M158" s="19"/>
      <c r="N158" s="6">
        <f t="shared" si="35"/>
        <v>100</v>
      </c>
      <c r="O158" s="19"/>
      <c r="P158" s="19"/>
      <c r="Q158" s="19"/>
      <c r="R158" s="6">
        <f t="shared" si="36"/>
        <v>100</v>
      </c>
      <c r="S158" s="8"/>
      <c r="T158" s="8"/>
      <c r="U158" s="8"/>
      <c r="V158" s="6">
        <f t="shared" si="37"/>
        <v>100</v>
      </c>
      <c r="W158" s="8"/>
      <c r="X158" s="8"/>
      <c r="Y158" s="8"/>
      <c r="Z158" s="6">
        <f t="shared" si="38"/>
        <v>100</v>
      </c>
      <c r="AA158" s="19"/>
      <c r="AB158" s="19"/>
      <c r="AC158" s="19"/>
      <c r="AD158" s="6">
        <f t="shared" si="39"/>
        <v>100</v>
      </c>
      <c r="AE158" s="19"/>
      <c r="AF158" s="19"/>
      <c r="AG158" s="19"/>
      <c r="AH158" s="6">
        <f t="shared" si="40"/>
        <v>100</v>
      </c>
      <c r="AI158" s="19"/>
      <c r="AJ158" s="19"/>
      <c r="AK158" s="19"/>
      <c r="AL158" s="6">
        <f t="shared" si="41"/>
        <v>100</v>
      </c>
      <c r="AM158" s="19"/>
      <c r="AN158" s="19"/>
      <c r="AO158" s="19"/>
      <c r="AP158" s="6">
        <f t="shared" si="42"/>
        <v>100</v>
      </c>
      <c r="AQ158" s="19"/>
      <c r="AR158" s="19"/>
      <c r="AS158" s="19"/>
      <c r="AT158" s="6">
        <f t="shared" si="43"/>
        <v>100</v>
      </c>
    </row>
    <row r="159" spans="1:46">
      <c r="A159" s="4">
        <v>45973</v>
      </c>
      <c r="B159" s="129"/>
      <c r="C159" s="78">
        <v>29.97</v>
      </c>
      <c r="D159" s="80">
        <v>18.53</v>
      </c>
      <c r="E159" s="80">
        <v>32.26</v>
      </c>
      <c r="F159" s="6">
        <f t="shared" si="33"/>
        <v>19.240000000000009</v>
      </c>
      <c r="G159" s="8"/>
      <c r="H159" s="8"/>
      <c r="I159" s="8"/>
      <c r="J159" s="6">
        <f t="shared" si="34"/>
        <v>100</v>
      </c>
      <c r="K159" s="19"/>
      <c r="L159" s="19"/>
      <c r="M159" s="19"/>
      <c r="N159" s="6">
        <f t="shared" si="35"/>
        <v>100</v>
      </c>
      <c r="O159" s="19"/>
      <c r="P159" s="19"/>
      <c r="Q159" s="19"/>
      <c r="R159" s="6">
        <f t="shared" si="36"/>
        <v>100</v>
      </c>
      <c r="S159" s="8"/>
      <c r="T159" s="8"/>
      <c r="U159" s="8"/>
      <c r="V159" s="6">
        <f t="shared" si="37"/>
        <v>100</v>
      </c>
      <c r="W159" s="8"/>
      <c r="X159" s="8"/>
      <c r="Y159" s="8"/>
      <c r="Z159" s="6">
        <f t="shared" si="38"/>
        <v>100</v>
      </c>
      <c r="AA159" s="19"/>
      <c r="AB159" s="19"/>
      <c r="AC159" s="19"/>
      <c r="AD159" s="6">
        <f t="shared" si="39"/>
        <v>100</v>
      </c>
      <c r="AE159" s="19"/>
      <c r="AF159" s="19"/>
      <c r="AG159" s="19"/>
      <c r="AH159" s="6">
        <f t="shared" si="40"/>
        <v>100</v>
      </c>
      <c r="AI159" s="19"/>
      <c r="AJ159" s="19"/>
      <c r="AK159" s="19"/>
      <c r="AL159" s="6">
        <f t="shared" si="41"/>
        <v>100</v>
      </c>
      <c r="AM159" s="19"/>
      <c r="AN159" s="19"/>
      <c r="AO159" s="19"/>
      <c r="AP159" s="6">
        <f t="shared" si="42"/>
        <v>100</v>
      </c>
      <c r="AQ159" s="19"/>
      <c r="AR159" s="19"/>
      <c r="AS159" s="19"/>
      <c r="AT159" s="6">
        <f t="shared" si="43"/>
        <v>100</v>
      </c>
    </row>
    <row r="160" spans="1:46">
      <c r="A160" s="4">
        <v>45974</v>
      </c>
      <c r="B160" s="129"/>
      <c r="C160" s="78">
        <v>30.44</v>
      </c>
      <c r="D160" s="80">
        <v>19.190000000000001</v>
      </c>
      <c r="E160" s="80">
        <v>31.6</v>
      </c>
      <c r="F160" s="6">
        <f t="shared" si="33"/>
        <v>18.769999999999996</v>
      </c>
      <c r="G160" s="78">
        <v>10.42</v>
      </c>
      <c r="H160" s="80">
        <v>9.69</v>
      </c>
      <c r="I160" s="80">
        <v>52</v>
      </c>
      <c r="J160" s="6">
        <f t="shared" si="34"/>
        <v>27.89</v>
      </c>
      <c r="K160" s="78">
        <v>17.12</v>
      </c>
      <c r="L160" s="80">
        <v>13.19</v>
      </c>
      <c r="M160" s="80">
        <v>45.36</v>
      </c>
      <c r="N160" s="6">
        <f t="shared" si="35"/>
        <v>24.33</v>
      </c>
      <c r="O160" s="78">
        <v>0.8</v>
      </c>
      <c r="P160" s="80">
        <v>0.39</v>
      </c>
      <c r="Q160" s="80">
        <v>69</v>
      </c>
      <c r="R160" s="6">
        <f t="shared" si="36"/>
        <v>29.810000000000002</v>
      </c>
      <c r="S160" s="8"/>
      <c r="T160" s="8"/>
      <c r="U160" s="8"/>
      <c r="V160" s="6">
        <f t="shared" si="37"/>
        <v>100</v>
      </c>
      <c r="W160" s="78">
        <v>33.119999999999997</v>
      </c>
      <c r="X160" s="80">
        <v>35.270000000000003</v>
      </c>
      <c r="Y160" s="230">
        <v>0</v>
      </c>
      <c r="Z160" s="6">
        <f t="shared" si="38"/>
        <v>31.61</v>
      </c>
      <c r="AA160" s="78">
        <v>24.71</v>
      </c>
      <c r="AB160" s="80">
        <v>12.87</v>
      </c>
      <c r="AC160" s="80">
        <v>0</v>
      </c>
      <c r="AD160" s="6">
        <f t="shared" si="39"/>
        <v>62.42</v>
      </c>
      <c r="AE160" s="78">
        <v>14.56</v>
      </c>
      <c r="AF160" s="80">
        <v>5.71</v>
      </c>
      <c r="AG160" s="80">
        <v>0</v>
      </c>
      <c r="AH160" s="6">
        <f t="shared" si="40"/>
        <v>79.73</v>
      </c>
      <c r="AI160" s="78">
        <v>5.34</v>
      </c>
      <c r="AJ160" s="80">
        <v>1.86</v>
      </c>
      <c r="AK160" s="80">
        <v>1.61</v>
      </c>
      <c r="AL160" s="6">
        <f t="shared" si="41"/>
        <v>91.19</v>
      </c>
      <c r="AM160" s="78">
        <v>2.04</v>
      </c>
      <c r="AN160" s="19"/>
      <c r="AO160" s="19"/>
      <c r="AP160" s="6">
        <f t="shared" si="42"/>
        <v>97.96</v>
      </c>
      <c r="AQ160" s="78">
        <v>0.44</v>
      </c>
      <c r="AR160" s="80">
        <v>0.26</v>
      </c>
      <c r="AS160" s="80">
        <v>71</v>
      </c>
      <c r="AT160" s="6">
        <f t="shared" si="43"/>
        <v>28.299999999999997</v>
      </c>
    </row>
    <row r="161" spans="1:46">
      <c r="A161" s="4">
        <v>45975</v>
      </c>
      <c r="B161" s="129"/>
      <c r="C161" s="78">
        <v>30.26</v>
      </c>
      <c r="D161" s="80">
        <v>18.739999999999998</v>
      </c>
      <c r="E161" s="80">
        <v>32.21</v>
      </c>
      <c r="F161" s="6">
        <f t="shared" si="33"/>
        <v>18.789999999999992</v>
      </c>
      <c r="G161" s="8"/>
      <c r="H161" s="8"/>
      <c r="I161" s="8"/>
      <c r="J161" s="6">
        <f t="shared" si="34"/>
        <v>100</v>
      </c>
      <c r="K161" s="19"/>
      <c r="L161" s="19"/>
      <c r="M161" s="19"/>
      <c r="N161" s="6">
        <f t="shared" si="35"/>
        <v>100</v>
      </c>
      <c r="O161" s="19"/>
      <c r="P161" s="19"/>
      <c r="Q161" s="19"/>
      <c r="R161" s="6">
        <f t="shared" si="36"/>
        <v>100</v>
      </c>
      <c r="S161" s="8"/>
      <c r="T161" s="8"/>
      <c r="U161" s="8"/>
      <c r="V161" s="6">
        <f t="shared" si="37"/>
        <v>100</v>
      </c>
      <c r="W161" s="8"/>
      <c r="X161" s="8"/>
      <c r="Y161" s="8"/>
      <c r="Z161" s="6">
        <f t="shared" si="38"/>
        <v>100</v>
      </c>
      <c r="AA161" s="19"/>
      <c r="AB161" s="19"/>
      <c r="AC161" s="19"/>
      <c r="AD161" s="6">
        <f t="shared" si="39"/>
        <v>100</v>
      </c>
      <c r="AE161" s="19"/>
      <c r="AF161" s="19"/>
      <c r="AG161" s="19"/>
      <c r="AH161" s="6">
        <f t="shared" si="40"/>
        <v>100</v>
      </c>
      <c r="AI161" s="19"/>
      <c r="AJ161" s="19"/>
      <c r="AK161" s="19"/>
      <c r="AL161" s="6">
        <f t="shared" si="41"/>
        <v>100</v>
      </c>
      <c r="AM161" s="19"/>
      <c r="AN161" s="19"/>
      <c r="AO161" s="19"/>
      <c r="AP161" s="6">
        <f t="shared" si="42"/>
        <v>100</v>
      </c>
      <c r="AQ161" s="19"/>
      <c r="AR161" s="19"/>
      <c r="AS161" s="19"/>
      <c r="AT161" s="6">
        <f t="shared" si="43"/>
        <v>100</v>
      </c>
    </row>
    <row r="162" spans="1:46">
      <c r="A162" s="4">
        <v>45976</v>
      </c>
      <c r="B162" s="129"/>
      <c r="C162" s="7"/>
      <c r="D162" s="7"/>
      <c r="E162" s="7"/>
      <c r="F162" s="6">
        <f t="shared" si="33"/>
        <v>100</v>
      </c>
      <c r="G162" s="8"/>
      <c r="H162" s="8"/>
      <c r="I162" s="8"/>
      <c r="J162" s="6">
        <f t="shared" si="34"/>
        <v>100</v>
      </c>
      <c r="K162" s="19"/>
      <c r="L162" s="19"/>
      <c r="M162" s="19"/>
      <c r="N162" s="6">
        <f t="shared" si="35"/>
        <v>100</v>
      </c>
      <c r="O162" s="19"/>
      <c r="P162" s="19"/>
      <c r="Q162" s="19"/>
      <c r="R162" s="6">
        <f t="shared" si="36"/>
        <v>100</v>
      </c>
      <c r="S162" s="8"/>
      <c r="T162" s="8"/>
      <c r="U162" s="8"/>
      <c r="V162" s="6">
        <f t="shared" si="37"/>
        <v>100</v>
      </c>
      <c r="W162" s="8"/>
      <c r="X162" s="8"/>
      <c r="Y162" s="8"/>
      <c r="Z162" s="6">
        <f t="shared" si="38"/>
        <v>100</v>
      </c>
      <c r="AA162" s="19"/>
      <c r="AB162" s="19"/>
      <c r="AC162" s="19"/>
      <c r="AD162" s="6">
        <f t="shared" si="39"/>
        <v>100</v>
      </c>
      <c r="AE162" s="19"/>
      <c r="AF162" s="19"/>
      <c r="AG162" s="19"/>
      <c r="AH162" s="6">
        <f t="shared" si="40"/>
        <v>100</v>
      </c>
      <c r="AI162" s="19"/>
      <c r="AJ162" s="19"/>
      <c r="AK162" s="19"/>
      <c r="AL162" s="6">
        <f t="shared" si="41"/>
        <v>100</v>
      </c>
      <c r="AM162" s="19"/>
      <c r="AN162" s="19"/>
      <c r="AO162" s="19"/>
      <c r="AP162" s="6">
        <f t="shared" si="42"/>
        <v>100</v>
      </c>
      <c r="AQ162" s="19"/>
      <c r="AR162" s="19"/>
      <c r="AS162" s="19"/>
      <c r="AT162" s="6">
        <f t="shared" si="43"/>
        <v>100</v>
      </c>
    </row>
    <row r="163" spans="1:46">
      <c r="A163" s="4">
        <v>45977</v>
      </c>
      <c r="B163" s="129"/>
      <c r="C163" s="7"/>
      <c r="D163" s="7"/>
      <c r="E163" s="7"/>
      <c r="F163" s="6">
        <f t="shared" si="33"/>
        <v>100</v>
      </c>
      <c r="G163" s="8"/>
      <c r="H163" s="8"/>
      <c r="I163" s="8"/>
      <c r="J163" s="6">
        <f t="shared" si="34"/>
        <v>100</v>
      </c>
      <c r="K163" s="19"/>
      <c r="L163" s="19"/>
      <c r="M163" s="19"/>
      <c r="N163" s="6">
        <f t="shared" si="35"/>
        <v>100</v>
      </c>
      <c r="O163" s="19"/>
      <c r="P163" s="19"/>
      <c r="Q163" s="19"/>
      <c r="R163" s="6">
        <f t="shared" si="36"/>
        <v>100</v>
      </c>
      <c r="S163" s="8"/>
      <c r="T163" s="8"/>
      <c r="U163" s="8"/>
      <c r="V163" s="6">
        <f t="shared" si="37"/>
        <v>100</v>
      </c>
      <c r="W163" s="8"/>
      <c r="X163" s="8"/>
      <c r="Y163" s="8"/>
      <c r="Z163" s="6">
        <f t="shared" si="38"/>
        <v>100</v>
      </c>
      <c r="AA163" s="19"/>
      <c r="AB163" s="19"/>
      <c r="AC163" s="19"/>
      <c r="AD163" s="6">
        <f t="shared" si="39"/>
        <v>100</v>
      </c>
      <c r="AE163" s="19"/>
      <c r="AF163" s="19"/>
      <c r="AG163" s="19"/>
      <c r="AH163" s="6">
        <f t="shared" si="40"/>
        <v>100</v>
      </c>
      <c r="AI163" s="19"/>
      <c r="AJ163" s="19"/>
      <c r="AK163" s="19"/>
      <c r="AL163" s="6">
        <f t="shared" si="41"/>
        <v>100</v>
      </c>
      <c r="AM163" s="19"/>
      <c r="AN163" s="19"/>
      <c r="AO163" s="19"/>
      <c r="AP163" s="6">
        <f t="shared" si="42"/>
        <v>100</v>
      </c>
      <c r="AQ163" s="19"/>
      <c r="AR163" s="19"/>
      <c r="AS163" s="19"/>
      <c r="AT163" s="6">
        <f t="shared" si="43"/>
        <v>100</v>
      </c>
    </row>
    <row r="164" spans="1:46">
      <c r="A164" s="4">
        <v>45978</v>
      </c>
      <c r="B164" s="129"/>
      <c r="C164" s="78">
        <v>30.16</v>
      </c>
      <c r="D164" s="80">
        <v>18.63</v>
      </c>
      <c r="E164" s="80">
        <v>32.07</v>
      </c>
      <c r="F164" s="6">
        <f t="shared" si="33"/>
        <v>19.14</v>
      </c>
      <c r="G164" s="78">
        <v>10.18</v>
      </c>
      <c r="H164" s="80">
        <v>9.6</v>
      </c>
      <c r="I164" s="80">
        <v>51.87</v>
      </c>
      <c r="J164" s="6">
        <f t="shared" si="34"/>
        <v>28.349999999999994</v>
      </c>
      <c r="K164" s="78">
        <v>17.41</v>
      </c>
      <c r="L164" s="80">
        <v>13.06</v>
      </c>
      <c r="M164" s="80">
        <v>45.71</v>
      </c>
      <c r="N164" s="6">
        <f t="shared" si="35"/>
        <v>23.819999999999993</v>
      </c>
      <c r="O164" s="78">
        <v>0.78</v>
      </c>
      <c r="P164" s="80">
        <v>0.38</v>
      </c>
      <c r="Q164" s="80">
        <v>68</v>
      </c>
      <c r="R164" s="6">
        <f t="shared" si="36"/>
        <v>30.840000000000003</v>
      </c>
      <c r="S164" s="8"/>
      <c r="T164" s="8"/>
      <c r="U164" s="8"/>
      <c r="V164" s="6">
        <f t="shared" si="37"/>
        <v>100</v>
      </c>
      <c r="W164" s="78">
        <v>32.86</v>
      </c>
      <c r="X164" s="80">
        <v>34.72</v>
      </c>
      <c r="Y164" s="230">
        <v>0</v>
      </c>
      <c r="Z164" s="6">
        <f t="shared" si="38"/>
        <v>32.42</v>
      </c>
      <c r="AA164" s="78">
        <v>23.11</v>
      </c>
      <c r="AB164" s="80">
        <v>12.1</v>
      </c>
      <c r="AC164" s="80">
        <v>0</v>
      </c>
      <c r="AD164" s="6">
        <f t="shared" si="39"/>
        <v>64.789999999999992</v>
      </c>
      <c r="AE164" s="78">
        <v>14.43</v>
      </c>
      <c r="AF164" s="80">
        <v>5.45</v>
      </c>
      <c r="AG164" s="80">
        <v>0</v>
      </c>
      <c r="AH164" s="6">
        <f t="shared" si="40"/>
        <v>80.12</v>
      </c>
      <c r="AI164" s="78">
        <v>5.37</v>
      </c>
      <c r="AJ164" s="80">
        <v>1.78</v>
      </c>
      <c r="AK164" s="80">
        <v>1.56</v>
      </c>
      <c r="AL164" s="6">
        <f t="shared" si="41"/>
        <v>91.289999999999992</v>
      </c>
      <c r="AM164" s="78">
        <v>2.72</v>
      </c>
      <c r="AN164" s="19"/>
      <c r="AO164" s="19"/>
      <c r="AP164" s="6">
        <f t="shared" si="42"/>
        <v>97.28</v>
      </c>
      <c r="AQ164" s="78">
        <v>0.51</v>
      </c>
      <c r="AR164" s="80">
        <v>0.27</v>
      </c>
      <c r="AS164" s="80">
        <v>70</v>
      </c>
      <c r="AT164" s="6">
        <f t="shared" si="43"/>
        <v>29.22</v>
      </c>
    </row>
    <row r="165" spans="1:46">
      <c r="A165" s="4">
        <v>45979</v>
      </c>
      <c r="B165" s="129"/>
      <c r="C165" s="7"/>
      <c r="D165" s="7"/>
      <c r="E165" s="7"/>
      <c r="F165" s="6">
        <f t="shared" si="33"/>
        <v>100</v>
      </c>
      <c r="G165" s="8"/>
      <c r="H165" s="8"/>
      <c r="I165" s="8"/>
      <c r="J165" s="6">
        <f t="shared" si="34"/>
        <v>100</v>
      </c>
      <c r="K165" s="19"/>
      <c r="L165" s="19"/>
      <c r="M165" s="19"/>
      <c r="N165" s="6">
        <f t="shared" si="35"/>
        <v>100</v>
      </c>
      <c r="O165" s="19"/>
      <c r="P165" s="19"/>
      <c r="Q165" s="19"/>
      <c r="R165" s="6">
        <f t="shared" si="36"/>
        <v>100</v>
      </c>
      <c r="S165" s="8"/>
      <c r="T165" s="8"/>
      <c r="U165" s="8"/>
      <c r="V165" s="6">
        <f t="shared" si="37"/>
        <v>100</v>
      </c>
      <c r="W165" s="8"/>
      <c r="X165" s="8"/>
      <c r="Y165" s="8"/>
      <c r="Z165" s="6">
        <f t="shared" si="38"/>
        <v>100</v>
      </c>
      <c r="AA165" s="19"/>
      <c r="AB165" s="19"/>
      <c r="AC165" s="19"/>
      <c r="AD165" s="6">
        <f t="shared" si="39"/>
        <v>100</v>
      </c>
      <c r="AE165" s="19"/>
      <c r="AF165" s="19"/>
      <c r="AG165" s="19"/>
      <c r="AH165" s="6">
        <f t="shared" si="40"/>
        <v>100</v>
      </c>
      <c r="AI165" s="19"/>
      <c r="AJ165" s="19"/>
      <c r="AK165" s="19"/>
      <c r="AL165" s="6">
        <f t="shared" si="41"/>
        <v>100</v>
      </c>
      <c r="AM165" s="19"/>
      <c r="AN165" s="19"/>
      <c r="AO165" s="19"/>
      <c r="AP165" s="6">
        <f t="shared" si="42"/>
        <v>100</v>
      </c>
      <c r="AQ165" s="19"/>
      <c r="AR165" s="19"/>
      <c r="AS165" s="19"/>
      <c r="AT165" s="6">
        <f t="shared" si="43"/>
        <v>100</v>
      </c>
    </row>
    <row r="166" spans="1:46">
      <c r="A166" s="4">
        <v>45980</v>
      </c>
      <c r="B166" s="129"/>
      <c r="C166" s="7">
        <v>30.36</v>
      </c>
      <c r="D166" s="7">
        <v>18.77</v>
      </c>
      <c r="E166" s="7">
        <v>31.89</v>
      </c>
      <c r="F166" s="6">
        <f t="shared" si="33"/>
        <v>18.980000000000004</v>
      </c>
      <c r="G166" s="8"/>
      <c r="H166" s="8"/>
      <c r="I166" s="8"/>
      <c r="J166" s="6">
        <f t="shared" si="34"/>
        <v>100</v>
      </c>
      <c r="K166" s="19"/>
      <c r="L166" s="19"/>
      <c r="M166" s="19"/>
      <c r="N166" s="6">
        <f t="shared" si="35"/>
        <v>100</v>
      </c>
      <c r="O166" s="19"/>
      <c r="P166" s="19"/>
      <c r="Q166" s="19"/>
      <c r="R166" s="6">
        <f t="shared" si="36"/>
        <v>100</v>
      </c>
      <c r="S166" s="8"/>
      <c r="T166" s="8"/>
      <c r="U166" s="8"/>
      <c r="V166" s="6">
        <f t="shared" si="37"/>
        <v>100</v>
      </c>
      <c r="W166" s="8"/>
      <c r="X166" s="8"/>
      <c r="Y166" s="8"/>
      <c r="Z166" s="6">
        <f t="shared" si="38"/>
        <v>100</v>
      </c>
      <c r="AA166" s="19"/>
      <c r="AB166" s="19"/>
      <c r="AC166" s="19"/>
      <c r="AD166" s="6">
        <f t="shared" si="39"/>
        <v>100</v>
      </c>
      <c r="AE166" s="19"/>
      <c r="AF166" s="19"/>
      <c r="AG166" s="19"/>
      <c r="AH166" s="6">
        <f t="shared" si="40"/>
        <v>100</v>
      </c>
      <c r="AI166" s="19"/>
      <c r="AJ166" s="19"/>
      <c r="AK166" s="19"/>
      <c r="AL166" s="6">
        <f t="shared" si="41"/>
        <v>100</v>
      </c>
      <c r="AM166" s="19"/>
      <c r="AN166" s="19"/>
      <c r="AO166" s="19"/>
      <c r="AP166" s="6">
        <f t="shared" si="42"/>
        <v>100</v>
      </c>
      <c r="AQ166" s="19"/>
      <c r="AR166" s="19"/>
      <c r="AS166" s="19"/>
      <c r="AT166" s="6">
        <f t="shared" si="43"/>
        <v>100</v>
      </c>
    </row>
    <row r="167" spans="1:46">
      <c r="A167" s="4">
        <v>45981</v>
      </c>
      <c r="B167" s="129"/>
      <c r="C167" s="78">
        <v>30.59</v>
      </c>
      <c r="D167" s="80">
        <v>17.66</v>
      </c>
      <c r="E167" s="80">
        <v>32.89</v>
      </c>
      <c r="F167" s="6">
        <f t="shared" si="33"/>
        <v>18.86</v>
      </c>
      <c r="G167" s="78">
        <v>10.39</v>
      </c>
      <c r="H167" s="80">
        <v>9.94</v>
      </c>
      <c r="I167" s="80">
        <v>52.4</v>
      </c>
      <c r="J167" s="6">
        <f t="shared" si="34"/>
        <v>27.27000000000001</v>
      </c>
      <c r="K167" s="78">
        <v>17.47</v>
      </c>
      <c r="L167" s="80">
        <v>12.97</v>
      </c>
      <c r="M167" s="80">
        <v>44.26</v>
      </c>
      <c r="N167" s="6">
        <f t="shared" si="35"/>
        <v>25.300000000000011</v>
      </c>
      <c r="O167" s="78">
        <v>0.82</v>
      </c>
      <c r="P167" s="80">
        <v>0.36</v>
      </c>
      <c r="Q167" s="80">
        <v>67</v>
      </c>
      <c r="R167" s="6">
        <f t="shared" si="36"/>
        <v>31.819999999999993</v>
      </c>
      <c r="S167" s="8"/>
      <c r="T167" s="8"/>
      <c r="U167" s="8"/>
      <c r="V167" s="6">
        <f t="shared" si="37"/>
        <v>100</v>
      </c>
      <c r="W167" s="78">
        <v>33.31</v>
      </c>
      <c r="X167" s="80">
        <v>35.1</v>
      </c>
      <c r="Y167" s="230">
        <v>0</v>
      </c>
      <c r="Z167" s="6">
        <f t="shared" si="38"/>
        <v>31.590000000000003</v>
      </c>
      <c r="AA167" s="78">
        <v>24.16</v>
      </c>
      <c r="AB167" s="80">
        <v>12.43</v>
      </c>
      <c r="AC167" s="80">
        <v>0</v>
      </c>
      <c r="AD167" s="6">
        <f t="shared" si="39"/>
        <v>63.41</v>
      </c>
      <c r="AE167" s="78">
        <v>15.11</v>
      </c>
      <c r="AF167" s="80">
        <v>5.19</v>
      </c>
      <c r="AG167" s="80">
        <v>0</v>
      </c>
      <c r="AH167" s="6">
        <f t="shared" si="40"/>
        <v>79.7</v>
      </c>
      <c r="AI167" s="78">
        <v>5.37</v>
      </c>
      <c r="AJ167" s="80">
        <v>1.7</v>
      </c>
      <c r="AK167" s="80">
        <v>1.49</v>
      </c>
      <c r="AL167" s="6">
        <f t="shared" si="41"/>
        <v>91.44</v>
      </c>
      <c r="AM167" s="78">
        <v>2.38</v>
      </c>
      <c r="AN167" s="125">
        <v>0</v>
      </c>
      <c r="AO167" s="80">
        <v>0</v>
      </c>
      <c r="AP167" s="6">
        <f t="shared" si="42"/>
        <v>97.62</v>
      </c>
      <c r="AQ167" s="78">
        <v>0.61</v>
      </c>
      <c r="AR167" s="80">
        <v>0.28999999999999998</v>
      </c>
      <c r="AS167" s="80">
        <v>69</v>
      </c>
      <c r="AT167" s="6">
        <f t="shared" si="43"/>
        <v>30.099999999999994</v>
      </c>
    </row>
    <row r="168" spans="1:46">
      <c r="A168" s="4">
        <v>45982</v>
      </c>
      <c r="B168" s="129"/>
      <c r="C168" s="78">
        <v>30.43</v>
      </c>
      <c r="D168" s="80">
        <v>17.82</v>
      </c>
      <c r="E168" s="80">
        <v>32.549999999999997</v>
      </c>
      <c r="F168" s="6">
        <f t="shared" si="33"/>
        <v>19.200000000000003</v>
      </c>
      <c r="G168" s="231"/>
      <c r="H168" s="8"/>
      <c r="I168" s="8"/>
      <c r="J168" s="6">
        <f t="shared" si="34"/>
        <v>100</v>
      </c>
      <c r="K168" s="19"/>
      <c r="L168" s="19"/>
      <c r="M168" s="19"/>
      <c r="N168" s="6">
        <f t="shared" si="35"/>
        <v>100</v>
      </c>
      <c r="O168" s="19"/>
      <c r="P168" s="19"/>
      <c r="Q168" s="19"/>
      <c r="R168" s="6">
        <f t="shared" si="36"/>
        <v>100</v>
      </c>
      <c r="S168" s="8"/>
      <c r="T168" s="8"/>
      <c r="U168" s="8"/>
      <c r="V168" s="6">
        <f t="shared" si="37"/>
        <v>100</v>
      </c>
      <c r="W168" s="8"/>
      <c r="X168" s="8"/>
      <c r="Y168" s="8"/>
      <c r="Z168" s="6">
        <f t="shared" si="38"/>
        <v>100</v>
      </c>
      <c r="AA168" s="19"/>
      <c r="AB168" s="19"/>
      <c r="AC168" s="19"/>
      <c r="AD168" s="6">
        <f t="shared" si="39"/>
        <v>100</v>
      </c>
      <c r="AE168" s="19"/>
      <c r="AF168" s="19"/>
      <c r="AG168" s="19"/>
      <c r="AH168" s="6">
        <f t="shared" si="40"/>
        <v>100</v>
      </c>
      <c r="AI168" s="19"/>
      <c r="AJ168" s="19"/>
      <c r="AK168" s="19"/>
      <c r="AL168" s="6">
        <f t="shared" si="41"/>
        <v>100</v>
      </c>
      <c r="AM168" s="19"/>
      <c r="AN168" s="19"/>
      <c r="AO168" s="19"/>
      <c r="AP168" s="6">
        <f t="shared" si="42"/>
        <v>100</v>
      </c>
      <c r="AQ168" s="19"/>
      <c r="AR168" s="19"/>
      <c r="AS168" s="19"/>
      <c r="AT168" s="6">
        <f t="shared" si="43"/>
        <v>100</v>
      </c>
    </row>
    <row r="169" spans="1:46">
      <c r="A169" s="4">
        <v>45983</v>
      </c>
      <c r="B169" s="129"/>
      <c r="C169" s="7"/>
      <c r="D169" s="7"/>
      <c r="E169" s="7"/>
      <c r="F169" s="6">
        <f t="shared" si="33"/>
        <v>100</v>
      </c>
      <c r="G169" s="8"/>
      <c r="H169" s="8"/>
      <c r="I169" s="8"/>
      <c r="J169" s="6">
        <f t="shared" si="34"/>
        <v>100</v>
      </c>
      <c r="K169" s="19"/>
      <c r="L169" s="19"/>
      <c r="M169" s="19"/>
      <c r="N169" s="6">
        <f t="shared" si="35"/>
        <v>100</v>
      </c>
      <c r="O169" s="19"/>
      <c r="P169" s="19"/>
      <c r="Q169" s="19"/>
      <c r="R169" s="6">
        <f t="shared" si="36"/>
        <v>100</v>
      </c>
      <c r="S169" s="8"/>
      <c r="T169" s="8"/>
      <c r="U169" s="8"/>
      <c r="V169" s="6">
        <f t="shared" si="37"/>
        <v>100</v>
      </c>
      <c r="W169" s="8"/>
      <c r="X169" s="8"/>
      <c r="Y169" s="8"/>
      <c r="Z169" s="6">
        <f t="shared" si="38"/>
        <v>100</v>
      </c>
      <c r="AA169" s="19"/>
      <c r="AB169" s="19"/>
      <c r="AC169" s="19"/>
      <c r="AD169" s="6">
        <f t="shared" si="39"/>
        <v>100</v>
      </c>
      <c r="AE169" s="19"/>
      <c r="AF169" s="19"/>
      <c r="AG169" s="19"/>
      <c r="AH169" s="6">
        <f t="shared" si="40"/>
        <v>100</v>
      </c>
      <c r="AI169" s="19"/>
      <c r="AJ169" s="19"/>
      <c r="AK169" s="19"/>
      <c r="AL169" s="6">
        <f t="shared" si="41"/>
        <v>100</v>
      </c>
      <c r="AM169" s="19"/>
      <c r="AN169" s="19"/>
      <c r="AO169" s="19"/>
      <c r="AP169" s="6">
        <f t="shared" si="42"/>
        <v>100</v>
      </c>
      <c r="AQ169" s="19"/>
      <c r="AR169" s="19"/>
      <c r="AS169" s="19"/>
      <c r="AT169" s="6">
        <f t="shared" si="43"/>
        <v>100</v>
      </c>
    </row>
    <row r="170" spans="1:46">
      <c r="A170" s="4">
        <v>45984</v>
      </c>
      <c r="B170" s="129"/>
      <c r="C170" s="7"/>
      <c r="D170" s="7"/>
      <c r="E170" s="7"/>
      <c r="F170" s="6">
        <f t="shared" si="33"/>
        <v>100</v>
      </c>
      <c r="G170" s="8"/>
      <c r="H170" s="8"/>
      <c r="I170" s="8"/>
      <c r="J170" s="6">
        <f t="shared" si="34"/>
        <v>100</v>
      </c>
      <c r="K170" s="19"/>
      <c r="L170" s="19"/>
      <c r="M170" s="19"/>
      <c r="N170" s="6">
        <f t="shared" si="35"/>
        <v>100</v>
      </c>
      <c r="O170" s="19"/>
      <c r="P170" s="19"/>
      <c r="Q170" s="19"/>
      <c r="R170" s="6">
        <f t="shared" si="36"/>
        <v>100</v>
      </c>
      <c r="S170" s="8"/>
      <c r="T170" s="8"/>
      <c r="U170" s="8"/>
      <c r="V170" s="6">
        <f t="shared" si="37"/>
        <v>100</v>
      </c>
      <c r="W170" s="8"/>
      <c r="X170" s="8"/>
      <c r="Y170" s="8"/>
      <c r="Z170" s="6">
        <f t="shared" si="38"/>
        <v>100</v>
      </c>
      <c r="AA170" s="19"/>
      <c r="AB170" s="19"/>
      <c r="AC170" s="19"/>
      <c r="AD170" s="6">
        <f t="shared" si="39"/>
        <v>100</v>
      </c>
      <c r="AE170" s="19"/>
      <c r="AF170" s="19"/>
      <c r="AG170" s="19"/>
      <c r="AH170" s="6">
        <f t="shared" si="40"/>
        <v>100</v>
      </c>
      <c r="AI170" s="19"/>
      <c r="AJ170" s="19"/>
      <c r="AK170" s="19"/>
      <c r="AL170" s="6">
        <f t="shared" si="41"/>
        <v>100</v>
      </c>
      <c r="AM170" s="19"/>
      <c r="AN170" s="19"/>
      <c r="AO170" s="19"/>
      <c r="AP170" s="6">
        <f t="shared" si="42"/>
        <v>100</v>
      </c>
      <c r="AQ170" s="19"/>
      <c r="AR170" s="19"/>
      <c r="AS170" s="19"/>
      <c r="AT170" s="6">
        <f t="shared" si="43"/>
        <v>100</v>
      </c>
    </row>
    <row r="171" spans="1:46">
      <c r="A171" s="4">
        <v>45985</v>
      </c>
      <c r="B171" s="239">
        <v>110</v>
      </c>
      <c r="C171" s="78">
        <v>30.41</v>
      </c>
      <c r="D171" s="80">
        <v>18.43</v>
      </c>
      <c r="E171" s="80">
        <v>32.25</v>
      </c>
      <c r="F171" s="6">
        <f t="shared" si="33"/>
        <v>18.909999999999997</v>
      </c>
      <c r="G171" s="78">
        <v>10.28</v>
      </c>
      <c r="H171" s="80">
        <v>9.27</v>
      </c>
      <c r="I171" s="80">
        <v>50.43</v>
      </c>
      <c r="J171" s="6">
        <f t="shared" si="34"/>
        <v>30.02000000000001</v>
      </c>
      <c r="K171" s="78">
        <v>17.82</v>
      </c>
      <c r="L171" s="80">
        <v>13.31</v>
      </c>
      <c r="M171" s="80">
        <v>41.12</v>
      </c>
      <c r="N171" s="6">
        <f t="shared" si="35"/>
        <v>27.75</v>
      </c>
      <c r="O171" s="78">
        <v>0.8</v>
      </c>
      <c r="P171" s="80">
        <v>0.36</v>
      </c>
      <c r="Q171" s="80">
        <v>68</v>
      </c>
      <c r="R171" s="6">
        <f t="shared" si="36"/>
        <v>30.840000000000003</v>
      </c>
      <c r="S171" s="8"/>
      <c r="T171" s="8"/>
      <c r="U171" s="8"/>
      <c r="V171" s="6">
        <f t="shared" si="37"/>
        <v>100</v>
      </c>
      <c r="W171" s="78">
        <v>33.94</v>
      </c>
      <c r="X171" s="80">
        <v>35.33</v>
      </c>
      <c r="Y171" s="230">
        <v>0</v>
      </c>
      <c r="Z171" s="6">
        <f t="shared" si="38"/>
        <v>30.730000000000004</v>
      </c>
      <c r="AA171" s="78">
        <v>26.91</v>
      </c>
      <c r="AB171" s="80">
        <v>12.18</v>
      </c>
      <c r="AC171" s="80">
        <v>0</v>
      </c>
      <c r="AD171" s="6">
        <f t="shared" si="39"/>
        <v>60.91</v>
      </c>
      <c r="AE171" s="78">
        <v>13.78</v>
      </c>
      <c r="AF171" s="80">
        <v>5.16</v>
      </c>
      <c r="AG171" s="80">
        <v>0</v>
      </c>
      <c r="AH171" s="6">
        <f t="shared" si="40"/>
        <v>81.06</v>
      </c>
      <c r="AI171" s="78">
        <v>5.37</v>
      </c>
      <c r="AJ171" s="80">
        <v>1.71</v>
      </c>
      <c r="AK171" s="80">
        <v>1.44</v>
      </c>
      <c r="AL171" s="6">
        <f t="shared" si="41"/>
        <v>91.48</v>
      </c>
      <c r="AM171" s="78">
        <v>2.72</v>
      </c>
      <c r="AN171" s="125" t="s">
        <v>48</v>
      </c>
      <c r="AO171" s="80">
        <v>0</v>
      </c>
      <c r="AP171" s="6">
        <f t="shared" si="42"/>
        <v>97.28</v>
      </c>
      <c r="AQ171" s="78">
        <v>0.49</v>
      </c>
      <c r="AR171" s="80">
        <v>0.27</v>
      </c>
      <c r="AS171" s="80">
        <v>70</v>
      </c>
      <c r="AT171" s="6">
        <f t="shared" si="43"/>
        <v>29.239999999999995</v>
      </c>
    </row>
    <row r="172" spans="1:46">
      <c r="A172" s="4">
        <v>45986</v>
      </c>
      <c r="B172" s="239">
        <v>110</v>
      </c>
      <c r="C172" s="78">
        <v>30.26</v>
      </c>
      <c r="D172" s="80">
        <v>18.309999999999999</v>
      </c>
      <c r="E172" s="80">
        <v>32.29</v>
      </c>
      <c r="F172" s="6">
        <f t="shared" si="33"/>
        <v>19.14</v>
      </c>
      <c r="G172" s="8"/>
      <c r="H172" s="8"/>
      <c r="I172" s="8"/>
      <c r="J172" s="6">
        <f t="shared" si="34"/>
        <v>100</v>
      </c>
      <c r="K172" s="19"/>
      <c r="L172" s="19"/>
      <c r="M172" s="19"/>
      <c r="N172" s="6">
        <f t="shared" si="35"/>
        <v>100</v>
      </c>
      <c r="O172" s="19"/>
      <c r="P172" s="19"/>
      <c r="Q172" s="19"/>
      <c r="R172" s="6">
        <f t="shared" si="36"/>
        <v>100</v>
      </c>
      <c r="S172" s="8"/>
      <c r="T172" s="8"/>
      <c r="U172" s="8"/>
      <c r="V172" s="6">
        <f t="shared" si="37"/>
        <v>100</v>
      </c>
      <c r="W172" s="8"/>
      <c r="X172" s="8"/>
      <c r="Y172" s="8"/>
      <c r="Z172" s="6">
        <f t="shared" si="38"/>
        <v>100</v>
      </c>
      <c r="AA172" s="19"/>
      <c r="AB172" s="19"/>
      <c r="AC172" s="19"/>
      <c r="AD172" s="6">
        <f t="shared" si="39"/>
        <v>100</v>
      </c>
      <c r="AE172" s="19"/>
      <c r="AF172" s="19"/>
      <c r="AG172" s="19"/>
      <c r="AH172" s="6">
        <f t="shared" si="40"/>
        <v>100</v>
      </c>
      <c r="AI172" s="19"/>
      <c r="AJ172" s="19"/>
      <c r="AK172" s="19"/>
      <c r="AL172" s="6">
        <f t="shared" si="41"/>
        <v>100</v>
      </c>
      <c r="AM172" s="19"/>
      <c r="AN172" s="19"/>
      <c r="AO172" s="19"/>
      <c r="AP172" s="6">
        <f t="shared" si="42"/>
        <v>100</v>
      </c>
      <c r="AQ172" s="19"/>
      <c r="AR172" s="19"/>
      <c r="AS172" s="19"/>
      <c r="AT172" s="6">
        <f t="shared" si="43"/>
        <v>100</v>
      </c>
    </row>
    <row r="173" spans="1:46">
      <c r="A173" s="4">
        <v>45987</v>
      </c>
      <c r="B173" s="239">
        <v>110</v>
      </c>
      <c r="C173" s="78">
        <v>30.35</v>
      </c>
      <c r="D173" s="80">
        <v>18.54</v>
      </c>
      <c r="E173" s="80">
        <v>32.14</v>
      </c>
      <c r="F173" s="6">
        <f t="shared" si="33"/>
        <v>18.97</v>
      </c>
      <c r="G173" s="8"/>
      <c r="H173" s="8"/>
      <c r="I173" s="8"/>
      <c r="J173" s="6">
        <f t="shared" si="34"/>
        <v>100</v>
      </c>
      <c r="K173" s="19"/>
      <c r="L173" s="19"/>
      <c r="M173" s="19"/>
      <c r="N173" s="6">
        <f t="shared" si="35"/>
        <v>100</v>
      </c>
      <c r="O173" s="19"/>
      <c r="P173" s="19"/>
      <c r="Q173" s="19"/>
      <c r="R173" s="6">
        <f t="shared" si="36"/>
        <v>100</v>
      </c>
      <c r="S173" s="8"/>
      <c r="T173" s="8"/>
      <c r="U173" s="8"/>
      <c r="V173" s="6">
        <f t="shared" si="37"/>
        <v>100</v>
      </c>
      <c r="W173" s="8"/>
      <c r="X173" s="8"/>
      <c r="Y173" s="8"/>
      <c r="Z173" s="6">
        <f t="shared" si="38"/>
        <v>100</v>
      </c>
      <c r="AA173" s="19"/>
      <c r="AB173" s="19"/>
      <c r="AC173" s="19"/>
      <c r="AD173" s="6">
        <f t="shared" si="39"/>
        <v>100</v>
      </c>
      <c r="AE173" s="19"/>
      <c r="AF173" s="19"/>
      <c r="AG173" s="19"/>
      <c r="AH173" s="6">
        <f t="shared" si="40"/>
        <v>100</v>
      </c>
      <c r="AI173" s="19"/>
      <c r="AJ173" s="19"/>
      <c r="AK173" s="19"/>
      <c r="AL173" s="6">
        <f t="shared" si="41"/>
        <v>100</v>
      </c>
      <c r="AM173" s="19"/>
      <c r="AN173" s="19"/>
      <c r="AO173" s="19"/>
      <c r="AP173" s="6">
        <f t="shared" si="42"/>
        <v>100</v>
      </c>
      <c r="AQ173" s="19"/>
      <c r="AR173" s="19"/>
      <c r="AS173" s="19"/>
      <c r="AT173" s="6">
        <f t="shared" si="43"/>
        <v>100</v>
      </c>
    </row>
    <row r="174" spans="1:46">
      <c r="A174" s="4">
        <v>45988</v>
      </c>
      <c r="B174" s="239">
        <v>110</v>
      </c>
      <c r="C174" s="78">
        <v>30.25</v>
      </c>
      <c r="D174" s="80">
        <v>18.690000000000001</v>
      </c>
      <c r="E174" s="80">
        <v>32.46</v>
      </c>
      <c r="F174" s="6">
        <f t="shared" si="33"/>
        <v>18.599999999999994</v>
      </c>
      <c r="G174" s="78">
        <v>10.47</v>
      </c>
      <c r="H174" s="80">
        <v>9.57</v>
      </c>
      <c r="I174" s="80">
        <v>51</v>
      </c>
      <c r="J174" s="6">
        <f t="shared" si="34"/>
        <v>28.960000000000008</v>
      </c>
      <c r="K174" s="78">
        <v>17.45</v>
      </c>
      <c r="L174" s="80">
        <v>13.11</v>
      </c>
      <c r="M174" s="80">
        <v>42.6</v>
      </c>
      <c r="N174" s="6">
        <f t="shared" si="35"/>
        <v>26.840000000000003</v>
      </c>
      <c r="O174" s="78">
        <v>0.77</v>
      </c>
      <c r="P174" s="80">
        <v>0.38</v>
      </c>
      <c r="Q174" s="80">
        <v>67</v>
      </c>
      <c r="R174" s="6">
        <f t="shared" si="36"/>
        <v>31.849999999999994</v>
      </c>
      <c r="S174" s="8"/>
      <c r="T174" s="8"/>
      <c r="U174" s="8"/>
      <c r="V174" s="6">
        <f t="shared" si="37"/>
        <v>100</v>
      </c>
      <c r="W174" s="78">
        <v>33.72</v>
      </c>
      <c r="X174" s="80">
        <v>35.46</v>
      </c>
      <c r="Y174" s="230">
        <v>0</v>
      </c>
      <c r="Z174" s="6">
        <f t="shared" si="38"/>
        <v>30.819999999999993</v>
      </c>
      <c r="AA174" s="78">
        <v>26.03</v>
      </c>
      <c r="AB174" s="80">
        <v>12</v>
      </c>
      <c r="AC174" s="80">
        <v>0</v>
      </c>
      <c r="AD174" s="6">
        <f t="shared" si="39"/>
        <v>61.97</v>
      </c>
      <c r="AE174" s="78">
        <v>14.72</v>
      </c>
      <c r="AF174" s="80">
        <v>5.41</v>
      </c>
      <c r="AG174" s="80">
        <v>0</v>
      </c>
      <c r="AH174" s="6">
        <f t="shared" si="40"/>
        <v>79.87</v>
      </c>
      <c r="AI174" s="78">
        <v>4.49</v>
      </c>
      <c r="AJ174" s="80">
        <v>1.59</v>
      </c>
      <c r="AK174" s="80">
        <v>1.32</v>
      </c>
      <c r="AL174" s="6">
        <f t="shared" si="41"/>
        <v>92.6</v>
      </c>
      <c r="AM174" s="78">
        <v>2.72</v>
      </c>
      <c r="AN174" s="19"/>
      <c r="AO174" s="19"/>
      <c r="AP174" s="6">
        <f t="shared" si="42"/>
        <v>97.28</v>
      </c>
      <c r="AQ174" s="78">
        <v>0.47</v>
      </c>
      <c r="AR174" s="80">
        <v>0.25</v>
      </c>
      <c r="AS174" s="80">
        <v>69</v>
      </c>
      <c r="AT174" s="6">
        <f t="shared" si="43"/>
        <v>30.28</v>
      </c>
    </row>
    <row r="175" spans="1:46">
      <c r="A175" s="4">
        <v>45989</v>
      </c>
      <c r="B175" s="239">
        <v>110</v>
      </c>
      <c r="C175" s="78">
        <v>30.19</v>
      </c>
      <c r="D175" s="80">
        <v>18.559999999999999</v>
      </c>
      <c r="E175" s="80">
        <v>32.409999999999997</v>
      </c>
      <c r="F175" s="6">
        <f t="shared" si="33"/>
        <v>18.840000000000003</v>
      </c>
      <c r="G175" s="8"/>
      <c r="H175" s="8"/>
      <c r="I175" s="8"/>
      <c r="J175" s="6">
        <f t="shared" si="34"/>
        <v>100</v>
      </c>
      <c r="K175" s="19"/>
      <c r="L175" s="19"/>
      <c r="M175" s="19"/>
      <c r="N175" s="6">
        <f t="shared" si="35"/>
        <v>100</v>
      </c>
      <c r="O175" s="19"/>
      <c r="P175" s="19"/>
      <c r="Q175" s="19"/>
      <c r="R175" s="6">
        <f t="shared" si="36"/>
        <v>100</v>
      </c>
      <c r="S175" s="8"/>
      <c r="T175" s="8"/>
      <c r="U175" s="8"/>
      <c r="V175" s="6">
        <f t="shared" si="37"/>
        <v>100</v>
      </c>
      <c r="W175" s="8"/>
      <c r="X175" s="8"/>
      <c r="Y175" s="8"/>
      <c r="Z175" s="6">
        <f t="shared" si="38"/>
        <v>100</v>
      </c>
      <c r="AA175" s="19"/>
      <c r="AB175" s="19"/>
      <c r="AC175" s="19"/>
      <c r="AD175" s="6">
        <f t="shared" si="39"/>
        <v>100</v>
      </c>
      <c r="AE175" s="19"/>
      <c r="AF175" s="19"/>
      <c r="AG175" s="19"/>
      <c r="AH175" s="6">
        <f t="shared" si="40"/>
        <v>100</v>
      </c>
      <c r="AI175" s="19"/>
      <c r="AJ175" s="19"/>
      <c r="AK175" s="19"/>
      <c r="AL175" s="6">
        <f t="shared" si="41"/>
        <v>100</v>
      </c>
      <c r="AM175" s="19"/>
      <c r="AN175" s="19"/>
      <c r="AO175" s="19"/>
      <c r="AP175" s="6">
        <f t="shared" si="42"/>
        <v>100</v>
      </c>
      <c r="AQ175" s="19"/>
      <c r="AR175" s="19"/>
      <c r="AS175" s="19"/>
      <c r="AT175" s="6">
        <f t="shared" si="43"/>
        <v>100</v>
      </c>
    </row>
    <row r="176" spans="1:46">
      <c r="A176" s="4">
        <v>45990</v>
      </c>
      <c r="B176" s="129"/>
      <c r="C176" s="7"/>
      <c r="D176" s="7"/>
      <c r="E176" s="7"/>
      <c r="F176" s="6">
        <f t="shared" si="33"/>
        <v>100</v>
      </c>
      <c r="G176" s="8"/>
      <c r="H176" s="8"/>
      <c r="I176" s="8"/>
      <c r="J176" s="6">
        <f t="shared" si="34"/>
        <v>100</v>
      </c>
      <c r="K176" s="19"/>
      <c r="L176" s="19"/>
      <c r="M176" s="19"/>
      <c r="N176" s="6">
        <f t="shared" si="35"/>
        <v>100</v>
      </c>
      <c r="O176" s="19"/>
      <c r="P176" s="19"/>
      <c r="Q176" s="19"/>
      <c r="R176" s="6">
        <f t="shared" si="36"/>
        <v>100</v>
      </c>
      <c r="S176" s="8"/>
      <c r="T176" s="8"/>
      <c r="U176" s="8"/>
      <c r="V176" s="6">
        <f t="shared" si="37"/>
        <v>100</v>
      </c>
      <c r="W176" s="8"/>
      <c r="X176" s="8"/>
      <c r="Y176" s="8"/>
      <c r="Z176" s="6">
        <f t="shared" si="38"/>
        <v>100</v>
      </c>
      <c r="AA176" s="19"/>
      <c r="AB176" s="19"/>
      <c r="AC176" s="19"/>
      <c r="AD176" s="6">
        <f t="shared" si="39"/>
        <v>100</v>
      </c>
      <c r="AE176" s="19"/>
      <c r="AF176" s="19"/>
      <c r="AG176" s="19"/>
      <c r="AH176" s="6">
        <f t="shared" si="40"/>
        <v>100</v>
      </c>
      <c r="AI176" s="19"/>
      <c r="AJ176" s="19"/>
      <c r="AK176" s="19"/>
      <c r="AL176" s="6">
        <f t="shared" si="41"/>
        <v>100</v>
      </c>
      <c r="AM176" s="19"/>
      <c r="AN176" s="19"/>
      <c r="AO176" s="19"/>
      <c r="AP176" s="6">
        <f t="shared" si="42"/>
        <v>100</v>
      </c>
      <c r="AQ176" s="19"/>
      <c r="AR176" s="19"/>
      <c r="AS176" s="19"/>
      <c r="AT176" s="6">
        <f t="shared" si="43"/>
        <v>100</v>
      </c>
    </row>
    <row r="177" spans="1:46">
      <c r="A177" s="4">
        <v>45991</v>
      </c>
      <c r="B177" s="129"/>
      <c r="C177" s="7"/>
      <c r="D177" s="7"/>
      <c r="E177" s="7"/>
      <c r="F177" s="6">
        <f t="shared" si="33"/>
        <v>100</v>
      </c>
      <c r="G177" s="8"/>
      <c r="H177" s="8"/>
      <c r="I177" s="8"/>
      <c r="J177" s="6">
        <f t="shared" si="34"/>
        <v>100</v>
      </c>
      <c r="K177" s="19"/>
      <c r="L177" s="19"/>
      <c r="M177" s="19"/>
      <c r="N177" s="6">
        <f t="shared" si="35"/>
        <v>100</v>
      </c>
      <c r="O177" s="19"/>
      <c r="P177" s="19"/>
      <c r="Q177" s="19"/>
      <c r="R177" s="6">
        <f t="shared" si="36"/>
        <v>100</v>
      </c>
      <c r="S177" s="8"/>
      <c r="T177" s="8"/>
      <c r="U177" s="8"/>
      <c r="V177" s="6">
        <f t="shared" si="37"/>
        <v>100</v>
      </c>
      <c r="W177" s="8"/>
      <c r="X177" s="8"/>
      <c r="Y177" s="8"/>
      <c r="Z177" s="6">
        <f t="shared" si="38"/>
        <v>100</v>
      </c>
      <c r="AA177" s="19"/>
      <c r="AB177" s="19"/>
      <c r="AC177" s="19"/>
      <c r="AD177" s="6">
        <f t="shared" si="39"/>
        <v>100</v>
      </c>
      <c r="AE177" s="19"/>
      <c r="AF177" s="19"/>
      <c r="AG177" s="19"/>
      <c r="AH177" s="6">
        <f t="shared" si="40"/>
        <v>100</v>
      </c>
      <c r="AI177" s="19"/>
      <c r="AJ177" s="19"/>
      <c r="AK177" s="19"/>
      <c r="AL177" s="6">
        <f t="shared" si="41"/>
        <v>100</v>
      </c>
      <c r="AM177" s="19"/>
      <c r="AN177" s="19"/>
      <c r="AO177" s="19"/>
      <c r="AP177" s="6">
        <f t="shared" si="42"/>
        <v>100</v>
      </c>
      <c r="AQ177" s="19"/>
      <c r="AR177" s="19"/>
      <c r="AS177" s="19"/>
      <c r="AT177" s="6">
        <f t="shared" si="43"/>
        <v>100</v>
      </c>
    </row>
    <row r="178" spans="1:46">
      <c r="A178" s="4">
        <v>45992</v>
      </c>
      <c r="B178" s="253">
        <v>110</v>
      </c>
      <c r="C178" s="78">
        <v>29.97</v>
      </c>
      <c r="D178" s="80">
        <v>18.41</v>
      </c>
      <c r="E178" s="80">
        <v>32.17</v>
      </c>
      <c r="F178" s="6">
        <f t="shared" si="33"/>
        <v>19.450000000000003</v>
      </c>
      <c r="G178" s="78">
        <v>10.82</v>
      </c>
      <c r="H178" s="80">
        <v>9.25</v>
      </c>
      <c r="I178" s="80">
        <v>51.24</v>
      </c>
      <c r="J178" s="6">
        <f t="shared" si="34"/>
        <v>28.689999999999998</v>
      </c>
      <c r="K178" s="78">
        <v>17.12</v>
      </c>
      <c r="L178" s="80">
        <v>12.79</v>
      </c>
      <c r="M178" s="80">
        <v>42.89</v>
      </c>
      <c r="N178" s="6">
        <f t="shared" si="35"/>
        <v>27.200000000000003</v>
      </c>
      <c r="O178" s="78">
        <v>0.81</v>
      </c>
      <c r="P178" s="80">
        <v>0.36</v>
      </c>
      <c r="Q178" s="80">
        <v>68</v>
      </c>
      <c r="R178" s="6">
        <f t="shared" si="36"/>
        <v>30.83</v>
      </c>
      <c r="S178" s="8"/>
      <c r="T178" s="8"/>
      <c r="U178" s="8"/>
      <c r="V178" s="6">
        <f t="shared" si="37"/>
        <v>100</v>
      </c>
      <c r="W178" s="78">
        <v>34.1</v>
      </c>
      <c r="X178" s="80">
        <v>35.729999999999997</v>
      </c>
      <c r="Y178" s="8"/>
      <c r="Z178" s="6">
        <f t="shared" si="38"/>
        <v>30.17</v>
      </c>
      <c r="AA178" s="78">
        <v>23.7</v>
      </c>
      <c r="AB178" s="80">
        <v>11.47</v>
      </c>
      <c r="AC178" s="19"/>
      <c r="AD178" s="6">
        <f t="shared" si="39"/>
        <v>64.83</v>
      </c>
      <c r="AE178" s="78">
        <v>14.89</v>
      </c>
      <c r="AF178" s="80">
        <v>5.21</v>
      </c>
      <c r="AG178" s="19"/>
      <c r="AH178" s="6">
        <f t="shared" si="40"/>
        <v>79.900000000000006</v>
      </c>
      <c r="AI178" s="78">
        <v>3.97</v>
      </c>
      <c r="AJ178" s="80">
        <v>1.41</v>
      </c>
      <c r="AK178" s="80">
        <v>1.25</v>
      </c>
      <c r="AL178" s="6">
        <f t="shared" si="41"/>
        <v>93.37</v>
      </c>
      <c r="AM178" s="78">
        <v>2.72</v>
      </c>
      <c r="AN178" s="19"/>
      <c r="AO178" s="19"/>
      <c r="AP178" s="6">
        <f t="shared" si="42"/>
        <v>97.28</v>
      </c>
      <c r="AQ178" s="78">
        <v>0.48</v>
      </c>
      <c r="AR178" s="80">
        <v>0.23</v>
      </c>
      <c r="AS178" s="80">
        <v>70</v>
      </c>
      <c r="AT178" s="6">
        <f t="shared" si="43"/>
        <v>29.290000000000006</v>
      </c>
    </row>
    <row r="179" spans="1:46">
      <c r="A179" s="4">
        <v>45993</v>
      </c>
      <c r="B179" s="253">
        <v>110</v>
      </c>
      <c r="C179" s="78">
        <v>30.19</v>
      </c>
      <c r="D179" s="80">
        <v>18.559999999999999</v>
      </c>
      <c r="E179" s="80">
        <v>32.409999999999997</v>
      </c>
      <c r="F179" s="6">
        <f t="shared" si="33"/>
        <v>18.840000000000003</v>
      </c>
      <c r="G179" s="8"/>
      <c r="H179" s="8"/>
      <c r="I179" s="8"/>
      <c r="J179" s="6">
        <f t="shared" si="34"/>
        <v>100</v>
      </c>
      <c r="K179" s="19"/>
      <c r="L179" s="19"/>
      <c r="M179" s="19"/>
      <c r="N179" s="6">
        <f t="shared" si="35"/>
        <v>100</v>
      </c>
      <c r="O179" s="19"/>
      <c r="P179" s="19"/>
      <c r="Q179" s="19"/>
      <c r="R179" s="6">
        <f t="shared" si="36"/>
        <v>100</v>
      </c>
      <c r="S179" s="8"/>
      <c r="T179" s="8"/>
      <c r="U179" s="8"/>
      <c r="V179" s="6">
        <f t="shared" si="37"/>
        <v>100</v>
      </c>
      <c r="W179" s="8"/>
      <c r="X179" s="8"/>
      <c r="Y179" s="8"/>
      <c r="Z179" s="6">
        <f t="shared" si="38"/>
        <v>100</v>
      </c>
      <c r="AA179" s="19"/>
      <c r="AB179" s="19"/>
      <c r="AC179" s="19"/>
      <c r="AD179" s="6">
        <f t="shared" si="39"/>
        <v>100</v>
      </c>
      <c r="AE179" s="19"/>
      <c r="AF179" s="19"/>
      <c r="AG179" s="19"/>
      <c r="AH179" s="6">
        <f t="shared" si="40"/>
        <v>100</v>
      </c>
      <c r="AI179" s="19"/>
      <c r="AJ179" s="19"/>
      <c r="AK179" s="19"/>
      <c r="AL179" s="6">
        <f t="shared" si="41"/>
        <v>100</v>
      </c>
      <c r="AM179" s="19"/>
      <c r="AN179" s="19"/>
      <c r="AO179" s="19"/>
      <c r="AP179" s="6">
        <f t="shared" si="42"/>
        <v>100</v>
      </c>
      <c r="AQ179" s="19"/>
      <c r="AR179" s="19"/>
      <c r="AS179" s="19"/>
      <c r="AT179" s="6">
        <f t="shared" si="43"/>
        <v>100</v>
      </c>
    </row>
    <row r="180" spans="1:46">
      <c r="A180" s="4">
        <v>45994</v>
      </c>
      <c r="B180" s="253">
        <v>110</v>
      </c>
      <c r="C180" s="78">
        <v>30.56</v>
      </c>
      <c r="D180" s="80">
        <v>18.7</v>
      </c>
      <c r="E180" s="80">
        <v>32.020000000000003</v>
      </c>
      <c r="F180" s="6">
        <f t="shared" si="33"/>
        <v>18.72</v>
      </c>
      <c r="G180" s="8"/>
      <c r="H180" s="8"/>
      <c r="I180" s="8"/>
      <c r="J180" s="6">
        <f t="shared" si="34"/>
        <v>100</v>
      </c>
      <c r="K180" s="19"/>
      <c r="L180" s="19"/>
      <c r="M180" s="19"/>
      <c r="N180" s="6">
        <f t="shared" si="35"/>
        <v>100</v>
      </c>
      <c r="O180" s="19"/>
      <c r="P180" s="19"/>
      <c r="Q180" s="19"/>
      <c r="R180" s="6">
        <f>100-SUM(O180:Q180)</f>
        <v>100</v>
      </c>
      <c r="S180" s="8"/>
      <c r="T180" s="8"/>
      <c r="U180" s="8"/>
      <c r="V180" s="6">
        <f t="shared" si="37"/>
        <v>100</v>
      </c>
      <c r="W180" s="8"/>
      <c r="X180" s="8"/>
      <c r="Y180" s="8"/>
      <c r="Z180" s="6">
        <f t="shared" si="38"/>
        <v>100</v>
      </c>
      <c r="AA180" s="19"/>
      <c r="AB180" s="19"/>
      <c r="AC180" s="19"/>
      <c r="AD180" s="6">
        <f t="shared" si="39"/>
        <v>100</v>
      </c>
      <c r="AE180" s="19"/>
      <c r="AF180" s="19"/>
      <c r="AG180" s="19"/>
      <c r="AH180" s="6">
        <f t="shared" si="40"/>
        <v>100</v>
      </c>
      <c r="AI180" s="19"/>
      <c r="AJ180" s="19"/>
      <c r="AK180" s="19"/>
      <c r="AL180" s="6">
        <f t="shared" si="41"/>
        <v>100</v>
      </c>
      <c r="AM180" s="19"/>
      <c r="AN180" s="19"/>
      <c r="AO180" s="19"/>
      <c r="AP180" s="6">
        <f t="shared" si="42"/>
        <v>100</v>
      </c>
      <c r="AQ180" s="19"/>
      <c r="AR180" s="19"/>
      <c r="AS180" s="19"/>
      <c r="AT180" s="6">
        <f t="shared" si="43"/>
        <v>100</v>
      </c>
    </row>
    <row r="181" spans="1:46">
      <c r="A181" s="4">
        <v>45995</v>
      </c>
      <c r="B181" s="253">
        <v>111</v>
      </c>
      <c r="C181" s="78">
        <v>30.22</v>
      </c>
      <c r="D181" s="80">
        <v>18.64</v>
      </c>
      <c r="E181" s="80">
        <v>32.130000000000003</v>
      </c>
      <c r="F181" s="6">
        <f t="shared" si="33"/>
        <v>19.009999999999991</v>
      </c>
      <c r="G181" s="78">
        <v>10.99</v>
      </c>
      <c r="H181" s="80">
        <v>9.3699999999999992</v>
      </c>
      <c r="I181" s="80">
        <v>51.16</v>
      </c>
      <c r="J181" s="6">
        <f t="shared" si="34"/>
        <v>28.480000000000004</v>
      </c>
      <c r="K181" s="78">
        <v>17.93</v>
      </c>
      <c r="L181" s="80">
        <v>12.92</v>
      </c>
      <c r="M181" s="80">
        <v>42.97</v>
      </c>
      <c r="N181" s="6">
        <f t="shared" si="35"/>
        <v>26.180000000000007</v>
      </c>
      <c r="O181" s="78">
        <v>0.78</v>
      </c>
      <c r="P181" s="80">
        <v>0.34</v>
      </c>
      <c r="Q181" s="80">
        <v>68</v>
      </c>
      <c r="R181" s="6">
        <f>100-SUM(O181:Q181)</f>
        <v>30.879999999999995</v>
      </c>
      <c r="S181" s="81"/>
      <c r="T181" s="81"/>
      <c r="U181" s="81"/>
      <c r="V181" s="6">
        <f>100-SUM(O181:Q181)</f>
        <v>30.879999999999995</v>
      </c>
      <c r="W181" s="78">
        <v>34.81</v>
      </c>
      <c r="X181" s="80">
        <v>35.9</v>
      </c>
      <c r="Y181" s="230">
        <v>0</v>
      </c>
      <c r="Z181" s="6">
        <f t="shared" si="38"/>
        <v>29.289999999999992</v>
      </c>
      <c r="AA181" s="78">
        <v>26.89</v>
      </c>
      <c r="AB181" s="80">
        <v>12.74</v>
      </c>
      <c r="AC181" s="80">
        <v>0</v>
      </c>
      <c r="AD181" s="6">
        <f t="shared" si="39"/>
        <v>60.37</v>
      </c>
      <c r="AE181" s="78">
        <v>16.27</v>
      </c>
      <c r="AF181" s="80">
        <v>6.13</v>
      </c>
      <c r="AG181" s="80">
        <v>0</v>
      </c>
      <c r="AH181" s="6">
        <f t="shared" si="40"/>
        <v>77.599999999999994</v>
      </c>
      <c r="AI181" s="78">
        <v>5.81</v>
      </c>
      <c r="AJ181" s="80">
        <v>1.74</v>
      </c>
      <c r="AK181" s="80">
        <v>1.47</v>
      </c>
      <c r="AL181" s="6">
        <f t="shared" si="41"/>
        <v>90.98</v>
      </c>
      <c r="AM181" s="78">
        <v>2.04</v>
      </c>
      <c r="AN181" s="252" t="s">
        <v>48</v>
      </c>
      <c r="AO181" s="80">
        <v>0</v>
      </c>
      <c r="AP181" s="6">
        <f t="shared" si="42"/>
        <v>97.96</v>
      </c>
      <c r="AQ181" s="78">
        <v>0.45</v>
      </c>
      <c r="AR181" s="80">
        <v>0.22</v>
      </c>
      <c r="AS181" s="80">
        <v>70</v>
      </c>
      <c r="AT181" s="6">
        <f t="shared" si="43"/>
        <v>29.33</v>
      </c>
    </row>
    <row r="182" spans="1:46">
      <c r="A182" s="4">
        <v>45996</v>
      </c>
      <c r="B182" s="253">
        <v>110</v>
      </c>
      <c r="C182" s="78">
        <v>30.16</v>
      </c>
      <c r="D182" s="80">
        <v>18.53</v>
      </c>
      <c r="E182" s="80">
        <v>32.14</v>
      </c>
      <c r="F182" s="6">
        <f t="shared" si="33"/>
        <v>19.170000000000002</v>
      </c>
      <c r="G182" s="8"/>
      <c r="H182" s="8"/>
      <c r="I182" s="8"/>
      <c r="J182" s="6">
        <f t="shared" si="34"/>
        <v>100</v>
      </c>
      <c r="K182" s="19"/>
      <c r="L182" s="19"/>
      <c r="M182" s="19"/>
      <c r="N182" s="6">
        <f t="shared" si="35"/>
        <v>100</v>
      </c>
      <c r="O182" s="19"/>
      <c r="P182" s="19"/>
      <c r="Q182" s="19"/>
      <c r="R182" s="6">
        <f t="shared" si="36"/>
        <v>100</v>
      </c>
      <c r="S182" s="8"/>
      <c r="T182" s="8"/>
      <c r="U182" s="8"/>
      <c r="V182" s="6">
        <f t="shared" si="37"/>
        <v>100</v>
      </c>
      <c r="W182" s="8"/>
      <c r="X182" s="8"/>
      <c r="Y182" s="8"/>
      <c r="Z182" s="6">
        <f t="shared" si="38"/>
        <v>100</v>
      </c>
      <c r="AA182" s="19"/>
      <c r="AB182" s="19"/>
      <c r="AC182" s="19"/>
      <c r="AD182" s="6">
        <f t="shared" si="39"/>
        <v>100</v>
      </c>
      <c r="AE182" s="19"/>
      <c r="AF182" s="19"/>
      <c r="AG182" s="19"/>
      <c r="AH182" s="6">
        <f t="shared" si="40"/>
        <v>100</v>
      </c>
      <c r="AI182" s="19"/>
      <c r="AJ182" s="19"/>
      <c r="AK182" s="19"/>
      <c r="AL182" s="6">
        <f t="shared" si="41"/>
        <v>100</v>
      </c>
      <c r="AM182" s="19"/>
      <c r="AN182" s="19"/>
      <c r="AO182" s="19"/>
      <c r="AP182" s="6">
        <f t="shared" si="42"/>
        <v>100</v>
      </c>
      <c r="AQ182" s="19"/>
      <c r="AR182" s="19"/>
      <c r="AS182" s="19"/>
      <c r="AT182" s="6">
        <f t="shared" si="43"/>
        <v>100</v>
      </c>
    </row>
    <row r="183" spans="1:46">
      <c r="A183" s="4">
        <v>45997</v>
      </c>
      <c r="B183" s="253">
        <v>110</v>
      </c>
      <c r="C183" s="78">
        <v>30.29</v>
      </c>
      <c r="D183" s="80">
        <v>18.690000000000001</v>
      </c>
      <c r="E183" s="80">
        <v>31.9</v>
      </c>
      <c r="F183" s="6">
        <f t="shared" si="33"/>
        <v>19.120000000000005</v>
      </c>
      <c r="G183" s="8"/>
      <c r="H183" s="8"/>
      <c r="I183" s="8"/>
      <c r="J183" s="6">
        <f t="shared" si="34"/>
        <v>100</v>
      </c>
      <c r="K183" s="19"/>
      <c r="L183" s="19"/>
      <c r="M183" s="19"/>
      <c r="N183" s="6">
        <f t="shared" si="35"/>
        <v>100</v>
      </c>
      <c r="O183" s="19"/>
      <c r="P183" s="19"/>
      <c r="Q183" s="19"/>
      <c r="R183" s="6">
        <f t="shared" si="36"/>
        <v>100</v>
      </c>
      <c r="S183" s="8"/>
      <c r="T183" s="8"/>
      <c r="U183" s="8"/>
      <c r="V183" s="6">
        <f t="shared" si="37"/>
        <v>100</v>
      </c>
      <c r="W183" s="8"/>
      <c r="X183" s="8"/>
      <c r="Y183" s="8"/>
      <c r="Z183" s="6">
        <f t="shared" si="38"/>
        <v>100</v>
      </c>
      <c r="AA183" s="19"/>
      <c r="AB183" s="19"/>
      <c r="AC183" s="19"/>
      <c r="AD183" s="6">
        <f t="shared" si="39"/>
        <v>100</v>
      </c>
      <c r="AE183" s="19"/>
      <c r="AF183" s="19"/>
      <c r="AG183" s="19"/>
      <c r="AH183" s="6">
        <f t="shared" si="40"/>
        <v>100</v>
      </c>
      <c r="AI183" s="19"/>
      <c r="AJ183" s="19"/>
      <c r="AK183" s="19"/>
      <c r="AL183" s="6">
        <f t="shared" si="41"/>
        <v>100</v>
      </c>
      <c r="AM183" s="19"/>
      <c r="AN183" s="19"/>
      <c r="AO183" s="19"/>
      <c r="AP183" s="6">
        <f t="shared" si="42"/>
        <v>100</v>
      </c>
      <c r="AQ183" s="19"/>
      <c r="AR183" s="19"/>
      <c r="AS183" s="19"/>
      <c r="AT183" s="6">
        <f t="shared" si="43"/>
        <v>100</v>
      </c>
    </row>
    <row r="184" spans="1:46">
      <c r="A184" s="4">
        <v>45998</v>
      </c>
      <c r="B184" s="129"/>
      <c r="C184" s="7"/>
      <c r="D184" s="7"/>
      <c r="E184" s="7"/>
      <c r="F184" s="6">
        <f t="shared" si="33"/>
        <v>100</v>
      </c>
      <c r="G184" s="8"/>
      <c r="H184" s="8"/>
      <c r="I184" s="8"/>
      <c r="J184" s="6">
        <f t="shared" si="34"/>
        <v>100</v>
      </c>
      <c r="K184" s="19"/>
      <c r="L184" s="19"/>
      <c r="M184" s="19"/>
      <c r="N184" s="6">
        <f t="shared" si="35"/>
        <v>100</v>
      </c>
      <c r="O184" s="19"/>
      <c r="P184" s="19"/>
      <c r="Q184" s="19"/>
      <c r="R184" s="6">
        <f t="shared" si="36"/>
        <v>100</v>
      </c>
      <c r="S184" s="8"/>
      <c r="T184" s="8"/>
      <c r="U184" s="8"/>
      <c r="V184" s="6">
        <f t="shared" si="37"/>
        <v>100</v>
      </c>
      <c r="W184" s="8"/>
      <c r="X184" s="8"/>
      <c r="Y184" s="8"/>
      <c r="Z184" s="6">
        <f t="shared" si="38"/>
        <v>100</v>
      </c>
      <c r="AA184" s="19"/>
      <c r="AB184" s="19"/>
      <c r="AC184" s="19"/>
      <c r="AD184" s="6">
        <f t="shared" si="39"/>
        <v>100</v>
      </c>
      <c r="AE184" s="19"/>
      <c r="AF184" s="19"/>
      <c r="AG184" s="19"/>
      <c r="AH184" s="6">
        <f t="shared" si="40"/>
        <v>100</v>
      </c>
      <c r="AI184" s="19"/>
      <c r="AJ184" s="19"/>
      <c r="AK184" s="19"/>
      <c r="AL184" s="6">
        <f t="shared" si="41"/>
        <v>100</v>
      </c>
      <c r="AM184" s="19"/>
      <c r="AN184" s="19"/>
      <c r="AO184" s="19"/>
      <c r="AP184" s="6">
        <f t="shared" si="42"/>
        <v>100</v>
      </c>
      <c r="AQ184" s="19"/>
      <c r="AR184" s="19"/>
      <c r="AS184" s="19"/>
      <c r="AT184" s="6">
        <f t="shared" si="43"/>
        <v>100</v>
      </c>
    </row>
    <row r="185" spans="1:46">
      <c r="A185" s="4">
        <v>45999</v>
      </c>
      <c r="B185" s="253">
        <v>110</v>
      </c>
      <c r="C185" s="78">
        <v>30.35</v>
      </c>
      <c r="D185" s="80">
        <v>18.55</v>
      </c>
      <c r="E185" s="80">
        <v>32.17</v>
      </c>
      <c r="F185" s="6">
        <f t="shared" si="33"/>
        <v>18.929999999999993</v>
      </c>
      <c r="G185" s="78">
        <v>11.19</v>
      </c>
      <c r="H185" s="80">
        <v>9.57</v>
      </c>
      <c r="I185" s="80">
        <v>51.46</v>
      </c>
      <c r="J185" s="6">
        <f t="shared" si="34"/>
        <v>27.78</v>
      </c>
      <c r="K185" s="78">
        <v>17.47</v>
      </c>
      <c r="L185" s="80">
        <v>13.1</v>
      </c>
      <c r="M185" s="80">
        <v>43.61</v>
      </c>
      <c r="N185" s="6">
        <f t="shared" si="35"/>
        <v>25.819999999999993</v>
      </c>
      <c r="O185" s="78">
        <v>0.85</v>
      </c>
      <c r="P185" s="80">
        <v>0.41</v>
      </c>
      <c r="Q185" s="80">
        <v>67</v>
      </c>
      <c r="R185" s="6">
        <f t="shared" si="36"/>
        <v>31.739999999999995</v>
      </c>
      <c r="S185" s="8"/>
      <c r="T185" s="8"/>
      <c r="U185" s="8"/>
      <c r="V185" s="6">
        <f t="shared" si="37"/>
        <v>100</v>
      </c>
      <c r="W185" s="78">
        <v>34.520000000000003</v>
      </c>
      <c r="X185" s="80">
        <v>36.130000000000003</v>
      </c>
      <c r="Y185" s="230">
        <v>0</v>
      </c>
      <c r="Z185" s="6">
        <f t="shared" si="38"/>
        <v>29.349999999999994</v>
      </c>
      <c r="AA185" s="78">
        <v>28.3</v>
      </c>
      <c r="AB185" s="80">
        <v>13.25</v>
      </c>
      <c r="AC185" s="19"/>
      <c r="AD185" s="6">
        <f t="shared" si="39"/>
        <v>58.45</v>
      </c>
      <c r="AE185" s="78">
        <v>14.41</v>
      </c>
      <c r="AF185" s="80">
        <v>5.07</v>
      </c>
      <c r="AG185" s="80">
        <v>0</v>
      </c>
      <c r="AH185" s="6">
        <f t="shared" si="40"/>
        <v>80.52</v>
      </c>
      <c r="AI185" s="78">
        <v>5.58</v>
      </c>
      <c r="AJ185" s="80">
        <v>1.67</v>
      </c>
      <c r="AK185" s="80">
        <v>1.41</v>
      </c>
      <c r="AL185" s="6">
        <f t="shared" si="41"/>
        <v>91.34</v>
      </c>
      <c r="AM185" s="78">
        <v>2.04</v>
      </c>
      <c r="AN185" s="19"/>
      <c r="AO185" s="19"/>
      <c r="AP185" s="6">
        <f t="shared" si="42"/>
        <v>97.96</v>
      </c>
      <c r="AQ185" s="78">
        <v>0.46</v>
      </c>
      <c r="AR185" s="80">
        <v>0.23</v>
      </c>
      <c r="AS185" s="80">
        <v>70</v>
      </c>
      <c r="AT185" s="6">
        <f t="shared" si="43"/>
        <v>29.310000000000002</v>
      </c>
    </row>
    <row r="186" spans="1:46">
      <c r="A186" s="4">
        <v>46000</v>
      </c>
      <c r="B186" s="129"/>
      <c r="C186" s="7"/>
      <c r="D186" s="7"/>
      <c r="E186" s="7"/>
      <c r="F186" s="6">
        <f t="shared" si="33"/>
        <v>100</v>
      </c>
      <c r="G186" s="8"/>
      <c r="H186" s="8"/>
      <c r="I186" s="8"/>
      <c r="J186" s="6">
        <f t="shared" si="34"/>
        <v>100</v>
      </c>
      <c r="K186" s="19"/>
      <c r="L186" s="19"/>
      <c r="M186" s="19"/>
      <c r="N186" s="6">
        <f t="shared" si="35"/>
        <v>100</v>
      </c>
      <c r="O186" s="19"/>
      <c r="P186" s="19"/>
      <c r="Q186" s="19"/>
      <c r="R186" s="6">
        <f t="shared" si="36"/>
        <v>100</v>
      </c>
      <c r="S186" s="8"/>
      <c r="T186" s="8"/>
      <c r="U186" s="8"/>
      <c r="V186" s="6">
        <f t="shared" si="37"/>
        <v>100</v>
      </c>
      <c r="W186" s="8"/>
      <c r="X186" s="8"/>
      <c r="Y186" s="8"/>
      <c r="Z186" s="6">
        <f t="shared" si="38"/>
        <v>100</v>
      </c>
      <c r="AA186" s="19"/>
      <c r="AB186" s="19"/>
      <c r="AC186" s="19"/>
      <c r="AD186" s="6">
        <f t="shared" si="39"/>
        <v>100</v>
      </c>
      <c r="AE186" s="19"/>
      <c r="AF186" s="19"/>
      <c r="AG186" s="19"/>
      <c r="AH186" s="6">
        <f t="shared" si="40"/>
        <v>100</v>
      </c>
      <c r="AI186" s="19"/>
      <c r="AJ186" s="19"/>
      <c r="AK186" s="19"/>
      <c r="AL186" s="6">
        <f t="shared" si="41"/>
        <v>100</v>
      </c>
      <c r="AM186" s="19"/>
      <c r="AN186" s="19"/>
      <c r="AO186" s="19"/>
      <c r="AP186" s="6">
        <f t="shared" si="42"/>
        <v>100</v>
      </c>
      <c r="AQ186" s="19"/>
      <c r="AR186" s="19"/>
      <c r="AS186" s="19"/>
      <c r="AT186" s="6">
        <f t="shared" si="43"/>
        <v>100</v>
      </c>
    </row>
    <row r="187" spans="1:46">
      <c r="A187" s="4">
        <v>46001</v>
      </c>
      <c r="B187" s="129"/>
      <c r="C187" s="7"/>
      <c r="D187" s="7"/>
      <c r="E187" s="7"/>
      <c r="F187" s="6">
        <f t="shared" si="33"/>
        <v>100</v>
      </c>
      <c r="G187" s="8"/>
      <c r="H187" s="8"/>
      <c r="I187" s="8"/>
      <c r="J187" s="6">
        <f t="shared" si="34"/>
        <v>100</v>
      </c>
      <c r="K187" s="19"/>
      <c r="L187" s="19"/>
      <c r="M187" s="19"/>
      <c r="N187" s="6">
        <f t="shared" si="35"/>
        <v>100</v>
      </c>
      <c r="O187" s="19"/>
      <c r="P187" s="19"/>
      <c r="Q187" s="19"/>
      <c r="R187" s="6">
        <f t="shared" si="36"/>
        <v>100</v>
      </c>
      <c r="S187" s="8"/>
      <c r="T187" s="8"/>
      <c r="U187" s="8"/>
      <c r="V187" s="6">
        <f t="shared" si="37"/>
        <v>100</v>
      </c>
      <c r="W187" s="8"/>
      <c r="X187" s="8"/>
      <c r="Y187" s="8"/>
      <c r="Z187" s="6">
        <f t="shared" si="38"/>
        <v>100</v>
      </c>
      <c r="AA187" s="19"/>
      <c r="AB187" s="19"/>
      <c r="AC187" s="19"/>
      <c r="AD187" s="6">
        <f t="shared" si="39"/>
        <v>100</v>
      </c>
      <c r="AE187" s="19"/>
      <c r="AF187" s="19"/>
      <c r="AG187" s="19"/>
      <c r="AH187" s="6">
        <f t="shared" si="40"/>
        <v>100</v>
      </c>
      <c r="AI187" s="19"/>
      <c r="AJ187" s="19"/>
      <c r="AK187" s="19"/>
      <c r="AL187" s="6">
        <f t="shared" si="41"/>
        <v>100</v>
      </c>
      <c r="AM187" s="19"/>
      <c r="AN187" s="19"/>
      <c r="AO187" s="19"/>
      <c r="AP187" s="6">
        <f t="shared" si="42"/>
        <v>100</v>
      </c>
      <c r="AQ187" s="19"/>
      <c r="AR187" s="19"/>
      <c r="AS187" s="19"/>
      <c r="AT187" s="6">
        <f t="shared" si="43"/>
        <v>100</v>
      </c>
    </row>
    <row r="188" spans="1:46">
      <c r="A188" s="4">
        <v>46002</v>
      </c>
      <c r="B188" s="129"/>
      <c r="C188" s="7"/>
      <c r="D188" s="7"/>
      <c r="E188" s="7"/>
      <c r="F188" s="6">
        <f t="shared" si="33"/>
        <v>100</v>
      </c>
      <c r="G188" s="8"/>
      <c r="H188" s="8"/>
      <c r="I188" s="8"/>
      <c r="J188" s="6">
        <f t="shared" si="34"/>
        <v>100</v>
      </c>
      <c r="K188" s="19"/>
      <c r="L188" s="19"/>
      <c r="M188" s="19"/>
      <c r="N188" s="6">
        <f t="shared" si="35"/>
        <v>100</v>
      </c>
      <c r="O188" s="19"/>
      <c r="P188" s="19"/>
      <c r="Q188" s="19"/>
      <c r="R188" s="6">
        <f t="shared" si="36"/>
        <v>100</v>
      </c>
      <c r="S188" s="8"/>
      <c r="T188" s="8"/>
      <c r="U188" s="8"/>
      <c r="V188" s="6">
        <f t="shared" si="37"/>
        <v>100</v>
      </c>
      <c r="W188" s="8"/>
      <c r="X188" s="8"/>
      <c r="Y188" s="8"/>
      <c r="Z188" s="6">
        <f t="shared" si="38"/>
        <v>100</v>
      </c>
      <c r="AA188" s="19"/>
      <c r="AB188" s="19"/>
      <c r="AC188" s="19"/>
      <c r="AD188" s="6">
        <f t="shared" si="39"/>
        <v>100</v>
      </c>
      <c r="AE188" s="19"/>
      <c r="AF188" s="19"/>
      <c r="AG188" s="19"/>
      <c r="AH188" s="6">
        <f t="shared" si="40"/>
        <v>100</v>
      </c>
      <c r="AI188" s="19"/>
      <c r="AJ188" s="19"/>
      <c r="AK188" s="19"/>
      <c r="AL188" s="6">
        <f t="shared" si="41"/>
        <v>100</v>
      </c>
      <c r="AM188" s="19"/>
      <c r="AN188" s="19"/>
      <c r="AO188" s="19"/>
      <c r="AP188" s="6">
        <f t="shared" si="42"/>
        <v>100</v>
      </c>
      <c r="AQ188" s="19"/>
      <c r="AR188" s="19"/>
      <c r="AS188" s="19"/>
      <c r="AT188" s="6">
        <f t="shared" si="43"/>
        <v>100</v>
      </c>
    </row>
    <row r="189" spans="1:46">
      <c r="A189" s="4">
        <v>46003</v>
      </c>
      <c r="B189" s="129"/>
      <c r="C189" s="7"/>
      <c r="D189" s="7"/>
      <c r="E189" s="7"/>
      <c r="F189" s="6">
        <f t="shared" si="33"/>
        <v>100</v>
      </c>
      <c r="G189" s="8"/>
      <c r="H189" s="8"/>
      <c r="I189" s="8"/>
      <c r="J189" s="6">
        <f t="shared" si="34"/>
        <v>100</v>
      </c>
      <c r="K189" s="19"/>
      <c r="L189" s="19"/>
      <c r="M189" s="19"/>
      <c r="N189" s="6">
        <f t="shared" si="35"/>
        <v>100</v>
      </c>
      <c r="O189" s="19"/>
      <c r="P189" s="19"/>
      <c r="Q189" s="19"/>
      <c r="R189" s="6">
        <f t="shared" si="36"/>
        <v>100</v>
      </c>
      <c r="S189" s="8"/>
      <c r="T189" s="8"/>
      <c r="U189" s="8"/>
      <c r="V189" s="6">
        <f t="shared" si="37"/>
        <v>100</v>
      </c>
      <c r="W189" s="8"/>
      <c r="X189" s="8"/>
      <c r="Y189" s="8"/>
      <c r="Z189" s="6">
        <f t="shared" si="38"/>
        <v>100</v>
      </c>
      <c r="AA189" s="19"/>
      <c r="AB189" s="19"/>
      <c r="AC189" s="19"/>
      <c r="AD189" s="6">
        <f t="shared" si="39"/>
        <v>100</v>
      </c>
      <c r="AE189" s="19"/>
      <c r="AF189" s="19"/>
      <c r="AG189" s="19"/>
      <c r="AH189" s="6">
        <f t="shared" si="40"/>
        <v>100</v>
      </c>
      <c r="AI189" s="19"/>
      <c r="AJ189" s="19"/>
      <c r="AK189" s="19"/>
      <c r="AL189" s="6">
        <f t="shared" si="41"/>
        <v>100</v>
      </c>
      <c r="AM189" s="19"/>
      <c r="AN189" s="19"/>
      <c r="AO189" s="19"/>
      <c r="AP189" s="6">
        <f t="shared" si="42"/>
        <v>100</v>
      </c>
      <c r="AQ189" s="19"/>
      <c r="AR189" s="19"/>
      <c r="AS189" s="19"/>
      <c r="AT189" s="6">
        <f t="shared" si="43"/>
        <v>100</v>
      </c>
    </row>
    <row r="190" spans="1:46">
      <c r="A190" s="4">
        <v>46004</v>
      </c>
      <c r="B190" s="129"/>
      <c r="C190" s="7"/>
      <c r="D190" s="7"/>
      <c r="E190" s="7"/>
      <c r="F190" s="6">
        <f t="shared" si="33"/>
        <v>100</v>
      </c>
      <c r="G190" s="8"/>
      <c r="H190" s="8"/>
      <c r="I190" s="8"/>
      <c r="J190" s="6">
        <f t="shared" si="34"/>
        <v>100</v>
      </c>
      <c r="K190" s="19"/>
      <c r="L190" s="19"/>
      <c r="M190" s="19"/>
      <c r="N190" s="6">
        <f t="shared" si="35"/>
        <v>100</v>
      </c>
      <c r="O190" s="19"/>
      <c r="P190" s="19"/>
      <c r="Q190" s="19"/>
      <c r="R190" s="6">
        <f t="shared" si="36"/>
        <v>100</v>
      </c>
      <c r="S190" s="8"/>
      <c r="T190" s="8"/>
      <c r="U190" s="8"/>
      <c r="V190" s="6">
        <f t="shared" si="37"/>
        <v>100</v>
      </c>
      <c r="W190" s="8"/>
      <c r="X190" s="8"/>
      <c r="Y190" s="8"/>
      <c r="Z190" s="6">
        <f t="shared" si="38"/>
        <v>100</v>
      </c>
      <c r="AA190" s="19"/>
      <c r="AB190" s="19"/>
      <c r="AC190" s="19"/>
      <c r="AD190" s="6">
        <f t="shared" si="39"/>
        <v>100</v>
      </c>
      <c r="AE190" s="19"/>
      <c r="AF190" s="19"/>
      <c r="AG190" s="19"/>
      <c r="AH190" s="6">
        <f t="shared" si="40"/>
        <v>100</v>
      </c>
      <c r="AI190" s="19"/>
      <c r="AJ190" s="19"/>
      <c r="AK190" s="19"/>
      <c r="AL190" s="6">
        <f t="shared" si="41"/>
        <v>100</v>
      </c>
      <c r="AM190" s="19"/>
      <c r="AN190" s="19"/>
      <c r="AO190" s="19"/>
      <c r="AP190" s="6">
        <f t="shared" si="42"/>
        <v>100</v>
      </c>
      <c r="AQ190" s="19"/>
      <c r="AR190" s="19"/>
      <c r="AS190" s="19"/>
      <c r="AT190" s="6">
        <f t="shared" si="43"/>
        <v>100</v>
      </c>
    </row>
    <row r="191" spans="1:46">
      <c r="A191" s="4">
        <v>46005</v>
      </c>
      <c r="B191" s="129"/>
      <c r="C191" s="7"/>
      <c r="D191" s="7"/>
      <c r="E191" s="7"/>
      <c r="F191" s="6">
        <f t="shared" si="33"/>
        <v>100</v>
      </c>
      <c r="G191" s="8"/>
      <c r="H191" s="8"/>
      <c r="I191" s="8"/>
      <c r="J191" s="6">
        <f t="shared" si="34"/>
        <v>100</v>
      </c>
      <c r="K191" s="19"/>
      <c r="L191" s="19"/>
      <c r="M191" s="19"/>
      <c r="N191" s="6">
        <f t="shared" si="35"/>
        <v>100</v>
      </c>
      <c r="O191" s="19"/>
      <c r="P191" s="19"/>
      <c r="Q191" s="19"/>
      <c r="R191" s="6">
        <f t="shared" si="36"/>
        <v>100</v>
      </c>
      <c r="S191" s="8"/>
      <c r="T191" s="8"/>
      <c r="U191" s="8"/>
      <c r="V191" s="6">
        <f t="shared" si="37"/>
        <v>100</v>
      </c>
      <c r="W191" s="8"/>
      <c r="X191" s="8"/>
      <c r="Y191" s="8"/>
      <c r="Z191" s="6">
        <f t="shared" si="38"/>
        <v>100</v>
      </c>
      <c r="AA191" s="19"/>
      <c r="AB191" s="19"/>
      <c r="AC191" s="19"/>
      <c r="AD191" s="6">
        <f t="shared" si="39"/>
        <v>100</v>
      </c>
      <c r="AE191" s="19"/>
      <c r="AF191" s="19"/>
      <c r="AG191" s="19"/>
      <c r="AH191" s="6">
        <f t="shared" si="40"/>
        <v>100</v>
      </c>
      <c r="AI191" s="19"/>
      <c r="AJ191" s="19"/>
      <c r="AK191" s="19"/>
      <c r="AL191" s="6">
        <f t="shared" si="41"/>
        <v>100</v>
      </c>
      <c r="AM191" s="19"/>
      <c r="AN191" s="19"/>
      <c r="AO191" s="19"/>
      <c r="AP191" s="6">
        <f t="shared" si="42"/>
        <v>100</v>
      </c>
      <c r="AQ191" s="19"/>
      <c r="AR191" s="19"/>
      <c r="AS191" s="19"/>
      <c r="AT191" s="6">
        <f t="shared" si="43"/>
        <v>100</v>
      </c>
    </row>
    <row r="192" spans="1:46">
      <c r="A192" s="4">
        <v>46006</v>
      </c>
      <c r="B192" s="129"/>
      <c r="C192" s="7"/>
      <c r="D192" s="7"/>
      <c r="E192" s="7"/>
      <c r="F192" s="6">
        <f t="shared" si="33"/>
        <v>100</v>
      </c>
      <c r="G192" s="8"/>
      <c r="H192" s="8"/>
      <c r="I192" s="8"/>
      <c r="J192" s="6">
        <f t="shared" si="34"/>
        <v>100</v>
      </c>
      <c r="K192" s="19"/>
      <c r="L192" s="19"/>
      <c r="M192" s="19"/>
      <c r="N192" s="6">
        <f t="shared" si="35"/>
        <v>100</v>
      </c>
      <c r="O192" s="19"/>
      <c r="P192" s="19"/>
      <c r="Q192" s="19"/>
      <c r="R192" s="6">
        <f t="shared" si="36"/>
        <v>100</v>
      </c>
      <c r="S192" s="8"/>
      <c r="T192" s="8"/>
      <c r="U192" s="8"/>
      <c r="V192" s="6">
        <f t="shared" si="37"/>
        <v>100</v>
      </c>
      <c r="W192" s="8"/>
      <c r="X192" s="8"/>
      <c r="Y192" s="8"/>
      <c r="Z192" s="6">
        <f t="shared" si="38"/>
        <v>100</v>
      </c>
      <c r="AA192" s="19"/>
      <c r="AB192" s="19"/>
      <c r="AC192" s="19"/>
      <c r="AD192" s="6">
        <f t="shared" si="39"/>
        <v>100</v>
      </c>
      <c r="AE192" s="19"/>
      <c r="AF192" s="19"/>
      <c r="AG192" s="19"/>
      <c r="AH192" s="6">
        <f t="shared" si="40"/>
        <v>100</v>
      </c>
      <c r="AI192" s="19"/>
      <c r="AJ192" s="19"/>
      <c r="AK192" s="19"/>
      <c r="AL192" s="6">
        <f t="shared" si="41"/>
        <v>100</v>
      </c>
      <c r="AM192" s="19"/>
      <c r="AN192" s="19"/>
      <c r="AO192" s="19"/>
      <c r="AP192" s="6">
        <f t="shared" si="42"/>
        <v>100</v>
      </c>
      <c r="AQ192" s="19"/>
      <c r="AR192" s="19"/>
      <c r="AS192" s="19"/>
      <c r="AT192" s="6">
        <f t="shared" si="43"/>
        <v>100</v>
      </c>
    </row>
    <row r="193" spans="1:46">
      <c r="A193" s="4">
        <v>46007</v>
      </c>
      <c r="B193" s="129"/>
      <c r="C193" s="7"/>
      <c r="D193" s="7"/>
      <c r="E193" s="7"/>
      <c r="F193" s="6">
        <f t="shared" si="33"/>
        <v>100</v>
      </c>
      <c r="G193" s="8"/>
      <c r="H193" s="8"/>
      <c r="I193" s="8"/>
      <c r="J193" s="6">
        <f t="shared" si="34"/>
        <v>100</v>
      </c>
      <c r="K193" s="19"/>
      <c r="L193" s="19"/>
      <c r="M193" s="19"/>
      <c r="N193" s="6">
        <f t="shared" si="35"/>
        <v>100</v>
      </c>
      <c r="O193" s="19"/>
      <c r="P193" s="19"/>
      <c r="Q193" s="19"/>
      <c r="R193" s="6">
        <f t="shared" si="36"/>
        <v>100</v>
      </c>
      <c r="S193" s="8"/>
      <c r="T193" s="8"/>
      <c r="U193" s="8"/>
      <c r="V193" s="6">
        <f t="shared" si="37"/>
        <v>100</v>
      </c>
      <c r="W193" s="8"/>
      <c r="X193" s="8"/>
      <c r="Y193" s="8"/>
      <c r="Z193" s="6">
        <f t="shared" si="38"/>
        <v>100</v>
      </c>
      <c r="AA193" s="19"/>
      <c r="AB193" s="19"/>
      <c r="AC193" s="19"/>
      <c r="AD193" s="6">
        <f t="shared" si="39"/>
        <v>100</v>
      </c>
      <c r="AE193" s="19"/>
      <c r="AF193" s="19"/>
      <c r="AG193" s="19"/>
      <c r="AH193" s="6">
        <f t="shared" si="40"/>
        <v>100</v>
      </c>
      <c r="AI193" s="19"/>
      <c r="AJ193" s="19"/>
      <c r="AK193" s="19"/>
      <c r="AL193" s="6">
        <f t="shared" si="41"/>
        <v>100</v>
      </c>
      <c r="AM193" s="19"/>
      <c r="AN193" s="19"/>
      <c r="AO193" s="19"/>
      <c r="AP193" s="6">
        <f t="shared" si="42"/>
        <v>100</v>
      </c>
      <c r="AQ193" s="19"/>
      <c r="AR193" s="19"/>
      <c r="AS193" s="19"/>
      <c r="AT193" s="6">
        <f t="shared" si="43"/>
        <v>100</v>
      </c>
    </row>
    <row r="194" spans="1:46">
      <c r="A194" s="4">
        <v>46008</v>
      </c>
      <c r="B194" s="253">
        <v>110</v>
      </c>
      <c r="C194" s="78">
        <v>30.13</v>
      </c>
      <c r="D194" s="80">
        <v>18.690000000000001</v>
      </c>
      <c r="E194" s="80">
        <v>32.159999999999997</v>
      </c>
      <c r="F194" s="6">
        <f t="shared" si="33"/>
        <v>19.02000000000001</v>
      </c>
      <c r="G194" s="8"/>
      <c r="H194" s="8"/>
      <c r="I194" s="8"/>
      <c r="J194" s="6">
        <f t="shared" si="34"/>
        <v>100</v>
      </c>
      <c r="K194" s="19"/>
      <c r="L194" s="19"/>
      <c r="M194" s="19"/>
      <c r="N194" s="6">
        <f t="shared" si="35"/>
        <v>100</v>
      </c>
      <c r="O194" s="19"/>
      <c r="P194" s="19"/>
      <c r="Q194" s="19"/>
      <c r="R194" s="6">
        <f t="shared" si="36"/>
        <v>100</v>
      </c>
      <c r="S194" s="8"/>
      <c r="T194" s="8"/>
      <c r="U194" s="8"/>
      <c r="V194" s="6">
        <f t="shared" si="37"/>
        <v>100</v>
      </c>
      <c r="W194" s="8"/>
      <c r="X194" s="8"/>
      <c r="Y194" s="8"/>
      <c r="Z194" s="6">
        <f t="shared" si="38"/>
        <v>100</v>
      </c>
      <c r="AA194" s="19"/>
      <c r="AB194" s="19"/>
      <c r="AC194" s="19"/>
      <c r="AD194" s="6">
        <f t="shared" si="39"/>
        <v>100</v>
      </c>
      <c r="AE194" s="19"/>
      <c r="AF194" s="19"/>
      <c r="AG194" s="19"/>
      <c r="AH194" s="6">
        <f t="shared" si="40"/>
        <v>100</v>
      </c>
      <c r="AI194" s="19"/>
      <c r="AJ194" s="19"/>
      <c r="AK194" s="19"/>
      <c r="AL194" s="6">
        <f t="shared" si="41"/>
        <v>100</v>
      </c>
      <c r="AM194" s="19"/>
      <c r="AN194" s="19"/>
      <c r="AO194" s="19"/>
      <c r="AP194" s="6">
        <f t="shared" si="42"/>
        <v>100</v>
      </c>
      <c r="AQ194" s="19"/>
      <c r="AR194" s="19"/>
      <c r="AS194" s="19"/>
      <c r="AT194" s="6">
        <f t="shared" si="43"/>
        <v>100</v>
      </c>
    </row>
    <row r="195" spans="1:46">
      <c r="A195" s="4">
        <v>46009</v>
      </c>
      <c r="B195" s="253">
        <v>110</v>
      </c>
      <c r="C195" s="78">
        <v>30.22</v>
      </c>
      <c r="D195" s="80">
        <v>18.940000000000001</v>
      </c>
      <c r="E195" s="80">
        <v>31.9</v>
      </c>
      <c r="F195" s="6">
        <f t="shared" si="33"/>
        <v>18.939999999999998</v>
      </c>
      <c r="G195" s="78">
        <v>11.12</v>
      </c>
      <c r="H195" s="80">
        <v>9.11</v>
      </c>
      <c r="I195" s="80">
        <v>51.13</v>
      </c>
      <c r="J195" s="6">
        <f t="shared" si="34"/>
        <v>28.64</v>
      </c>
      <c r="K195" s="78">
        <v>17.93</v>
      </c>
      <c r="L195" s="80">
        <v>13.77</v>
      </c>
      <c r="M195" s="80">
        <v>43.94</v>
      </c>
      <c r="N195" s="6">
        <f t="shared" si="35"/>
        <v>24.36</v>
      </c>
      <c r="O195" s="78">
        <v>0.85</v>
      </c>
      <c r="P195" s="80">
        <v>0.35</v>
      </c>
      <c r="Q195" s="80">
        <v>67</v>
      </c>
      <c r="R195" s="6">
        <f t="shared" si="36"/>
        <v>31.799999999999997</v>
      </c>
      <c r="S195" s="8"/>
      <c r="T195" s="8"/>
      <c r="U195" s="8"/>
      <c r="V195" s="6">
        <f t="shared" si="37"/>
        <v>100</v>
      </c>
      <c r="W195" s="78">
        <v>33.69</v>
      </c>
      <c r="X195" s="80">
        <v>35.1</v>
      </c>
      <c r="Y195" s="230">
        <v>0</v>
      </c>
      <c r="Z195" s="6">
        <f t="shared" si="38"/>
        <v>31.210000000000008</v>
      </c>
      <c r="AA195" s="78">
        <v>26.13</v>
      </c>
      <c r="AB195" s="80">
        <v>11.16</v>
      </c>
      <c r="AC195" s="80">
        <v>0</v>
      </c>
      <c r="AD195" s="6">
        <f t="shared" si="39"/>
        <v>62.71</v>
      </c>
      <c r="AE195" s="78">
        <v>15.89</v>
      </c>
      <c r="AF195" s="80">
        <v>6.2</v>
      </c>
      <c r="AG195" s="80">
        <v>0</v>
      </c>
      <c r="AH195" s="6">
        <f t="shared" si="40"/>
        <v>77.91</v>
      </c>
      <c r="AI195" s="78">
        <v>5.54</v>
      </c>
      <c r="AJ195" s="80">
        <v>1.59</v>
      </c>
      <c r="AK195" s="80">
        <v>1.74</v>
      </c>
      <c r="AL195" s="6">
        <f t="shared" si="41"/>
        <v>91.13</v>
      </c>
      <c r="AM195" s="78">
        <v>3.06</v>
      </c>
      <c r="AN195" s="125" t="s">
        <v>48</v>
      </c>
      <c r="AO195" s="80">
        <v>0</v>
      </c>
      <c r="AP195" s="6">
        <f t="shared" si="42"/>
        <v>96.94</v>
      </c>
      <c r="AQ195" s="78">
        <v>0.49</v>
      </c>
      <c r="AR195" s="80">
        <v>0.22</v>
      </c>
      <c r="AS195" s="80">
        <v>70</v>
      </c>
      <c r="AT195" s="6">
        <f t="shared" si="43"/>
        <v>29.290000000000006</v>
      </c>
    </row>
    <row r="196" spans="1:46">
      <c r="A196" s="4">
        <v>46010</v>
      </c>
      <c r="B196" s="129"/>
      <c r="C196" s="7"/>
      <c r="D196" s="7"/>
      <c r="E196" s="7"/>
      <c r="F196" s="6">
        <f t="shared" si="33"/>
        <v>100</v>
      </c>
      <c r="G196" s="8"/>
      <c r="H196" s="8"/>
      <c r="I196" s="8"/>
      <c r="J196" s="6">
        <f t="shared" si="34"/>
        <v>100</v>
      </c>
      <c r="K196" s="19"/>
      <c r="L196" s="19"/>
      <c r="M196" s="19"/>
      <c r="N196" s="6">
        <f t="shared" si="35"/>
        <v>100</v>
      </c>
      <c r="O196" s="19"/>
      <c r="P196" s="19"/>
      <c r="Q196" s="19"/>
      <c r="R196" s="6">
        <f t="shared" si="36"/>
        <v>100</v>
      </c>
      <c r="S196" s="8"/>
      <c r="T196" s="8"/>
      <c r="U196" s="8"/>
      <c r="V196" s="6">
        <f t="shared" si="37"/>
        <v>100</v>
      </c>
      <c r="W196" s="8"/>
      <c r="X196" s="8"/>
      <c r="Y196" s="8"/>
      <c r="Z196" s="6">
        <f t="shared" si="38"/>
        <v>100</v>
      </c>
      <c r="AA196" s="19"/>
      <c r="AB196" s="19"/>
      <c r="AC196" s="19"/>
      <c r="AD196" s="6">
        <f t="shared" si="39"/>
        <v>100</v>
      </c>
      <c r="AE196" s="19"/>
      <c r="AF196" s="19"/>
      <c r="AG196" s="19"/>
      <c r="AH196" s="6">
        <f t="shared" si="40"/>
        <v>100</v>
      </c>
      <c r="AI196" s="19"/>
      <c r="AJ196" s="19"/>
      <c r="AK196" s="19"/>
      <c r="AL196" s="6">
        <f t="shared" si="41"/>
        <v>100</v>
      </c>
      <c r="AM196" s="19"/>
      <c r="AN196" s="19"/>
      <c r="AO196" s="19"/>
      <c r="AP196" s="6">
        <f t="shared" si="42"/>
        <v>100</v>
      </c>
      <c r="AQ196" s="19"/>
      <c r="AR196" s="19"/>
      <c r="AS196" s="19"/>
      <c r="AT196" s="6">
        <f t="shared" si="43"/>
        <v>100</v>
      </c>
    </row>
    <row r="197" spans="1:46">
      <c r="A197" s="4">
        <v>46011</v>
      </c>
      <c r="B197" s="129"/>
      <c r="C197" s="7"/>
      <c r="D197" s="7"/>
      <c r="E197" s="7"/>
      <c r="F197" s="6">
        <f t="shared" si="33"/>
        <v>100</v>
      </c>
      <c r="G197" s="8"/>
      <c r="H197" s="8"/>
      <c r="I197" s="8"/>
      <c r="J197" s="6">
        <f t="shared" si="34"/>
        <v>100</v>
      </c>
      <c r="K197" s="19"/>
      <c r="L197" s="19"/>
      <c r="M197" s="19"/>
      <c r="N197" s="6">
        <f t="shared" si="35"/>
        <v>100</v>
      </c>
      <c r="O197" s="19"/>
      <c r="P197" s="19"/>
      <c r="Q197" s="19"/>
      <c r="R197" s="6">
        <f t="shared" si="36"/>
        <v>100</v>
      </c>
      <c r="S197" s="8"/>
      <c r="T197" s="8"/>
      <c r="U197" s="8"/>
      <c r="V197" s="6">
        <f t="shared" si="37"/>
        <v>100</v>
      </c>
      <c r="W197" s="8"/>
      <c r="X197" s="8"/>
      <c r="Y197" s="8"/>
      <c r="Z197" s="6">
        <f t="shared" si="38"/>
        <v>100</v>
      </c>
      <c r="AA197" s="19"/>
      <c r="AB197" s="19"/>
      <c r="AC197" s="19"/>
      <c r="AD197" s="6">
        <f t="shared" si="39"/>
        <v>100</v>
      </c>
      <c r="AE197" s="19"/>
      <c r="AF197" s="19"/>
      <c r="AG197" s="19"/>
      <c r="AH197" s="6">
        <f t="shared" si="40"/>
        <v>100</v>
      </c>
      <c r="AI197" s="19"/>
      <c r="AJ197" s="19"/>
      <c r="AK197" s="19"/>
      <c r="AL197" s="6">
        <f t="shared" si="41"/>
        <v>100</v>
      </c>
      <c r="AM197" s="19"/>
      <c r="AN197" s="19"/>
      <c r="AO197" s="19"/>
      <c r="AP197" s="6">
        <f t="shared" si="42"/>
        <v>100</v>
      </c>
      <c r="AQ197" s="19"/>
      <c r="AR197" s="19"/>
      <c r="AS197" s="19"/>
      <c r="AT197" s="6">
        <f t="shared" si="43"/>
        <v>100</v>
      </c>
    </row>
    <row r="198" spans="1:46">
      <c r="A198" s="4">
        <v>46012</v>
      </c>
      <c r="B198" s="129"/>
      <c r="C198" s="7"/>
      <c r="D198" s="7"/>
      <c r="E198" s="7"/>
      <c r="F198" s="6">
        <f t="shared" si="33"/>
        <v>100</v>
      </c>
      <c r="G198" s="8"/>
      <c r="H198" s="8"/>
      <c r="I198" s="8"/>
      <c r="J198" s="6">
        <f t="shared" si="34"/>
        <v>100</v>
      </c>
      <c r="K198" s="19"/>
      <c r="L198" s="19"/>
      <c r="M198" s="19"/>
      <c r="N198" s="6">
        <f t="shared" si="35"/>
        <v>100</v>
      </c>
      <c r="O198" s="19"/>
      <c r="P198" s="19"/>
      <c r="Q198" s="19"/>
      <c r="R198" s="6">
        <f t="shared" si="36"/>
        <v>100</v>
      </c>
      <c r="S198" s="8"/>
      <c r="T198" s="8"/>
      <c r="U198" s="8"/>
      <c r="V198" s="6">
        <f t="shared" si="37"/>
        <v>100</v>
      </c>
      <c r="W198" s="8"/>
      <c r="X198" s="8"/>
      <c r="Y198" s="8"/>
      <c r="Z198" s="6">
        <f t="shared" si="38"/>
        <v>100</v>
      </c>
      <c r="AA198" s="19"/>
      <c r="AB198" s="19"/>
      <c r="AC198" s="19"/>
      <c r="AD198" s="6">
        <f t="shared" si="39"/>
        <v>100</v>
      </c>
      <c r="AE198" s="19"/>
      <c r="AF198" s="19"/>
      <c r="AG198" s="19"/>
      <c r="AH198" s="6">
        <f t="shared" si="40"/>
        <v>100</v>
      </c>
      <c r="AI198" s="19"/>
      <c r="AJ198" s="19"/>
      <c r="AK198" s="19"/>
      <c r="AL198" s="6">
        <f t="shared" si="41"/>
        <v>100</v>
      </c>
      <c r="AM198" s="19"/>
      <c r="AN198" s="19"/>
      <c r="AO198" s="19"/>
      <c r="AP198" s="6">
        <f t="shared" si="42"/>
        <v>100</v>
      </c>
      <c r="AQ198" s="19"/>
      <c r="AR198" s="19"/>
      <c r="AS198" s="19"/>
      <c r="AT198" s="6">
        <f t="shared" si="43"/>
        <v>100</v>
      </c>
    </row>
    <row r="199" spans="1:46">
      <c r="A199" s="4">
        <v>46013</v>
      </c>
      <c r="B199" s="129"/>
      <c r="C199" s="7"/>
      <c r="D199" s="7"/>
      <c r="E199" s="7"/>
      <c r="F199" s="6">
        <f t="shared" si="33"/>
        <v>100</v>
      </c>
      <c r="G199" s="8"/>
      <c r="H199" s="8"/>
      <c r="I199" s="8"/>
      <c r="J199" s="6">
        <f t="shared" si="34"/>
        <v>100</v>
      </c>
      <c r="K199" s="19"/>
      <c r="L199" s="19"/>
      <c r="M199" s="19"/>
      <c r="N199" s="6">
        <f t="shared" si="35"/>
        <v>100</v>
      </c>
      <c r="O199" s="19"/>
      <c r="P199" s="19"/>
      <c r="Q199" s="19"/>
      <c r="R199" s="6">
        <f t="shared" si="36"/>
        <v>100</v>
      </c>
      <c r="S199" s="8"/>
      <c r="T199" s="8"/>
      <c r="U199" s="8"/>
      <c r="V199" s="6">
        <f t="shared" si="37"/>
        <v>100</v>
      </c>
      <c r="W199" s="8"/>
      <c r="X199" s="8"/>
      <c r="Y199" s="8"/>
      <c r="Z199" s="6">
        <f t="shared" si="38"/>
        <v>100</v>
      </c>
      <c r="AA199" s="19"/>
      <c r="AB199" s="19"/>
      <c r="AC199" s="19"/>
      <c r="AD199" s="6">
        <f t="shared" si="39"/>
        <v>100</v>
      </c>
      <c r="AE199" s="19"/>
      <c r="AF199" s="19"/>
      <c r="AG199" s="19"/>
      <c r="AH199" s="6">
        <f t="shared" si="40"/>
        <v>100</v>
      </c>
      <c r="AI199" s="19"/>
      <c r="AJ199" s="19"/>
      <c r="AK199" s="19"/>
      <c r="AL199" s="6">
        <f t="shared" si="41"/>
        <v>100</v>
      </c>
      <c r="AM199" s="19"/>
      <c r="AN199" s="19"/>
      <c r="AO199" s="19"/>
      <c r="AP199" s="6">
        <f t="shared" si="42"/>
        <v>100</v>
      </c>
      <c r="AQ199" s="19"/>
      <c r="AR199" s="19"/>
      <c r="AS199" s="19"/>
      <c r="AT199" s="6">
        <f t="shared" si="43"/>
        <v>100</v>
      </c>
    </row>
    <row r="200" spans="1:46">
      <c r="A200" s="4">
        <v>46014</v>
      </c>
      <c r="B200" s="129"/>
      <c r="C200" s="7"/>
      <c r="D200" s="7"/>
      <c r="E200" s="7"/>
      <c r="F200" s="6">
        <f t="shared" si="33"/>
        <v>100</v>
      </c>
      <c r="G200" s="8"/>
      <c r="H200" s="8"/>
      <c r="I200" s="8"/>
      <c r="J200" s="6">
        <f t="shared" si="34"/>
        <v>100</v>
      </c>
      <c r="K200" s="19"/>
      <c r="L200" s="19"/>
      <c r="M200" s="19"/>
      <c r="N200" s="6">
        <f t="shared" si="35"/>
        <v>100</v>
      </c>
      <c r="O200" s="19"/>
      <c r="P200" s="19"/>
      <c r="Q200" s="19"/>
      <c r="R200" s="6">
        <f t="shared" si="36"/>
        <v>100</v>
      </c>
      <c r="S200" s="8"/>
      <c r="T200" s="8"/>
      <c r="U200" s="8"/>
      <c r="V200" s="6">
        <f t="shared" si="37"/>
        <v>100</v>
      </c>
      <c r="W200" s="8"/>
      <c r="X200" s="8"/>
      <c r="Y200" s="8"/>
      <c r="Z200" s="6">
        <f t="shared" si="38"/>
        <v>100</v>
      </c>
      <c r="AA200" s="19"/>
      <c r="AB200" s="19"/>
      <c r="AC200" s="19"/>
      <c r="AD200" s="6">
        <f t="shared" si="39"/>
        <v>100</v>
      </c>
      <c r="AE200" s="19"/>
      <c r="AF200" s="19"/>
      <c r="AG200" s="19"/>
      <c r="AH200" s="6">
        <f t="shared" si="40"/>
        <v>100</v>
      </c>
      <c r="AI200" s="19"/>
      <c r="AJ200" s="19"/>
      <c r="AK200" s="19"/>
      <c r="AL200" s="6">
        <f t="shared" si="41"/>
        <v>100</v>
      </c>
      <c r="AM200" s="19"/>
      <c r="AN200" s="19"/>
      <c r="AO200" s="19"/>
      <c r="AP200" s="6">
        <f t="shared" si="42"/>
        <v>100</v>
      </c>
      <c r="AQ200" s="19"/>
      <c r="AR200" s="19"/>
      <c r="AS200" s="19"/>
      <c r="AT200" s="6">
        <f t="shared" si="43"/>
        <v>100</v>
      </c>
    </row>
    <row r="201" spans="1:46">
      <c r="A201" s="4">
        <v>46015</v>
      </c>
      <c r="B201" s="129"/>
      <c r="C201" s="7"/>
      <c r="D201" s="7"/>
      <c r="E201" s="7"/>
      <c r="F201" s="6">
        <f t="shared" si="33"/>
        <v>100</v>
      </c>
      <c r="G201" s="8"/>
      <c r="H201" s="8"/>
      <c r="I201" s="8"/>
      <c r="J201" s="6">
        <f t="shared" si="34"/>
        <v>100</v>
      </c>
      <c r="K201" s="19"/>
      <c r="L201" s="19"/>
      <c r="M201" s="19"/>
      <c r="N201" s="6">
        <f t="shared" si="35"/>
        <v>100</v>
      </c>
      <c r="O201" s="19"/>
      <c r="P201" s="19"/>
      <c r="Q201" s="19"/>
      <c r="R201" s="6">
        <f t="shared" si="36"/>
        <v>100</v>
      </c>
      <c r="S201" s="8"/>
      <c r="T201" s="8"/>
      <c r="U201" s="8"/>
      <c r="V201" s="6">
        <f t="shared" si="37"/>
        <v>100</v>
      </c>
      <c r="W201" s="8"/>
      <c r="X201" s="8"/>
      <c r="Y201" s="8"/>
      <c r="Z201" s="6">
        <f t="shared" si="38"/>
        <v>100</v>
      </c>
      <c r="AA201" s="19"/>
      <c r="AB201" s="19"/>
      <c r="AC201" s="19"/>
      <c r="AD201" s="6">
        <f t="shared" si="39"/>
        <v>100</v>
      </c>
      <c r="AE201" s="19"/>
      <c r="AF201" s="19"/>
      <c r="AG201" s="19"/>
      <c r="AH201" s="6">
        <f t="shared" si="40"/>
        <v>100</v>
      </c>
      <c r="AI201" s="19"/>
      <c r="AJ201" s="19"/>
      <c r="AK201" s="19"/>
      <c r="AL201" s="6">
        <f t="shared" si="41"/>
        <v>100</v>
      </c>
      <c r="AM201" s="19"/>
      <c r="AN201" s="19"/>
      <c r="AO201" s="19"/>
      <c r="AP201" s="6">
        <f t="shared" si="42"/>
        <v>100</v>
      </c>
      <c r="AQ201" s="19"/>
      <c r="AR201" s="19"/>
      <c r="AS201" s="19"/>
      <c r="AT201" s="6">
        <f t="shared" si="43"/>
        <v>100</v>
      </c>
    </row>
    <row r="202" spans="1:46">
      <c r="A202" s="4">
        <v>46016</v>
      </c>
      <c r="B202" s="129"/>
      <c r="C202" s="7"/>
      <c r="D202" s="7"/>
      <c r="E202" s="7"/>
      <c r="F202" s="6">
        <f t="shared" si="33"/>
        <v>100</v>
      </c>
      <c r="G202" s="8"/>
      <c r="H202" s="8"/>
      <c r="I202" s="8"/>
      <c r="J202" s="6">
        <f t="shared" si="34"/>
        <v>100</v>
      </c>
      <c r="K202" s="19"/>
      <c r="L202" s="19"/>
      <c r="M202" s="19"/>
      <c r="N202" s="6">
        <f t="shared" si="35"/>
        <v>100</v>
      </c>
      <c r="O202" s="19"/>
      <c r="P202" s="19"/>
      <c r="Q202" s="19"/>
      <c r="R202" s="6">
        <f t="shared" si="36"/>
        <v>100</v>
      </c>
      <c r="S202" s="8"/>
      <c r="T202" s="8"/>
      <c r="U202" s="8"/>
      <c r="V202" s="6">
        <f t="shared" si="37"/>
        <v>100</v>
      </c>
      <c r="W202" s="8"/>
      <c r="X202" s="8"/>
      <c r="Y202" s="8"/>
      <c r="Z202" s="6">
        <f t="shared" si="38"/>
        <v>100</v>
      </c>
      <c r="AA202" s="19"/>
      <c r="AB202" s="19"/>
      <c r="AC202" s="19"/>
      <c r="AD202" s="6">
        <f t="shared" si="39"/>
        <v>100</v>
      </c>
      <c r="AE202" s="19"/>
      <c r="AF202" s="19"/>
      <c r="AG202" s="19"/>
      <c r="AH202" s="6">
        <f t="shared" si="40"/>
        <v>100</v>
      </c>
      <c r="AI202" s="19"/>
      <c r="AJ202" s="19"/>
      <c r="AK202" s="19"/>
      <c r="AL202" s="6">
        <f t="shared" si="41"/>
        <v>100</v>
      </c>
      <c r="AM202" s="19"/>
      <c r="AN202" s="19"/>
      <c r="AO202" s="19"/>
      <c r="AP202" s="6">
        <f t="shared" si="42"/>
        <v>100</v>
      </c>
      <c r="AQ202" s="19"/>
      <c r="AR202" s="19"/>
      <c r="AS202" s="19"/>
      <c r="AT202" s="6">
        <f t="shared" si="43"/>
        <v>100</v>
      </c>
    </row>
    <row r="203" spans="1:46">
      <c r="A203" s="4">
        <v>46017</v>
      </c>
      <c r="B203" s="257"/>
      <c r="C203" s="78">
        <v>29.86</v>
      </c>
      <c r="D203" s="80">
        <v>18.72</v>
      </c>
      <c r="E203" s="80">
        <v>31.97</v>
      </c>
      <c r="F203" s="6">
        <f>100-SUM(D203:E203)</f>
        <v>49.31</v>
      </c>
      <c r="G203" s="8"/>
      <c r="H203" s="8"/>
      <c r="I203" s="8"/>
      <c r="J203" s="6">
        <f t="shared" ref="J203:J208" si="44">100-SUM(G203:I203)</f>
        <v>100</v>
      </c>
      <c r="K203" s="19"/>
      <c r="L203" s="19"/>
      <c r="M203" s="19"/>
      <c r="N203" s="6">
        <f t="shared" ref="N203:N208" si="45">100-SUM(K203:M203)</f>
        <v>100</v>
      </c>
      <c r="O203" s="19"/>
      <c r="P203" s="19"/>
      <c r="Q203" s="19"/>
      <c r="R203" s="6">
        <f t="shared" ref="R203:R208" si="46">100-SUM(O203:Q203)</f>
        <v>100</v>
      </c>
      <c r="S203" s="8"/>
      <c r="T203" s="8"/>
      <c r="U203" s="8"/>
      <c r="V203" s="6">
        <f t="shared" ref="V203:V208" si="47">100-SUM(S203:U203)</f>
        <v>100</v>
      </c>
      <c r="W203" s="8"/>
      <c r="X203" s="8"/>
      <c r="Y203" s="8"/>
      <c r="Z203" s="6">
        <f t="shared" ref="Z203:Z208" si="48">100-SUM(W203:Y203)</f>
        <v>100</v>
      </c>
      <c r="AA203" s="19"/>
      <c r="AB203" s="19"/>
      <c r="AC203" s="19"/>
      <c r="AD203" s="6">
        <f t="shared" ref="AD203:AD208" si="49">100-SUM(AA203:AC203)</f>
        <v>100</v>
      </c>
      <c r="AE203" s="19"/>
      <c r="AF203" s="19"/>
      <c r="AG203" s="19"/>
      <c r="AH203" s="6">
        <f t="shared" ref="AH203:AH208" si="50">100-SUM(AE203:AG203)</f>
        <v>100</v>
      </c>
      <c r="AI203" s="19"/>
      <c r="AJ203" s="19"/>
      <c r="AK203" s="19"/>
      <c r="AL203" s="6">
        <f t="shared" ref="AL203:AL208" si="51">100-SUM(AI203:AK203)</f>
        <v>100</v>
      </c>
      <c r="AM203" s="19"/>
      <c r="AN203" s="19"/>
      <c r="AO203" s="19"/>
      <c r="AP203" s="6">
        <f t="shared" ref="AP203:AP208" si="52">100-SUM(AM203:AO203)</f>
        <v>100</v>
      </c>
      <c r="AQ203" s="19"/>
      <c r="AR203" s="19"/>
      <c r="AS203" s="19"/>
      <c r="AT203" s="6">
        <f t="shared" ref="AT203:AT208" si="53">100-SUM(AQ203:AS203)</f>
        <v>100</v>
      </c>
    </row>
    <row r="204" spans="1:46">
      <c r="A204" s="4">
        <v>46018</v>
      </c>
      <c r="B204" s="129"/>
      <c r="C204" s="7"/>
      <c r="D204" s="7"/>
      <c r="E204" s="7"/>
      <c r="F204" s="6">
        <f t="shared" ref="F204:F208" si="54">100-SUM(C204:E204)</f>
        <v>100</v>
      </c>
      <c r="G204" s="8"/>
      <c r="H204" s="8"/>
      <c r="I204" s="8"/>
      <c r="J204" s="6">
        <f t="shared" si="44"/>
        <v>100</v>
      </c>
      <c r="K204" s="19"/>
      <c r="L204" s="19"/>
      <c r="M204" s="19"/>
      <c r="N204" s="6">
        <f t="shared" si="45"/>
        <v>100</v>
      </c>
      <c r="O204" s="19"/>
      <c r="P204" s="19"/>
      <c r="Q204" s="19"/>
      <c r="R204" s="6">
        <f t="shared" si="46"/>
        <v>100</v>
      </c>
      <c r="S204" s="8"/>
      <c r="T204" s="8"/>
      <c r="U204" s="8"/>
      <c r="V204" s="6">
        <f t="shared" si="47"/>
        <v>100</v>
      </c>
      <c r="W204" s="8"/>
      <c r="X204" s="8"/>
      <c r="Y204" s="8"/>
      <c r="Z204" s="6">
        <f t="shared" si="48"/>
        <v>100</v>
      </c>
      <c r="AA204" s="19"/>
      <c r="AB204" s="19"/>
      <c r="AC204" s="19"/>
      <c r="AD204" s="6">
        <f t="shared" si="49"/>
        <v>100</v>
      </c>
      <c r="AE204" s="19"/>
      <c r="AF204" s="19"/>
      <c r="AG204" s="19"/>
      <c r="AH204" s="6">
        <f t="shared" si="50"/>
        <v>100</v>
      </c>
      <c r="AI204" s="19"/>
      <c r="AJ204" s="19"/>
      <c r="AK204" s="19"/>
      <c r="AL204" s="6">
        <f t="shared" si="51"/>
        <v>100</v>
      </c>
      <c r="AM204" s="19"/>
      <c r="AN204" s="19"/>
      <c r="AO204" s="19"/>
      <c r="AP204" s="6">
        <f t="shared" si="52"/>
        <v>100</v>
      </c>
      <c r="AQ204" s="19"/>
      <c r="AR204" s="19"/>
      <c r="AS204" s="19"/>
      <c r="AT204" s="6">
        <f t="shared" si="53"/>
        <v>100</v>
      </c>
    </row>
    <row r="205" spans="1:46">
      <c r="A205" s="4">
        <v>46019</v>
      </c>
      <c r="B205" s="129"/>
      <c r="C205" s="7"/>
      <c r="D205" s="7"/>
      <c r="E205" s="7"/>
      <c r="F205" s="6">
        <f t="shared" si="54"/>
        <v>100</v>
      </c>
      <c r="G205" s="8"/>
      <c r="H205" s="8"/>
      <c r="I205" s="8"/>
      <c r="J205" s="6">
        <f t="shared" si="44"/>
        <v>100</v>
      </c>
      <c r="K205" s="19"/>
      <c r="L205" s="19"/>
      <c r="M205" s="19"/>
      <c r="N205" s="6">
        <f t="shared" si="45"/>
        <v>100</v>
      </c>
      <c r="O205" s="19"/>
      <c r="P205" s="19"/>
      <c r="Q205" s="19"/>
      <c r="R205" s="6">
        <f t="shared" si="46"/>
        <v>100</v>
      </c>
      <c r="S205" s="8"/>
      <c r="T205" s="8"/>
      <c r="U205" s="8"/>
      <c r="V205" s="6">
        <f t="shared" si="47"/>
        <v>100</v>
      </c>
      <c r="W205" s="8"/>
      <c r="X205" s="8"/>
      <c r="Y205" s="8"/>
      <c r="Z205" s="6">
        <f t="shared" si="48"/>
        <v>100</v>
      </c>
      <c r="AA205" s="19"/>
      <c r="AB205" s="19"/>
      <c r="AC205" s="19"/>
      <c r="AD205" s="6">
        <f t="shared" si="49"/>
        <v>100</v>
      </c>
      <c r="AE205" s="19"/>
      <c r="AF205" s="19"/>
      <c r="AG205" s="19"/>
      <c r="AH205" s="6">
        <f t="shared" si="50"/>
        <v>100</v>
      </c>
      <c r="AI205" s="19"/>
      <c r="AJ205" s="19"/>
      <c r="AK205" s="19"/>
      <c r="AL205" s="6">
        <f t="shared" si="51"/>
        <v>100</v>
      </c>
      <c r="AM205" s="19"/>
      <c r="AN205" s="19"/>
      <c r="AO205" s="19"/>
      <c r="AP205" s="6">
        <f t="shared" si="52"/>
        <v>100</v>
      </c>
      <c r="AQ205" s="19"/>
      <c r="AR205" s="19"/>
      <c r="AS205" s="19"/>
      <c r="AT205" s="6">
        <f t="shared" si="53"/>
        <v>100</v>
      </c>
    </row>
    <row r="206" spans="1:46">
      <c r="A206" s="4">
        <v>46020</v>
      </c>
      <c r="B206" s="129"/>
      <c r="C206" s="7"/>
      <c r="D206" s="7"/>
      <c r="E206" s="7"/>
      <c r="F206" s="6">
        <f t="shared" si="54"/>
        <v>100</v>
      </c>
      <c r="G206" s="8"/>
      <c r="H206" s="8"/>
      <c r="I206" s="8"/>
      <c r="J206" s="6">
        <f t="shared" si="44"/>
        <v>100</v>
      </c>
      <c r="K206" s="19"/>
      <c r="L206" s="19"/>
      <c r="M206" s="19"/>
      <c r="N206" s="6">
        <f t="shared" si="45"/>
        <v>100</v>
      </c>
      <c r="O206" s="19"/>
      <c r="P206" s="19"/>
      <c r="Q206" s="19"/>
      <c r="R206" s="6">
        <f t="shared" si="46"/>
        <v>100</v>
      </c>
      <c r="S206" s="8"/>
      <c r="T206" s="8"/>
      <c r="U206" s="8"/>
      <c r="V206" s="6">
        <f t="shared" si="47"/>
        <v>100</v>
      </c>
      <c r="W206" s="8"/>
      <c r="X206" s="8"/>
      <c r="Y206" s="8"/>
      <c r="Z206" s="6">
        <f t="shared" si="48"/>
        <v>100</v>
      </c>
      <c r="AA206" s="19"/>
      <c r="AB206" s="19"/>
      <c r="AC206" s="19"/>
      <c r="AD206" s="6">
        <f t="shared" si="49"/>
        <v>100</v>
      </c>
      <c r="AE206" s="19"/>
      <c r="AF206" s="19"/>
      <c r="AG206" s="19"/>
      <c r="AH206" s="6">
        <f t="shared" si="50"/>
        <v>100</v>
      </c>
      <c r="AI206" s="19"/>
      <c r="AJ206" s="19"/>
      <c r="AK206" s="19"/>
      <c r="AL206" s="6">
        <f t="shared" si="51"/>
        <v>100</v>
      </c>
      <c r="AM206" s="19"/>
      <c r="AN206" s="19"/>
      <c r="AO206" s="19"/>
      <c r="AP206" s="6">
        <f t="shared" si="52"/>
        <v>100</v>
      </c>
      <c r="AQ206" s="19"/>
      <c r="AR206" s="19"/>
      <c r="AS206" s="19"/>
      <c r="AT206" s="6">
        <f t="shared" si="53"/>
        <v>100</v>
      </c>
    </row>
    <row r="207" spans="1:46">
      <c r="A207" s="4">
        <v>46021</v>
      </c>
      <c r="B207" s="129"/>
      <c r="C207" s="39"/>
      <c r="D207" s="39"/>
      <c r="E207" s="39"/>
      <c r="F207" s="40">
        <f t="shared" si="54"/>
        <v>100</v>
      </c>
      <c r="G207" s="41"/>
      <c r="H207" s="41"/>
      <c r="I207" s="41"/>
      <c r="J207" s="40">
        <f t="shared" si="44"/>
        <v>100</v>
      </c>
      <c r="K207" s="42"/>
      <c r="L207" s="42"/>
      <c r="M207" s="42"/>
      <c r="N207" s="40">
        <f t="shared" si="45"/>
        <v>100</v>
      </c>
      <c r="O207" s="42"/>
      <c r="P207" s="42"/>
      <c r="Q207" s="42"/>
      <c r="R207" s="40">
        <f t="shared" si="46"/>
        <v>100</v>
      </c>
      <c r="S207" s="41"/>
      <c r="T207" s="41"/>
      <c r="U207" s="41"/>
      <c r="V207" s="40">
        <f t="shared" si="47"/>
        <v>100</v>
      </c>
      <c r="W207" s="41"/>
      <c r="X207" s="41"/>
      <c r="Y207" s="41"/>
      <c r="Z207" s="40">
        <f t="shared" si="48"/>
        <v>100</v>
      </c>
      <c r="AA207" s="42"/>
      <c r="AB207" s="42"/>
      <c r="AC207" s="42"/>
      <c r="AD207" s="40">
        <f t="shared" si="49"/>
        <v>100</v>
      </c>
      <c r="AE207" s="42"/>
      <c r="AF207" s="42"/>
      <c r="AG207" s="42"/>
      <c r="AH207" s="40">
        <f t="shared" si="50"/>
        <v>100</v>
      </c>
      <c r="AI207" s="42"/>
      <c r="AJ207" s="42"/>
      <c r="AK207" s="42"/>
      <c r="AL207" s="40">
        <f t="shared" si="51"/>
        <v>100</v>
      </c>
      <c r="AM207" s="42"/>
      <c r="AN207" s="42"/>
      <c r="AO207" s="42"/>
      <c r="AP207" s="40">
        <f t="shared" si="52"/>
        <v>100</v>
      </c>
      <c r="AQ207" s="42"/>
      <c r="AR207" s="42"/>
      <c r="AS207" s="42"/>
      <c r="AT207" s="40">
        <f t="shared" si="53"/>
        <v>100</v>
      </c>
    </row>
    <row r="208" spans="1:46">
      <c r="A208" s="70">
        <v>46022</v>
      </c>
      <c r="B208" s="129"/>
      <c r="C208" s="7"/>
      <c r="D208" s="7"/>
      <c r="E208" s="7"/>
      <c r="F208" s="6">
        <f t="shared" si="54"/>
        <v>100</v>
      </c>
      <c r="G208" s="8"/>
      <c r="H208" s="8"/>
      <c r="I208" s="8"/>
      <c r="J208" s="6">
        <f t="shared" si="44"/>
        <v>100</v>
      </c>
      <c r="K208" s="19"/>
      <c r="L208" s="19"/>
      <c r="M208" s="19"/>
      <c r="N208" s="6">
        <f t="shared" si="45"/>
        <v>100</v>
      </c>
      <c r="O208" s="19"/>
      <c r="P208" s="19"/>
      <c r="Q208" s="19"/>
      <c r="R208" s="6">
        <f t="shared" si="46"/>
        <v>100</v>
      </c>
      <c r="S208" s="8"/>
      <c r="T208" s="8"/>
      <c r="U208" s="8"/>
      <c r="V208" s="6">
        <f t="shared" si="47"/>
        <v>100</v>
      </c>
      <c r="W208" s="8"/>
      <c r="X208" s="8"/>
      <c r="Y208" s="8"/>
      <c r="Z208" s="6">
        <f t="shared" si="48"/>
        <v>100</v>
      </c>
      <c r="AA208" s="19"/>
      <c r="AB208" s="19"/>
      <c r="AC208" s="19"/>
      <c r="AD208" s="6">
        <f t="shared" si="49"/>
        <v>100</v>
      </c>
      <c r="AE208" s="19"/>
      <c r="AF208" s="19"/>
      <c r="AG208" s="19"/>
      <c r="AH208" s="6">
        <f t="shared" si="50"/>
        <v>100</v>
      </c>
      <c r="AI208" s="19"/>
      <c r="AJ208" s="19"/>
      <c r="AK208" s="19"/>
      <c r="AL208" s="6">
        <f t="shared" si="51"/>
        <v>100</v>
      </c>
      <c r="AM208" s="19"/>
      <c r="AN208" s="19"/>
      <c r="AO208" s="19"/>
      <c r="AP208" s="6">
        <f t="shared" si="52"/>
        <v>100</v>
      </c>
      <c r="AQ208" s="19"/>
      <c r="AR208" s="19"/>
      <c r="AS208" s="19"/>
      <c r="AT208" s="6">
        <f t="shared" si="53"/>
        <v>100</v>
      </c>
    </row>
    <row r="209" spans="1:46">
      <c r="A209" s="4">
        <v>46023</v>
      </c>
      <c r="B209" s="131"/>
      <c r="C209" s="7"/>
      <c r="D209" s="7"/>
      <c r="E209" s="7"/>
      <c r="F209" s="6">
        <f t="shared" ref="F209:F272" si="55">100-SUM(C209:E209)</f>
        <v>100</v>
      </c>
      <c r="G209" s="8"/>
      <c r="H209" s="8"/>
      <c r="I209" s="8"/>
      <c r="J209" s="6">
        <f t="shared" ref="J209:J272" si="56">100-SUM(G209:I209)</f>
        <v>100</v>
      </c>
      <c r="K209" s="19"/>
      <c r="L209" s="19"/>
      <c r="M209" s="19"/>
      <c r="N209" s="6">
        <f t="shared" ref="N209:N272" si="57">100-SUM(K209:M209)</f>
        <v>100</v>
      </c>
      <c r="O209" s="19"/>
      <c r="P209" s="19"/>
      <c r="Q209" s="19"/>
      <c r="R209" s="6">
        <f t="shared" ref="R209:R272" si="58">100-SUM(O209:Q209)</f>
        <v>100</v>
      </c>
      <c r="S209" s="8"/>
      <c r="T209" s="8"/>
      <c r="U209" s="8"/>
      <c r="V209" s="6">
        <f t="shared" ref="V209:V272" si="59">100-SUM(S209:U209)</f>
        <v>100</v>
      </c>
      <c r="W209" s="8"/>
      <c r="X209" s="8"/>
      <c r="Y209" s="8"/>
      <c r="Z209" s="6">
        <f t="shared" ref="Z209:Z272" si="60">100-SUM(W209:Y209)</f>
        <v>100</v>
      </c>
      <c r="AA209" s="19"/>
      <c r="AB209" s="19"/>
      <c r="AC209" s="19"/>
      <c r="AD209" s="6">
        <f t="shared" ref="AD209:AD272" si="61">100-SUM(AA209:AC209)</f>
        <v>100</v>
      </c>
      <c r="AE209" s="19"/>
      <c r="AF209" s="19"/>
      <c r="AG209" s="19"/>
      <c r="AH209" s="6">
        <f t="shared" ref="AH209:AH272" si="62">100-SUM(AE209:AG209)</f>
        <v>100</v>
      </c>
      <c r="AI209" s="19"/>
      <c r="AJ209" s="19"/>
      <c r="AK209" s="19"/>
      <c r="AL209" s="6">
        <f t="shared" ref="AL209:AL272" si="63">100-SUM(AI209:AK209)</f>
        <v>100</v>
      </c>
      <c r="AM209" s="19"/>
      <c r="AN209" s="19"/>
      <c r="AO209" s="19"/>
      <c r="AP209" s="6">
        <f t="shared" ref="AP209:AP272" si="64">100-SUM(AM209:AO209)</f>
        <v>100</v>
      </c>
      <c r="AQ209" s="19"/>
      <c r="AR209" s="19"/>
      <c r="AS209" s="19"/>
      <c r="AT209" s="6">
        <f t="shared" ref="AT209:AT272" si="65">100-SUM(AQ209:AS209)</f>
        <v>100</v>
      </c>
    </row>
    <row r="210" spans="1:46">
      <c r="A210" s="4">
        <v>46024</v>
      </c>
      <c r="B210" s="131"/>
      <c r="C210" s="7"/>
      <c r="D210" s="7"/>
      <c r="E210" s="7"/>
      <c r="F210" s="6">
        <f t="shared" si="55"/>
        <v>100</v>
      </c>
      <c r="G210" s="8"/>
      <c r="H210" s="8"/>
      <c r="I210" s="8"/>
      <c r="J210" s="6">
        <f t="shared" si="56"/>
        <v>100</v>
      </c>
      <c r="K210" s="19"/>
      <c r="L210" s="19"/>
      <c r="M210" s="19"/>
      <c r="N210" s="6">
        <f t="shared" si="57"/>
        <v>100</v>
      </c>
      <c r="O210" s="19"/>
      <c r="P210" s="19"/>
      <c r="Q210" s="19"/>
      <c r="R210" s="6">
        <f t="shared" si="58"/>
        <v>100</v>
      </c>
      <c r="S210" s="8"/>
      <c r="T210" s="8"/>
      <c r="U210" s="8"/>
      <c r="V210" s="6">
        <f t="shared" si="59"/>
        <v>100</v>
      </c>
      <c r="W210" s="8"/>
      <c r="X210" s="8"/>
      <c r="Y210" s="8"/>
      <c r="Z210" s="6">
        <f t="shared" si="60"/>
        <v>100</v>
      </c>
      <c r="AA210" s="19"/>
      <c r="AB210" s="19"/>
      <c r="AC210" s="19"/>
      <c r="AD210" s="6">
        <f t="shared" si="61"/>
        <v>100</v>
      </c>
      <c r="AE210" s="19"/>
      <c r="AF210" s="19"/>
      <c r="AG210" s="19"/>
      <c r="AH210" s="6">
        <f t="shared" si="62"/>
        <v>100</v>
      </c>
      <c r="AI210" s="19"/>
      <c r="AJ210" s="19"/>
      <c r="AK210" s="19"/>
      <c r="AL210" s="6">
        <f t="shared" si="63"/>
        <v>100</v>
      </c>
      <c r="AM210" s="19"/>
      <c r="AN210" s="19"/>
      <c r="AO210" s="19"/>
      <c r="AP210" s="6">
        <f t="shared" si="64"/>
        <v>100</v>
      </c>
      <c r="AQ210" s="19"/>
      <c r="AR210" s="19"/>
      <c r="AS210" s="19"/>
      <c r="AT210" s="6">
        <f t="shared" si="65"/>
        <v>100</v>
      </c>
    </row>
    <row r="211" spans="1:46">
      <c r="A211" s="4">
        <v>46025</v>
      </c>
      <c r="B211" s="131"/>
      <c r="C211" s="7"/>
      <c r="D211" s="7"/>
      <c r="E211" s="7"/>
      <c r="F211" s="6">
        <f t="shared" si="55"/>
        <v>100</v>
      </c>
      <c r="G211" s="8"/>
      <c r="H211" s="8"/>
      <c r="I211" s="8"/>
      <c r="J211" s="6">
        <f t="shared" si="56"/>
        <v>100</v>
      </c>
      <c r="K211" s="19"/>
      <c r="L211" s="19"/>
      <c r="M211" s="19"/>
      <c r="N211" s="6">
        <f t="shared" si="57"/>
        <v>100</v>
      </c>
      <c r="O211" s="19"/>
      <c r="P211" s="19"/>
      <c r="Q211" s="19"/>
      <c r="R211" s="6">
        <f t="shared" si="58"/>
        <v>100</v>
      </c>
      <c r="S211" s="8"/>
      <c r="T211" s="8"/>
      <c r="U211" s="8"/>
      <c r="V211" s="6">
        <f t="shared" si="59"/>
        <v>100</v>
      </c>
      <c r="W211" s="8"/>
      <c r="X211" s="8"/>
      <c r="Y211" s="8"/>
      <c r="Z211" s="6">
        <f t="shared" si="60"/>
        <v>100</v>
      </c>
      <c r="AA211" s="19"/>
      <c r="AB211" s="19"/>
      <c r="AC211" s="19"/>
      <c r="AD211" s="6">
        <f t="shared" si="61"/>
        <v>100</v>
      </c>
      <c r="AE211" s="19"/>
      <c r="AF211" s="19"/>
      <c r="AG211" s="19"/>
      <c r="AH211" s="6">
        <f t="shared" si="62"/>
        <v>100</v>
      </c>
      <c r="AI211" s="19"/>
      <c r="AJ211" s="19"/>
      <c r="AK211" s="19"/>
      <c r="AL211" s="6">
        <f t="shared" si="63"/>
        <v>100</v>
      </c>
      <c r="AM211" s="19"/>
      <c r="AN211" s="19"/>
      <c r="AO211" s="19"/>
      <c r="AP211" s="6">
        <f t="shared" si="64"/>
        <v>100</v>
      </c>
      <c r="AQ211" s="19"/>
      <c r="AR211" s="19"/>
      <c r="AS211" s="19"/>
      <c r="AT211" s="6">
        <f t="shared" si="65"/>
        <v>100</v>
      </c>
    </row>
    <row r="212" spans="1:46">
      <c r="A212" s="4">
        <v>46026</v>
      </c>
      <c r="B212" s="131"/>
      <c r="C212" s="7"/>
      <c r="D212" s="7"/>
      <c r="E212" s="7"/>
      <c r="F212" s="6">
        <f t="shared" si="55"/>
        <v>100</v>
      </c>
      <c r="G212" s="8"/>
      <c r="H212" s="8"/>
      <c r="I212" s="8"/>
      <c r="J212" s="6">
        <f t="shared" si="56"/>
        <v>100</v>
      </c>
      <c r="K212" s="19"/>
      <c r="L212" s="19"/>
      <c r="M212" s="19"/>
      <c r="N212" s="6">
        <f t="shared" si="57"/>
        <v>100</v>
      </c>
      <c r="O212" s="19"/>
      <c r="P212" s="19"/>
      <c r="Q212" s="19"/>
      <c r="R212" s="6">
        <f t="shared" si="58"/>
        <v>100</v>
      </c>
      <c r="S212" s="8"/>
      <c r="T212" s="8"/>
      <c r="U212" s="8"/>
      <c r="V212" s="6">
        <f t="shared" si="59"/>
        <v>100</v>
      </c>
      <c r="W212" s="8"/>
      <c r="X212" s="8"/>
      <c r="Y212" s="8"/>
      <c r="Z212" s="6">
        <f t="shared" si="60"/>
        <v>100</v>
      </c>
      <c r="AA212" s="19"/>
      <c r="AB212" s="19"/>
      <c r="AC212" s="19"/>
      <c r="AD212" s="6">
        <f t="shared" si="61"/>
        <v>100</v>
      </c>
      <c r="AE212" s="19"/>
      <c r="AF212" s="19"/>
      <c r="AG212" s="19"/>
      <c r="AH212" s="6">
        <f t="shared" si="62"/>
        <v>100</v>
      </c>
      <c r="AI212" s="19"/>
      <c r="AJ212" s="19"/>
      <c r="AK212" s="19"/>
      <c r="AL212" s="6">
        <f t="shared" si="63"/>
        <v>100</v>
      </c>
      <c r="AM212" s="19"/>
      <c r="AN212" s="19"/>
      <c r="AO212" s="19"/>
      <c r="AP212" s="6">
        <f t="shared" si="64"/>
        <v>100</v>
      </c>
      <c r="AQ212" s="19"/>
      <c r="AR212" s="19"/>
      <c r="AS212" s="19"/>
      <c r="AT212" s="6">
        <f t="shared" si="65"/>
        <v>100</v>
      </c>
    </row>
    <row r="213" spans="1:46">
      <c r="A213" s="4">
        <v>46027</v>
      </c>
      <c r="B213" s="131"/>
      <c r="C213" s="7"/>
      <c r="D213" s="7"/>
      <c r="E213" s="7"/>
      <c r="F213" s="6">
        <f t="shared" si="55"/>
        <v>100</v>
      </c>
      <c r="G213" s="8"/>
      <c r="H213" s="8"/>
      <c r="I213" s="8"/>
      <c r="J213" s="6">
        <f t="shared" si="56"/>
        <v>100</v>
      </c>
      <c r="K213" s="19"/>
      <c r="L213" s="19"/>
      <c r="M213" s="19"/>
      <c r="N213" s="6">
        <f t="shared" si="57"/>
        <v>100</v>
      </c>
      <c r="O213" s="19"/>
      <c r="P213" s="19"/>
      <c r="Q213" s="19"/>
      <c r="R213" s="6">
        <f t="shared" si="58"/>
        <v>100</v>
      </c>
      <c r="S213" s="8"/>
      <c r="T213" s="8"/>
      <c r="U213" s="8"/>
      <c r="V213" s="6">
        <f t="shared" si="59"/>
        <v>100</v>
      </c>
      <c r="W213" s="8"/>
      <c r="X213" s="8"/>
      <c r="Y213" s="8"/>
      <c r="Z213" s="6">
        <f t="shared" si="60"/>
        <v>100</v>
      </c>
      <c r="AA213" s="19"/>
      <c r="AB213" s="19"/>
      <c r="AC213" s="19"/>
      <c r="AD213" s="6">
        <f t="shared" si="61"/>
        <v>100</v>
      </c>
      <c r="AE213" s="19"/>
      <c r="AF213" s="19"/>
      <c r="AG213" s="19"/>
      <c r="AH213" s="6">
        <f t="shared" si="62"/>
        <v>100</v>
      </c>
      <c r="AI213" s="19"/>
      <c r="AJ213" s="19"/>
      <c r="AK213" s="19"/>
      <c r="AL213" s="6">
        <f t="shared" si="63"/>
        <v>100</v>
      </c>
      <c r="AM213" s="19"/>
      <c r="AN213" s="19"/>
      <c r="AO213" s="19"/>
      <c r="AP213" s="6">
        <f t="shared" si="64"/>
        <v>100</v>
      </c>
      <c r="AQ213" s="19"/>
      <c r="AR213" s="19"/>
      <c r="AS213" s="19"/>
      <c r="AT213" s="6">
        <f t="shared" si="65"/>
        <v>100</v>
      </c>
    </row>
    <row r="214" spans="1:46">
      <c r="A214" s="4">
        <v>46028</v>
      </c>
      <c r="B214" s="131"/>
      <c r="C214" s="7"/>
      <c r="D214" s="7"/>
      <c r="E214" s="7"/>
      <c r="F214" s="6">
        <f t="shared" si="55"/>
        <v>100</v>
      </c>
      <c r="G214" s="8"/>
      <c r="H214" s="8"/>
      <c r="I214" s="8"/>
      <c r="J214" s="6">
        <f t="shared" si="56"/>
        <v>100</v>
      </c>
      <c r="K214" s="19"/>
      <c r="L214" s="19"/>
      <c r="M214" s="19"/>
      <c r="N214" s="6">
        <f t="shared" si="57"/>
        <v>100</v>
      </c>
      <c r="O214" s="19"/>
      <c r="P214" s="19"/>
      <c r="Q214" s="19"/>
      <c r="R214" s="6">
        <f t="shared" si="58"/>
        <v>100</v>
      </c>
      <c r="S214" s="8"/>
      <c r="T214" s="8"/>
      <c r="U214" s="8"/>
      <c r="V214" s="6">
        <f t="shared" si="59"/>
        <v>100</v>
      </c>
      <c r="W214" s="8"/>
      <c r="X214" s="8"/>
      <c r="Y214" s="8"/>
      <c r="Z214" s="6">
        <f t="shared" si="60"/>
        <v>100</v>
      </c>
      <c r="AA214" s="19"/>
      <c r="AB214" s="19"/>
      <c r="AC214" s="19"/>
      <c r="AD214" s="6">
        <f t="shared" si="61"/>
        <v>100</v>
      </c>
      <c r="AE214" s="19"/>
      <c r="AF214" s="19"/>
      <c r="AG214" s="19"/>
      <c r="AH214" s="6">
        <f t="shared" si="62"/>
        <v>100</v>
      </c>
      <c r="AI214" s="19"/>
      <c r="AJ214" s="19"/>
      <c r="AK214" s="19"/>
      <c r="AL214" s="6">
        <f t="shared" si="63"/>
        <v>100</v>
      </c>
      <c r="AM214" s="19"/>
      <c r="AN214" s="19"/>
      <c r="AO214" s="19"/>
      <c r="AP214" s="6">
        <f t="shared" si="64"/>
        <v>100</v>
      </c>
      <c r="AQ214" s="19"/>
      <c r="AR214" s="19"/>
      <c r="AS214" s="19"/>
      <c r="AT214" s="6">
        <f t="shared" si="65"/>
        <v>100</v>
      </c>
    </row>
    <row r="215" spans="1:46">
      <c r="A215" s="4">
        <v>46029</v>
      </c>
      <c r="B215" s="131"/>
      <c r="C215" s="7"/>
      <c r="D215" s="7"/>
      <c r="E215" s="7"/>
      <c r="F215" s="6">
        <f t="shared" si="55"/>
        <v>100</v>
      </c>
      <c r="G215" s="8"/>
      <c r="H215" s="8"/>
      <c r="I215" s="8"/>
      <c r="J215" s="6">
        <f t="shared" si="56"/>
        <v>100</v>
      </c>
      <c r="K215" s="19"/>
      <c r="L215" s="19"/>
      <c r="M215" s="19"/>
      <c r="N215" s="6">
        <f t="shared" si="57"/>
        <v>100</v>
      </c>
      <c r="O215" s="19"/>
      <c r="P215" s="19"/>
      <c r="Q215" s="19"/>
      <c r="R215" s="6">
        <f t="shared" si="58"/>
        <v>100</v>
      </c>
      <c r="S215" s="8"/>
      <c r="T215" s="8"/>
      <c r="U215" s="8"/>
      <c r="V215" s="6">
        <f t="shared" si="59"/>
        <v>100</v>
      </c>
      <c r="W215" s="8"/>
      <c r="X215" s="8"/>
      <c r="Y215" s="8"/>
      <c r="Z215" s="6">
        <f t="shared" si="60"/>
        <v>100</v>
      </c>
      <c r="AA215" s="19"/>
      <c r="AB215" s="19"/>
      <c r="AC215" s="19"/>
      <c r="AD215" s="6">
        <f t="shared" si="61"/>
        <v>100</v>
      </c>
      <c r="AE215" s="19"/>
      <c r="AF215" s="19"/>
      <c r="AG215" s="19"/>
      <c r="AH215" s="6">
        <f t="shared" si="62"/>
        <v>100</v>
      </c>
      <c r="AI215" s="19"/>
      <c r="AJ215" s="19"/>
      <c r="AK215" s="19"/>
      <c r="AL215" s="6">
        <f t="shared" si="63"/>
        <v>100</v>
      </c>
      <c r="AM215" s="19"/>
      <c r="AN215" s="19"/>
      <c r="AO215" s="19"/>
      <c r="AP215" s="6">
        <f t="shared" si="64"/>
        <v>100</v>
      </c>
      <c r="AQ215" s="19"/>
      <c r="AR215" s="19"/>
      <c r="AS215" s="19"/>
      <c r="AT215" s="6">
        <f t="shared" si="65"/>
        <v>100</v>
      </c>
    </row>
    <row r="216" spans="1:46">
      <c r="A216" s="4">
        <v>46030</v>
      </c>
      <c r="B216" s="131"/>
      <c r="C216" s="7"/>
      <c r="D216" s="7"/>
      <c r="E216" s="7"/>
      <c r="F216" s="6">
        <f t="shared" si="55"/>
        <v>100</v>
      </c>
      <c r="G216" s="8"/>
      <c r="H216" s="8"/>
      <c r="I216" s="8"/>
      <c r="J216" s="6">
        <f t="shared" si="56"/>
        <v>100</v>
      </c>
      <c r="K216" s="19"/>
      <c r="L216" s="19"/>
      <c r="M216" s="19"/>
      <c r="N216" s="6">
        <f t="shared" si="57"/>
        <v>100</v>
      </c>
      <c r="O216" s="19"/>
      <c r="P216" s="19"/>
      <c r="Q216" s="19"/>
      <c r="R216" s="6">
        <f t="shared" si="58"/>
        <v>100</v>
      </c>
      <c r="S216" s="8"/>
      <c r="T216" s="8"/>
      <c r="U216" s="8"/>
      <c r="V216" s="6">
        <f t="shared" si="59"/>
        <v>100</v>
      </c>
      <c r="W216" s="8"/>
      <c r="X216" s="8"/>
      <c r="Y216" s="8"/>
      <c r="Z216" s="6">
        <f t="shared" si="60"/>
        <v>100</v>
      </c>
      <c r="AA216" s="19"/>
      <c r="AB216" s="19"/>
      <c r="AC216" s="19"/>
      <c r="AD216" s="6">
        <f t="shared" si="61"/>
        <v>100</v>
      </c>
      <c r="AE216" s="19"/>
      <c r="AF216" s="19"/>
      <c r="AG216" s="19"/>
      <c r="AH216" s="6">
        <f t="shared" si="62"/>
        <v>100</v>
      </c>
      <c r="AI216" s="19"/>
      <c r="AJ216" s="19"/>
      <c r="AK216" s="19"/>
      <c r="AL216" s="6">
        <f t="shared" si="63"/>
        <v>100</v>
      </c>
      <c r="AM216" s="19"/>
      <c r="AN216" s="19"/>
      <c r="AO216" s="19"/>
      <c r="AP216" s="6">
        <f t="shared" si="64"/>
        <v>100</v>
      </c>
      <c r="AQ216" s="19"/>
      <c r="AR216" s="19"/>
      <c r="AS216" s="19"/>
      <c r="AT216" s="6">
        <f t="shared" si="65"/>
        <v>100</v>
      </c>
    </row>
    <row r="217" spans="1:46">
      <c r="A217" s="4">
        <v>46031</v>
      </c>
      <c r="B217" s="131"/>
      <c r="C217" s="7"/>
      <c r="D217" s="7"/>
      <c r="E217" s="7"/>
      <c r="F217" s="6">
        <f t="shared" si="55"/>
        <v>100</v>
      </c>
      <c r="G217" s="8"/>
      <c r="H217" s="8"/>
      <c r="I217" s="8"/>
      <c r="J217" s="6">
        <f t="shared" si="56"/>
        <v>100</v>
      </c>
      <c r="K217" s="19"/>
      <c r="L217" s="19"/>
      <c r="M217" s="19"/>
      <c r="N217" s="6">
        <f t="shared" si="57"/>
        <v>100</v>
      </c>
      <c r="O217" s="19"/>
      <c r="P217" s="19"/>
      <c r="Q217" s="19"/>
      <c r="R217" s="6">
        <f t="shared" si="58"/>
        <v>100</v>
      </c>
      <c r="S217" s="8"/>
      <c r="T217" s="8"/>
      <c r="U217" s="8"/>
      <c r="V217" s="6">
        <f t="shared" si="59"/>
        <v>100</v>
      </c>
      <c r="W217" s="8"/>
      <c r="X217" s="8"/>
      <c r="Y217" s="8"/>
      <c r="Z217" s="6">
        <f t="shared" si="60"/>
        <v>100</v>
      </c>
      <c r="AA217" s="19"/>
      <c r="AB217" s="19"/>
      <c r="AC217" s="19"/>
      <c r="AD217" s="6">
        <f t="shared" si="61"/>
        <v>100</v>
      </c>
      <c r="AE217" s="19"/>
      <c r="AF217" s="19"/>
      <c r="AG217" s="19"/>
      <c r="AH217" s="6">
        <f t="shared" si="62"/>
        <v>100</v>
      </c>
      <c r="AI217" s="19"/>
      <c r="AJ217" s="19"/>
      <c r="AK217" s="19"/>
      <c r="AL217" s="6">
        <f t="shared" si="63"/>
        <v>100</v>
      </c>
      <c r="AM217" s="19"/>
      <c r="AN217" s="19"/>
      <c r="AO217" s="19"/>
      <c r="AP217" s="6">
        <f t="shared" si="64"/>
        <v>100</v>
      </c>
      <c r="AQ217" s="19"/>
      <c r="AR217" s="19"/>
      <c r="AS217" s="19"/>
      <c r="AT217" s="6">
        <f t="shared" si="65"/>
        <v>100</v>
      </c>
    </row>
    <row r="218" spans="1:46">
      <c r="A218" s="70">
        <v>46032</v>
      </c>
      <c r="B218" s="131"/>
      <c r="C218" s="7"/>
      <c r="D218" s="7"/>
      <c r="E218" s="7"/>
      <c r="F218" s="6">
        <f t="shared" si="55"/>
        <v>100</v>
      </c>
      <c r="G218" s="8"/>
      <c r="H218" s="8"/>
      <c r="I218" s="8"/>
      <c r="J218" s="6">
        <f t="shared" si="56"/>
        <v>100</v>
      </c>
      <c r="K218" s="19"/>
      <c r="L218" s="19"/>
      <c r="M218" s="19"/>
      <c r="N218" s="6">
        <f t="shared" si="57"/>
        <v>100</v>
      </c>
      <c r="O218" s="19"/>
      <c r="P218" s="19"/>
      <c r="Q218" s="19"/>
      <c r="R218" s="6">
        <f t="shared" si="58"/>
        <v>100</v>
      </c>
      <c r="S218" s="8"/>
      <c r="T218" s="8"/>
      <c r="U218" s="8"/>
      <c r="V218" s="6">
        <f t="shared" si="59"/>
        <v>100</v>
      </c>
      <c r="W218" s="8"/>
      <c r="X218" s="8"/>
      <c r="Y218" s="8"/>
      <c r="Z218" s="6">
        <f t="shared" si="60"/>
        <v>100</v>
      </c>
      <c r="AA218" s="19"/>
      <c r="AB218" s="19"/>
      <c r="AC218" s="19"/>
      <c r="AD218" s="6">
        <f t="shared" si="61"/>
        <v>100</v>
      </c>
      <c r="AE218" s="19"/>
      <c r="AF218" s="19"/>
      <c r="AG218" s="19"/>
      <c r="AH218" s="6">
        <f t="shared" si="62"/>
        <v>100</v>
      </c>
      <c r="AI218" s="19"/>
      <c r="AJ218" s="19"/>
      <c r="AK218" s="19"/>
      <c r="AL218" s="6">
        <f t="shared" si="63"/>
        <v>100</v>
      </c>
      <c r="AM218" s="19"/>
      <c r="AN218" s="19"/>
      <c r="AO218" s="19"/>
      <c r="AP218" s="6">
        <f t="shared" si="64"/>
        <v>100</v>
      </c>
      <c r="AQ218" s="19"/>
      <c r="AR218" s="19"/>
      <c r="AS218" s="19"/>
      <c r="AT218" s="6">
        <f t="shared" si="65"/>
        <v>100</v>
      </c>
    </row>
    <row r="219" spans="1:46">
      <c r="A219" s="4">
        <v>46033</v>
      </c>
      <c r="B219" s="131"/>
      <c r="C219" s="7"/>
      <c r="D219" s="7"/>
      <c r="E219" s="7"/>
      <c r="F219" s="6">
        <f t="shared" si="55"/>
        <v>100</v>
      </c>
      <c r="G219" s="8"/>
      <c r="H219" s="8"/>
      <c r="I219" s="8"/>
      <c r="J219" s="6">
        <f t="shared" si="56"/>
        <v>100</v>
      </c>
      <c r="K219" s="19"/>
      <c r="L219" s="19"/>
      <c r="M219" s="19"/>
      <c r="N219" s="6">
        <f t="shared" si="57"/>
        <v>100</v>
      </c>
      <c r="O219" s="19"/>
      <c r="P219" s="19"/>
      <c r="Q219" s="19"/>
      <c r="R219" s="6">
        <f t="shared" si="58"/>
        <v>100</v>
      </c>
      <c r="S219" s="8"/>
      <c r="T219" s="8"/>
      <c r="U219" s="8"/>
      <c r="V219" s="6">
        <f t="shared" si="59"/>
        <v>100</v>
      </c>
      <c r="W219" s="8"/>
      <c r="X219" s="8"/>
      <c r="Y219" s="8"/>
      <c r="Z219" s="6">
        <f t="shared" si="60"/>
        <v>100</v>
      </c>
      <c r="AA219" s="19"/>
      <c r="AB219" s="19"/>
      <c r="AC219" s="19"/>
      <c r="AD219" s="6">
        <f t="shared" si="61"/>
        <v>100</v>
      </c>
      <c r="AE219" s="19"/>
      <c r="AF219" s="19"/>
      <c r="AG219" s="19"/>
      <c r="AH219" s="6">
        <f t="shared" si="62"/>
        <v>100</v>
      </c>
      <c r="AI219" s="19"/>
      <c r="AJ219" s="19"/>
      <c r="AK219" s="19"/>
      <c r="AL219" s="6">
        <f t="shared" si="63"/>
        <v>100</v>
      </c>
      <c r="AM219" s="19"/>
      <c r="AN219" s="19"/>
      <c r="AO219" s="19"/>
      <c r="AP219" s="6">
        <f t="shared" si="64"/>
        <v>100</v>
      </c>
      <c r="AQ219" s="19"/>
      <c r="AR219" s="19"/>
      <c r="AS219" s="19"/>
      <c r="AT219" s="6">
        <f t="shared" si="65"/>
        <v>100</v>
      </c>
    </row>
    <row r="220" spans="1:46">
      <c r="A220" s="4">
        <v>46034</v>
      </c>
      <c r="B220" s="131"/>
      <c r="C220" s="7"/>
      <c r="D220" s="7"/>
      <c r="E220" s="7"/>
      <c r="F220" s="6">
        <f t="shared" si="55"/>
        <v>100</v>
      </c>
      <c r="G220" s="8"/>
      <c r="H220" s="8"/>
      <c r="I220" s="8"/>
      <c r="J220" s="6">
        <f t="shared" si="56"/>
        <v>100</v>
      </c>
      <c r="K220" s="19"/>
      <c r="L220" s="19"/>
      <c r="M220" s="19"/>
      <c r="N220" s="6">
        <f t="shared" si="57"/>
        <v>100</v>
      </c>
      <c r="O220" s="19"/>
      <c r="P220" s="19"/>
      <c r="Q220" s="19"/>
      <c r="R220" s="6">
        <f t="shared" si="58"/>
        <v>100</v>
      </c>
      <c r="S220" s="8"/>
      <c r="T220" s="8"/>
      <c r="U220" s="8"/>
      <c r="V220" s="6">
        <f t="shared" si="59"/>
        <v>100</v>
      </c>
      <c r="W220" s="8"/>
      <c r="X220" s="8"/>
      <c r="Y220" s="8"/>
      <c r="Z220" s="6">
        <f t="shared" si="60"/>
        <v>100</v>
      </c>
      <c r="AA220" s="19"/>
      <c r="AB220" s="19"/>
      <c r="AC220" s="19"/>
      <c r="AD220" s="6">
        <f t="shared" si="61"/>
        <v>100</v>
      </c>
      <c r="AE220" s="19"/>
      <c r="AF220" s="19"/>
      <c r="AG220" s="19"/>
      <c r="AH220" s="6">
        <f t="shared" si="62"/>
        <v>100</v>
      </c>
      <c r="AI220" s="19"/>
      <c r="AJ220" s="19"/>
      <c r="AK220" s="19"/>
      <c r="AL220" s="6">
        <f t="shared" si="63"/>
        <v>100</v>
      </c>
      <c r="AM220" s="19"/>
      <c r="AN220" s="19"/>
      <c r="AO220" s="19"/>
      <c r="AP220" s="6">
        <f t="shared" si="64"/>
        <v>100</v>
      </c>
      <c r="AQ220" s="19"/>
      <c r="AR220" s="19"/>
      <c r="AS220" s="19"/>
      <c r="AT220" s="6">
        <f t="shared" si="65"/>
        <v>100</v>
      </c>
    </row>
    <row r="221" spans="1:46">
      <c r="A221" s="4">
        <v>46035</v>
      </c>
      <c r="B221" s="131"/>
      <c r="C221" s="7"/>
      <c r="D221" s="7"/>
      <c r="E221" s="7"/>
      <c r="F221" s="6">
        <f t="shared" si="55"/>
        <v>100</v>
      </c>
      <c r="G221" s="8"/>
      <c r="H221" s="8"/>
      <c r="I221" s="8"/>
      <c r="J221" s="6">
        <f t="shared" si="56"/>
        <v>100</v>
      </c>
      <c r="K221" s="19"/>
      <c r="L221" s="19"/>
      <c r="M221" s="19"/>
      <c r="N221" s="6">
        <f t="shared" si="57"/>
        <v>100</v>
      </c>
      <c r="O221" s="19"/>
      <c r="P221" s="19"/>
      <c r="Q221" s="19"/>
      <c r="R221" s="6">
        <f t="shared" si="58"/>
        <v>100</v>
      </c>
      <c r="S221" s="8"/>
      <c r="T221" s="8"/>
      <c r="U221" s="8"/>
      <c r="V221" s="6">
        <f t="shared" si="59"/>
        <v>100</v>
      </c>
      <c r="W221" s="8"/>
      <c r="X221" s="8"/>
      <c r="Y221" s="8"/>
      <c r="Z221" s="6">
        <f t="shared" si="60"/>
        <v>100</v>
      </c>
      <c r="AA221" s="19"/>
      <c r="AB221" s="19"/>
      <c r="AC221" s="19"/>
      <c r="AD221" s="6">
        <f t="shared" si="61"/>
        <v>100</v>
      </c>
      <c r="AE221" s="19"/>
      <c r="AF221" s="19"/>
      <c r="AG221" s="19"/>
      <c r="AH221" s="6">
        <f t="shared" si="62"/>
        <v>100</v>
      </c>
      <c r="AI221" s="19"/>
      <c r="AJ221" s="19"/>
      <c r="AK221" s="19"/>
      <c r="AL221" s="6">
        <f t="shared" si="63"/>
        <v>100</v>
      </c>
      <c r="AM221" s="19"/>
      <c r="AN221" s="19"/>
      <c r="AO221" s="19"/>
      <c r="AP221" s="6">
        <f t="shared" si="64"/>
        <v>100</v>
      </c>
      <c r="AQ221" s="19"/>
      <c r="AR221" s="19"/>
      <c r="AS221" s="19"/>
      <c r="AT221" s="6">
        <f t="shared" si="65"/>
        <v>100</v>
      </c>
    </row>
    <row r="222" spans="1:46">
      <c r="A222" s="4">
        <v>46036</v>
      </c>
      <c r="B222" s="131"/>
      <c r="C222" s="7"/>
      <c r="D222" s="7"/>
      <c r="E222" s="7"/>
      <c r="F222" s="6">
        <f t="shared" si="55"/>
        <v>100</v>
      </c>
      <c r="G222" s="8"/>
      <c r="H222" s="8"/>
      <c r="I222" s="8"/>
      <c r="J222" s="6">
        <f t="shared" si="56"/>
        <v>100</v>
      </c>
      <c r="K222" s="19"/>
      <c r="L222" s="19"/>
      <c r="M222" s="19"/>
      <c r="N222" s="6">
        <f t="shared" si="57"/>
        <v>100</v>
      </c>
      <c r="O222" s="19"/>
      <c r="P222" s="19"/>
      <c r="Q222" s="19"/>
      <c r="R222" s="6">
        <f t="shared" si="58"/>
        <v>100</v>
      </c>
      <c r="S222" s="8"/>
      <c r="T222" s="8"/>
      <c r="U222" s="8"/>
      <c r="V222" s="6">
        <f t="shared" si="59"/>
        <v>100</v>
      </c>
      <c r="W222" s="8"/>
      <c r="X222" s="8"/>
      <c r="Y222" s="8"/>
      <c r="Z222" s="6">
        <f t="shared" si="60"/>
        <v>100</v>
      </c>
      <c r="AA222" s="19"/>
      <c r="AB222" s="19"/>
      <c r="AC222" s="19"/>
      <c r="AD222" s="6">
        <f t="shared" si="61"/>
        <v>100</v>
      </c>
      <c r="AE222" s="19"/>
      <c r="AF222" s="19"/>
      <c r="AG222" s="19"/>
      <c r="AH222" s="6">
        <f t="shared" si="62"/>
        <v>100</v>
      </c>
      <c r="AI222" s="19"/>
      <c r="AJ222" s="19"/>
      <c r="AK222" s="19"/>
      <c r="AL222" s="6">
        <f t="shared" si="63"/>
        <v>100</v>
      </c>
      <c r="AM222" s="19"/>
      <c r="AN222" s="19"/>
      <c r="AO222" s="19"/>
      <c r="AP222" s="6">
        <f t="shared" si="64"/>
        <v>100</v>
      </c>
      <c r="AQ222" s="19"/>
      <c r="AR222" s="19"/>
      <c r="AS222" s="19"/>
      <c r="AT222" s="6">
        <f t="shared" si="65"/>
        <v>100</v>
      </c>
    </row>
    <row r="223" spans="1:46">
      <c r="A223" s="4">
        <v>46037</v>
      </c>
      <c r="B223" s="131"/>
      <c r="C223" s="7"/>
      <c r="D223" s="7"/>
      <c r="E223" s="7"/>
      <c r="F223" s="6">
        <f t="shared" si="55"/>
        <v>100</v>
      </c>
      <c r="G223" s="8"/>
      <c r="H223" s="8"/>
      <c r="I223" s="8"/>
      <c r="J223" s="6">
        <f t="shared" si="56"/>
        <v>100</v>
      </c>
      <c r="K223" s="19"/>
      <c r="L223" s="19"/>
      <c r="M223" s="19"/>
      <c r="N223" s="6">
        <f t="shared" si="57"/>
        <v>100</v>
      </c>
      <c r="O223" s="19"/>
      <c r="P223" s="19"/>
      <c r="Q223" s="19"/>
      <c r="R223" s="6">
        <f t="shared" si="58"/>
        <v>100</v>
      </c>
      <c r="S223" s="8"/>
      <c r="T223" s="8"/>
      <c r="U223" s="8"/>
      <c r="V223" s="6">
        <f t="shared" si="59"/>
        <v>100</v>
      </c>
      <c r="W223" s="8"/>
      <c r="X223" s="8"/>
      <c r="Y223" s="8"/>
      <c r="Z223" s="6">
        <f t="shared" si="60"/>
        <v>100</v>
      </c>
      <c r="AA223" s="19"/>
      <c r="AB223" s="19"/>
      <c r="AC223" s="19"/>
      <c r="AD223" s="6">
        <f t="shared" si="61"/>
        <v>100</v>
      </c>
      <c r="AE223" s="19"/>
      <c r="AF223" s="19"/>
      <c r="AG223" s="19"/>
      <c r="AH223" s="6">
        <f t="shared" si="62"/>
        <v>100</v>
      </c>
      <c r="AI223" s="19"/>
      <c r="AJ223" s="19"/>
      <c r="AK223" s="19"/>
      <c r="AL223" s="6">
        <f t="shared" si="63"/>
        <v>100</v>
      </c>
      <c r="AM223" s="19"/>
      <c r="AN223" s="19"/>
      <c r="AO223" s="19"/>
      <c r="AP223" s="6">
        <f t="shared" si="64"/>
        <v>100</v>
      </c>
      <c r="AQ223" s="19"/>
      <c r="AR223" s="19"/>
      <c r="AS223" s="19"/>
      <c r="AT223" s="6">
        <f t="shared" si="65"/>
        <v>100</v>
      </c>
    </row>
    <row r="224" spans="1:46">
      <c r="A224" s="4">
        <v>46038</v>
      </c>
      <c r="B224" s="131"/>
      <c r="C224" s="7"/>
      <c r="D224" s="7"/>
      <c r="E224" s="7"/>
      <c r="F224" s="6">
        <f t="shared" si="55"/>
        <v>100</v>
      </c>
      <c r="G224" s="8"/>
      <c r="H224" s="8"/>
      <c r="I224" s="8"/>
      <c r="J224" s="6">
        <f t="shared" si="56"/>
        <v>100</v>
      </c>
      <c r="K224" s="19"/>
      <c r="L224" s="19"/>
      <c r="M224" s="19"/>
      <c r="N224" s="6">
        <f t="shared" si="57"/>
        <v>100</v>
      </c>
      <c r="O224" s="19"/>
      <c r="P224" s="19"/>
      <c r="Q224" s="19"/>
      <c r="R224" s="6">
        <f t="shared" si="58"/>
        <v>100</v>
      </c>
      <c r="S224" s="8"/>
      <c r="T224" s="8"/>
      <c r="U224" s="8"/>
      <c r="V224" s="6">
        <f t="shared" si="59"/>
        <v>100</v>
      </c>
      <c r="W224" s="8"/>
      <c r="X224" s="8"/>
      <c r="Y224" s="8"/>
      <c r="Z224" s="6">
        <f t="shared" si="60"/>
        <v>100</v>
      </c>
      <c r="AA224" s="19"/>
      <c r="AB224" s="19"/>
      <c r="AC224" s="19"/>
      <c r="AD224" s="6">
        <f t="shared" si="61"/>
        <v>100</v>
      </c>
      <c r="AE224" s="19"/>
      <c r="AF224" s="19"/>
      <c r="AG224" s="19"/>
      <c r="AH224" s="6">
        <f t="shared" si="62"/>
        <v>100</v>
      </c>
      <c r="AI224" s="19"/>
      <c r="AJ224" s="19"/>
      <c r="AK224" s="19"/>
      <c r="AL224" s="6">
        <f t="shared" si="63"/>
        <v>100</v>
      </c>
      <c r="AM224" s="19"/>
      <c r="AN224" s="19"/>
      <c r="AO224" s="19"/>
      <c r="AP224" s="6">
        <f t="shared" si="64"/>
        <v>100</v>
      </c>
      <c r="AQ224" s="19"/>
      <c r="AR224" s="19"/>
      <c r="AS224" s="19"/>
      <c r="AT224" s="6">
        <f t="shared" si="65"/>
        <v>100</v>
      </c>
    </row>
    <row r="225" spans="1:46">
      <c r="A225" s="4">
        <v>46039</v>
      </c>
      <c r="B225" s="131"/>
      <c r="C225" s="7"/>
      <c r="D225" s="7"/>
      <c r="E225" s="7"/>
      <c r="F225" s="6">
        <f t="shared" si="55"/>
        <v>100</v>
      </c>
      <c r="G225" s="8"/>
      <c r="H225" s="8"/>
      <c r="I225" s="8"/>
      <c r="J225" s="6">
        <f t="shared" si="56"/>
        <v>100</v>
      </c>
      <c r="K225" s="19"/>
      <c r="L225" s="19"/>
      <c r="M225" s="19"/>
      <c r="N225" s="6">
        <f t="shared" si="57"/>
        <v>100</v>
      </c>
      <c r="O225" s="19"/>
      <c r="P225" s="19"/>
      <c r="Q225" s="19"/>
      <c r="R225" s="6">
        <f t="shared" si="58"/>
        <v>100</v>
      </c>
      <c r="S225" s="8"/>
      <c r="T225" s="8"/>
      <c r="U225" s="8"/>
      <c r="V225" s="6">
        <f t="shared" si="59"/>
        <v>100</v>
      </c>
      <c r="W225" s="8"/>
      <c r="X225" s="8"/>
      <c r="Y225" s="8"/>
      <c r="Z225" s="6">
        <f t="shared" si="60"/>
        <v>100</v>
      </c>
      <c r="AA225" s="19"/>
      <c r="AB225" s="19"/>
      <c r="AC225" s="19"/>
      <c r="AD225" s="6">
        <f t="shared" si="61"/>
        <v>100</v>
      </c>
      <c r="AE225" s="19"/>
      <c r="AF225" s="19"/>
      <c r="AG225" s="19"/>
      <c r="AH225" s="6">
        <f t="shared" si="62"/>
        <v>100</v>
      </c>
      <c r="AI225" s="19"/>
      <c r="AJ225" s="19"/>
      <c r="AK225" s="19"/>
      <c r="AL225" s="6">
        <f t="shared" si="63"/>
        <v>100</v>
      </c>
      <c r="AM225" s="19"/>
      <c r="AN225" s="19"/>
      <c r="AO225" s="19"/>
      <c r="AP225" s="6">
        <f t="shared" si="64"/>
        <v>100</v>
      </c>
      <c r="AQ225" s="19"/>
      <c r="AR225" s="19"/>
      <c r="AS225" s="19"/>
      <c r="AT225" s="6">
        <f t="shared" si="65"/>
        <v>100</v>
      </c>
    </row>
    <row r="226" spans="1:46">
      <c r="A226" s="4">
        <v>46040</v>
      </c>
      <c r="B226" s="131"/>
      <c r="C226" s="7"/>
      <c r="D226" s="7"/>
      <c r="E226" s="7"/>
      <c r="F226" s="6">
        <f t="shared" si="55"/>
        <v>100</v>
      </c>
      <c r="G226" s="8"/>
      <c r="H226" s="8"/>
      <c r="I226" s="8"/>
      <c r="J226" s="6">
        <f t="shared" si="56"/>
        <v>100</v>
      </c>
      <c r="K226" s="19"/>
      <c r="L226" s="19"/>
      <c r="M226" s="19"/>
      <c r="N226" s="6">
        <f t="shared" si="57"/>
        <v>100</v>
      </c>
      <c r="O226" s="19"/>
      <c r="P226" s="19"/>
      <c r="Q226" s="19"/>
      <c r="R226" s="6">
        <f t="shared" si="58"/>
        <v>100</v>
      </c>
      <c r="S226" s="8"/>
      <c r="T226" s="8"/>
      <c r="U226" s="8"/>
      <c r="V226" s="6">
        <f t="shared" si="59"/>
        <v>100</v>
      </c>
      <c r="W226" s="8"/>
      <c r="X226" s="8"/>
      <c r="Y226" s="8"/>
      <c r="Z226" s="6">
        <f t="shared" si="60"/>
        <v>100</v>
      </c>
      <c r="AA226" s="19"/>
      <c r="AB226" s="19"/>
      <c r="AC226" s="19"/>
      <c r="AD226" s="6">
        <f t="shared" si="61"/>
        <v>100</v>
      </c>
      <c r="AE226" s="19"/>
      <c r="AF226" s="19"/>
      <c r="AG226" s="19"/>
      <c r="AH226" s="6">
        <f t="shared" si="62"/>
        <v>100</v>
      </c>
      <c r="AI226" s="19"/>
      <c r="AJ226" s="19"/>
      <c r="AK226" s="19"/>
      <c r="AL226" s="6">
        <f t="shared" si="63"/>
        <v>100</v>
      </c>
      <c r="AM226" s="19"/>
      <c r="AN226" s="19"/>
      <c r="AO226" s="19"/>
      <c r="AP226" s="6">
        <f t="shared" si="64"/>
        <v>100</v>
      </c>
      <c r="AQ226" s="19"/>
      <c r="AR226" s="19"/>
      <c r="AS226" s="19"/>
      <c r="AT226" s="6">
        <f t="shared" si="65"/>
        <v>100</v>
      </c>
    </row>
    <row r="227" spans="1:46">
      <c r="A227" s="4">
        <v>46041</v>
      </c>
      <c r="B227" s="131"/>
      <c r="C227" s="7"/>
      <c r="D227" s="7"/>
      <c r="E227" s="7"/>
      <c r="F227" s="6">
        <f t="shared" si="55"/>
        <v>100</v>
      </c>
      <c r="G227" s="8"/>
      <c r="H227" s="8"/>
      <c r="I227" s="8"/>
      <c r="J227" s="6">
        <f t="shared" si="56"/>
        <v>100</v>
      </c>
      <c r="K227" s="19"/>
      <c r="L227" s="19"/>
      <c r="M227" s="19"/>
      <c r="N227" s="6">
        <f t="shared" si="57"/>
        <v>100</v>
      </c>
      <c r="O227" s="19"/>
      <c r="P227" s="19"/>
      <c r="Q227" s="19"/>
      <c r="R227" s="6">
        <f t="shared" si="58"/>
        <v>100</v>
      </c>
      <c r="S227" s="8"/>
      <c r="T227" s="8"/>
      <c r="U227" s="8"/>
      <c r="V227" s="6">
        <f t="shared" si="59"/>
        <v>100</v>
      </c>
      <c r="W227" s="8"/>
      <c r="X227" s="8"/>
      <c r="Y227" s="8"/>
      <c r="Z227" s="6">
        <f t="shared" si="60"/>
        <v>100</v>
      </c>
      <c r="AA227" s="19"/>
      <c r="AB227" s="19"/>
      <c r="AC227" s="19"/>
      <c r="AD227" s="6">
        <f t="shared" si="61"/>
        <v>100</v>
      </c>
      <c r="AE227" s="19"/>
      <c r="AF227" s="19"/>
      <c r="AG227" s="19"/>
      <c r="AH227" s="6">
        <f t="shared" si="62"/>
        <v>100</v>
      </c>
      <c r="AI227" s="19"/>
      <c r="AJ227" s="19"/>
      <c r="AK227" s="19"/>
      <c r="AL227" s="6">
        <f t="shared" si="63"/>
        <v>100</v>
      </c>
      <c r="AM227" s="19"/>
      <c r="AN227" s="19"/>
      <c r="AO227" s="19"/>
      <c r="AP227" s="6">
        <f t="shared" si="64"/>
        <v>100</v>
      </c>
      <c r="AQ227" s="19"/>
      <c r="AR227" s="19"/>
      <c r="AS227" s="19"/>
      <c r="AT227" s="6">
        <f t="shared" si="65"/>
        <v>100</v>
      </c>
    </row>
    <row r="228" spans="1:46">
      <c r="A228" s="70">
        <v>46042</v>
      </c>
      <c r="B228" s="131"/>
      <c r="C228" s="7"/>
      <c r="D228" s="7"/>
      <c r="E228" s="7"/>
      <c r="F228" s="6">
        <f t="shared" si="55"/>
        <v>100</v>
      </c>
      <c r="G228" s="8"/>
      <c r="H228" s="8"/>
      <c r="I228" s="8"/>
      <c r="J228" s="6">
        <f t="shared" si="56"/>
        <v>100</v>
      </c>
      <c r="K228" s="19"/>
      <c r="L228" s="19"/>
      <c r="M228" s="19"/>
      <c r="N228" s="6">
        <f t="shared" si="57"/>
        <v>100</v>
      </c>
      <c r="O228" s="19"/>
      <c r="P228" s="19"/>
      <c r="Q228" s="19"/>
      <c r="R228" s="6">
        <f t="shared" si="58"/>
        <v>100</v>
      </c>
      <c r="S228" s="8"/>
      <c r="T228" s="8"/>
      <c r="U228" s="8"/>
      <c r="V228" s="6">
        <f t="shared" si="59"/>
        <v>100</v>
      </c>
      <c r="W228" s="8"/>
      <c r="X228" s="8"/>
      <c r="Y228" s="8"/>
      <c r="Z228" s="6">
        <f t="shared" si="60"/>
        <v>100</v>
      </c>
      <c r="AA228" s="19"/>
      <c r="AB228" s="19"/>
      <c r="AC228" s="19"/>
      <c r="AD228" s="6">
        <f t="shared" si="61"/>
        <v>100</v>
      </c>
      <c r="AE228" s="19"/>
      <c r="AF228" s="19"/>
      <c r="AG228" s="19"/>
      <c r="AH228" s="6">
        <f t="shared" si="62"/>
        <v>100</v>
      </c>
      <c r="AI228" s="19"/>
      <c r="AJ228" s="19"/>
      <c r="AK228" s="19"/>
      <c r="AL228" s="6">
        <f t="shared" si="63"/>
        <v>100</v>
      </c>
      <c r="AM228" s="19"/>
      <c r="AN228" s="19"/>
      <c r="AO228" s="19"/>
      <c r="AP228" s="6">
        <f t="shared" si="64"/>
        <v>100</v>
      </c>
      <c r="AQ228" s="19"/>
      <c r="AR228" s="19"/>
      <c r="AS228" s="19"/>
      <c r="AT228" s="6">
        <f t="shared" si="65"/>
        <v>100</v>
      </c>
    </row>
    <row r="229" spans="1:46">
      <c r="A229" s="4">
        <v>46043</v>
      </c>
      <c r="B229" s="131"/>
      <c r="C229" s="7"/>
      <c r="D229" s="7"/>
      <c r="E229" s="7"/>
      <c r="F229" s="6">
        <f t="shared" si="55"/>
        <v>100</v>
      </c>
      <c r="G229" s="8"/>
      <c r="H229" s="8"/>
      <c r="I229" s="8"/>
      <c r="J229" s="6">
        <f t="shared" si="56"/>
        <v>100</v>
      </c>
      <c r="K229" s="19"/>
      <c r="L229" s="19"/>
      <c r="M229" s="19"/>
      <c r="N229" s="6">
        <f t="shared" si="57"/>
        <v>100</v>
      </c>
      <c r="O229" s="19"/>
      <c r="P229" s="19"/>
      <c r="Q229" s="19"/>
      <c r="R229" s="6">
        <f t="shared" si="58"/>
        <v>100</v>
      </c>
      <c r="S229" s="8"/>
      <c r="T229" s="8"/>
      <c r="U229" s="8"/>
      <c r="V229" s="6">
        <f t="shared" si="59"/>
        <v>100</v>
      </c>
      <c r="W229" s="8"/>
      <c r="X229" s="8"/>
      <c r="Y229" s="8"/>
      <c r="Z229" s="6">
        <f t="shared" si="60"/>
        <v>100</v>
      </c>
      <c r="AA229" s="19"/>
      <c r="AB229" s="19"/>
      <c r="AC229" s="19"/>
      <c r="AD229" s="6">
        <f t="shared" si="61"/>
        <v>100</v>
      </c>
      <c r="AE229" s="19"/>
      <c r="AF229" s="19"/>
      <c r="AG229" s="19"/>
      <c r="AH229" s="6">
        <f t="shared" si="62"/>
        <v>100</v>
      </c>
      <c r="AI229" s="19"/>
      <c r="AJ229" s="19"/>
      <c r="AK229" s="19"/>
      <c r="AL229" s="6">
        <f t="shared" si="63"/>
        <v>100</v>
      </c>
      <c r="AM229" s="19"/>
      <c r="AN229" s="19"/>
      <c r="AO229" s="19"/>
      <c r="AP229" s="6">
        <f t="shared" si="64"/>
        <v>100</v>
      </c>
      <c r="AQ229" s="19"/>
      <c r="AR229" s="19"/>
      <c r="AS229" s="19"/>
      <c r="AT229" s="6">
        <f t="shared" si="65"/>
        <v>100</v>
      </c>
    </row>
    <row r="230" spans="1:46">
      <c r="A230" s="4">
        <v>46044</v>
      </c>
      <c r="B230" s="131">
        <v>110</v>
      </c>
      <c r="C230" s="78">
        <v>30.49</v>
      </c>
      <c r="D230" s="80">
        <v>18.73</v>
      </c>
      <c r="E230" s="80">
        <v>32.67</v>
      </c>
      <c r="F230" s="6">
        <f t="shared" si="55"/>
        <v>18.11</v>
      </c>
      <c r="G230" s="78">
        <v>11.46</v>
      </c>
      <c r="H230" s="80">
        <v>9.11</v>
      </c>
      <c r="I230" s="80">
        <v>51.15</v>
      </c>
      <c r="J230" s="6">
        <f t="shared" si="56"/>
        <v>28.28</v>
      </c>
      <c r="K230" s="78">
        <v>17.89</v>
      </c>
      <c r="L230" s="80">
        <v>14.11</v>
      </c>
      <c r="M230" s="80">
        <v>44.74</v>
      </c>
      <c r="N230" s="6">
        <f t="shared" si="57"/>
        <v>23.259999999999991</v>
      </c>
      <c r="O230" s="78">
        <v>0.95</v>
      </c>
      <c r="P230" s="80">
        <v>0.6</v>
      </c>
      <c r="Q230" s="80">
        <v>70</v>
      </c>
      <c r="R230" s="6">
        <f t="shared" si="58"/>
        <v>28.450000000000003</v>
      </c>
      <c r="S230" s="8"/>
      <c r="T230" s="8"/>
      <c r="U230" s="8"/>
      <c r="V230" s="6">
        <f t="shared" si="59"/>
        <v>100</v>
      </c>
      <c r="W230" s="78">
        <v>33.51</v>
      </c>
      <c r="X230" s="80">
        <v>35.21</v>
      </c>
      <c r="Y230" s="8"/>
      <c r="Z230" s="6">
        <f t="shared" si="60"/>
        <v>31.28</v>
      </c>
      <c r="AA230" s="78">
        <v>25.19</v>
      </c>
      <c r="AB230" s="80">
        <v>11.92</v>
      </c>
      <c r="AC230" s="19"/>
      <c r="AD230" s="6">
        <f t="shared" si="61"/>
        <v>62.89</v>
      </c>
      <c r="AE230" s="78">
        <v>13.77</v>
      </c>
      <c r="AF230" s="80">
        <v>7.88</v>
      </c>
      <c r="AG230" s="19"/>
      <c r="AH230" s="6">
        <f t="shared" si="62"/>
        <v>78.349999999999994</v>
      </c>
      <c r="AI230" s="78">
        <v>5.88</v>
      </c>
      <c r="AJ230" s="80">
        <v>1.58</v>
      </c>
      <c r="AK230" s="80">
        <v>1.86</v>
      </c>
      <c r="AL230" s="6">
        <f t="shared" si="63"/>
        <v>90.68</v>
      </c>
      <c r="AM230" s="78">
        <v>2.04</v>
      </c>
      <c r="AN230" s="19"/>
      <c r="AO230" s="19"/>
      <c r="AP230" s="6">
        <f t="shared" si="64"/>
        <v>97.96</v>
      </c>
      <c r="AQ230" s="78">
        <v>0.65</v>
      </c>
      <c r="AR230" s="80">
        <v>0.41</v>
      </c>
      <c r="AS230" s="80">
        <v>71</v>
      </c>
      <c r="AT230" s="6">
        <f t="shared" si="65"/>
        <v>27.939999999999998</v>
      </c>
    </row>
    <row r="231" spans="1:46">
      <c r="A231" s="4">
        <v>46045</v>
      </c>
      <c r="B231" s="131"/>
      <c r="C231" s="7"/>
      <c r="D231" s="7"/>
      <c r="E231" s="7"/>
      <c r="F231" s="6">
        <f t="shared" si="55"/>
        <v>100</v>
      </c>
      <c r="G231" s="8"/>
      <c r="H231" s="8"/>
      <c r="I231" s="8"/>
      <c r="J231" s="6">
        <f t="shared" si="56"/>
        <v>100</v>
      </c>
      <c r="K231" s="19"/>
      <c r="L231" s="19"/>
      <c r="M231" s="19"/>
      <c r="N231" s="6">
        <f t="shared" si="57"/>
        <v>100</v>
      </c>
      <c r="O231" s="19"/>
      <c r="P231" s="19"/>
      <c r="Q231" s="19"/>
      <c r="R231" s="6">
        <f t="shared" si="58"/>
        <v>100</v>
      </c>
      <c r="S231" s="8"/>
      <c r="T231" s="8"/>
      <c r="U231" s="8"/>
      <c r="V231" s="6">
        <f t="shared" si="59"/>
        <v>100</v>
      </c>
      <c r="W231" s="8"/>
      <c r="X231" s="8"/>
      <c r="Y231" s="8"/>
      <c r="Z231" s="6">
        <f t="shared" si="60"/>
        <v>100</v>
      </c>
      <c r="AA231" s="19"/>
      <c r="AB231" s="19"/>
      <c r="AC231" s="19"/>
      <c r="AD231" s="6">
        <f t="shared" si="61"/>
        <v>100</v>
      </c>
      <c r="AE231" s="19"/>
      <c r="AF231" s="19"/>
      <c r="AG231" s="19"/>
      <c r="AH231" s="6">
        <f t="shared" si="62"/>
        <v>100</v>
      </c>
      <c r="AI231" s="19"/>
      <c r="AJ231" s="19"/>
      <c r="AK231" s="19"/>
      <c r="AL231" s="6">
        <f t="shared" si="63"/>
        <v>100</v>
      </c>
      <c r="AM231" s="19"/>
      <c r="AN231" s="19"/>
      <c r="AO231" s="19"/>
      <c r="AP231" s="6">
        <f t="shared" si="64"/>
        <v>100</v>
      </c>
      <c r="AQ231" s="19"/>
      <c r="AR231" s="19"/>
      <c r="AS231" s="19"/>
      <c r="AT231" s="6">
        <f t="shared" si="65"/>
        <v>100</v>
      </c>
    </row>
    <row r="232" spans="1:46">
      <c r="A232" s="4">
        <v>46046</v>
      </c>
      <c r="B232" s="131"/>
      <c r="C232" s="7"/>
      <c r="D232" s="7"/>
      <c r="E232" s="7"/>
      <c r="F232" s="6">
        <f t="shared" si="55"/>
        <v>100</v>
      </c>
      <c r="G232" s="8"/>
      <c r="H232" s="8"/>
      <c r="I232" s="8"/>
      <c r="J232" s="6">
        <f t="shared" si="56"/>
        <v>100</v>
      </c>
      <c r="K232" s="19"/>
      <c r="L232" s="19"/>
      <c r="M232" s="19"/>
      <c r="N232" s="6">
        <f t="shared" si="57"/>
        <v>100</v>
      </c>
      <c r="O232" s="19"/>
      <c r="P232" s="19"/>
      <c r="Q232" s="19"/>
      <c r="R232" s="6">
        <f t="shared" si="58"/>
        <v>100</v>
      </c>
      <c r="S232" s="8"/>
      <c r="T232" s="8"/>
      <c r="U232" s="8"/>
      <c r="V232" s="6">
        <f t="shared" si="59"/>
        <v>100</v>
      </c>
      <c r="W232" s="8"/>
      <c r="X232" s="8"/>
      <c r="Y232" s="8"/>
      <c r="Z232" s="6">
        <f t="shared" si="60"/>
        <v>100</v>
      </c>
      <c r="AA232" s="19"/>
      <c r="AB232" s="19"/>
      <c r="AC232" s="19"/>
      <c r="AD232" s="6">
        <f t="shared" si="61"/>
        <v>100</v>
      </c>
      <c r="AE232" s="19"/>
      <c r="AF232" s="19"/>
      <c r="AG232" s="19"/>
      <c r="AH232" s="6">
        <f t="shared" si="62"/>
        <v>100</v>
      </c>
      <c r="AI232" s="19"/>
      <c r="AJ232" s="19"/>
      <c r="AK232" s="19"/>
      <c r="AL232" s="6">
        <f t="shared" si="63"/>
        <v>100</v>
      </c>
      <c r="AM232" s="19"/>
      <c r="AN232" s="19"/>
      <c r="AO232" s="19"/>
      <c r="AP232" s="6">
        <f t="shared" si="64"/>
        <v>100</v>
      </c>
      <c r="AQ232" s="19"/>
      <c r="AR232" s="19"/>
      <c r="AS232" s="19"/>
      <c r="AT232" s="6">
        <f t="shared" si="65"/>
        <v>100</v>
      </c>
    </row>
    <row r="233" spans="1:46">
      <c r="A233" s="4">
        <v>46047</v>
      </c>
      <c r="B233" s="131"/>
      <c r="C233" s="7"/>
      <c r="D233" s="7"/>
      <c r="E233" s="7"/>
      <c r="F233" s="6">
        <f t="shared" si="55"/>
        <v>100</v>
      </c>
      <c r="G233" s="8"/>
      <c r="H233" s="8"/>
      <c r="I233" s="8"/>
      <c r="J233" s="6">
        <f t="shared" si="56"/>
        <v>100</v>
      </c>
      <c r="K233" s="19"/>
      <c r="L233" s="19"/>
      <c r="M233" s="19"/>
      <c r="N233" s="6">
        <f t="shared" si="57"/>
        <v>100</v>
      </c>
      <c r="O233" s="19"/>
      <c r="P233" s="19"/>
      <c r="Q233" s="19"/>
      <c r="R233" s="6">
        <f t="shared" si="58"/>
        <v>100</v>
      </c>
      <c r="S233" s="8"/>
      <c r="T233" s="8"/>
      <c r="U233" s="8"/>
      <c r="V233" s="6">
        <f t="shared" si="59"/>
        <v>100</v>
      </c>
      <c r="W233" s="8"/>
      <c r="X233" s="8"/>
      <c r="Y233" s="8"/>
      <c r="Z233" s="6">
        <f t="shared" si="60"/>
        <v>100</v>
      </c>
      <c r="AA233" s="19"/>
      <c r="AB233" s="19"/>
      <c r="AC233" s="19"/>
      <c r="AD233" s="6">
        <f t="shared" si="61"/>
        <v>100</v>
      </c>
      <c r="AE233" s="19"/>
      <c r="AF233" s="19"/>
      <c r="AG233" s="19"/>
      <c r="AH233" s="6">
        <f t="shared" si="62"/>
        <v>100</v>
      </c>
      <c r="AI233" s="19"/>
      <c r="AJ233" s="19"/>
      <c r="AK233" s="19"/>
      <c r="AL233" s="6">
        <f t="shared" si="63"/>
        <v>100</v>
      </c>
      <c r="AM233" s="19"/>
      <c r="AN233" s="19"/>
      <c r="AO233" s="19"/>
      <c r="AP233" s="6">
        <f t="shared" si="64"/>
        <v>100</v>
      </c>
      <c r="AQ233" s="19"/>
      <c r="AR233" s="19"/>
      <c r="AS233" s="19"/>
      <c r="AT233" s="6">
        <f t="shared" si="65"/>
        <v>100</v>
      </c>
    </row>
    <row r="234" spans="1:46">
      <c r="A234" s="4">
        <v>46048</v>
      </c>
      <c r="B234" s="131"/>
      <c r="C234" s="7"/>
      <c r="D234" s="7"/>
      <c r="E234" s="7"/>
      <c r="F234" s="6">
        <f t="shared" si="55"/>
        <v>100</v>
      </c>
      <c r="G234" s="8"/>
      <c r="H234" s="8"/>
      <c r="I234" s="8"/>
      <c r="J234" s="6">
        <f t="shared" si="56"/>
        <v>100</v>
      </c>
      <c r="K234" s="19"/>
      <c r="L234" s="19"/>
      <c r="M234" s="19"/>
      <c r="N234" s="6">
        <f t="shared" si="57"/>
        <v>100</v>
      </c>
      <c r="O234" s="19"/>
      <c r="P234" s="19"/>
      <c r="Q234" s="19"/>
      <c r="R234" s="6">
        <f t="shared" si="58"/>
        <v>100</v>
      </c>
      <c r="S234" s="8"/>
      <c r="T234" s="8"/>
      <c r="U234" s="8"/>
      <c r="V234" s="6">
        <f t="shared" si="59"/>
        <v>100</v>
      </c>
      <c r="W234" s="8"/>
      <c r="X234" s="8"/>
      <c r="Y234" s="8"/>
      <c r="Z234" s="6">
        <f t="shared" si="60"/>
        <v>100</v>
      </c>
      <c r="AA234" s="19"/>
      <c r="AB234" s="19"/>
      <c r="AC234" s="19"/>
      <c r="AD234" s="6">
        <f t="shared" si="61"/>
        <v>100</v>
      </c>
      <c r="AE234" s="19"/>
      <c r="AF234" s="19"/>
      <c r="AG234" s="19"/>
      <c r="AH234" s="6">
        <f t="shared" si="62"/>
        <v>100</v>
      </c>
      <c r="AI234" s="19"/>
      <c r="AJ234" s="19"/>
      <c r="AK234" s="19"/>
      <c r="AL234" s="6">
        <f t="shared" si="63"/>
        <v>100</v>
      </c>
      <c r="AM234" s="19"/>
      <c r="AN234" s="19"/>
      <c r="AO234" s="19"/>
      <c r="AP234" s="6">
        <f t="shared" si="64"/>
        <v>100</v>
      </c>
      <c r="AQ234" s="19"/>
      <c r="AR234" s="19"/>
      <c r="AS234" s="19"/>
      <c r="AT234" s="6">
        <f t="shared" si="65"/>
        <v>100</v>
      </c>
    </row>
    <row r="235" spans="1:46">
      <c r="A235" s="4">
        <v>46049</v>
      </c>
      <c r="B235" s="131"/>
      <c r="C235" s="7"/>
      <c r="D235" s="7"/>
      <c r="E235" s="7"/>
      <c r="F235" s="6">
        <f t="shared" si="55"/>
        <v>100</v>
      </c>
      <c r="G235" s="8"/>
      <c r="H235" s="8"/>
      <c r="I235" s="8"/>
      <c r="J235" s="6">
        <f t="shared" si="56"/>
        <v>100</v>
      </c>
      <c r="K235" s="19"/>
      <c r="L235" s="19"/>
      <c r="M235" s="19"/>
      <c r="N235" s="6">
        <f t="shared" si="57"/>
        <v>100</v>
      </c>
      <c r="O235" s="19"/>
      <c r="P235" s="19"/>
      <c r="Q235" s="19"/>
      <c r="R235" s="6">
        <f t="shared" si="58"/>
        <v>100</v>
      </c>
      <c r="S235" s="8"/>
      <c r="T235" s="8"/>
      <c r="U235" s="8"/>
      <c r="V235" s="6">
        <f t="shared" si="59"/>
        <v>100</v>
      </c>
      <c r="W235" s="8"/>
      <c r="X235" s="8"/>
      <c r="Y235" s="8"/>
      <c r="Z235" s="6">
        <f t="shared" si="60"/>
        <v>100</v>
      </c>
      <c r="AA235" s="19"/>
      <c r="AB235" s="19"/>
      <c r="AC235" s="19"/>
      <c r="AD235" s="6">
        <f t="shared" si="61"/>
        <v>100</v>
      </c>
      <c r="AE235" s="19"/>
      <c r="AF235" s="19"/>
      <c r="AG235" s="19"/>
      <c r="AH235" s="6">
        <f t="shared" si="62"/>
        <v>100</v>
      </c>
      <c r="AI235" s="19"/>
      <c r="AJ235" s="19"/>
      <c r="AK235" s="19"/>
      <c r="AL235" s="6">
        <f t="shared" si="63"/>
        <v>100</v>
      </c>
      <c r="AM235" s="19"/>
      <c r="AN235" s="19"/>
      <c r="AO235" s="19"/>
      <c r="AP235" s="6">
        <f t="shared" si="64"/>
        <v>100</v>
      </c>
      <c r="AQ235" s="19"/>
      <c r="AR235" s="19"/>
      <c r="AS235" s="19"/>
      <c r="AT235" s="6">
        <f t="shared" si="65"/>
        <v>100</v>
      </c>
    </row>
    <row r="236" spans="1:46">
      <c r="A236" s="4">
        <v>46050</v>
      </c>
      <c r="B236" s="131"/>
      <c r="C236" s="7"/>
      <c r="D236" s="7"/>
      <c r="E236" s="7"/>
      <c r="F236" s="6">
        <f t="shared" si="55"/>
        <v>100</v>
      </c>
      <c r="G236" s="8"/>
      <c r="H236" s="8"/>
      <c r="I236" s="8"/>
      <c r="J236" s="6">
        <f t="shared" si="56"/>
        <v>100</v>
      </c>
      <c r="K236" s="19"/>
      <c r="L236" s="19"/>
      <c r="M236" s="19"/>
      <c r="N236" s="6">
        <f t="shared" si="57"/>
        <v>100</v>
      </c>
      <c r="O236" s="19"/>
      <c r="P236" s="19"/>
      <c r="Q236" s="19"/>
      <c r="R236" s="6">
        <f t="shared" si="58"/>
        <v>100</v>
      </c>
      <c r="S236" s="8"/>
      <c r="T236" s="8"/>
      <c r="U236" s="8"/>
      <c r="V236" s="6">
        <f t="shared" si="59"/>
        <v>100</v>
      </c>
      <c r="W236" s="8"/>
      <c r="X236" s="8"/>
      <c r="Y236" s="8"/>
      <c r="Z236" s="6">
        <f t="shared" si="60"/>
        <v>100</v>
      </c>
      <c r="AA236" s="19"/>
      <c r="AB236" s="19"/>
      <c r="AC236" s="19"/>
      <c r="AD236" s="6">
        <f t="shared" si="61"/>
        <v>100</v>
      </c>
      <c r="AE236" s="19"/>
      <c r="AF236" s="19"/>
      <c r="AG236" s="19"/>
      <c r="AH236" s="6">
        <f t="shared" si="62"/>
        <v>100</v>
      </c>
      <c r="AI236" s="19"/>
      <c r="AJ236" s="19"/>
      <c r="AK236" s="19"/>
      <c r="AL236" s="6">
        <f t="shared" si="63"/>
        <v>100</v>
      </c>
      <c r="AM236" s="19"/>
      <c r="AN236" s="19"/>
      <c r="AO236" s="19"/>
      <c r="AP236" s="6">
        <f t="shared" si="64"/>
        <v>100</v>
      </c>
      <c r="AQ236" s="19"/>
      <c r="AR236" s="19"/>
      <c r="AS236" s="19"/>
      <c r="AT236" s="6">
        <f t="shared" si="65"/>
        <v>100</v>
      </c>
    </row>
    <row r="237" spans="1:46">
      <c r="A237" s="4">
        <v>46051</v>
      </c>
      <c r="B237" s="131"/>
      <c r="C237" s="7"/>
      <c r="D237" s="7"/>
      <c r="E237" s="7"/>
      <c r="F237" s="6">
        <f t="shared" si="55"/>
        <v>100</v>
      </c>
      <c r="G237" s="8"/>
      <c r="H237" s="8"/>
      <c r="I237" s="8"/>
      <c r="J237" s="6">
        <f t="shared" si="56"/>
        <v>100</v>
      </c>
      <c r="K237" s="19"/>
      <c r="L237" s="19"/>
      <c r="M237" s="19"/>
      <c r="N237" s="6">
        <f t="shared" si="57"/>
        <v>100</v>
      </c>
      <c r="O237" s="19"/>
      <c r="P237" s="19"/>
      <c r="Q237" s="19"/>
      <c r="R237" s="6">
        <f t="shared" si="58"/>
        <v>100</v>
      </c>
      <c r="S237" s="8"/>
      <c r="T237" s="8"/>
      <c r="U237" s="8"/>
      <c r="V237" s="6">
        <f t="shared" si="59"/>
        <v>100</v>
      </c>
      <c r="W237" s="8"/>
      <c r="X237" s="8"/>
      <c r="Y237" s="8"/>
      <c r="Z237" s="6">
        <f t="shared" si="60"/>
        <v>100</v>
      </c>
      <c r="AA237" s="19"/>
      <c r="AB237" s="19"/>
      <c r="AC237" s="19"/>
      <c r="AD237" s="6">
        <f t="shared" si="61"/>
        <v>100</v>
      </c>
      <c r="AE237" s="19"/>
      <c r="AF237" s="19"/>
      <c r="AG237" s="19"/>
      <c r="AH237" s="6">
        <f t="shared" si="62"/>
        <v>100</v>
      </c>
      <c r="AI237" s="19"/>
      <c r="AJ237" s="19"/>
      <c r="AK237" s="19"/>
      <c r="AL237" s="6">
        <f t="shared" si="63"/>
        <v>100</v>
      </c>
      <c r="AM237" s="19"/>
      <c r="AN237" s="19"/>
      <c r="AO237" s="19"/>
      <c r="AP237" s="6">
        <f t="shared" si="64"/>
        <v>100</v>
      </c>
      <c r="AQ237" s="19"/>
      <c r="AR237" s="19"/>
      <c r="AS237" s="19"/>
      <c r="AT237" s="6">
        <f t="shared" si="65"/>
        <v>100</v>
      </c>
    </row>
    <row r="238" spans="1:46">
      <c r="A238" s="70">
        <v>46052</v>
      </c>
      <c r="B238" s="131"/>
      <c r="C238" s="7"/>
      <c r="D238" s="7"/>
      <c r="E238" s="7"/>
      <c r="F238" s="6">
        <f t="shared" si="55"/>
        <v>100</v>
      </c>
      <c r="G238" s="8"/>
      <c r="H238" s="8"/>
      <c r="I238" s="8"/>
      <c r="J238" s="6">
        <f t="shared" si="56"/>
        <v>100</v>
      </c>
      <c r="K238" s="19"/>
      <c r="L238" s="19"/>
      <c r="M238" s="19"/>
      <c r="N238" s="6">
        <f t="shared" si="57"/>
        <v>100</v>
      </c>
      <c r="O238" s="19"/>
      <c r="P238" s="19"/>
      <c r="Q238" s="19"/>
      <c r="R238" s="6">
        <f t="shared" si="58"/>
        <v>100</v>
      </c>
      <c r="S238" s="8"/>
      <c r="T238" s="8"/>
      <c r="U238" s="8"/>
      <c r="V238" s="6">
        <f t="shared" si="59"/>
        <v>100</v>
      </c>
      <c r="W238" s="8"/>
      <c r="X238" s="8"/>
      <c r="Y238" s="8"/>
      <c r="Z238" s="6">
        <f t="shared" si="60"/>
        <v>100</v>
      </c>
      <c r="AA238" s="19"/>
      <c r="AB238" s="19"/>
      <c r="AC238" s="19"/>
      <c r="AD238" s="6">
        <f t="shared" si="61"/>
        <v>100</v>
      </c>
      <c r="AE238" s="19"/>
      <c r="AF238" s="19"/>
      <c r="AG238" s="19"/>
      <c r="AH238" s="6">
        <f t="shared" si="62"/>
        <v>100</v>
      </c>
      <c r="AI238" s="19"/>
      <c r="AJ238" s="19"/>
      <c r="AK238" s="19"/>
      <c r="AL238" s="6">
        <f t="shared" si="63"/>
        <v>100</v>
      </c>
      <c r="AM238" s="19"/>
      <c r="AN238" s="19"/>
      <c r="AO238" s="19"/>
      <c r="AP238" s="6">
        <f t="shared" si="64"/>
        <v>100</v>
      </c>
      <c r="AQ238" s="19"/>
      <c r="AR238" s="19"/>
      <c r="AS238" s="19"/>
      <c r="AT238" s="6">
        <f t="shared" si="65"/>
        <v>100</v>
      </c>
    </row>
    <row r="239" spans="1:46">
      <c r="A239" s="4">
        <v>46053</v>
      </c>
      <c r="B239" s="131"/>
      <c r="C239" s="7"/>
      <c r="D239" s="7"/>
      <c r="E239" s="7"/>
      <c r="F239" s="6">
        <f t="shared" si="55"/>
        <v>100</v>
      </c>
      <c r="G239" s="8"/>
      <c r="H239" s="8"/>
      <c r="I239" s="8"/>
      <c r="J239" s="6">
        <f t="shared" si="56"/>
        <v>100</v>
      </c>
      <c r="K239" s="19"/>
      <c r="L239" s="19"/>
      <c r="M239" s="19"/>
      <c r="N239" s="6">
        <f t="shared" si="57"/>
        <v>100</v>
      </c>
      <c r="O239" s="19"/>
      <c r="P239" s="19"/>
      <c r="Q239" s="19"/>
      <c r="R239" s="6">
        <f t="shared" si="58"/>
        <v>100</v>
      </c>
      <c r="S239" s="8"/>
      <c r="T239" s="8"/>
      <c r="U239" s="8"/>
      <c r="V239" s="6">
        <f t="shared" si="59"/>
        <v>100</v>
      </c>
      <c r="W239" s="8"/>
      <c r="X239" s="8"/>
      <c r="Y239" s="8"/>
      <c r="Z239" s="6">
        <f t="shared" si="60"/>
        <v>100</v>
      </c>
      <c r="AA239" s="19"/>
      <c r="AB239" s="19"/>
      <c r="AC239" s="19"/>
      <c r="AD239" s="6">
        <f t="shared" si="61"/>
        <v>100</v>
      </c>
      <c r="AE239" s="19"/>
      <c r="AF239" s="19"/>
      <c r="AG239" s="19"/>
      <c r="AH239" s="6">
        <f t="shared" si="62"/>
        <v>100</v>
      </c>
      <c r="AI239" s="19"/>
      <c r="AJ239" s="19"/>
      <c r="AK239" s="19"/>
      <c r="AL239" s="6">
        <f t="shared" si="63"/>
        <v>100</v>
      </c>
      <c r="AM239" s="19"/>
      <c r="AN239" s="19"/>
      <c r="AO239" s="19"/>
      <c r="AP239" s="6">
        <f t="shared" si="64"/>
        <v>100</v>
      </c>
      <c r="AQ239" s="19"/>
      <c r="AR239" s="19"/>
      <c r="AS239" s="19"/>
      <c r="AT239" s="6">
        <f t="shared" si="65"/>
        <v>100</v>
      </c>
    </row>
    <row r="240" spans="1:46">
      <c r="A240" s="4">
        <v>46054</v>
      </c>
      <c r="B240" s="131"/>
      <c r="C240" s="7"/>
      <c r="D240" s="7"/>
      <c r="E240" s="7"/>
      <c r="F240" s="6">
        <f t="shared" si="55"/>
        <v>100</v>
      </c>
      <c r="G240" s="8"/>
      <c r="H240" s="8"/>
      <c r="I240" s="8"/>
      <c r="J240" s="6">
        <f t="shared" si="56"/>
        <v>100</v>
      </c>
      <c r="K240" s="19"/>
      <c r="L240" s="19"/>
      <c r="M240" s="19"/>
      <c r="N240" s="6">
        <f t="shared" si="57"/>
        <v>100</v>
      </c>
      <c r="O240" s="19"/>
      <c r="P240" s="19"/>
      <c r="Q240" s="19"/>
      <c r="R240" s="6">
        <f t="shared" si="58"/>
        <v>100</v>
      </c>
      <c r="S240" s="8"/>
      <c r="T240" s="8"/>
      <c r="U240" s="8"/>
      <c r="V240" s="6">
        <f t="shared" si="59"/>
        <v>100</v>
      </c>
      <c r="W240" s="8"/>
      <c r="X240" s="8"/>
      <c r="Y240" s="8"/>
      <c r="Z240" s="6">
        <f t="shared" si="60"/>
        <v>100</v>
      </c>
      <c r="AA240" s="19"/>
      <c r="AB240" s="19"/>
      <c r="AC240" s="19"/>
      <c r="AD240" s="6">
        <f t="shared" si="61"/>
        <v>100</v>
      </c>
      <c r="AE240" s="19"/>
      <c r="AF240" s="19"/>
      <c r="AG240" s="19"/>
      <c r="AH240" s="6">
        <f t="shared" si="62"/>
        <v>100</v>
      </c>
      <c r="AI240" s="19"/>
      <c r="AJ240" s="19"/>
      <c r="AK240" s="19"/>
      <c r="AL240" s="6">
        <f t="shared" si="63"/>
        <v>100</v>
      </c>
      <c r="AM240" s="19"/>
      <c r="AN240" s="19"/>
      <c r="AO240" s="19"/>
      <c r="AP240" s="6">
        <f t="shared" si="64"/>
        <v>100</v>
      </c>
      <c r="AQ240" s="19"/>
      <c r="AR240" s="19"/>
      <c r="AS240" s="19"/>
      <c r="AT240" s="6">
        <f t="shared" si="65"/>
        <v>100</v>
      </c>
    </row>
    <row r="241" spans="1:46">
      <c r="A241" s="4">
        <v>46055</v>
      </c>
      <c r="B241" s="131"/>
      <c r="C241" s="7"/>
      <c r="D241" s="7"/>
      <c r="E241" s="7"/>
      <c r="F241" s="6">
        <f t="shared" si="55"/>
        <v>100</v>
      </c>
      <c r="G241" s="8"/>
      <c r="H241" s="8"/>
      <c r="I241" s="8"/>
      <c r="J241" s="6">
        <f t="shared" si="56"/>
        <v>100</v>
      </c>
      <c r="K241" s="19"/>
      <c r="L241" s="19"/>
      <c r="M241" s="19"/>
      <c r="N241" s="6">
        <f t="shared" si="57"/>
        <v>100</v>
      </c>
      <c r="O241" s="19"/>
      <c r="P241" s="19"/>
      <c r="Q241" s="19"/>
      <c r="R241" s="6">
        <f t="shared" si="58"/>
        <v>100</v>
      </c>
      <c r="S241" s="8"/>
      <c r="T241" s="8"/>
      <c r="U241" s="8"/>
      <c r="V241" s="6">
        <f t="shared" si="59"/>
        <v>100</v>
      </c>
      <c r="W241" s="8"/>
      <c r="X241" s="8"/>
      <c r="Y241" s="8"/>
      <c r="Z241" s="6">
        <f t="shared" si="60"/>
        <v>100</v>
      </c>
      <c r="AA241" s="19"/>
      <c r="AB241" s="19"/>
      <c r="AC241" s="19"/>
      <c r="AD241" s="6">
        <f t="shared" si="61"/>
        <v>100</v>
      </c>
      <c r="AE241" s="19"/>
      <c r="AF241" s="19"/>
      <c r="AG241" s="19"/>
      <c r="AH241" s="6">
        <f t="shared" si="62"/>
        <v>100</v>
      </c>
      <c r="AI241" s="19"/>
      <c r="AJ241" s="19"/>
      <c r="AK241" s="19"/>
      <c r="AL241" s="6">
        <f t="shared" si="63"/>
        <v>100</v>
      </c>
      <c r="AM241" s="19"/>
      <c r="AN241" s="19"/>
      <c r="AO241" s="19"/>
      <c r="AP241" s="6">
        <f t="shared" si="64"/>
        <v>100</v>
      </c>
      <c r="AQ241" s="19"/>
      <c r="AR241" s="19"/>
      <c r="AS241" s="19"/>
      <c r="AT241" s="6">
        <f t="shared" si="65"/>
        <v>100</v>
      </c>
    </row>
    <row r="242" spans="1:46">
      <c r="A242" s="4">
        <v>46056</v>
      </c>
      <c r="B242" s="131"/>
      <c r="C242" s="7"/>
      <c r="D242" s="7"/>
      <c r="E242" s="7"/>
      <c r="F242" s="6">
        <f t="shared" si="55"/>
        <v>100</v>
      </c>
      <c r="G242" s="8"/>
      <c r="H242" s="8"/>
      <c r="I242" s="8"/>
      <c r="J242" s="6">
        <f t="shared" si="56"/>
        <v>100</v>
      </c>
      <c r="K242" s="19"/>
      <c r="L242" s="19"/>
      <c r="M242" s="19"/>
      <c r="N242" s="6">
        <f t="shared" si="57"/>
        <v>100</v>
      </c>
      <c r="O242" s="19"/>
      <c r="P242" s="19"/>
      <c r="Q242" s="19"/>
      <c r="R242" s="6">
        <f t="shared" si="58"/>
        <v>100</v>
      </c>
      <c r="S242" s="8"/>
      <c r="T242" s="8"/>
      <c r="U242" s="8"/>
      <c r="V242" s="6">
        <f t="shared" si="59"/>
        <v>100</v>
      </c>
      <c r="W242" s="8"/>
      <c r="X242" s="8"/>
      <c r="Y242" s="8"/>
      <c r="Z242" s="6">
        <f t="shared" si="60"/>
        <v>100</v>
      </c>
      <c r="AA242" s="19"/>
      <c r="AB242" s="19"/>
      <c r="AC242" s="19"/>
      <c r="AD242" s="6">
        <f t="shared" si="61"/>
        <v>100</v>
      </c>
      <c r="AE242" s="19"/>
      <c r="AF242" s="19"/>
      <c r="AG242" s="19"/>
      <c r="AH242" s="6">
        <f t="shared" si="62"/>
        <v>100</v>
      </c>
      <c r="AI242" s="19"/>
      <c r="AJ242" s="19"/>
      <c r="AK242" s="19"/>
      <c r="AL242" s="6">
        <f t="shared" si="63"/>
        <v>100</v>
      </c>
      <c r="AM242" s="19"/>
      <c r="AN242" s="19"/>
      <c r="AO242" s="19"/>
      <c r="AP242" s="6">
        <f t="shared" si="64"/>
        <v>100</v>
      </c>
      <c r="AQ242" s="19"/>
      <c r="AR242" s="19"/>
      <c r="AS242" s="19"/>
      <c r="AT242" s="6">
        <f t="shared" si="65"/>
        <v>100</v>
      </c>
    </row>
    <row r="243" spans="1:46">
      <c r="A243" s="4">
        <v>46057</v>
      </c>
      <c r="B243" s="131"/>
      <c r="C243" s="7"/>
      <c r="D243" s="7"/>
      <c r="E243" s="7"/>
      <c r="F243" s="6">
        <f t="shared" si="55"/>
        <v>100</v>
      </c>
      <c r="G243" s="8"/>
      <c r="H243" s="8"/>
      <c r="I243" s="8"/>
      <c r="J243" s="6">
        <f t="shared" si="56"/>
        <v>100</v>
      </c>
      <c r="K243" s="19"/>
      <c r="L243" s="19"/>
      <c r="M243" s="19"/>
      <c r="N243" s="6">
        <f t="shared" si="57"/>
        <v>100</v>
      </c>
      <c r="O243" s="19"/>
      <c r="P243" s="19"/>
      <c r="Q243" s="19"/>
      <c r="R243" s="6">
        <f t="shared" si="58"/>
        <v>100</v>
      </c>
      <c r="S243" s="8"/>
      <c r="T243" s="8"/>
      <c r="U243" s="8"/>
      <c r="V243" s="6">
        <f t="shared" si="59"/>
        <v>100</v>
      </c>
      <c r="W243" s="8"/>
      <c r="X243" s="8"/>
      <c r="Y243" s="8"/>
      <c r="Z243" s="6">
        <f t="shared" si="60"/>
        <v>100</v>
      </c>
      <c r="AA243" s="19"/>
      <c r="AB243" s="19"/>
      <c r="AC243" s="19"/>
      <c r="AD243" s="6">
        <f t="shared" si="61"/>
        <v>100</v>
      </c>
      <c r="AE243" s="19"/>
      <c r="AF243" s="19"/>
      <c r="AG243" s="19"/>
      <c r="AH243" s="6">
        <f t="shared" si="62"/>
        <v>100</v>
      </c>
      <c r="AI243" s="19"/>
      <c r="AJ243" s="19"/>
      <c r="AK243" s="19"/>
      <c r="AL243" s="6">
        <f t="shared" si="63"/>
        <v>100</v>
      </c>
      <c r="AM243" s="19"/>
      <c r="AN243" s="19"/>
      <c r="AO243" s="19"/>
      <c r="AP243" s="6">
        <f t="shared" si="64"/>
        <v>100</v>
      </c>
      <c r="AQ243" s="19"/>
      <c r="AR243" s="19"/>
      <c r="AS243" s="19"/>
      <c r="AT243" s="6">
        <f t="shared" si="65"/>
        <v>100</v>
      </c>
    </row>
    <row r="244" spans="1:46">
      <c r="A244" s="4">
        <v>46058</v>
      </c>
      <c r="B244" s="131"/>
      <c r="C244" s="7"/>
      <c r="D244" s="7"/>
      <c r="E244" s="7"/>
      <c r="F244" s="6">
        <f t="shared" si="55"/>
        <v>100</v>
      </c>
      <c r="G244" s="8"/>
      <c r="H244" s="8"/>
      <c r="I244" s="8"/>
      <c r="J244" s="6">
        <f t="shared" si="56"/>
        <v>100</v>
      </c>
      <c r="K244" s="19"/>
      <c r="L244" s="19"/>
      <c r="M244" s="19"/>
      <c r="N244" s="6">
        <f t="shared" si="57"/>
        <v>100</v>
      </c>
      <c r="O244" s="19"/>
      <c r="P244" s="19"/>
      <c r="Q244" s="19"/>
      <c r="R244" s="6">
        <f t="shared" si="58"/>
        <v>100</v>
      </c>
      <c r="S244" s="8"/>
      <c r="T244" s="8"/>
      <c r="U244" s="8"/>
      <c r="V244" s="6">
        <f t="shared" si="59"/>
        <v>100</v>
      </c>
      <c r="W244" s="8"/>
      <c r="X244" s="8"/>
      <c r="Y244" s="8"/>
      <c r="Z244" s="6">
        <f t="shared" si="60"/>
        <v>100</v>
      </c>
      <c r="AA244" s="19"/>
      <c r="AB244" s="19"/>
      <c r="AC244" s="19"/>
      <c r="AD244" s="6">
        <f t="shared" si="61"/>
        <v>100</v>
      </c>
      <c r="AE244" s="19"/>
      <c r="AF244" s="19"/>
      <c r="AG244" s="19"/>
      <c r="AH244" s="6">
        <f t="shared" si="62"/>
        <v>100</v>
      </c>
      <c r="AI244" s="19"/>
      <c r="AJ244" s="19"/>
      <c r="AK244" s="19"/>
      <c r="AL244" s="6">
        <f t="shared" si="63"/>
        <v>100</v>
      </c>
      <c r="AM244" s="19"/>
      <c r="AN244" s="19"/>
      <c r="AO244" s="19"/>
      <c r="AP244" s="6">
        <f t="shared" si="64"/>
        <v>100</v>
      </c>
      <c r="AQ244" s="19"/>
      <c r="AR244" s="19"/>
      <c r="AS244" s="19"/>
      <c r="AT244" s="6">
        <f t="shared" si="65"/>
        <v>100</v>
      </c>
    </row>
    <row r="245" spans="1:46">
      <c r="A245" s="4">
        <v>46059</v>
      </c>
      <c r="B245" s="131"/>
      <c r="C245" s="7"/>
      <c r="D245" s="7"/>
      <c r="E245" s="7"/>
      <c r="F245" s="6">
        <f t="shared" si="55"/>
        <v>100</v>
      </c>
      <c r="G245" s="8"/>
      <c r="H245" s="8"/>
      <c r="I245" s="8"/>
      <c r="J245" s="6">
        <f t="shared" si="56"/>
        <v>100</v>
      </c>
      <c r="K245" s="19"/>
      <c r="L245" s="19"/>
      <c r="M245" s="19"/>
      <c r="N245" s="6">
        <f t="shared" si="57"/>
        <v>100</v>
      </c>
      <c r="O245" s="19"/>
      <c r="P245" s="19"/>
      <c r="Q245" s="19"/>
      <c r="R245" s="6">
        <f t="shared" si="58"/>
        <v>100</v>
      </c>
      <c r="S245" s="8"/>
      <c r="T245" s="8"/>
      <c r="U245" s="8"/>
      <c r="V245" s="6">
        <f t="shared" si="59"/>
        <v>100</v>
      </c>
      <c r="W245" s="8"/>
      <c r="X245" s="8"/>
      <c r="Y245" s="8"/>
      <c r="Z245" s="6">
        <f t="shared" si="60"/>
        <v>100</v>
      </c>
      <c r="AA245" s="19"/>
      <c r="AB245" s="19"/>
      <c r="AC245" s="19"/>
      <c r="AD245" s="6">
        <f t="shared" si="61"/>
        <v>100</v>
      </c>
      <c r="AE245" s="19"/>
      <c r="AF245" s="19"/>
      <c r="AG245" s="19"/>
      <c r="AH245" s="6">
        <f t="shared" si="62"/>
        <v>100</v>
      </c>
      <c r="AI245" s="19"/>
      <c r="AJ245" s="19"/>
      <c r="AK245" s="19"/>
      <c r="AL245" s="6">
        <f t="shared" si="63"/>
        <v>100</v>
      </c>
      <c r="AM245" s="19"/>
      <c r="AN245" s="19"/>
      <c r="AO245" s="19"/>
      <c r="AP245" s="6">
        <f t="shared" si="64"/>
        <v>100</v>
      </c>
      <c r="AQ245" s="19"/>
      <c r="AR245" s="19"/>
      <c r="AS245" s="19"/>
      <c r="AT245" s="6">
        <f t="shared" si="65"/>
        <v>100</v>
      </c>
    </row>
    <row r="246" spans="1:46">
      <c r="A246" s="4">
        <v>46060</v>
      </c>
      <c r="B246" s="131"/>
      <c r="C246" s="7"/>
      <c r="D246" s="7"/>
      <c r="E246" s="7"/>
      <c r="F246" s="6">
        <f t="shared" si="55"/>
        <v>100</v>
      </c>
      <c r="G246" s="8"/>
      <c r="H246" s="8"/>
      <c r="I246" s="8"/>
      <c r="J246" s="6">
        <f t="shared" si="56"/>
        <v>100</v>
      </c>
      <c r="K246" s="19"/>
      <c r="L246" s="19"/>
      <c r="M246" s="19"/>
      <c r="N246" s="6">
        <f t="shared" si="57"/>
        <v>100</v>
      </c>
      <c r="O246" s="19"/>
      <c r="P246" s="19"/>
      <c r="Q246" s="19"/>
      <c r="R246" s="6">
        <f t="shared" si="58"/>
        <v>100</v>
      </c>
      <c r="S246" s="8"/>
      <c r="T246" s="8"/>
      <c r="U246" s="8"/>
      <c r="V246" s="6">
        <f t="shared" si="59"/>
        <v>100</v>
      </c>
      <c r="W246" s="8"/>
      <c r="X246" s="8"/>
      <c r="Y246" s="8"/>
      <c r="Z246" s="6">
        <f t="shared" si="60"/>
        <v>100</v>
      </c>
      <c r="AA246" s="19"/>
      <c r="AB246" s="19"/>
      <c r="AC246" s="19"/>
      <c r="AD246" s="6">
        <f t="shared" si="61"/>
        <v>100</v>
      </c>
      <c r="AE246" s="19"/>
      <c r="AF246" s="19"/>
      <c r="AG246" s="19"/>
      <c r="AH246" s="6">
        <f t="shared" si="62"/>
        <v>100</v>
      </c>
      <c r="AI246" s="19"/>
      <c r="AJ246" s="19"/>
      <c r="AK246" s="19"/>
      <c r="AL246" s="6">
        <f t="shared" si="63"/>
        <v>100</v>
      </c>
      <c r="AM246" s="19"/>
      <c r="AN246" s="19"/>
      <c r="AO246" s="19"/>
      <c r="AP246" s="6">
        <f t="shared" si="64"/>
        <v>100</v>
      </c>
      <c r="AQ246" s="19"/>
      <c r="AR246" s="19"/>
      <c r="AS246" s="19"/>
      <c r="AT246" s="6">
        <f t="shared" si="65"/>
        <v>100</v>
      </c>
    </row>
    <row r="247" spans="1:46">
      <c r="A247" s="4">
        <v>46061</v>
      </c>
      <c r="B247" s="131"/>
      <c r="C247" s="7"/>
      <c r="D247" s="7"/>
      <c r="E247" s="7"/>
      <c r="F247" s="6">
        <f t="shared" si="55"/>
        <v>100</v>
      </c>
      <c r="G247" s="8"/>
      <c r="H247" s="8"/>
      <c r="I247" s="8"/>
      <c r="J247" s="6">
        <f t="shared" si="56"/>
        <v>100</v>
      </c>
      <c r="K247" s="19"/>
      <c r="L247" s="19"/>
      <c r="M247" s="19"/>
      <c r="N247" s="6">
        <f t="shared" si="57"/>
        <v>100</v>
      </c>
      <c r="O247" s="19"/>
      <c r="P247" s="19"/>
      <c r="Q247" s="19"/>
      <c r="R247" s="6">
        <f t="shared" si="58"/>
        <v>100</v>
      </c>
      <c r="S247" s="8"/>
      <c r="T247" s="8"/>
      <c r="U247" s="8"/>
      <c r="V247" s="6">
        <f t="shared" si="59"/>
        <v>100</v>
      </c>
      <c r="W247" s="8"/>
      <c r="X247" s="8"/>
      <c r="Y247" s="8"/>
      <c r="Z247" s="6">
        <f t="shared" si="60"/>
        <v>100</v>
      </c>
      <c r="AA247" s="19"/>
      <c r="AB247" s="19"/>
      <c r="AC247" s="19"/>
      <c r="AD247" s="6">
        <f t="shared" si="61"/>
        <v>100</v>
      </c>
      <c r="AE247" s="19"/>
      <c r="AF247" s="19"/>
      <c r="AG247" s="19"/>
      <c r="AH247" s="6">
        <f t="shared" si="62"/>
        <v>100</v>
      </c>
      <c r="AI247" s="19"/>
      <c r="AJ247" s="19"/>
      <c r="AK247" s="19"/>
      <c r="AL247" s="6">
        <f t="shared" si="63"/>
        <v>100</v>
      </c>
      <c r="AM247" s="19"/>
      <c r="AN247" s="19"/>
      <c r="AO247" s="19"/>
      <c r="AP247" s="6">
        <f t="shared" si="64"/>
        <v>100</v>
      </c>
      <c r="AQ247" s="19"/>
      <c r="AR247" s="19"/>
      <c r="AS247" s="19"/>
      <c r="AT247" s="6">
        <f t="shared" si="65"/>
        <v>100</v>
      </c>
    </row>
    <row r="248" spans="1:46">
      <c r="A248" s="70">
        <v>46062</v>
      </c>
      <c r="B248" s="131"/>
      <c r="C248" s="7"/>
      <c r="D248" s="7"/>
      <c r="E248" s="7"/>
      <c r="F248" s="6">
        <f t="shared" si="55"/>
        <v>100</v>
      </c>
      <c r="G248" s="8"/>
      <c r="H248" s="8"/>
      <c r="I248" s="8"/>
      <c r="J248" s="6">
        <f t="shared" si="56"/>
        <v>100</v>
      </c>
      <c r="K248" s="19"/>
      <c r="L248" s="19"/>
      <c r="M248" s="19"/>
      <c r="N248" s="6">
        <f t="shared" si="57"/>
        <v>100</v>
      </c>
      <c r="O248" s="19"/>
      <c r="P248" s="19"/>
      <c r="Q248" s="19"/>
      <c r="R248" s="6">
        <f t="shared" si="58"/>
        <v>100</v>
      </c>
      <c r="S248" s="8"/>
      <c r="T248" s="8"/>
      <c r="U248" s="8"/>
      <c r="V248" s="6">
        <f t="shared" si="59"/>
        <v>100</v>
      </c>
      <c r="W248" s="8"/>
      <c r="X248" s="8"/>
      <c r="Y248" s="8"/>
      <c r="Z248" s="6">
        <f t="shared" si="60"/>
        <v>100</v>
      </c>
      <c r="AA248" s="19"/>
      <c r="AB248" s="19"/>
      <c r="AC248" s="19"/>
      <c r="AD248" s="6">
        <f t="shared" si="61"/>
        <v>100</v>
      </c>
      <c r="AE248" s="19"/>
      <c r="AF248" s="19"/>
      <c r="AG248" s="19"/>
      <c r="AH248" s="6">
        <f t="shared" si="62"/>
        <v>100</v>
      </c>
      <c r="AI248" s="19"/>
      <c r="AJ248" s="19"/>
      <c r="AK248" s="19"/>
      <c r="AL248" s="6">
        <f t="shared" si="63"/>
        <v>100</v>
      </c>
      <c r="AM248" s="19"/>
      <c r="AN248" s="19"/>
      <c r="AO248" s="19"/>
      <c r="AP248" s="6">
        <f t="shared" si="64"/>
        <v>100</v>
      </c>
      <c r="AQ248" s="19"/>
      <c r="AR248" s="19"/>
      <c r="AS248" s="19"/>
      <c r="AT248" s="6">
        <f t="shared" si="65"/>
        <v>100</v>
      </c>
    </row>
    <row r="249" spans="1:46">
      <c r="A249" s="4">
        <v>46063</v>
      </c>
      <c r="B249" s="131"/>
      <c r="C249" s="7"/>
      <c r="D249" s="7"/>
      <c r="E249" s="7"/>
      <c r="F249" s="6">
        <f t="shared" si="55"/>
        <v>100</v>
      </c>
      <c r="G249" s="8"/>
      <c r="H249" s="8"/>
      <c r="I249" s="8"/>
      <c r="J249" s="6">
        <f t="shared" si="56"/>
        <v>100</v>
      </c>
      <c r="K249" s="19"/>
      <c r="L249" s="19"/>
      <c r="M249" s="19"/>
      <c r="N249" s="6">
        <f t="shared" si="57"/>
        <v>100</v>
      </c>
      <c r="O249" s="19"/>
      <c r="P249" s="19"/>
      <c r="Q249" s="19"/>
      <c r="R249" s="6">
        <f t="shared" si="58"/>
        <v>100</v>
      </c>
      <c r="S249" s="8"/>
      <c r="T249" s="8"/>
      <c r="U249" s="8"/>
      <c r="V249" s="6">
        <f t="shared" si="59"/>
        <v>100</v>
      </c>
      <c r="W249" s="8"/>
      <c r="X249" s="8"/>
      <c r="Y249" s="8"/>
      <c r="Z249" s="6">
        <f t="shared" si="60"/>
        <v>100</v>
      </c>
      <c r="AA249" s="19"/>
      <c r="AB249" s="19"/>
      <c r="AC249" s="19"/>
      <c r="AD249" s="6">
        <f t="shared" si="61"/>
        <v>100</v>
      </c>
      <c r="AE249" s="19"/>
      <c r="AF249" s="19"/>
      <c r="AG249" s="19"/>
      <c r="AH249" s="6">
        <f t="shared" si="62"/>
        <v>100</v>
      </c>
      <c r="AI249" s="19"/>
      <c r="AJ249" s="19"/>
      <c r="AK249" s="19"/>
      <c r="AL249" s="6">
        <f t="shared" si="63"/>
        <v>100</v>
      </c>
      <c r="AM249" s="19"/>
      <c r="AN249" s="19"/>
      <c r="AO249" s="19"/>
      <c r="AP249" s="6">
        <f t="shared" si="64"/>
        <v>100</v>
      </c>
      <c r="AQ249" s="19"/>
      <c r="AR249" s="19"/>
      <c r="AS249" s="19"/>
      <c r="AT249" s="6">
        <f t="shared" si="65"/>
        <v>100</v>
      </c>
    </row>
    <row r="250" spans="1:46">
      <c r="A250" s="4">
        <v>46064</v>
      </c>
      <c r="B250" s="131"/>
      <c r="C250" s="7"/>
      <c r="D250" s="7"/>
      <c r="E250" s="7"/>
      <c r="F250" s="6">
        <f t="shared" si="55"/>
        <v>100</v>
      </c>
      <c r="G250" s="8"/>
      <c r="H250" s="8"/>
      <c r="I250" s="8"/>
      <c r="J250" s="6">
        <f t="shared" si="56"/>
        <v>100</v>
      </c>
      <c r="K250" s="19"/>
      <c r="L250" s="19"/>
      <c r="M250" s="19"/>
      <c r="N250" s="6">
        <f t="shared" si="57"/>
        <v>100</v>
      </c>
      <c r="O250" s="19"/>
      <c r="P250" s="19"/>
      <c r="Q250" s="19"/>
      <c r="R250" s="6">
        <f t="shared" si="58"/>
        <v>100</v>
      </c>
      <c r="S250" s="8"/>
      <c r="T250" s="8"/>
      <c r="U250" s="8"/>
      <c r="V250" s="6">
        <f t="shared" si="59"/>
        <v>100</v>
      </c>
      <c r="W250" s="8"/>
      <c r="X250" s="8"/>
      <c r="Y250" s="8"/>
      <c r="Z250" s="6">
        <f t="shared" si="60"/>
        <v>100</v>
      </c>
      <c r="AA250" s="19"/>
      <c r="AB250" s="19"/>
      <c r="AC250" s="19"/>
      <c r="AD250" s="6">
        <f t="shared" si="61"/>
        <v>100</v>
      </c>
      <c r="AE250" s="19"/>
      <c r="AF250" s="19"/>
      <c r="AG250" s="19"/>
      <c r="AH250" s="6">
        <f t="shared" si="62"/>
        <v>100</v>
      </c>
      <c r="AI250" s="19"/>
      <c r="AJ250" s="19"/>
      <c r="AK250" s="19"/>
      <c r="AL250" s="6">
        <f t="shared" si="63"/>
        <v>100</v>
      </c>
      <c r="AM250" s="19"/>
      <c r="AN250" s="19"/>
      <c r="AO250" s="19"/>
      <c r="AP250" s="6">
        <f t="shared" si="64"/>
        <v>100</v>
      </c>
      <c r="AQ250" s="19"/>
      <c r="AR250" s="19"/>
      <c r="AS250" s="19"/>
      <c r="AT250" s="6">
        <f t="shared" si="65"/>
        <v>100</v>
      </c>
    </row>
    <row r="251" spans="1:46">
      <c r="A251" s="4">
        <v>46065</v>
      </c>
      <c r="B251" s="131"/>
      <c r="C251" s="7"/>
      <c r="D251" s="7"/>
      <c r="E251" s="7"/>
      <c r="F251" s="6">
        <f t="shared" si="55"/>
        <v>100</v>
      </c>
      <c r="G251" s="8"/>
      <c r="H251" s="8"/>
      <c r="I251" s="8"/>
      <c r="J251" s="6">
        <f t="shared" si="56"/>
        <v>100</v>
      </c>
      <c r="K251" s="19"/>
      <c r="L251" s="19"/>
      <c r="M251" s="19"/>
      <c r="N251" s="6">
        <f t="shared" si="57"/>
        <v>100</v>
      </c>
      <c r="O251" s="19"/>
      <c r="P251" s="19"/>
      <c r="Q251" s="19"/>
      <c r="R251" s="6">
        <f t="shared" si="58"/>
        <v>100</v>
      </c>
      <c r="S251" s="8"/>
      <c r="T251" s="8"/>
      <c r="U251" s="8"/>
      <c r="V251" s="6">
        <f t="shared" si="59"/>
        <v>100</v>
      </c>
      <c r="W251" s="8"/>
      <c r="X251" s="8"/>
      <c r="Y251" s="8"/>
      <c r="Z251" s="6">
        <f t="shared" si="60"/>
        <v>100</v>
      </c>
      <c r="AA251" s="19"/>
      <c r="AB251" s="19"/>
      <c r="AC251" s="19"/>
      <c r="AD251" s="6">
        <f t="shared" si="61"/>
        <v>100</v>
      </c>
      <c r="AE251" s="19"/>
      <c r="AF251" s="19"/>
      <c r="AG251" s="19"/>
      <c r="AH251" s="6">
        <f t="shared" si="62"/>
        <v>100</v>
      </c>
      <c r="AI251" s="19"/>
      <c r="AJ251" s="19"/>
      <c r="AK251" s="19"/>
      <c r="AL251" s="6">
        <f t="shared" si="63"/>
        <v>100</v>
      </c>
      <c r="AM251" s="19"/>
      <c r="AN251" s="19"/>
      <c r="AO251" s="19"/>
      <c r="AP251" s="6">
        <f t="shared" si="64"/>
        <v>100</v>
      </c>
      <c r="AQ251" s="19"/>
      <c r="AR251" s="19"/>
      <c r="AS251" s="19"/>
      <c r="AT251" s="6">
        <f t="shared" si="65"/>
        <v>100</v>
      </c>
    </row>
    <row r="252" spans="1:46">
      <c r="A252" s="4">
        <v>46066</v>
      </c>
      <c r="B252" s="131"/>
      <c r="C252" s="7"/>
      <c r="D252" s="7"/>
      <c r="E252" s="7"/>
      <c r="F252" s="6">
        <f t="shared" si="55"/>
        <v>100</v>
      </c>
      <c r="G252" s="8"/>
      <c r="H252" s="8"/>
      <c r="I252" s="8"/>
      <c r="J252" s="6">
        <f t="shared" si="56"/>
        <v>100</v>
      </c>
      <c r="K252" s="19"/>
      <c r="L252" s="19"/>
      <c r="M252" s="19"/>
      <c r="N252" s="6">
        <f t="shared" si="57"/>
        <v>100</v>
      </c>
      <c r="O252" s="19"/>
      <c r="P252" s="19"/>
      <c r="Q252" s="19"/>
      <c r="R252" s="6">
        <f t="shared" si="58"/>
        <v>100</v>
      </c>
      <c r="S252" s="8"/>
      <c r="T252" s="8"/>
      <c r="U252" s="8"/>
      <c r="V252" s="6">
        <f t="shared" si="59"/>
        <v>100</v>
      </c>
      <c r="W252" s="8"/>
      <c r="X252" s="8"/>
      <c r="Y252" s="8"/>
      <c r="Z252" s="6">
        <f t="shared" si="60"/>
        <v>100</v>
      </c>
      <c r="AA252" s="19"/>
      <c r="AB252" s="19"/>
      <c r="AC252" s="19"/>
      <c r="AD252" s="6">
        <f t="shared" si="61"/>
        <v>100</v>
      </c>
      <c r="AE252" s="19"/>
      <c r="AF252" s="19"/>
      <c r="AG252" s="19"/>
      <c r="AH252" s="6">
        <f t="shared" si="62"/>
        <v>100</v>
      </c>
      <c r="AI252" s="19"/>
      <c r="AJ252" s="19"/>
      <c r="AK252" s="19"/>
      <c r="AL252" s="6">
        <f t="shared" si="63"/>
        <v>100</v>
      </c>
      <c r="AM252" s="19"/>
      <c r="AN252" s="19"/>
      <c r="AO252" s="19"/>
      <c r="AP252" s="6">
        <f t="shared" si="64"/>
        <v>100</v>
      </c>
      <c r="AQ252" s="19"/>
      <c r="AR252" s="19"/>
      <c r="AS252" s="19"/>
      <c r="AT252" s="6">
        <f t="shared" si="65"/>
        <v>100</v>
      </c>
    </row>
    <row r="253" spans="1:46">
      <c r="A253" s="4">
        <v>46067</v>
      </c>
      <c r="B253" s="131"/>
      <c r="C253" s="7"/>
      <c r="D253" s="7"/>
      <c r="E253" s="7"/>
      <c r="F253" s="6">
        <f t="shared" si="55"/>
        <v>100</v>
      </c>
      <c r="G253" s="8"/>
      <c r="H253" s="8"/>
      <c r="I253" s="8"/>
      <c r="J253" s="6">
        <f t="shared" si="56"/>
        <v>100</v>
      </c>
      <c r="K253" s="19"/>
      <c r="L253" s="19"/>
      <c r="M253" s="19"/>
      <c r="N253" s="6">
        <f t="shared" si="57"/>
        <v>100</v>
      </c>
      <c r="O253" s="19"/>
      <c r="P253" s="19"/>
      <c r="Q253" s="19"/>
      <c r="R253" s="6">
        <f t="shared" si="58"/>
        <v>100</v>
      </c>
      <c r="S253" s="8"/>
      <c r="T253" s="8"/>
      <c r="U253" s="8"/>
      <c r="V253" s="6">
        <f t="shared" si="59"/>
        <v>100</v>
      </c>
      <c r="W253" s="8"/>
      <c r="X253" s="8"/>
      <c r="Y253" s="8"/>
      <c r="Z253" s="6">
        <f t="shared" si="60"/>
        <v>100</v>
      </c>
      <c r="AA253" s="19"/>
      <c r="AB253" s="19"/>
      <c r="AC253" s="19"/>
      <c r="AD253" s="6">
        <f t="shared" si="61"/>
        <v>100</v>
      </c>
      <c r="AE253" s="19"/>
      <c r="AF253" s="19"/>
      <c r="AG253" s="19"/>
      <c r="AH253" s="6">
        <f t="shared" si="62"/>
        <v>100</v>
      </c>
      <c r="AI253" s="19"/>
      <c r="AJ253" s="19"/>
      <c r="AK253" s="19"/>
      <c r="AL253" s="6">
        <f t="shared" si="63"/>
        <v>100</v>
      </c>
      <c r="AM253" s="19"/>
      <c r="AN253" s="19"/>
      <c r="AO253" s="19"/>
      <c r="AP253" s="6">
        <f t="shared" si="64"/>
        <v>100</v>
      </c>
      <c r="AQ253" s="19"/>
      <c r="AR253" s="19"/>
      <c r="AS253" s="19"/>
      <c r="AT253" s="6">
        <f t="shared" si="65"/>
        <v>100</v>
      </c>
    </row>
    <row r="254" spans="1:46">
      <c r="A254" s="4">
        <v>46068</v>
      </c>
      <c r="B254" s="131"/>
      <c r="C254" s="7"/>
      <c r="D254" s="7"/>
      <c r="E254" s="7"/>
      <c r="F254" s="6">
        <f t="shared" si="55"/>
        <v>100</v>
      </c>
      <c r="G254" s="8"/>
      <c r="H254" s="8"/>
      <c r="I254" s="8"/>
      <c r="J254" s="6">
        <f t="shared" si="56"/>
        <v>100</v>
      </c>
      <c r="K254" s="19"/>
      <c r="L254" s="19"/>
      <c r="M254" s="19"/>
      <c r="N254" s="6">
        <f t="shared" si="57"/>
        <v>100</v>
      </c>
      <c r="O254" s="19"/>
      <c r="P254" s="19"/>
      <c r="Q254" s="19"/>
      <c r="R254" s="6">
        <f t="shared" si="58"/>
        <v>100</v>
      </c>
      <c r="S254" s="8"/>
      <c r="T254" s="8"/>
      <c r="U254" s="8"/>
      <c r="V254" s="6">
        <f t="shared" si="59"/>
        <v>100</v>
      </c>
      <c r="W254" s="8"/>
      <c r="X254" s="8"/>
      <c r="Y254" s="8"/>
      <c r="Z254" s="6">
        <f t="shared" si="60"/>
        <v>100</v>
      </c>
      <c r="AA254" s="19"/>
      <c r="AB254" s="19"/>
      <c r="AC254" s="19"/>
      <c r="AD254" s="6">
        <f t="shared" si="61"/>
        <v>100</v>
      </c>
      <c r="AE254" s="19"/>
      <c r="AF254" s="19"/>
      <c r="AG254" s="19"/>
      <c r="AH254" s="6">
        <f t="shared" si="62"/>
        <v>100</v>
      </c>
      <c r="AI254" s="19"/>
      <c r="AJ254" s="19"/>
      <c r="AK254" s="19"/>
      <c r="AL254" s="6">
        <f t="shared" si="63"/>
        <v>100</v>
      </c>
      <c r="AM254" s="19"/>
      <c r="AN254" s="19"/>
      <c r="AO254" s="19"/>
      <c r="AP254" s="6">
        <f t="shared" si="64"/>
        <v>100</v>
      </c>
      <c r="AQ254" s="19"/>
      <c r="AR254" s="19"/>
      <c r="AS254" s="19"/>
      <c r="AT254" s="6">
        <f t="shared" si="65"/>
        <v>100</v>
      </c>
    </row>
    <row r="255" spans="1:46">
      <c r="A255" s="4">
        <v>46069</v>
      </c>
      <c r="B255" s="131"/>
      <c r="C255" s="7"/>
      <c r="D255" s="7"/>
      <c r="E255" s="7"/>
      <c r="F255" s="6">
        <f t="shared" si="55"/>
        <v>100</v>
      </c>
      <c r="G255" s="8"/>
      <c r="H255" s="8"/>
      <c r="I255" s="8"/>
      <c r="J255" s="6">
        <f t="shared" si="56"/>
        <v>100</v>
      </c>
      <c r="K255" s="19"/>
      <c r="L255" s="19"/>
      <c r="M255" s="19"/>
      <c r="N255" s="6">
        <f t="shared" si="57"/>
        <v>100</v>
      </c>
      <c r="O255" s="19"/>
      <c r="P255" s="19"/>
      <c r="Q255" s="19"/>
      <c r="R255" s="6">
        <f t="shared" si="58"/>
        <v>100</v>
      </c>
      <c r="S255" s="8"/>
      <c r="T255" s="8"/>
      <c r="U255" s="8"/>
      <c r="V255" s="6">
        <f t="shared" si="59"/>
        <v>100</v>
      </c>
      <c r="W255" s="8"/>
      <c r="X255" s="8"/>
      <c r="Y255" s="8"/>
      <c r="Z255" s="6">
        <f t="shared" si="60"/>
        <v>100</v>
      </c>
      <c r="AA255" s="19"/>
      <c r="AB255" s="19"/>
      <c r="AC255" s="19"/>
      <c r="AD255" s="6">
        <f t="shared" si="61"/>
        <v>100</v>
      </c>
      <c r="AE255" s="19"/>
      <c r="AF255" s="19"/>
      <c r="AG255" s="19"/>
      <c r="AH255" s="6">
        <f t="shared" si="62"/>
        <v>100</v>
      </c>
      <c r="AI255" s="19"/>
      <c r="AJ255" s="19"/>
      <c r="AK255" s="19"/>
      <c r="AL255" s="6">
        <f t="shared" si="63"/>
        <v>100</v>
      </c>
      <c r="AM255" s="19"/>
      <c r="AN255" s="19"/>
      <c r="AO255" s="19"/>
      <c r="AP255" s="6">
        <f t="shared" si="64"/>
        <v>100</v>
      </c>
      <c r="AQ255" s="19"/>
      <c r="AR255" s="19"/>
      <c r="AS255" s="19"/>
      <c r="AT255" s="6">
        <f t="shared" si="65"/>
        <v>100</v>
      </c>
    </row>
    <row r="256" spans="1:46">
      <c r="A256" s="4">
        <v>46070</v>
      </c>
      <c r="B256" s="131"/>
      <c r="C256" s="7"/>
      <c r="D256" s="7"/>
      <c r="E256" s="7"/>
      <c r="F256" s="6">
        <f t="shared" si="55"/>
        <v>100</v>
      </c>
      <c r="G256" s="8"/>
      <c r="H256" s="8"/>
      <c r="I256" s="8"/>
      <c r="J256" s="6">
        <f t="shared" si="56"/>
        <v>100</v>
      </c>
      <c r="K256" s="19"/>
      <c r="L256" s="19"/>
      <c r="M256" s="19"/>
      <c r="N256" s="6">
        <f t="shared" si="57"/>
        <v>100</v>
      </c>
      <c r="O256" s="19"/>
      <c r="P256" s="19"/>
      <c r="Q256" s="19"/>
      <c r="R256" s="6">
        <f t="shared" si="58"/>
        <v>100</v>
      </c>
      <c r="S256" s="8"/>
      <c r="T256" s="8"/>
      <c r="U256" s="8"/>
      <c r="V256" s="6">
        <f t="shared" si="59"/>
        <v>100</v>
      </c>
      <c r="W256" s="8"/>
      <c r="X256" s="8"/>
      <c r="Y256" s="8"/>
      <c r="Z256" s="6">
        <f t="shared" si="60"/>
        <v>100</v>
      </c>
      <c r="AA256" s="19"/>
      <c r="AB256" s="19"/>
      <c r="AC256" s="19"/>
      <c r="AD256" s="6">
        <f t="shared" si="61"/>
        <v>100</v>
      </c>
      <c r="AE256" s="19"/>
      <c r="AF256" s="19"/>
      <c r="AG256" s="19"/>
      <c r="AH256" s="6">
        <f t="shared" si="62"/>
        <v>100</v>
      </c>
      <c r="AI256" s="19"/>
      <c r="AJ256" s="19"/>
      <c r="AK256" s="19"/>
      <c r="AL256" s="6">
        <f t="shared" si="63"/>
        <v>100</v>
      </c>
      <c r="AM256" s="19"/>
      <c r="AN256" s="19"/>
      <c r="AO256" s="19"/>
      <c r="AP256" s="6">
        <f t="shared" si="64"/>
        <v>100</v>
      </c>
      <c r="AQ256" s="19"/>
      <c r="AR256" s="19"/>
      <c r="AS256" s="19"/>
      <c r="AT256" s="6">
        <f t="shared" si="65"/>
        <v>100</v>
      </c>
    </row>
    <row r="257" spans="1:46">
      <c r="A257" s="4">
        <v>46071</v>
      </c>
      <c r="B257" s="131"/>
      <c r="C257" s="7"/>
      <c r="D257" s="7"/>
      <c r="E257" s="7"/>
      <c r="F257" s="6">
        <f t="shared" si="55"/>
        <v>100</v>
      </c>
      <c r="G257" s="8"/>
      <c r="H257" s="8"/>
      <c r="I257" s="8"/>
      <c r="J257" s="6">
        <f t="shared" si="56"/>
        <v>100</v>
      </c>
      <c r="K257" s="19"/>
      <c r="L257" s="19"/>
      <c r="M257" s="19"/>
      <c r="N257" s="6">
        <f t="shared" si="57"/>
        <v>100</v>
      </c>
      <c r="O257" s="19"/>
      <c r="P257" s="19"/>
      <c r="Q257" s="19"/>
      <c r="R257" s="6">
        <f t="shared" si="58"/>
        <v>100</v>
      </c>
      <c r="S257" s="8"/>
      <c r="T257" s="8"/>
      <c r="U257" s="8"/>
      <c r="V257" s="6">
        <f t="shared" si="59"/>
        <v>100</v>
      </c>
      <c r="W257" s="8"/>
      <c r="X257" s="8"/>
      <c r="Y257" s="8"/>
      <c r="Z257" s="6">
        <f t="shared" si="60"/>
        <v>100</v>
      </c>
      <c r="AA257" s="19"/>
      <c r="AB257" s="19"/>
      <c r="AC257" s="19"/>
      <c r="AD257" s="6">
        <f t="shared" si="61"/>
        <v>100</v>
      </c>
      <c r="AE257" s="19"/>
      <c r="AF257" s="19"/>
      <c r="AG257" s="19"/>
      <c r="AH257" s="6">
        <f t="shared" si="62"/>
        <v>100</v>
      </c>
      <c r="AI257" s="19"/>
      <c r="AJ257" s="19"/>
      <c r="AK257" s="19"/>
      <c r="AL257" s="6">
        <f t="shared" si="63"/>
        <v>100</v>
      </c>
      <c r="AM257" s="19"/>
      <c r="AN257" s="19"/>
      <c r="AO257" s="19"/>
      <c r="AP257" s="6">
        <f t="shared" si="64"/>
        <v>100</v>
      </c>
      <c r="AQ257" s="19"/>
      <c r="AR257" s="19"/>
      <c r="AS257" s="19"/>
      <c r="AT257" s="6">
        <f t="shared" si="65"/>
        <v>100</v>
      </c>
    </row>
    <row r="258" spans="1:46">
      <c r="A258" s="70">
        <v>46072</v>
      </c>
      <c r="B258" s="131"/>
      <c r="C258" s="7"/>
      <c r="D258" s="7"/>
      <c r="E258" s="7"/>
      <c r="F258" s="6">
        <f t="shared" si="55"/>
        <v>100</v>
      </c>
      <c r="G258" s="8"/>
      <c r="H258" s="8"/>
      <c r="I258" s="8"/>
      <c r="J258" s="6">
        <f t="shared" si="56"/>
        <v>100</v>
      </c>
      <c r="K258" s="19"/>
      <c r="L258" s="19"/>
      <c r="M258" s="19"/>
      <c r="N258" s="6">
        <f t="shared" si="57"/>
        <v>100</v>
      </c>
      <c r="O258" s="19"/>
      <c r="P258" s="19"/>
      <c r="Q258" s="19"/>
      <c r="R258" s="6">
        <f t="shared" si="58"/>
        <v>100</v>
      </c>
      <c r="S258" s="8"/>
      <c r="T258" s="8"/>
      <c r="U258" s="8"/>
      <c r="V258" s="6">
        <f t="shared" si="59"/>
        <v>100</v>
      </c>
      <c r="W258" s="8"/>
      <c r="X258" s="8"/>
      <c r="Y258" s="8"/>
      <c r="Z258" s="6">
        <f t="shared" si="60"/>
        <v>100</v>
      </c>
      <c r="AA258" s="19"/>
      <c r="AB258" s="19"/>
      <c r="AC258" s="19"/>
      <c r="AD258" s="6">
        <f t="shared" si="61"/>
        <v>100</v>
      </c>
      <c r="AE258" s="19"/>
      <c r="AF258" s="19"/>
      <c r="AG258" s="19"/>
      <c r="AH258" s="6">
        <f t="shared" si="62"/>
        <v>100</v>
      </c>
      <c r="AI258" s="19"/>
      <c r="AJ258" s="19"/>
      <c r="AK258" s="19"/>
      <c r="AL258" s="6">
        <f t="shared" si="63"/>
        <v>100</v>
      </c>
      <c r="AM258" s="19"/>
      <c r="AN258" s="19"/>
      <c r="AO258" s="19"/>
      <c r="AP258" s="6">
        <f t="shared" si="64"/>
        <v>100</v>
      </c>
      <c r="AQ258" s="19"/>
      <c r="AR258" s="19"/>
      <c r="AS258" s="19"/>
      <c r="AT258" s="6">
        <f t="shared" si="65"/>
        <v>100</v>
      </c>
    </row>
    <row r="259" spans="1:46">
      <c r="A259" s="4">
        <v>46073</v>
      </c>
      <c r="B259" s="131"/>
      <c r="C259" s="7"/>
      <c r="D259" s="7"/>
      <c r="E259" s="7"/>
      <c r="F259" s="6">
        <f t="shared" si="55"/>
        <v>100</v>
      </c>
      <c r="G259" s="8"/>
      <c r="H259" s="8"/>
      <c r="I259" s="8"/>
      <c r="J259" s="6">
        <f t="shared" si="56"/>
        <v>100</v>
      </c>
      <c r="K259" s="19"/>
      <c r="L259" s="19"/>
      <c r="M259" s="19"/>
      <c r="N259" s="6">
        <f t="shared" si="57"/>
        <v>100</v>
      </c>
      <c r="O259" s="19"/>
      <c r="P259" s="19"/>
      <c r="Q259" s="19"/>
      <c r="R259" s="6">
        <f t="shared" si="58"/>
        <v>100</v>
      </c>
      <c r="S259" s="8"/>
      <c r="T259" s="8"/>
      <c r="U259" s="8"/>
      <c r="V259" s="6">
        <f t="shared" si="59"/>
        <v>100</v>
      </c>
      <c r="W259" s="8"/>
      <c r="X259" s="8"/>
      <c r="Y259" s="8"/>
      <c r="Z259" s="6">
        <f t="shared" si="60"/>
        <v>100</v>
      </c>
      <c r="AA259" s="19"/>
      <c r="AB259" s="19"/>
      <c r="AC259" s="19"/>
      <c r="AD259" s="6">
        <f t="shared" si="61"/>
        <v>100</v>
      </c>
      <c r="AE259" s="19"/>
      <c r="AF259" s="19"/>
      <c r="AG259" s="19"/>
      <c r="AH259" s="6">
        <f t="shared" si="62"/>
        <v>100</v>
      </c>
      <c r="AI259" s="19"/>
      <c r="AJ259" s="19"/>
      <c r="AK259" s="19"/>
      <c r="AL259" s="6">
        <f t="shared" si="63"/>
        <v>100</v>
      </c>
      <c r="AM259" s="19"/>
      <c r="AN259" s="19"/>
      <c r="AO259" s="19"/>
      <c r="AP259" s="6">
        <f t="shared" si="64"/>
        <v>100</v>
      </c>
      <c r="AQ259" s="19"/>
      <c r="AR259" s="19"/>
      <c r="AS259" s="19"/>
      <c r="AT259" s="6">
        <f t="shared" si="65"/>
        <v>100</v>
      </c>
    </row>
    <row r="260" spans="1:46">
      <c r="A260" s="4">
        <v>46074</v>
      </c>
      <c r="B260" s="131"/>
      <c r="C260" s="7"/>
      <c r="D260" s="7"/>
      <c r="E260" s="7"/>
      <c r="F260" s="6">
        <f t="shared" si="55"/>
        <v>100</v>
      </c>
      <c r="G260" s="8"/>
      <c r="H260" s="8"/>
      <c r="I260" s="8"/>
      <c r="J260" s="6">
        <f t="shared" si="56"/>
        <v>100</v>
      </c>
      <c r="K260" s="19"/>
      <c r="L260" s="19"/>
      <c r="M260" s="19"/>
      <c r="N260" s="6">
        <f t="shared" si="57"/>
        <v>100</v>
      </c>
      <c r="O260" s="19"/>
      <c r="P260" s="19"/>
      <c r="Q260" s="19"/>
      <c r="R260" s="6">
        <f t="shared" si="58"/>
        <v>100</v>
      </c>
      <c r="S260" s="8"/>
      <c r="T260" s="8"/>
      <c r="U260" s="8"/>
      <c r="V260" s="6">
        <f t="shared" si="59"/>
        <v>100</v>
      </c>
      <c r="W260" s="8"/>
      <c r="X260" s="8"/>
      <c r="Y260" s="8"/>
      <c r="Z260" s="6">
        <f t="shared" si="60"/>
        <v>100</v>
      </c>
      <c r="AA260" s="19"/>
      <c r="AB260" s="19"/>
      <c r="AC260" s="19"/>
      <c r="AD260" s="6">
        <f t="shared" si="61"/>
        <v>100</v>
      </c>
      <c r="AE260" s="19"/>
      <c r="AF260" s="19"/>
      <c r="AG260" s="19"/>
      <c r="AH260" s="6">
        <f t="shared" si="62"/>
        <v>100</v>
      </c>
      <c r="AI260" s="19"/>
      <c r="AJ260" s="19"/>
      <c r="AK260" s="19"/>
      <c r="AL260" s="6">
        <f t="shared" si="63"/>
        <v>100</v>
      </c>
      <c r="AM260" s="19"/>
      <c r="AN260" s="19"/>
      <c r="AO260" s="19"/>
      <c r="AP260" s="6">
        <f t="shared" si="64"/>
        <v>100</v>
      </c>
      <c r="AQ260" s="19"/>
      <c r="AR260" s="19"/>
      <c r="AS260" s="19"/>
      <c r="AT260" s="6">
        <f t="shared" si="65"/>
        <v>100</v>
      </c>
    </row>
    <row r="261" spans="1:46">
      <c r="A261" s="4">
        <v>46075</v>
      </c>
      <c r="B261" s="131"/>
      <c r="C261" s="7"/>
      <c r="D261" s="7"/>
      <c r="E261" s="7"/>
      <c r="F261" s="6">
        <f t="shared" si="55"/>
        <v>100</v>
      </c>
      <c r="G261" s="72">
        <v>12.3</v>
      </c>
      <c r="H261" s="72">
        <v>8.15</v>
      </c>
      <c r="I261" s="72">
        <v>49.08</v>
      </c>
      <c r="J261" s="6">
        <f t="shared" si="56"/>
        <v>30.47</v>
      </c>
      <c r="K261" s="72">
        <v>6.33</v>
      </c>
      <c r="L261" s="72">
        <v>2.64</v>
      </c>
      <c r="M261" s="72">
        <v>54.87</v>
      </c>
      <c r="N261" s="6">
        <f t="shared" si="57"/>
        <v>36.160000000000004</v>
      </c>
      <c r="O261" s="72">
        <v>1.07</v>
      </c>
      <c r="P261" s="72">
        <v>0.37</v>
      </c>
      <c r="Q261" s="72">
        <v>64</v>
      </c>
      <c r="R261" s="6">
        <f t="shared" si="58"/>
        <v>34.56</v>
      </c>
      <c r="S261" s="8"/>
      <c r="T261" s="8"/>
      <c r="U261" s="8"/>
      <c r="V261" s="6">
        <f t="shared" si="59"/>
        <v>100</v>
      </c>
      <c r="W261" s="72">
        <v>31.8</v>
      </c>
      <c r="X261" s="72">
        <v>35.119999999999997</v>
      </c>
      <c r="Y261" s="8"/>
      <c r="Z261" s="6">
        <f t="shared" si="60"/>
        <v>33.08</v>
      </c>
      <c r="AA261" s="72">
        <v>21.23</v>
      </c>
      <c r="AB261" s="72">
        <v>10.89</v>
      </c>
      <c r="AC261" s="72">
        <v>0</v>
      </c>
      <c r="AD261" s="6">
        <f t="shared" si="61"/>
        <v>67.88</v>
      </c>
      <c r="AE261" s="72">
        <v>10.71</v>
      </c>
      <c r="AF261" s="72">
        <v>3.6</v>
      </c>
      <c r="AG261" s="72">
        <v>0</v>
      </c>
      <c r="AH261" s="6">
        <f t="shared" si="62"/>
        <v>85.69</v>
      </c>
      <c r="AI261" s="72">
        <v>4.25</v>
      </c>
      <c r="AJ261" s="72">
        <v>0</v>
      </c>
      <c r="AK261" s="72">
        <v>1.19</v>
      </c>
      <c r="AL261" s="6">
        <f t="shared" si="63"/>
        <v>94.56</v>
      </c>
      <c r="AM261" s="72">
        <v>25.52</v>
      </c>
      <c r="AN261" s="72">
        <v>0</v>
      </c>
      <c r="AO261" s="72">
        <v>0</v>
      </c>
      <c r="AP261" s="6">
        <f t="shared" si="64"/>
        <v>74.48</v>
      </c>
      <c r="AQ261" s="72">
        <v>0.91</v>
      </c>
      <c r="AR261" s="72">
        <v>0.19</v>
      </c>
      <c r="AS261" s="74">
        <v>68</v>
      </c>
      <c r="AT261" s="6">
        <f t="shared" si="65"/>
        <v>30.900000000000006</v>
      </c>
    </row>
    <row r="262" spans="1:46">
      <c r="A262" s="4">
        <v>46076</v>
      </c>
      <c r="B262" s="131"/>
      <c r="C262" s="7"/>
      <c r="D262" s="7"/>
      <c r="E262" s="7"/>
      <c r="F262" s="6">
        <f t="shared" si="55"/>
        <v>100</v>
      </c>
      <c r="G262" s="78">
        <v>13.03</v>
      </c>
      <c r="H262" s="80">
        <v>9.35</v>
      </c>
      <c r="I262" s="80">
        <v>47.56</v>
      </c>
      <c r="J262" s="6">
        <f t="shared" si="56"/>
        <v>30.060000000000002</v>
      </c>
      <c r="K262" s="78">
        <v>7.37</v>
      </c>
      <c r="L262" s="80">
        <v>2.83</v>
      </c>
      <c r="M262" s="80">
        <v>56.73</v>
      </c>
      <c r="N262" s="6">
        <f t="shared" si="57"/>
        <v>33.070000000000007</v>
      </c>
      <c r="O262" s="78">
        <v>0.99</v>
      </c>
      <c r="P262" s="80">
        <v>0.37</v>
      </c>
      <c r="Q262" s="80">
        <v>67</v>
      </c>
      <c r="R262" s="6">
        <f t="shared" si="58"/>
        <v>31.64</v>
      </c>
      <c r="S262" s="8"/>
      <c r="T262" s="8"/>
      <c r="U262" s="8"/>
      <c r="V262" s="6">
        <f t="shared" si="59"/>
        <v>100</v>
      </c>
      <c r="W262" s="78">
        <v>32.46</v>
      </c>
      <c r="X262" s="80">
        <v>35.04</v>
      </c>
      <c r="Y262" s="230">
        <v>0</v>
      </c>
      <c r="Z262" s="6">
        <f t="shared" si="60"/>
        <v>32.5</v>
      </c>
      <c r="AA262" s="78">
        <v>23.47</v>
      </c>
      <c r="AB262" s="80">
        <v>10.88</v>
      </c>
      <c r="AC262" s="80">
        <v>0</v>
      </c>
      <c r="AD262" s="6">
        <f t="shared" si="61"/>
        <v>65.650000000000006</v>
      </c>
      <c r="AE262" s="78">
        <v>10.75</v>
      </c>
      <c r="AF262" s="80">
        <v>4.07</v>
      </c>
      <c r="AG262" s="80">
        <v>0</v>
      </c>
      <c r="AH262" s="6">
        <f t="shared" si="62"/>
        <v>85.18</v>
      </c>
      <c r="AI262" s="78">
        <v>5.17</v>
      </c>
      <c r="AJ262" s="80">
        <v>2.14</v>
      </c>
      <c r="AK262" s="80">
        <v>0.99</v>
      </c>
      <c r="AL262" s="6">
        <f t="shared" si="63"/>
        <v>91.7</v>
      </c>
      <c r="AM262" s="78">
        <v>4.76</v>
      </c>
      <c r="AN262" s="80">
        <v>0</v>
      </c>
      <c r="AO262" s="80">
        <v>0</v>
      </c>
      <c r="AP262" s="6">
        <f t="shared" si="64"/>
        <v>95.24</v>
      </c>
      <c r="AQ262" s="78">
        <v>0.71</v>
      </c>
      <c r="AR262" s="80">
        <v>0.34</v>
      </c>
      <c r="AS262" s="80">
        <v>70</v>
      </c>
      <c r="AT262" s="6">
        <f t="shared" si="65"/>
        <v>28.950000000000003</v>
      </c>
    </row>
    <row r="263" spans="1:46">
      <c r="A263" s="4">
        <v>46077</v>
      </c>
      <c r="B263" s="131">
        <v>95</v>
      </c>
      <c r="C263" s="71">
        <v>29.07</v>
      </c>
      <c r="D263" s="71">
        <v>19.059999999999999</v>
      </c>
      <c r="E263" s="71">
        <v>32.43</v>
      </c>
      <c r="F263" s="6">
        <f t="shared" si="55"/>
        <v>19.439999999999998</v>
      </c>
      <c r="G263" s="72">
        <v>15.08</v>
      </c>
      <c r="H263" s="72">
        <v>10.35</v>
      </c>
      <c r="I263" s="72">
        <v>44.09</v>
      </c>
      <c r="J263" s="6">
        <f t="shared" si="56"/>
        <v>30.47999999999999</v>
      </c>
      <c r="K263" s="19"/>
      <c r="L263" s="19"/>
      <c r="M263" s="19"/>
      <c r="N263" s="6">
        <f t="shared" si="57"/>
        <v>100</v>
      </c>
      <c r="O263" s="19"/>
      <c r="P263" s="19"/>
      <c r="Q263" s="19"/>
      <c r="R263" s="6">
        <f t="shared" si="58"/>
        <v>100</v>
      </c>
      <c r="S263" s="8"/>
      <c r="T263" s="8"/>
      <c r="U263" s="8"/>
      <c r="V263" s="6">
        <f t="shared" si="59"/>
        <v>100</v>
      </c>
      <c r="W263" s="8"/>
      <c r="X263" s="8"/>
      <c r="Y263" s="8"/>
      <c r="Z263" s="6">
        <f t="shared" si="60"/>
        <v>100</v>
      </c>
      <c r="AA263" s="19"/>
      <c r="AB263" s="19"/>
      <c r="AC263" s="19"/>
      <c r="AD263" s="6">
        <f t="shared" si="61"/>
        <v>100</v>
      </c>
      <c r="AE263" s="19"/>
      <c r="AF263" s="19"/>
      <c r="AG263" s="19"/>
      <c r="AH263" s="6">
        <f t="shared" si="62"/>
        <v>100</v>
      </c>
      <c r="AI263" s="19"/>
      <c r="AJ263" s="19"/>
      <c r="AK263" s="19"/>
      <c r="AL263" s="6">
        <f t="shared" si="63"/>
        <v>100</v>
      </c>
      <c r="AM263" s="19"/>
      <c r="AN263" s="19"/>
      <c r="AO263" s="19"/>
      <c r="AP263" s="6">
        <f t="shared" si="64"/>
        <v>100</v>
      </c>
      <c r="AQ263" s="19"/>
      <c r="AR263" s="19"/>
      <c r="AS263" s="19"/>
      <c r="AT263" s="6">
        <f t="shared" si="65"/>
        <v>100</v>
      </c>
    </row>
    <row r="264" spans="1:46">
      <c r="A264" s="4">
        <v>46078</v>
      </c>
      <c r="B264" s="131">
        <v>95</v>
      </c>
      <c r="C264" s="7"/>
      <c r="D264" s="7"/>
      <c r="E264" s="7"/>
      <c r="F264" s="6">
        <f t="shared" si="55"/>
        <v>100</v>
      </c>
      <c r="G264" s="8"/>
      <c r="H264" s="8"/>
      <c r="I264" s="8"/>
      <c r="J264" s="6">
        <f t="shared" si="56"/>
        <v>100</v>
      </c>
      <c r="K264" s="19"/>
      <c r="L264" s="19"/>
      <c r="M264" s="19"/>
      <c r="N264" s="6">
        <f t="shared" si="57"/>
        <v>100</v>
      </c>
      <c r="O264" s="19"/>
      <c r="P264" s="19"/>
      <c r="Q264" s="19"/>
      <c r="R264" s="6">
        <f t="shared" si="58"/>
        <v>100</v>
      </c>
      <c r="S264" s="8"/>
      <c r="T264" s="8"/>
      <c r="U264" s="8"/>
      <c r="V264" s="6">
        <f t="shared" si="59"/>
        <v>100</v>
      </c>
      <c r="W264" s="8"/>
      <c r="X264" s="8"/>
      <c r="Y264" s="8"/>
      <c r="Z264" s="6">
        <f t="shared" si="60"/>
        <v>100</v>
      </c>
      <c r="AA264" s="19"/>
      <c r="AB264" s="19"/>
      <c r="AC264" s="19"/>
      <c r="AD264" s="6">
        <f t="shared" si="61"/>
        <v>100</v>
      </c>
      <c r="AE264" s="19"/>
      <c r="AF264" s="19"/>
      <c r="AG264" s="19"/>
      <c r="AH264" s="6">
        <f t="shared" si="62"/>
        <v>100</v>
      </c>
      <c r="AI264" s="19"/>
      <c r="AJ264" s="19"/>
      <c r="AK264" s="19"/>
      <c r="AL264" s="6">
        <f t="shared" si="63"/>
        <v>100</v>
      </c>
      <c r="AM264" s="19"/>
      <c r="AN264" s="19"/>
      <c r="AO264" s="19"/>
      <c r="AP264" s="6">
        <f t="shared" si="64"/>
        <v>100</v>
      </c>
      <c r="AQ264" s="19"/>
      <c r="AR264" s="19"/>
      <c r="AS264" s="19"/>
      <c r="AT264" s="6">
        <f t="shared" si="65"/>
        <v>100</v>
      </c>
    </row>
    <row r="265" spans="1:46">
      <c r="A265" s="4">
        <v>46079</v>
      </c>
      <c r="B265" s="131"/>
      <c r="C265" s="7"/>
      <c r="D265" s="7"/>
      <c r="E265" s="7"/>
      <c r="F265" s="6">
        <f t="shared" si="55"/>
        <v>100</v>
      </c>
      <c r="G265" s="8"/>
      <c r="H265" s="8"/>
      <c r="I265" s="8"/>
      <c r="J265" s="6">
        <f t="shared" si="56"/>
        <v>100</v>
      </c>
      <c r="K265" s="19"/>
      <c r="L265" s="19"/>
      <c r="M265" s="19"/>
      <c r="N265" s="6">
        <f t="shared" si="57"/>
        <v>100</v>
      </c>
      <c r="O265" s="19"/>
      <c r="P265" s="19"/>
      <c r="Q265" s="19"/>
      <c r="R265" s="6">
        <f t="shared" si="58"/>
        <v>100</v>
      </c>
      <c r="S265" s="8"/>
      <c r="T265" s="8"/>
      <c r="U265" s="8"/>
      <c r="V265" s="6">
        <f t="shared" si="59"/>
        <v>100</v>
      </c>
      <c r="W265" s="8"/>
      <c r="X265" s="8"/>
      <c r="Y265" s="8"/>
      <c r="Z265" s="6">
        <f t="shared" si="60"/>
        <v>100</v>
      </c>
      <c r="AA265" s="19"/>
      <c r="AB265" s="19"/>
      <c r="AC265" s="19"/>
      <c r="AD265" s="6">
        <f t="shared" si="61"/>
        <v>100</v>
      </c>
      <c r="AE265" s="19"/>
      <c r="AF265" s="19"/>
      <c r="AG265" s="19"/>
      <c r="AH265" s="6">
        <f t="shared" si="62"/>
        <v>100</v>
      </c>
      <c r="AI265" s="19"/>
      <c r="AJ265" s="19"/>
      <c r="AK265" s="19"/>
      <c r="AL265" s="6">
        <f t="shared" si="63"/>
        <v>100</v>
      </c>
      <c r="AM265" s="19"/>
      <c r="AN265" s="19"/>
      <c r="AO265" s="19"/>
      <c r="AP265" s="6">
        <f t="shared" si="64"/>
        <v>100</v>
      </c>
      <c r="AQ265" s="19"/>
      <c r="AR265" s="19"/>
      <c r="AS265" s="19"/>
      <c r="AT265" s="6">
        <f t="shared" si="65"/>
        <v>100</v>
      </c>
    </row>
    <row r="266" spans="1:46">
      <c r="A266" s="4">
        <v>46080</v>
      </c>
      <c r="B266" s="131"/>
      <c r="C266" s="7"/>
      <c r="D266" s="7"/>
      <c r="E266" s="7"/>
      <c r="F266" s="6">
        <f t="shared" si="55"/>
        <v>100</v>
      </c>
      <c r="G266" s="8"/>
      <c r="H266" s="8"/>
      <c r="I266" s="8"/>
      <c r="J266" s="6">
        <f t="shared" si="56"/>
        <v>100</v>
      </c>
      <c r="K266" s="19"/>
      <c r="L266" s="19"/>
      <c r="M266" s="19"/>
      <c r="N266" s="6">
        <f t="shared" si="57"/>
        <v>100</v>
      </c>
      <c r="O266" s="19"/>
      <c r="P266" s="19"/>
      <c r="Q266" s="19"/>
      <c r="R266" s="6">
        <f t="shared" si="58"/>
        <v>100</v>
      </c>
      <c r="S266" s="8"/>
      <c r="T266" s="8"/>
      <c r="U266" s="8"/>
      <c r="V266" s="6">
        <f t="shared" si="59"/>
        <v>100</v>
      </c>
      <c r="W266" s="8"/>
      <c r="X266" s="8"/>
      <c r="Y266" s="8"/>
      <c r="Z266" s="6">
        <f t="shared" si="60"/>
        <v>100</v>
      </c>
      <c r="AA266" s="19"/>
      <c r="AB266" s="19"/>
      <c r="AC266" s="19"/>
      <c r="AD266" s="6">
        <f t="shared" si="61"/>
        <v>100</v>
      </c>
      <c r="AE266" s="19"/>
      <c r="AF266" s="19"/>
      <c r="AG266" s="19"/>
      <c r="AH266" s="6">
        <f t="shared" si="62"/>
        <v>100</v>
      </c>
      <c r="AI266" s="19"/>
      <c r="AJ266" s="19"/>
      <c r="AK266" s="19"/>
      <c r="AL266" s="6">
        <f t="shared" si="63"/>
        <v>100</v>
      </c>
      <c r="AM266" s="19"/>
      <c r="AN266" s="19"/>
      <c r="AO266" s="19"/>
      <c r="AP266" s="6">
        <f t="shared" si="64"/>
        <v>100</v>
      </c>
      <c r="AQ266" s="19"/>
      <c r="AR266" s="19"/>
      <c r="AS266" s="19"/>
      <c r="AT266" s="6">
        <f t="shared" si="65"/>
        <v>100</v>
      </c>
    </row>
    <row r="267" spans="1:46">
      <c r="A267" s="4">
        <v>46081</v>
      </c>
      <c r="B267" s="131"/>
      <c r="C267" s="7"/>
      <c r="D267" s="7"/>
      <c r="E267" s="7"/>
      <c r="F267" s="6">
        <f t="shared" si="55"/>
        <v>100</v>
      </c>
      <c r="G267" s="8"/>
      <c r="H267" s="8"/>
      <c r="I267" s="8"/>
      <c r="J267" s="6">
        <f t="shared" si="56"/>
        <v>100</v>
      </c>
      <c r="K267" s="19"/>
      <c r="L267" s="19"/>
      <c r="M267" s="19"/>
      <c r="N267" s="6">
        <f t="shared" si="57"/>
        <v>100</v>
      </c>
      <c r="O267" s="19"/>
      <c r="P267" s="19"/>
      <c r="Q267" s="19"/>
      <c r="R267" s="6">
        <f t="shared" si="58"/>
        <v>100</v>
      </c>
      <c r="S267" s="8"/>
      <c r="T267" s="8"/>
      <c r="U267" s="8"/>
      <c r="V267" s="6">
        <f t="shared" si="59"/>
        <v>100</v>
      </c>
      <c r="W267" s="8"/>
      <c r="X267" s="8"/>
      <c r="Y267" s="8"/>
      <c r="Z267" s="6">
        <f t="shared" si="60"/>
        <v>100</v>
      </c>
      <c r="AA267" s="19"/>
      <c r="AB267" s="19"/>
      <c r="AC267" s="19"/>
      <c r="AD267" s="6">
        <f t="shared" si="61"/>
        <v>100</v>
      </c>
      <c r="AE267" s="19"/>
      <c r="AF267" s="19"/>
      <c r="AG267" s="19"/>
      <c r="AH267" s="6">
        <f t="shared" si="62"/>
        <v>100</v>
      </c>
      <c r="AI267" s="19"/>
      <c r="AJ267" s="19"/>
      <c r="AK267" s="19"/>
      <c r="AL267" s="6">
        <f t="shared" si="63"/>
        <v>100</v>
      </c>
      <c r="AM267" s="19"/>
      <c r="AN267" s="19"/>
      <c r="AO267" s="19"/>
      <c r="AP267" s="6">
        <f t="shared" si="64"/>
        <v>100</v>
      </c>
      <c r="AQ267" s="19"/>
      <c r="AR267" s="19"/>
      <c r="AS267" s="19"/>
      <c r="AT267" s="6">
        <f t="shared" si="65"/>
        <v>100</v>
      </c>
    </row>
    <row r="268" spans="1:46">
      <c r="A268" s="70">
        <v>46082</v>
      </c>
      <c r="B268" s="131"/>
      <c r="C268" s="7"/>
      <c r="D268" s="7"/>
      <c r="E268" s="7"/>
      <c r="F268" s="6">
        <f t="shared" si="55"/>
        <v>100</v>
      </c>
      <c r="G268" s="275">
        <v>18.41</v>
      </c>
      <c r="H268" s="276">
        <v>11.26</v>
      </c>
      <c r="I268" s="276">
        <v>40.86</v>
      </c>
      <c r="J268" s="6">
        <f t="shared" si="56"/>
        <v>29.47</v>
      </c>
      <c r="K268" s="285">
        <v>8.19</v>
      </c>
      <c r="L268" s="217">
        <v>3.78</v>
      </c>
      <c r="M268" s="217">
        <v>51.18</v>
      </c>
      <c r="N268" s="6">
        <f t="shared" si="57"/>
        <v>36.85</v>
      </c>
      <c r="O268" s="285">
        <v>1.46</v>
      </c>
      <c r="P268" s="217">
        <v>0.72</v>
      </c>
      <c r="Q268" s="285">
        <v>67</v>
      </c>
      <c r="R268" s="6">
        <f t="shared" si="58"/>
        <v>30.819999999999993</v>
      </c>
      <c r="S268" s="8" t="s">
        <v>48</v>
      </c>
      <c r="T268" s="8" t="s">
        <v>48</v>
      </c>
      <c r="U268" s="8" t="s">
        <v>48</v>
      </c>
      <c r="V268" s="6">
        <f t="shared" si="59"/>
        <v>100</v>
      </c>
      <c r="W268" s="273">
        <v>34.47</v>
      </c>
      <c r="X268" s="273">
        <v>27.49</v>
      </c>
      <c r="Y268" s="273">
        <v>0</v>
      </c>
      <c r="Z268" s="6">
        <f t="shared" si="60"/>
        <v>38.040000000000006</v>
      </c>
      <c r="AA268" s="284" t="s">
        <v>48</v>
      </c>
      <c r="AB268" s="284" t="s">
        <v>48</v>
      </c>
      <c r="AC268" s="284" t="s">
        <v>48</v>
      </c>
      <c r="AD268" s="6">
        <f t="shared" si="61"/>
        <v>100</v>
      </c>
      <c r="AE268" s="284" t="s">
        <v>48</v>
      </c>
      <c r="AF268" s="284" t="s">
        <v>48</v>
      </c>
      <c r="AG268" s="284" t="s">
        <v>48</v>
      </c>
      <c r="AH268" s="6">
        <f t="shared" si="62"/>
        <v>100</v>
      </c>
      <c r="AI268" s="284" t="s">
        <v>48</v>
      </c>
      <c r="AJ268" s="284" t="s">
        <v>48</v>
      </c>
      <c r="AK268" s="284" t="s">
        <v>48</v>
      </c>
      <c r="AL268" s="6">
        <f t="shared" si="63"/>
        <v>100</v>
      </c>
      <c r="AM268" s="19"/>
      <c r="AN268" s="19"/>
      <c r="AO268" s="19"/>
      <c r="AP268" s="6">
        <f t="shared" si="64"/>
        <v>100</v>
      </c>
      <c r="AQ268" s="19"/>
      <c r="AR268" s="19"/>
      <c r="AS268" s="19"/>
      <c r="AT268" s="6">
        <f t="shared" si="65"/>
        <v>100</v>
      </c>
    </row>
    <row r="269" spans="1:46">
      <c r="A269" s="4">
        <v>46083</v>
      </c>
      <c r="B269" s="131"/>
      <c r="C269" s="7"/>
      <c r="D269" s="7"/>
      <c r="E269" s="7"/>
      <c r="F269" s="6">
        <f t="shared" si="55"/>
        <v>100</v>
      </c>
      <c r="G269" s="8"/>
      <c r="H269" s="8"/>
      <c r="I269" s="8"/>
      <c r="J269" s="6">
        <f t="shared" si="56"/>
        <v>100</v>
      </c>
      <c r="K269" s="19"/>
      <c r="L269" s="19"/>
      <c r="M269" s="19"/>
      <c r="N269" s="6">
        <f t="shared" si="57"/>
        <v>100</v>
      </c>
      <c r="O269" s="19"/>
      <c r="P269" s="19"/>
      <c r="Q269" s="19"/>
      <c r="R269" s="6">
        <f t="shared" si="58"/>
        <v>100</v>
      </c>
      <c r="S269" s="8"/>
      <c r="T269" s="8"/>
      <c r="U269" s="8"/>
      <c r="V269" s="6">
        <f t="shared" si="59"/>
        <v>100</v>
      </c>
      <c r="W269" s="8"/>
      <c r="X269" s="8"/>
      <c r="Y269" s="8"/>
      <c r="Z269" s="6">
        <f t="shared" si="60"/>
        <v>100</v>
      </c>
      <c r="AA269" s="19"/>
      <c r="AB269" s="19"/>
      <c r="AC269" s="19"/>
      <c r="AD269" s="6">
        <f t="shared" si="61"/>
        <v>100</v>
      </c>
      <c r="AE269" s="19"/>
      <c r="AF269" s="19"/>
      <c r="AG269" s="19"/>
      <c r="AH269" s="6">
        <f t="shared" si="62"/>
        <v>100</v>
      </c>
      <c r="AI269" s="19"/>
      <c r="AJ269" s="19"/>
      <c r="AK269" s="19"/>
      <c r="AL269" s="6">
        <f t="shared" si="63"/>
        <v>100</v>
      </c>
      <c r="AM269" s="19"/>
      <c r="AN269" s="19"/>
      <c r="AO269" s="19"/>
      <c r="AP269" s="6">
        <f t="shared" si="64"/>
        <v>100</v>
      </c>
      <c r="AQ269" s="19"/>
      <c r="AR269" s="19"/>
      <c r="AS269" s="19"/>
      <c r="AT269" s="6">
        <f t="shared" si="65"/>
        <v>100</v>
      </c>
    </row>
    <row r="270" spans="1:46">
      <c r="A270" s="4">
        <v>46084</v>
      </c>
      <c r="B270" s="131"/>
      <c r="C270" s="7"/>
      <c r="D270" s="7"/>
      <c r="E270" s="7"/>
      <c r="F270" s="6">
        <f t="shared" si="55"/>
        <v>100</v>
      </c>
      <c r="G270" s="8"/>
      <c r="H270" s="8"/>
      <c r="I270" s="8"/>
      <c r="J270" s="6">
        <f t="shared" si="56"/>
        <v>100</v>
      </c>
      <c r="K270" s="19"/>
      <c r="L270" s="19"/>
      <c r="M270" s="19"/>
      <c r="N270" s="6">
        <f t="shared" si="57"/>
        <v>100</v>
      </c>
      <c r="O270" s="19"/>
      <c r="P270" s="19"/>
      <c r="Q270" s="19"/>
      <c r="R270" s="6">
        <f t="shared" si="58"/>
        <v>100</v>
      </c>
      <c r="S270" s="8"/>
      <c r="T270" s="8"/>
      <c r="U270" s="8"/>
      <c r="V270" s="6">
        <f t="shared" si="59"/>
        <v>100</v>
      </c>
      <c r="W270" s="8"/>
      <c r="X270" s="8"/>
      <c r="Y270" s="8"/>
      <c r="Z270" s="6">
        <f t="shared" si="60"/>
        <v>100</v>
      </c>
      <c r="AA270" s="19"/>
      <c r="AB270" s="19"/>
      <c r="AC270" s="19"/>
      <c r="AD270" s="6">
        <f t="shared" si="61"/>
        <v>100</v>
      </c>
      <c r="AE270" s="19"/>
      <c r="AF270" s="19"/>
      <c r="AG270" s="19"/>
      <c r="AH270" s="6">
        <f t="shared" si="62"/>
        <v>100</v>
      </c>
      <c r="AI270" s="19"/>
      <c r="AJ270" s="19"/>
      <c r="AK270" s="19"/>
      <c r="AL270" s="6">
        <f t="shared" si="63"/>
        <v>100</v>
      </c>
      <c r="AM270" s="19"/>
      <c r="AN270" s="19"/>
      <c r="AO270" s="19"/>
      <c r="AP270" s="6">
        <f t="shared" si="64"/>
        <v>100</v>
      </c>
      <c r="AQ270" s="19"/>
      <c r="AR270" s="19"/>
      <c r="AS270" s="19"/>
      <c r="AT270" s="6">
        <f t="shared" si="65"/>
        <v>100</v>
      </c>
    </row>
    <row r="271" spans="1:46">
      <c r="A271" s="4">
        <v>46085</v>
      </c>
      <c r="B271" s="131"/>
      <c r="C271" s="7"/>
      <c r="D271" s="7"/>
      <c r="E271" s="7"/>
      <c r="F271" s="6">
        <f t="shared" si="55"/>
        <v>100</v>
      </c>
      <c r="G271" s="8"/>
      <c r="H271" s="8"/>
      <c r="I271" s="8"/>
      <c r="J271" s="6">
        <f t="shared" si="56"/>
        <v>100</v>
      </c>
      <c r="K271" s="19"/>
      <c r="L271" s="19"/>
      <c r="M271" s="19"/>
      <c r="N271" s="6">
        <f t="shared" si="57"/>
        <v>100</v>
      </c>
      <c r="O271" s="19"/>
      <c r="P271" s="19"/>
      <c r="Q271" s="19"/>
      <c r="R271" s="6">
        <f t="shared" si="58"/>
        <v>100</v>
      </c>
      <c r="S271" s="8"/>
      <c r="T271" s="8"/>
      <c r="U271" s="8"/>
      <c r="V271" s="6">
        <f t="shared" si="59"/>
        <v>100</v>
      </c>
      <c r="W271" s="8"/>
      <c r="X271" s="8"/>
      <c r="Y271" s="8"/>
      <c r="Z271" s="6">
        <f t="shared" si="60"/>
        <v>100</v>
      </c>
      <c r="AA271" s="19"/>
      <c r="AB271" s="19"/>
      <c r="AC271" s="19"/>
      <c r="AD271" s="6">
        <f t="shared" si="61"/>
        <v>100</v>
      </c>
      <c r="AE271" s="19"/>
      <c r="AF271" s="19"/>
      <c r="AG271" s="19"/>
      <c r="AH271" s="6">
        <f t="shared" si="62"/>
        <v>100</v>
      </c>
      <c r="AI271" s="19"/>
      <c r="AJ271" s="19"/>
      <c r="AK271" s="19"/>
      <c r="AL271" s="6">
        <f t="shared" si="63"/>
        <v>100</v>
      </c>
      <c r="AM271" s="19"/>
      <c r="AN271" s="19"/>
      <c r="AO271" s="19"/>
      <c r="AP271" s="6">
        <f t="shared" si="64"/>
        <v>100</v>
      </c>
      <c r="AQ271" s="19"/>
      <c r="AR271" s="19"/>
      <c r="AS271" s="19"/>
      <c r="AT271" s="6">
        <f t="shared" si="65"/>
        <v>100</v>
      </c>
    </row>
    <row r="272" spans="1:46">
      <c r="A272" s="4">
        <v>46086</v>
      </c>
      <c r="B272" s="131"/>
      <c r="C272" s="7"/>
      <c r="D272" s="7"/>
      <c r="E272" s="7"/>
      <c r="F272" s="6">
        <f t="shared" si="55"/>
        <v>100</v>
      </c>
      <c r="G272" s="8"/>
      <c r="H272" s="8"/>
      <c r="I272" s="8"/>
      <c r="J272" s="6">
        <f t="shared" si="56"/>
        <v>100</v>
      </c>
      <c r="K272" s="19"/>
      <c r="L272" s="19"/>
      <c r="M272" s="19"/>
      <c r="N272" s="6">
        <f t="shared" si="57"/>
        <v>100</v>
      </c>
      <c r="O272" s="19"/>
      <c r="P272" s="19"/>
      <c r="Q272" s="19"/>
      <c r="R272" s="6">
        <f t="shared" si="58"/>
        <v>100</v>
      </c>
      <c r="S272" s="8"/>
      <c r="T272" s="8"/>
      <c r="U272" s="8"/>
      <c r="V272" s="6">
        <f t="shared" si="59"/>
        <v>100</v>
      </c>
      <c r="W272" s="8"/>
      <c r="X272" s="8"/>
      <c r="Y272" s="8"/>
      <c r="Z272" s="6">
        <f t="shared" si="60"/>
        <v>100</v>
      </c>
      <c r="AA272" s="19"/>
      <c r="AB272" s="19"/>
      <c r="AC272" s="19"/>
      <c r="AD272" s="6">
        <f t="shared" si="61"/>
        <v>100</v>
      </c>
      <c r="AE272" s="19"/>
      <c r="AF272" s="19"/>
      <c r="AG272" s="19"/>
      <c r="AH272" s="6">
        <f t="shared" si="62"/>
        <v>100</v>
      </c>
      <c r="AI272" s="19"/>
      <c r="AJ272" s="19"/>
      <c r="AK272" s="19"/>
      <c r="AL272" s="6">
        <f t="shared" si="63"/>
        <v>100</v>
      </c>
      <c r="AM272" s="19"/>
      <c r="AN272" s="19"/>
      <c r="AO272" s="19"/>
      <c r="AP272" s="6">
        <f t="shared" si="64"/>
        <v>100</v>
      </c>
      <c r="AQ272" s="19"/>
      <c r="AR272" s="19"/>
      <c r="AS272" s="19"/>
      <c r="AT272" s="6">
        <f t="shared" si="65"/>
        <v>100</v>
      </c>
    </row>
    <row r="273" spans="1:46">
      <c r="A273" s="4">
        <v>46087</v>
      </c>
      <c r="B273" s="131"/>
      <c r="C273" s="7"/>
      <c r="D273" s="7"/>
      <c r="E273" s="7"/>
      <c r="F273" s="6">
        <f t="shared" ref="F273:F336" si="66">100-SUM(C273:E273)</f>
        <v>100</v>
      </c>
      <c r="G273" s="8"/>
      <c r="H273" s="8"/>
      <c r="I273" s="8"/>
      <c r="J273" s="6">
        <f t="shared" ref="J273:J336" si="67">100-SUM(G273:I273)</f>
        <v>100</v>
      </c>
      <c r="K273" s="19"/>
      <c r="L273" s="19"/>
      <c r="M273" s="19"/>
      <c r="N273" s="6">
        <f t="shared" ref="N273:N336" si="68">100-SUM(K273:M273)</f>
        <v>100</v>
      </c>
      <c r="O273" s="19"/>
      <c r="P273" s="19"/>
      <c r="Q273" s="19"/>
      <c r="R273" s="6">
        <f t="shared" ref="R273:R336" si="69">100-SUM(O273:Q273)</f>
        <v>100</v>
      </c>
      <c r="S273" s="8"/>
      <c r="T273" s="8"/>
      <c r="U273" s="8"/>
      <c r="V273" s="6">
        <f t="shared" ref="V273:V336" si="70">100-SUM(S273:U273)</f>
        <v>100</v>
      </c>
      <c r="W273" s="8"/>
      <c r="X273" s="8"/>
      <c r="Y273" s="8"/>
      <c r="Z273" s="6">
        <f t="shared" ref="Z273:Z336" si="71">100-SUM(W273:Y273)</f>
        <v>100</v>
      </c>
      <c r="AA273" s="19"/>
      <c r="AB273" s="19"/>
      <c r="AC273" s="19"/>
      <c r="AD273" s="6">
        <f t="shared" ref="AD273:AD336" si="72">100-SUM(AA273:AC273)</f>
        <v>100</v>
      </c>
      <c r="AE273" s="19"/>
      <c r="AF273" s="19"/>
      <c r="AG273" s="19"/>
      <c r="AH273" s="6">
        <f t="shared" ref="AH273:AH336" si="73">100-SUM(AE273:AG273)</f>
        <v>100</v>
      </c>
      <c r="AI273" s="19"/>
      <c r="AJ273" s="19"/>
      <c r="AK273" s="19"/>
      <c r="AL273" s="6">
        <f t="shared" ref="AL273:AL336" si="74">100-SUM(AI273:AK273)</f>
        <v>100</v>
      </c>
      <c r="AM273" s="19"/>
      <c r="AN273" s="19"/>
      <c r="AO273" s="19"/>
      <c r="AP273" s="6">
        <f t="shared" ref="AP273:AP336" si="75">100-SUM(AM273:AO273)</f>
        <v>100</v>
      </c>
      <c r="AQ273" s="19"/>
      <c r="AR273" s="19"/>
      <c r="AS273" s="19"/>
      <c r="AT273" s="6">
        <f t="shared" ref="AT273:AT336" si="76">100-SUM(AQ273:AS273)</f>
        <v>100</v>
      </c>
    </row>
    <row r="274" spans="1:46">
      <c r="A274" s="4">
        <v>46088</v>
      </c>
      <c r="B274" s="131"/>
      <c r="C274" s="7"/>
      <c r="D274" s="7"/>
      <c r="E274" s="7"/>
      <c r="F274" s="6">
        <f t="shared" si="66"/>
        <v>100</v>
      </c>
      <c r="G274" s="8"/>
      <c r="H274" s="8"/>
      <c r="I274" s="8"/>
      <c r="J274" s="6">
        <f t="shared" si="67"/>
        <v>100</v>
      </c>
      <c r="K274" s="19"/>
      <c r="L274" s="19"/>
      <c r="M274" s="19"/>
      <c r="N274" s="6">
        <f t="shared" si="68"/>
        <v>100</v>
      </c>
      <c r="O274" s="19"/>
      <c r="P274" s="19"/>
      <c r="Q274" s="19"/>
      <c r="R274" s="6">
        <f t="shared" si="69"/>
        <v>100</v>
      </c>
      <c r="S274" s="8"/>
      <c r="T274" s="8"/>
      <c r="U274" s="8"/>
      <c r="V274" s="6">
        <f t="shared" si="70"/>
        <v>100</v>
      </c>
      <c r="W274" s="8"/>
      <c r="X274" s="8"/>
      <c r="Y274" s="8"/>
      <c r="Z274" s="6">
        <f t="shared" si="71"/>
        <v>100</v>
      </c>
      <c r="AA274" s="19"/>
      <c r="AB274" s="19"/>
      <c r="AC274" s="19"/>
      <c r="AD274" s="6">
        <f t="shared" si="72"/>
        <v>100</v>
      </c>
      <c r="AE274" s="19"/>
      <c r="AF274" s="19"/>
      <c r="AG274" s="19"/>
      <c r="AH274" s="6">
        <f t="shared" si="73"/>
        <v>100</v>
      </c>
      <c r="AI274" s="19"/>
      <c r="AJ274" s="19"/>
      <c r="AK274" s="19"/>
      <c r="AL274" s="6">
        <f t="shared" si="74"/>
        <v>100</v>
      </c>
      <c r="AM274" s="19"/>
      <c r="AN274" s="19"/>
      <c r="AO274" s="19"/>
      <c r="AP274" s="6">
        <f t="shared" si="75"/>
        <v>100</v>
      </c>
      <c r="AQ274" s="19"/>
      <c r="AR274" s="19"/>
      <c r="AS274" s="19"/>
      <c r="AT274" s="6">
        <f t="shared" si="76"/>
        <v>100</v>
      </c>
    </row>
    <row r="275" spans="1:46">
      <c r="A275" s="4">
        <v>46089</v>
      </c>
      <c r="B275" s="131"/>
      <c r="C275" s="7"/>
      <c r="D275" s="7"/>
      <c r="E275" s="7"/>
      <c r="F275" s="6">
        <f t="shared" si="66"/>
        <v>100</v>
      </c>
      <c r="G275" s="8"/>
      <c r="H275" s="8"/>
      <c r="I275" s="8"/>
      <c r="J275" s="6">
        <f t="shared" si="67"/>
        <v>100</v>
      </c>
      <c r="K275" s="19"/>
      <c r="L275" s="19"/>
      <c r="M275" s="19"/>
      <c r="N275" s="6">
        <f t="shared" si="68"/>
        <v>100</v>
      </c>
      <c r="O275" s="19"/>
      <c r="P275" s="19"/>
      <c r="Q275" s="19"/>
      <c r="R275" s="6">
        <f t="shared" si="69"/>
        <v>100</v>
      </c>
      <c r="S275" s="8"/>
      <c r="T275" s="8"/>
      <c r="U275" s="8"/>
      <c r="V275" s="6">
        <f t="shared" si="70"/>
        <v>100</v>
      </c>
      <c r="W275" s="8"/>
      <c r="X275" s="8"/>
      <c r="Y275" s="8"/>
      <c r="Z275" s="6">
        <f t="shared" si="71"/>
        <v>100</v>
      </c>
      <c r="AA275" s="19"/>
      <c r="AB275" s="19"/>
      <c r="AC275" s="19"/>
      <c r="AD275" s="6">
        <f t="shared" si="72"/>
        <v>100</v>
      </c>
      <c r="AE275" s="19"/>
      <c r="AF275" s="19"/>
      <c r="AG275" s="19"/>
      <c r="AH275" s="6">
        <f t="shared" si="73"/>
        <v>100</v>
      </c>
      <c r="AI275" s="19"/>
      <c r="AJ275" s="19"/>
      <c r="AK275" s="19"/>
      <c r="AL275" s="6">
        <f t="shared" si="74"/>
        <v>100</v>
      </c>
      <c r="AM275" s="19"/>
      <c r="AN275" s="19"/>
      <c r="AO275" s="19"/>
      <c r="AP275" s="6">
        <f t="shared" si="75"/>
        <v>100</v>
      </c>
      <c r="AQ275" s="19"/>
      <c r="AR275" s="19"/>
      <c r="AS275" s="19"/>
      <c r="AT275" s="6">
        <f t="shared" si="76"/>
        <v>100</v>
      </c>
    </row>
    <row r="276" spans="1:46">
      <c r="A276" s="4">
        <v>46090</v>
      </c>
      <c r="B276" s="131"/>
      <c r="C276" s="7"/>
      <c r="D276" s="7"/>
      <c r="E276" s="7"/>
      <c r="F276" s="6">
        <f t="shared" si="66"/>
        <v>100</v>
      </c>
      <c r="G276" s="8"/>
      <c r="H276" s="8"/>
      <c r="I276" s="8"/>
      <c r="J276" s="6">
        <f t="shared" si="67"/>
        <v>100</v>
      </c>
      <c r="K276" s="19"/>
      <c r="L276" s="19"/>
      <c r="M276" s="19"/>
      <c r="N276" s="6">
        <f t="shared" si="68"/>
        <v>100</v>
      </c>
      <c r="O276" s="19"/>
      <c r="P276" s="19"/>
      <c r="Q276" s="19"/>
      <c r="R276" s="6">
        <f t="shared" si="69"/>
        <v>100</v>
      </c>
      <c r="S276" s="8"/>
      <c r="T276" s="8"/>
      <c r="U276" s="8"/>
      <c r="V276" s="6">
        <f t="shared" si="70"/>
        <v>100</v>
      </c>
      <c r="W276" s="8"/>
      <c r="X276" s="8"/>
      <c r="Y276" s="8"/>
      <c r="Z276" s="6">
        <f t="shared" si="71"/>
        <v>100</v>
      </c>
      <c r="AA276" s="19"/>
      <c r="AB276" s="19"/>
      <c r="AC276" s="19"/>
      <c r="AD276" s="6">
        <f t="shared" si="72"/>
        <v>100</v>
      </c>
      <c r="AE276" s="19"/>
      <c r="AF276" s="19"/>
      <c r="AG276" s="19"/>
      <c r="AH276" s="6">
        <f t="shared" si="73"/>
        <v>100</v>
      </c>
      <c r="AI276" s="19"/>
      <c r="AJ276" s="19"/>
      <c r="AK276" s="19"/>
      <c r="AL276" s="6">
        <f t="shared" si="74"/>
        <v>100</v>
      </c>
      <c r="AM276" s="19"/>
      <c r="AN276" s="19"/>
      <c r="AO276" s="19"/>
      <c r="AP276" s="6">
        <f t="shared" si="75"/>
        <v>100</v>
      </c>
      <c r="AQ276" s="19"/>
      <c r="AR276" s="19"/>
      <c r="AS276" s="19"/>
      <c r="AT276" s="6">
        <f t="shared" si="76"/>
        <v>100</v>
      </c>
    </row>
    <row r="277" spans="1:46">
      <c r="A277" s="4">
        <v>46091</v>
      </c>
      <c r="B277" s="131"/>
      <c r="C277" s="7"/>
      <c r="D277" s="7"/>
      <c r="E277" s="7"/>
      <c r="F277" s="6">
        <f t="shared" si="66"/>
        <v>100</v>
      </c>
      <c r="G277" s="8"/>
      <c r="H277" s="8"/>
      <c r="I277" s="8"/>
      <c r="J277" s="6">
        <f t="shared" si="67"/>
        <v>100</v>
      </c>
      <c r="K277" s="19"/>
      <c r="L277" s="19"/>
      <c r="M277" s="19"/>
      <c r="N277" s="6">
        <f t="shared" si="68"/>
        <v>100</v>
      </c>
      <c r="O277" s="19"/>
      <c r="P277" s="19"/>
      <c r="Q277" s="19"/>
      <c r="R277" s="6">
        <f t="shared" si="69"/>
        <v>100</v>
      </c>
      <c r="S277" s="8"/>
      <c r="T277" s="8"/>
      <c r="U277" s="8"/>
      <c r="V277" s="6">
        <f t="shared" si="70"/>
        <v>100</v>
      </c>
      <c r="W277" s="8"/>
      <c r="X277" s="8"/>
      <c r="Y277" s="8"/>
      <c r="Z277" s="6">
        <f t="shared" si="71"/>
        <v>100</v>
      </c>
      <c r="AA277" s="19"/>
      <c r="AB277" s="19"/>
      <c r="AC277" s="19"/>
      <c r="AD277" s="6">
        <f t="shared" si="72"/>
        <v>100</v>
      </c>
      <c r="AE277" s="19"/>
      <c r="AF277" s="19"/>
      <c r="AG277" s="19"/>
      <c r="AH277" s="6">
        <f t="shared" si="73"/>
        <v>100</v>
      </c>
      <c r="AI277" s="19"/>
      <c r="AJ277" s="19"/>
      <c r="AK277" s="19"/>
      <c r="AL277" s="6">
        <f t="shared" si="74"/>
        <v>100</v>
      </c>
      <c r="AM277" s="19"/>
      <c r="AN277" s="19"/>
      <c r="AO277" s="19"/>
      <c r="AP277" s="6">
        <f t="shared" si="75"/>
        <v>100</v>
      </c>
      <c r="AQ277" s="19"/>
      <c r="AR277" s="19"/>
      <c r="AS277" s="19"/>
      <c r="AT277" s="6">
        <f t="shared" si="76"/>
        <v>100</v>
      </c>
    </row>
    <row r="278" spans="1:46">
      <c r="A278" s="70">
        <v>46092</v>
      </c>
      <c r="B278" s="131"/>
      <c r="C278" s="7"/>
      <c r="D278" s="7"/>
      <c r="E278" s="7"/>
      <c r="F278" s="6">
        <f t="shared" si="66"/>
        <v>100</v>
      </c>
      <c r="G278" s="8"/>
      <c r="H278" s="8"/>
      <c r="I278" s="8"/>
      <c r="J278" s="6">
        <f t="shared" si="67"/>
        <v>100</v>
      </c>
      <c r="K278" s="19"/>
      <c r="L278" s="19"/>
      <c r="M278" s="19"/>
      <c r="N278" s="6">
        <f t="shared" si="68"/>
        <v>100</v>
      </c>
      <c r="O278" s="19"/>
      <c r="P278" s="19"/>
      <c r="Q278" s="19"/>
      <c r="R278" s="6">
        <f t="shared" si="69"/>
        <v>100</v>
      </c>
      <c r="S278" s="8"/>
      <c r="T278" s="8"/>
      <c r="U278" s="8"/>
      <c r="V278" s="6">
        <f t="shared" si="70"/>
        <v>100</v>
      </c>
      <c r="W278" s="8"/>
      <c r="X278" s="8"/>
      <c r="Y278" s="8"/>
      <c r="Z278" s="6">
        <f t="shared" si="71"/>
        <v>100</v>
      </c>
      <c r="AA278" s="19"/>
      <c r="AB278" s="19"/>
      <c r="AC278" s="19"/>
      <c r="AD278" s="6">
        <f t="shared" si="72"/>
        <v>100</v>
      </c>
      <c r="AE278" s="19"/>
      <c r="AF278" s="19"/>
      <c r="AG278" s="19"/>
      <c r="AH278" s="6">
        <f t="shared" si="73"/>
        <v>100</v>
      </c>
      <c r="AI278" s="19"/>
      <c r="AJ278" s="19"/>
      <c r="AK278" s="19"/>
      <c r="AL278" s="6">
        <f t="shared" si="74"/>
        <v>100</v>
      </c>
      <c r="AM278" s="19"/>
      <c r="AN278" s="19"/>
      <c r="AO278" s="19"/>
      <c r="AP278" s="6">
        <f t="shared" si="75"/>
        <v>100</v>
      </c>
      <c r="AQ278" s="19"/>
      <c r="AR278" s="19"/>
      <c r="AS278" s="19"/>
      <c r="AT278" s="6">
        <f t="shared" si="76"/>
        <v>100</v>
      </c>
    </row>
    <row r="279" spans="1:46">
      <c r="A279" s="4">
        <v>46093</v>
      </c>
      <c r="B279" s="131"/>
      <c r="C279" s="7"/>
      <c r="D279" s="7"/>
      <c r="E279" s="7"/>
      <c r="F279" s="6">
        <f t="shared" si="66"/>
        <v>100</v>
      </c>
      <c r="G279" s="8"/>
      <c r="H279" s="8"/>
      <c r="I279" s="8"/>
      <c r="J279" s="6">
        <f t="shared" si="67"/>
        <v>100</v>
      </c>
      <c r="K279" s="19"/>
      <c r="L279" s="19"/>
      <c r="M279" s="19"/>
      <c r="N279" s="6">
        <f t="shared" si="68"/>
        <v>100</v>
      </c>
      <c r="O279" s="19"/>
      <c r="P279" s="19"/>
      <c r="Q279" s="19"/>
      <c r="R279" s="6">
        <f t="shared" si="69"/>
        <v>100</v>
      </c>
      <c r="S279" s="8"/>
      <c r="T279" s="8"/>
      <c r="U279" s="8"/>
      <c r="V279" s="6">
        <f t="shared" si="70"/>
        <v>100</v>
      </c>
      <c r="W279" s="8"/>
      <c r="X279" s="8"/>
      <c r="Y279" s="8"/>
      <c r="Z279" s="6">
        <f t="shared" si="71"/>
        <v>100</v>
      </c>
      <c r="AA279" s="19"/>
      <c r="AB279" s="19"/>
      <c r="AC279" s="19"/>
      <c r="AD279" s="6">
        <f t="shared" si="72"/>
        <v>100</v>
      </c>
      <c r="AE279" s="19"/>
      <c r="AF279" s="19"/>
      <c r="AG279" s="19"/>
      <c r="AH279" s="6">
        <f t="shared" si="73"/>
        <v>100</v>
      </c>
      <c r="AI279" s="19"/>
      <c r="AJ279" s="19"/>
      <c r="AK279" s="19"/>
      <c r="AL279" s="6">
        <f t="shared" si="74"/>
        <v>100</v>
      </c>
      <c r="AM279" s="19"/>
      <c r="AN279" s="19"/>
      <c r="AO279" s="19"/>
      <c r="AP279" s="6">
        <f t="shared" si="75"/>
        <v>100</v>
      </c>
      <c r="AQ279" s="19"/>
      <c r="AR279" s="19"/>
      <c r="AS279" s="19"/>
      <c r="AT279" s="6">
        <f t="shared" si="76"/>
        <v>100</v>
      </c>
    </row>
    <row r="280" spans="1:46">
      <c r="A280" s="4">
        <v>46094</v>
      </c>
      <c r="B280" s="131"/>
      <c r="C280" s="7"/>
      <c r="D280" s="7"/>
      <c r="E280" s="7"/>
      <c r="F280" s="6">
        <f t="shared" si="66"/>
        <v>100</v>
      </c>
      <c r="G280" s="8"/>
      <c r="H280" s="8"/>
      <c r="I280" s="8"/>
      <c r="J280" s="6">
        <f t="shared" si="67"/>
        <v>100</v>
      </c>
      <c r="K280" s="19"/>
      <c r="L280" s="19"/>
      <c r="M280" s="19"/>
      <c r="N280" s="6">
        <f t="shared" si="68"/>
        <v>100</v>
      </c>
      <c r="O280" s="19"/>
      <c r="P280" s="19"/>
      <c r="Q280" s="19"/>
      <c r="R280" s="6">
        <f t="shared" si="69"/>
        <v>100</v>
      </c>
      <c r="S280" s="8"/>
      <c r="T280" s="8"/>
      <c r="U280" s="8"/>
      <c r="V280" s="6">
        <f t="shared" si="70"/>
        <v>100</v>
      </c>
      <c r="W280" s="8"/>
      <c r="X280" s="8"/>
      <c r="Y280" s="8"/>
      <c r="Z280" s="6">
        <f t="shared" si="71"/>
        <v>100</v>
      </c>
      <c r="AA280" s="19"/>
      <c r="AB280" s="19"/>
      <c r="AC280" s="19"/>
      <c r="AD280" s="6">
        <f t="shared" si="72"/>
        <v>100</v>
      </c>
      <c r="AE280" s="19"/>
      <c r="AF280" s="19"/>
      <c r="AG280" s="19"/>
      <c r="AH280" s="6">
        <f t="shared" si="73"/>
        <v>100</v>
      </c>
      <c r="AI280" s="19"/>
      <c r="AJ280" s="19"/>
      <c r="AK280" s="19"/>
      <c r="AL280" s="6">
        <f t="shared" si="74"/>
        <v>100</v>
      </c>
      <c r="AM280" s="19"/>
      <c r="AN280" s="19"/>
      <c r="AO280" s="19"/>
      <c r="AP280" s="6">
        <f t="shared" si="75"/>
        <v>100</v>
      </c>
      <c r="AQ280" s="19"/>
      <c r="AR280" s="19"/>
      <c r="AS280" s="19"/>
      <c r="AT280" s="6">
        <f t="shared" si="76"/>
        <v>100</v>
      </c>
    </row>
    <row r="281" spans="1:46">
      <c r="A281" s="4">
        <v>46095</v>
      </c>
      <c r="B281" s="131"/>
      <c r="C281" s="7"/>
      <c r="D281" s="7"/>
      <c r="E281" s="7"/>
      <c r="F281" s="6">
        <f t="shared" si="66"/>
        <v>100</v>
      </c>
      <c r="G281" s="8"/>
      <c r="H281" s="8"/>
      <c r="I281" s="8"/>
      <c r="J281" s="6">
        <f t="shared" si="67"/>
        <v>100</v>
      </c>
      <c r="K281" s="19"/>
      <c r="L281" s="19"/>
      <c r="M281" s="19"/>
      <c r="N281" s="6">
        <f t="shared" si="68"/>
        <v>100</v>
      </c>
      <c r="O281" s="19"/>
      <c r="P281" s="19"/>
      <c r="Q281" s="19"/>
      <c r="R281" s="6">
        <f t="shared" si="69"/>
        <v>100</v>
      </c>
      <c r="S281" s="8"/>
      <c r="T281" s="8"/>
      <c r="U281" s="8"/>
      <c r="V281" s="6">
        <f t="shared" si="70"/>
        <v>100</v>
      </c>
      <c r="W281" s="8"/>
      <c r="X281" s="8"/>
      <c r="Y281" s="8"/>
      <c r="Z281" s="6">
        <f t="shared" si="71"/>
        <v>100</v>
      </c>
      <c r="AA281" s="19"/>
      <c r="AB281" s="19"/>
      <c r="AC281" s="19"/>
      <c r="AD281" s="6">
        <f t="shared" si="72"/>
        <v>100</v>
      </c>
      <c r="AE281" s="19"/>
      <c r="AF281" s="19"/>
      <c r="AG281" s="19"/>
      <c r="AH281" s="6">
        <f t="shared" si="73"/>
        <v>100</v>
      </c>
      <c r="AI281" s="19"/>
      <c r="AJ281" s="19"/>
      <c r="AK281" s="19"/>
      <c r="AL281" s="6">
        <f t="shared" si="74"/>
        <v>100</v>
      </c>
      <c r="AM281" s="19"/>
      <c r="AN281" s="19"/>
      <c r="AO281" s="19"/>
      <c r="AP281" s="6">
        <f t="shared" si="75"/>
        <v>100</v>
      </c>
      <c r="AQ281" s="19"/>
      <c r="AR281" s="19"/>
      <c r="AS281" s="19"/>
      <c r="AT281" s="6">
        <f t="shared" si="76"/>
        <v>100</v>
      </c>
    </row>
    <row r="282" spans="1:46">
      <c r="A282" s="4">
        <v>46096</v>
      </c>
      <c r="B282" s="131"/>
      <c r="C282" s="7"/>
      <c r="D282" s="7"/>
      <c r="E282" s="7"/>
      <c r="F282" s="6">
        <f t="shared" si="66"/>
        <v>100</v>
      </c>
      <c r="G282" s="8"/>
      <c r="H282" s="8"/>
      <c r="I282" s="8"/>
      <c r="J282" s="6">
        <f t="shared" si="67"/>
        <v>100</v>
      </c>
      <c r="K282" s="19"/>
      <c r="L282" s="19"/>
      <c r="M282" s="19"/>
      <c r="N282" s="6">
        <f t="shared" si="68"/>
        <v>100</v>
      </c>
      <c r="O282" s="19"/>
      <c r="P282" s="19"/>
      <c r="Q282" s="19"/>
      <c r="R282" s="6">
        <f t="shared" si="69"/>
        <v>100</v>
      </c>
      <c r="S282" s="8"/>
      <c r="T282" s="8"/>
      <c r="U282" s="8"/>
      <c r="V282" s="6">
        <f t="shared" si="70"/>
        <v>100</v>
      </c>
      <c r="W282" s="8"/>
      <c r="X282" s="8"/>
      <c r="Y282" s="8"/>
      <c r="Z282" s="6">
        <f t="shared" si="71"/>
        <v>100</v>
      </c>
      <c r="AA282" s="19"/>
      <c r="AB282" s="19"/>
      <c r="AC282" s="19"/>
      <c r="AD282" s="6">
        <f t="shared" si="72"/>
        <v>100</v>
      </c>
      <c r="AE282" s="19"/>
      <c r="AF282" s="19"/>
      <c r="AG282" s="19"/>
      <c r="AH282" s="6">
        <f t="shared" si="73"/>
        <v>100</v>
      </c>
      <c r="AI282" s="19"/>
      <c r="AJ282" s="19"/>
      <c r="AK282" s="19"/>
      <c r="AL282" s="6">
        <f t="shared" si="74"/>
        <v>100</v>
      </c>
      <c r="AM282" s="19"/>
      <c r="AN282" s="19"/>
      <c r="AO282" s="19"/>
      <c r="AP282" s="6">
        <f t="shared" si="75"/>
        <v>100</v>
      </c>
      <c r="AQ282" s="19"/>
      <c r="AR282" s="19"/>
      <c r="AS282" s="19"/>
      <c r="AT282" s="6">
        <f t="shared" si="76"/>
        <v>100</v>
      </c>
    </row>
    <row r="283" spans="1:46">
      <c r="A283" s="4">
        <v>46097</v>
      </c>
      <c r="B283" s="131"/>
      <c r="C283" s="7"/>
      <c r="D283" s="7"/>
      <c r="E283" s="7"/>
      <c r="F283" s="6">
        <f t="shared" si="66"/>
        <v>100</v>
      </c>
      <c r="G283" s="8"/>
      <c r="H283" s="8"/>
      <c r="I283" s="8"/>
      <c r="J283" s="6">
        <f t="shared" si="67"/>
        <v>100</v>
      </c>
      <c r="K283" s="19"/>
      <c r="L283" s="19"/>
      <c r="M283" s="19"/>
      <c r="N283" s="6">
        <f t="shared" si="68"/>
        <v>100</v>
      </c>
      <c r="O283" s="19"/>
      <c r="P283" s="19"/>
      <c r="Q283" s="19"/>
      <c r="R283" s="6">
        <f t="shared" si="69"/>
        <v>100</v>
      </c>
      <c r="S283" s="8"/>
      <c r="T283" s="8"/>
      <c r="U283" s="8"/>
      <c r="V283" s="6">
        <f t="shared" si="70"/>
        <v>100</v>
      </c>
      <c r="W283" s="8"/>
      <c r="X283" s="8"/>
      <c r="Y283" s="8"/>
      <c r="Z283" s="6">
        <f t="shared" si="71"/>
        <v>100</v>
      </c>
      <c r="AA283" s="19"/>
      <c r="AB283" s="19"/>
      <c r="AC283" s="19"/>
      <c r="AD283" s="6">
        <f t="shared" si="72"/>
        <v>100</v>
      </c>
      <c r="AE283" s="19"/>
      <c r="AF283" s="19"/>
      <c r="AG283" s="19"/>
      <c r="AH283" s="6">
        <f t="shared" si="73"/>
        <v>100</v>
      </c>
      <c r="AI283" s="19"/>
      <c r="AJ283" s="19"/>
      <c r="AK283" s="19"/>
      <c r="AL283" s="6">
        <f t="shared" si="74"/>
        <v>100</v>
      </c>
      <c r="AM283" s="19"/>
      <c r="AN283" s="19"/>
      <c r="AO283" s="19"/>
      <c r="AP283" s="6">
        <f t="shared" si="75"/>
        <v>100</v>
      </c>
      <c r="AQ283" s="19"/>
      <c r="AR283" s="19"/>
      <c r="AS283" s="19"/>
      <c r="AT283" s="6">
        <f t="shared" si="76"/>
        <v>100</v>
      </c>
    </row>
    <row r="284" spans="1:46">
      <c r="A284" s="4">
        <v>46098</v>
      </c>
      <c r="B284" s="131"/>
      <c r="C284" s="7"/>
      <c r="D284" s="7"/>
      <c r="E284" s="7"/>
      <c r="F284" s="6">
        <f t="shared" si="66"/>
        <v>100</v>
      </c>
      <c r="G284" s="8"/>
      <c r="H284" s="8"/>
      <c r="I284" s="8"/>
      <c r="J284" s="6">
        <f t="shared" si="67"/>
        <v>100</v>
      </c>
      <c r="K284" s="19"/>
      <c r="L284" s="19"/>
      <c r="M284" s="19"/>
      <c r="N284" s="6">
        <f t="shared" si="68"/>
        <v>100</v>
      </c>
      <c r="O284" s="19"/>
      <c r="P284" s="19"/>
      <c r="Q284" s="19"/>
      <c r="R284" s="6">
        <f t="shared" si="69"/>
        <v>100</v>
      </c>
      <c r="S284" s="8"/>
      <c r="T284" s="8"/>
      <c r="U284" s="8"/>
      <c r="V284" s="6">
        <f t="shared" si="70"/>
        <v>100</v>
      </c>
      <c r="W284" s="8"/>
      <c r="X284" s="8"/>
      <c r="Y284" s="8"/>
      <c r="Z284" s="6">
        <f t="shared" si="71"/>
        <v>100</v>
      </c>
      <c r="AA284" s="19"/>
      <c r="AB284" s="19"/>
      <c r="AC284" s="19"/>
      <c r="AD284" s="6">
        <f t="shared" si="72"/>
        <v>100</v>
      </c>
      <c r="AE284" s="19"/>
      <c r="AF284" s="19"/>
      <c r="AG284" s="19"/>
      <c r="AH284" s="6">
        <f t="shared" si="73"/>
        <v>100</v>
      </c>
      <c r="AI284" s="19"/>
      <c r="AJ284" s="19"/>
      <c r="AK284" s="19"/>
      <c r="AL284" s="6">
        <f t="shared" si="74"/>
        <v>100</v>
      </c>
      <c r="AM284" s="19"/>
      <c r="AN284" s="19"/>
      <c r="AO284" s="19"/>
      <c r="AP284" s="6">
        <f t="shared" si="75"/>
        <v>100</v>
      </c>
      <c r="AQ284" s="19"/>
      <c r="AR284" s="19"/>
      <c r="AS284" s="19"/>
      <c r="AT284" s="6">
        <f t="shared" si="76"/>
        <v>100</v>
      </c>
    </row>
    <row r="285" spans="1:46">
      <c r="A285" s="4">
        <v>46099</v>
      </c>
      <c r="B285" s="131"/>
      <c r="C285" s="7"/>
      <c r="D285" s="7"/>
      <c r="E285" s="7"/>
      <c r="F285" s="6">
        <f t="shared" si="66"/>
        <v>100</v>
      </c>
      <c r="G285" s="8"/>
      <c r="H285" s="8"/>
      <c r="I285" s="8"/>
      <c r="J285" s="6">
        <f t="shared" si="67"/>
        <v>100</v>
      </c>
      <c r="K285" s="19"/>
      <c r="L285" s="19"/>
      <c r="M285" s="19"/>
      <c r="N285" s="6">
        <f t="shared" si="68"/>
        <v>100</v>
      </c>
      <c r="O285" s="19"/>
      <c r="P285" s="19"/>
      <c r="Q285" s="19"/>
      <c r="R285" s="6">
        <f t="shared" si="69"/>
        <v>100</v>
      </c>
      <c r="S285" s="8"/>
      <c r="T285" s="8"/>
      <c r="U285" s="8"/>
      <c r="V285" s="6">
        <f t="shared" si="70"/>
        <v>100</v>
      </c>
      <c r="W285" s="8"/>
      <c r="X285" s="8"/>
      <c r="Y285" s="8"/>
      <c r="Z285" s="6">
        <f t="shared" si="71"/>
        <v>100</v>
      </c>
      <c r="AA285" s="19"/>
      <c r="AB285" s="19"/>
      <c r="AC285" s="19"/>
      <c r="AD285" s="6">
        <f t="shared" si="72"/>
        <v>100</v>
      </c>
      <c r="AE285" s="19"/>
      <c r="AF285" s="19"/>
      <c r="AG285" s="19"/>
      <c r="AH285" s="6">
        <f t="shared" si="73"/>
        <v>100</v>
      </c>
      <c r="AI285" s="19"/>
      <c r="AJ285" s="19"/>
      <c r="AK285" s="19"/>
      <c r="AL285" s="6">
        <f t="shared" si="74"/>
        <v>100</v>
      </c>
      <c r="AM285" s="19"/>
      <c r="AN285" s="19"/>
      <c r="AO285" s="19"/>
      <c r="AP285" s="6">
        <f t="shared" si="75"/>
        <v>100</v>
      </c>
      <c r="AQ285" s="19"/>
      <c r="AR285" s="19"/>
      <c r="AS285" s="19"/>
      <c r="AT285" s="6">
        <f t="shared" si="76"/>
        <v>100</v>
      </c>
    </row>
    <row r="286" spans="1:46">
      <c r="A286" s="4">
        <v>46100</v>
      </c>
      <c r="B286" s="131"/>
      <c r="C286" s="7"/>
      <c r="D286" s="7"/>
      <c r="E286" s="7"/>
      <c r="F286" s="6">
        <f t="shared" si="66"/>
        <v>100</v>
      </c>
      <c r="G286" s="8"/>
      <c r="H286" s="8"/>
      <c r="I286" s="8"/>
      <c r="J286" s="6">
        <f t="shared" si="67"/>
        <v>100</v>
      </c>
      <c r="K286" s="19"/>
      <c r="L286" s="19"/>
      <c r="M286" s="19"/>
      <c r="N286" s="6">
        <f t="shared" si="68"/>
        <v>100</v>
      </c>
      <c r="O286" s="19"/>
      <c r="P286" s="19"/>
      <c r="Q286" s="19"/>
      <c r="R286" s="6">
        <f t="shared" si="69"/>
        <v>100</v>
      </c>
      <c r="S286" s="8"/>
      <c r="T286" s="8"/>
      <c r="U286" s="8"/>
      <c r="V286" s="6">
        <f t="shared" si="70"/>
        <v>100</v>
      </c>
      <c r="W286" s="8"/>
      <c r="X286" s="8"/>
      <c r="Y286" s="8"/>
      <c r="Z286" s="6">
        <f t="shared" si="71"/>
        <v>100</v>
      </c>
      <c r="AA286" s="19"/>
      <c r="AB286" s="19"/>
      <c r="AC286" s="19"/>
      <c r="AD286" s="6">
        <f t="shared" si="72"/>
        <v>100</v>
      </c>
      <c r="AE286" s="19"/>
      <c r="AF286" s="19"/>
      <c r="AG286" s="19"/>
      <c r="AH286" s="6">
        <f t="shared" si="73"/>
        <v>100</v>
      </c>
      <c r="AI286" s="19"/>
      <c r="AJ286" s="19"/>
      <c r="AK286" s="19"/>
      <c r="AL286" s="6">
        <f t="shared" si="74"/>
        <v>100</v>
      </c>
      <c r="AM286" s="19"/>
      <c r="AN286" s="19"/>
      <c r="AO286" s="19"/>
      <c r="AP286" s="6">
        <f t="shared" si="75"/>
        <v>100</v>
      </c>
      <c r="AQ286" s="19"/>
      <c r="AR286" s="19"/>
      <c r="AS286" s="19"/>
      <c r="AT286" s="6">
        <f t="shared" si="76"/>
        <v>100</v>
      </c>
    </row>
    <row r="287" spans="1:46">
      <c r="A287" s="4">
        <v>46101</v>
      </c>
      <c r="B287" s="131"/>
      <c r="C287" s="7"/>
      <c r="D287" s="7"/>
      <c r="E287" s="7"/>
      <c r="F287" s="6">
        <f t="shared" si="66"/>
        <v>100</v>
      </c>
      <c r="G287" s="8"/>
      <c r="H287" s="8"/>
      <c r="I287" s="8"/>
      <c r="J287" s="6">
        <f t="shared" si="67"/>
        <v>100</v>
      </c>
      <c r="K287" s="19"/>
      <c r="L287" s="19"/>
      <c r="M287" s="19"/>
      <c r="N287" s="6">
        <f t="shared" si="68"/>
        <v>100</v>
      </c>
      <c r="O287" s="19"/>
      <c r="P287" s="19"/>
      <c r="Q287" s="19"/>
      <c r="R287" s="6">
        <f t="shared" si="69"/>
        <v>100</v>
      </c>
      <c r="S287" s="8"/>
      <c r="T287" s="8"/>
      <c r="U287" s="8"/>
      <c r="V287" s="6">
        <f t="shared" si="70"/>
        <v>100</v>
      </c>
      <c r="W287" s="8"/>
      <c r="X287" s="8"/>
      <c r="Y287" s="8"/>
      <c r="Z287" s="6">
        <f t="shared" si="71"/>
        <v>100</v>
      </c>
      <c r="AA287" s="19"/>
      <c r="AB287" s="19"/>
      <c r="AC287" s="19"/>
      <c r="AD287" s="6">
        <f t="shared" si="72"/>
        <v>100</v>
      </c>
      <c r="AE287" s="19"/>
      <c r="AF287" s="19"/>
      <c r="AG287" s="19"/>
      <c r="AH287" s="6">
        <f t="shared" si="73"/>
        <v>100</v>
      </c>
      <c r="AI287" s="19"/>
      <c r="AJ287" s="19"/>
      <c r="AK287" s="19"/>
      <c r="AL287" s="6">
        <f t="shared" si="74"/>
        <v>100</v>
      </c>
      <c r="AM287" s="19"/>
      <c r="AN287" s="19"/>
      <c r="AO287" s="19"/>
      <c r="AP287" s="6">
        <f t="shared" si="75"/>
        <v>100</v>
      </c>
      <c r="AQ287" s="19"/>
      <c r="AR287" s="19"/>
      <c r="AS287" s="19"/>
      <c r="AT287" s="6">
        <f t="shared" si="76"/>
        <v>100</v>
      </c>
    </row>
    <row r="288" spans="1:46">
      <c r="A288" s="70">
        <v>46102</v>
      </c>
      <c r="B288" s="131"/>
      <c r="C288" s="7"/>
      <c r="D288" s="7"/>
      <c r="E288" s="7"/>
      <c r="F288" s="6">
        <f t="shared" si="66"/>
        <v>100</v>
      </c>
      <c r="G288" s="8"/>
      <c r="H288" s="8"/>
      <c r="I288" s="8"/>
      <c r="J288" s="6">
        <f t="shared" si="67"/>
        <v>100</v>
      </c>
      <c r="K288" s="19"/>
      <c r="L288" s="19"/>
      <c r="M288" s="19"/>
      <c r="N288" s="6">
        <f t="shared" si="68"/>
        <v>100</v>
      </c>
      <c r="O288" s="19"/>
      <c r="P288" s="19"/>
      <c r="Q288" s="19"/>
      <c r="R288" s="6">
        <f t="shared" si="69"/>
        <v>100</v>
      </c>
      <c r="S288" s="8"/>
      <c r="T288" s="8"/>
      <c r="U288" s="8"/>
      <c r="V288" s="6">
        <f t="shared" si="70"/>
        <v>100</v>
      </c>
      <c r="W288" s="8"/>
      <c r="X288" s="8"/>
      <c r="Y288" s="8"/>
      <c r="Z288" s="6">
        <f t="shared" si="71"/>
        <v>100</v>
      </c>
      <c r="AA288" s="19"/>
      <c r="AB288" s="19"/>
      <c r="AC288" s="19"/>
      <c r="AD288" s="6">
        <f t="shared" si="72"/>
        <v>100</v>
      </c>
      <c r="AE288" s="19"/>
      <c r="AF288" s="19"/>
      <c r="AG288" s="19"/>
      <c r="AH288" s="6">
        <f t="shared" si="73"/>
        <v>100</v>
      </c>
      <c r="AI288" s="19"/>
      <c r="AJ288" s="19"/>
      <c r="AK288" s="19"/>
      <c r="AL288" s="6">
        <f t="shared" si="74"/>
        <v>100</v>
      </c>
      <c r="AM288" s="19"/>
      <c r="AN288" s="19"/>
      <c r="AO288" s="19"/>
      <c r="AP288" s="6">
        <f t="shared" si="75"/>
        <v>100</v>
      </c>
      <c r="AQ288" s="19"/>
      <c r="AR288" s="19"/>
      <c r="AS288" s="19"/>
      <c r="AT288" s="6">
        <f t="shared" si="76"/>
        <v>100</v>
      </c>
    </row>
    <row r="289" spans="1:46">
      <c r="A289" s="4">
        <v>46103</v>
      </c>
      <c r="B289" s="131"/>
      <c r="C289" s="7"/>
      <c r="D289" s="7"/>
      <c r="E289" s="7"/>
      <c r="F289" s="6">
        <f t="shared" si="66"/>
        <v>100</v>
      </c>
      <c r="G289" s="8"/>
      <c r="H289" s="8"/>
      <c r="I289" s="8"/>
      <c r="J289" s="6">
        <f t="shared" si="67"/>
        <v>100</v>
      </c>
      <c r="K289" s="19"/>
      <c r="L289" s="19"/>
      <c r="M289" s="19"/>
      <c r="N289" s="6">
        <f t="shared" si="68"/>
        <v>100</v>
      </c>
      <c r="O289" s="19"/>
      <c r="P289" s="19"/>
      <c r="Q289" s="19"/>
      <c r="R289" s="6">
        <f t="shared" si="69"/>
        <v>100</v>
      </c>
      <c r="S289" s="8"/>
      <c r="T289" s="8"/>
      <c r="U289" s="8"/>
      <c r="V289" s="6">
        <f t="shared" si="70"/>
        <v>100</v>
      </c>
      <c r="W289" s="8"/>
      <c r="X289" s="8"/>
      <c r="Y289" s="8"/>
      <c r="Z289" s="6">
        <f t="shared" si="71"/>
        <v>100</v>
      </c>
      <c r="AA289" s="19"/>
      <c r="AB289" s="19"/>
      <c r="AC289" s="19"/>
      <c r="AD289" s="6">
        <f t="shared" si="72"/>
        <v>100</v>
      </c>
      <c r="AE289" s="19"/>
      <c r="AF289" s="19"/>
      <c r="AG289" s="19"/>
      <c r="AH289" s="6">
        <f t="shared" si="73"/>
        <v>100</v>
      </c>
      <c r="AI289" s="19"/>
      <c r="AJ289" s="19"/>
      <c r="AK289" s="19"/>
      <c r="AL289" s="6">
        <f t="shared" si="74"/>
        <v>100</v>
      </c>
      <c r="AM289" s="19"/>
      <c r="AN289" s="19"/>
      <c r="AO289" s="19"/>
      <c r="AP289" s="6">
        <f t="shared" si="75"/>
        <v>100</v>
      </c>
      <c r="AQ289" s="19"/>
      <c r="AR289" s="19"/>
      <c r="AS289" s="19"/>
      <c r="AT289" s="6">
        <f t="shared" si="76"/>
        <v>100</v>
      </c>
    </row>
    <row r="290" spans="1:46">
      <c r="A290" s="4">
        <v>46104</v>
      </c>
      <c r="B290" s="131"/>
      <c r="C290" s="7"/>
      <c r="D290" s="7"/>
      <c r="E290" s="7"/>
      <c r="F290" s="6">
        <f t="shared" si="66"/>
        <v>100</v>
      </c>
      <c r="G290" s="8"/>
      <c r="H290" s="8"/>
      <c r="I290" s="8"/>
      <c r="J290" s="6">
        <f t="shared" si="67"/>
        <v>100</v>
      </c>
      <c r="K290" s="19"/>
      <c r="L290" s="19"/>
      <c r="M290" s="19"/>
      <c r="N290" s="6">
        <f t="shared" si="68"/>
        <v>100</v>
      </c>
      <c r="O290" s="19"/>
      <c r="P290" s="19"/>
      <c r="Q290" s="19"/>
      <c r="R290" s="6">
        <f t="shared" si="69"/>
        <v>100</v>
      </c>
      <c r="S290" s="8"/>
      <c r="T290" s="8"/>
      <c r="U290" s="8"/>
      <c r="V290" s="6">
        <f t="shared" si="70"/>
        <v>100</v>
      </c>
      <c r="W290" s="8"/>
      <c r="X290" s="8"/>
      <c r="Y290" s="8"/>
      <c r="Z290" s="6">
        <f t="shared" si="71"/>
        <v>100</v>
      </c>
      <c r="AA290" s="19"/>
      <c r="AB290" s="19"/>
      <c r="AC290" s="19"/>
      <c r="AD290" s="6">
        <f t="shared" si="72"/>
        <v>100</v>
      </c>
      <c r="AE290" s="19"/>
      <c r="AF290" s="19"/>
      <c r="AG290" s="19"/>
      <c r="AH290" s="6">
        <f t="shared" si="73"/>
        <v>100</v>
      </c>
      <c r="AI290" s="19"/>
      <c r="AJ290" s="19"/>
      <c r="AK290" s="19"/>
      <c r="AL290" s="6">
        <f t="shared" si="74"/>
        <v>100</v>
      </c>
      <c r="AM290" s="19"/>
      <c r="AN290" s="19"/>
      <c r="AO290" s="19"/>
      <c r="AP290" s="6">
        <f t="shared" si="75"/>
        <v>100</v>
      </c>
      <c r="AQ290" s="19"/>
      <c r="AR290" s="19"/>
      <c r="AS290" s="19"/>
      <c r="AT290" s="6">
        <f t="shared" si="76"/>
        <v>100</v>
      </c>
    </row>
    <row r="291" spans="1:46">
      <c r="A291" s="4">
        <v>46105</v>
      </c>
      <c r="B291" s="131"/>
      <c r="C291" s="7"/>
      <c r="D291" s="7"/>
      <c r="E291" s="7"/>
      <c r="F291" s="6">
        <f t="shared" si="66"/>
        <v>100</v>
      </c>
      <c r="G291" s="8"/>
      <c r="H291" s="8"/>
      <c r="I291" s="8"/>
      <c r="J291" s="6">
        <f t="shared" si="67"/>
        <v>100</v>
      </c>
      <c r="K291" s="19"/>
      <c r="L291" s="19"/>
      <c r="M291" s="19"/>
      <c r="N291" s="6">
        <f t="shared" si="68"/>
        <v>100</v>
      </c>
      <c r="O291" s="19"/>
      <c r="P291" s="19"/>
      <c r="Q291" s="19"/>
      <c r="R291" s="6">
        <f t="shared" si="69"/>
        <v>100</v>
      </c>
      <c r="S291" s="8"/>
      <c r="T291" s="8"/>
      <c r="U291" s="8"/>
      <c r="V291" s="6">
        <f t="shared" si="70"/>
        <v>100</v>
      </c>
      <c r="W291" s="8"/>
      <c r="X291" s="8"/>
      <c r="Y291" s="8"/>
      <c r="Z291" s="6">
        <f t="shared" si="71"/>
        <v>100</v>
      </c>
      <c r="AA291" s="19"/>
      <c r="AB291" s="19"/>
      <c r="AC291" s="19"/>
      <c r="AD291" s="6">
        <f t="shared" si="72"/>
        <v>100</v>
      </c>
      <c r="AE291" s="19"/>
      <c r="AF291" s="19"/>
      <c r="AG291" s="19"/>
      <c r="AH291" s="6">
        <f t="shared" si="73"/>
        <v>100</v>
      </c>
      <c r="AI291" s="19"/>
      <c r="AJ291" s="19"/>
      <c r="AK291" s="19"/>
      <c r="AL291" s="6">
        <f t="shared" si="74"/>
        <v>100</v>
      </c>
      <c r="AM291" s="19"/>
      <c r="AN291" s="19"/>
      <c r="AO291" s="19"/>
      <c r="AP291" s="6">
        <f t="shared" si="75"/>
        <v>100</v>
      </c>
      <c r="AQ291" s="19"/>
      <c r="AR291" s="19"/>
      <c r="AS291" s="19"/>
      <c r="AT291" s="6">
        <f t="shared" si="76"/>
        <v>100</v>
      </c>
    </row>
    <row r="292" spans="1:46" ht="15.75">
      <c r="A292" s="4">
        <v>46106</v>
      </c>
      <c r="B292" s="257"/>
      <c r="C292" s="7"/>
      <c r="D292" s="7"/>
      <c r="E292" s="7"/>
      <c r="F292" s="6">
        <f t="shared" si="66"/>
        <v>100</v>
      </c>
      <c r="G292" s="8">
        <v>11.83</v>
      </c>
      <c r="H292" s="8">
        <v>11.11</v>
      </c>
      <c r="I292" s="8">
        <v>48.3</v>
      </c>
      <c r="J292" s="6">
        <f t="shared" si="67"/>
        <v>28.760000000000005</v>
      </c>
      <c r="K292" s="19"/>
      <c r="L292" s="19"/>
      <c r="M292" s="19"/>
      <c r="N292" s="6">
        <f t="shared" si="68"/>
        <v>100</v>
      </c>
      <c r="O292" s="19"/>
      <c r="P292" s="19"/>
      <c r="Q292" s="19"/>
      <c r="R292" s="6">
        <f t="shared" si="69"/>
        <v>100</v>
      </c>
      <c r="S292" s="8"/>
      <c r="T292" s="8"/>
      <c r="U292" s="8"/>
      <c r="V292" s="6">
        <f t="shared" si="70"/>
        <v>100</v>
      </c>
      <c r="W292" s="8"/>
      <c r="X292" s="8"/>
      <c r="Y292" s="8"/>
      <c r="Z292" s="6">
        <f t="shared" si="71"/>
        <v>100</v>
      </c>
      <c r="AA292" s="19"/>
      <c r="AB292" s="19"/>
      <c r="AC292" s="19"/>
      <c r="AD292" s="6">
        <f t="shared" si="72"/>
        <v>100</v>
      </c>
      <c r="AE292" s="19"/>
      <c r="AF292" s="19"/>
      <c r="AG292" s="19"/>
      <c r="AH292" s="6">
        <f t="shared" si="73"/>
        <v>100</v>
      </c>
      <c r="AI292" s="19"/>
      <c r="AJ292" s="19"/>
      <c r="AK292" s="19"/>
      <c r="AL292" s="6">
        <f t="shared" si="74"/>
        <v>100</v>
      </c>
      <c r="AM292" s="19"/>
      <c r="AN292" s="19"/>
      <c r="AO292" s="19"/>
      <c r="AP292" s="6">
        <f t="shared" si="75"/>
        <v>100</v>
      </c>
      <c r="AQ292" s="19"/>
      <c r="AR292" s="19"/>
      <c r="AS292" s="19"/>
      <c r="AT292" s="6">
        <f t="shared" si="76"/>
        <v>100</v>
      </c>
    </row>
    <row r="293" spans="1:46" ht="15.75">
      <c r="A293" s="4">
        <v>46107</v>
      </c>
      <c r="B293" s="257"/>
      <c r="C293" s="7"/>
      <c r="D293" s="7"/>
      <c r="E293" s="7"/>
      <c r="F293" s="6">
        <f t="shared" si="66"/>
        <v>100</v>
      </c>
      <c r="G293" s="8">
        <v>11.26</v>
      </c>
      <c r="H293" s="8">
        <v>11.47</v>
      </c>
      <c r="I293" s="8">
        <v>47.91</v>
      </c>
      <c r="J293" s="6">
        <f t="shared" si="67"/>
        <v>29.36</v>
      </c>
      <c r="K293" s="19"/>
      <c r="L293" s="19"/>
      <c r="M293" s="19"/>
      <c r="N293" s="6">
        <f t="shared" si="68"/>
        <v>100</v>
      </c>
      <c r="O293" s="19"/>
      <c r="P293" s="19"/>
      <c r="Q293" s="19"/>
      <c r="R293" s="6">
        <f t="shared" si="69"/>
        <v>100</v>
      </c>
      <c r="S293" s="8"/>
      <c r="T293" s="8"/>
      <c r="U293" s="8"/>
      <c r="V293" s="6">
        <f t="shared" si="70"/>
        <v>100</v>
      </c>
      <c r="W293" s="8"/>
      <c r="X293" s="8"/>
      <c r="Y293" s="8"/>
      <c r="Z293" s="6">
        <f t="shared" si="71"/>
        <v>100</v>
      </c>
      <c r="AA293" s="19"/>
      <c r="AB293" s="19"/>
      <c r="AC293" s="19"/>
      <c r="AD293" s="6">
        <f t="shared" si="72"/>
        <v>100</v>
      </c>
      <c r="AE293" s="19"/>
      <c r="AF293" s="19"/>
      <c r="AG293" s="19"/>
      <c r="AH293" s="6">
        <f t="shared" si="73"/>
        <v>100</v>
      </c>
      <c r="AI293" s="19"/>
      <c r="AJ293" s="19"/>
      <c r="AK293" s="19"/>
      <c r="AL293" s="6">
        <f t="shared" si="74"/>
        <v>100</v>
      </c>
      <c r="AM293" s="19"/>
      <c r="AN293" s="19"/>
      <c r="AO293" s="19"/>
      <c r="AP293" s="6">
        <f t="shared" si="75"/>
        <v>100</v>
      </c>
      <c r="AQ293" s="19"/>
      <c r="AR293" s="19"/>
      <c r="AS293" s="19"/>
      <c r="AT293" s="6">
        <f t="shared" si="76"/>
        <v>100</v>
      </c>
    </row>
    <row r="294" spans="1:46" ht="15.75">
      <c r="A294" s="4">
        <v>46108</v>
      </c>
      <c r="B294" s="257">
        <v>108</v>
      </c>
      <c r="C294" s="309">
        <v>29.84</v>
      </c>
      <c r="D294" s="310">
        <v>19.21</v>
      </c>
      <c r="E294" s="310">
        <v>31.32</v>
      </c>
      <c r="F294" s="6">
        <f t="shared" si="66"/>
        <v>19.629999999999995</v>
      </c>
      <c r="G294" s="311">
        <v>11.61</v>
      </c>
      <c r="H294" s="312">
        <v>12.18</v>
      </c>
      <c r="I294" s="312">
        <v>48.2</v>
      </c>
      <c r="J294" s="6">
        <f t="shared" si="67"/>
        <v>28.009999999999991</v>
      </c>
      <c r="K294" s="311">
        <v>15.51</v>
      </c>
      <c r="L294" s="312">
        <v>10.44</v>
      </c>
      <c r="M294" s="312">
        <v>46.6</v>
      </c>
      <c r="N294" s="6">
        <f t="shared" si="68"/>
        <v>27.450000000000003</v>
      </c>
      <c r="O294" s="311">
        <v>1.55</v>
      </c>
      <c r="P294" s="312">
        <v>0.67</v>
      </c>
      <c r="Q294" s="312">
        <v>63.87</v>
      </c>
      <c r="R294" s="6">
        <f t="shared" si="69"/>
        <v>33.909999999999997</v>
      </c>
      <c r="S294" s="311">
        <v>38.1</v>
      </c>
      <c r="T294" s="312">
        <v>38.67</v>
      </c>
      <c r="U294" s="312">
        <v>0</v>
      </c>
      <c r="V294" s="6">
        <f t="shared" si="70"/>
        <v>23.22999999999999</v>
      </c>
      <c r="W294" s="311">
        <v>35.99</v>
      </c>
      <c r="X294" s="312">
        <v>35.71</v>
      </c>
      <c r="Y294" s="313">
        <v>0</v>
      </c>
      <c r="Z294" s="6">
        <f t="shared" si="71"/>
        <v>28.299999999999997</v>
      </c>
      <c r="AA294" s="311">
        <v>34.659999999999997</v>
      </c>
      <c r="AB294" s="312">
        <v>9.1199999999999992</v>
      </c>
      <c r="AC294" s="19"/>
      <c r="AD294" s="6">
        <f t="shared" si="72"/>
        <v>56.220000000000006</v>
      </c>
      <c r="AE294" s="19"/>
      <c r="AF294" s="19"/>
      <c r="AG294" s="19"/>
      <c r="AH294" s="6">
        <f t="shared" si="73"/>
        <v>100</v>
      </c>
      <c r="AI294" s="19"/>
      <c r="AJ294" s="19"/>
      <c r="AK294" s="19"/>
      <c r="AL294" s="6">
        <f t="shared" si="74"/>
        <v>100</v>
      </c>
      <c r="AM294" s="19"/>
      <c r="AN294" s="19"/>
      <c r="AO294" s="19"/>
      <c r="AP294" s="6">
        <f t="shared" si="75"/>
        <v>100</v>
      </c>
      <c r="AQ294" s="311">
        <v>0.59</v>
      </c>
      <c r="AR294" s="312">
        <v>0.25</v>
      </c>
      <c r="AS294" s="312">
        <v>67.900000000000006</v>
      </c>
      <c r="AT294" s="6">
        <f t="shared" si="76"/>
        <v>31.259999999999991</v>
      </c>
    </row>
    <row r="295" spans="1:46">
      <c r="A295" s="4">
        <v>46109</v>
      </c>
      <c r="B295" s="257"/>
      <c r="C295" s="7"/>
      <c r="D295" s="7"/>
      <c r="E295" s="7"/>
      <c r="F295" s="6">
        <f t="shared" si="66"/>
        <v>100</v>
      </c>
      <c r="G295" s="8"/>
      <c r="H295" s="8"/>
      <c r="I295" s="8"/>
      <c r="J295" s="6">
        <f t="shared" si="67"/>
        <v>100</v>
      </c>
      <c r="K295" s="19"/>
      <c r="L295" s="19"/>
      <c r="M295" s="19"/>
      <c r="N295" s="6">
        <f t="shared" si="68"/>
        <v>100</v>
      </c>
      <c r="O295" s="19"/>
      <c r="P295" s="19"/>
      <c r="Q295" s="19"/>
      <c r="R295" s="6">
        <f t="shared" si="69"/>
        <v>100</v>
      </c>
      <c r="S295" s="8"/>
      <c r="T295" s="8"/>
      <c r="U295" s="8"/>
      <c r="V295" s="6">
        <f t="shared" si="70"/>
        <v>100</v>
      </c>
      <c r="W295" s="8"/>
      <c r="X295" s="8"/>
      <c r="Y295" s="8"/>
      <c r="Z295" s="6">
        <f t="shared" si="71"/>
        <v>100</v>
      </c>
      <c r="AA295" s="19"/>
      <c r="AB295" s="19"/>
      <c r="AC295" s="19"/>
      <c r="AD295" s="6">
        <f t="shared" si="72"/>
        <v>100</v>
      </c>
      <c r="AE295" s="19"/>
      <c r="AF295" s="19"/>
      <c r="AG295" s="19"/>
      <c r="AH295" s="6">
        <f t="shared" si="73"/>
        <v>100</v>
      </c>
      <c r="AI295" s="19"/>
      <c r="AJ295" s="19"/>
      <c r="AK295" s="19"/>
      <c r="AL295" s="6">
        <f t="shared" si="74"/>
        <v>100</v>
      </c>
      <c r="AM295" s="19"/>
      <c r="AN295" s="19"/>
      <c r="AO295" s="19"/>
      <c r="AP295" s="6">
        <f t="shared" si="75"/>
        <v>100</v>
      </c>
      <c r="AQ295" s="19"/>
      <c r="AR295" s="19"/>
      <c r="AS295" s="19"/>
      <c r="AT295" s="6">
        <f t="shared" si="76"/>
        <v>100</v>
      </c>
    </row>
    <row r="296" spans="1:46">
      <c r="A296" s="4">
        <v>46110</v>
      </c>
      <c r="B296" s="257"/>
      <c r="C296" s="7"/>
      <c r="D296" s="7"/>
      <c r="E296" s="7"/>
      <c r="F296" s="6">
        <f t="shared" si="66"/>
        <v>100</v>
      </c>
      <c r="G296" s="8"/>
      <c r="H296" s="8"/>
      <c r="I296" s="8"/>
      <c r="J296" s="6">
        <f t="shared" si="67"/>
        <v>100</v>
      </c>
      <c r="K296" s="19"/>
      <c r="L296" s="19"/>
      <c r="M296" s="19"/>
      <c r="N296" s="6">
        <f t="shared" si="68"/>
        <v>100</v>
      </c>
      <c r="O296" s="19"/>
      <c r="P296" s="19"/>
      <c r="Q296" s="19"/>
      <c r="R296" s="6">
        <f t="shared" si="69"/>
        <v>100</v>
      </c>
      <c r="S296" s="8"/>
      <c r="T296" s="8"/>
      <c r="U296" s="8"/>
      <c r="V296" s="6">
        <f t="shared" si="70"/>
        <v>100</v>
      </c>
      <c r="W296" s="8"/>
      <c r="X296" s="8"/>
      <c r="Y296" s="8"/>
      <c r="Z296" s="6">
        <f t="shared" si="71"/>
        <v>100</v>
      </c>
      <c r="AA296" s="19"/>
      <c r="AB296" s="19"/>
      <c r="AC296" s="19"/>
      <c r="AD296" s="6">
        <f t="shared" si="72"/>
        <v>100</v>
      </c>
      <c r="AE296" s="19"/>
      <c r="AF296" s="19"/>
      <c r="AG296" s="19"/>
      <c r="AH296" s="6">
        <f t="shared" si="73"/>
        <v>100</v>
      </c>
      <c r="AI296" s="19"/>
      <c r="AJ296" s="19"/>
      <c r="AK296" s="19"/>
      <c r="AL296" s="6">
        <f t="shared" si="74"/>
        <v>100</v>
      </c>
      <c r="AM296" s="19"/>
      <c r="AN296" s="19"/>
      <c r="AO296" s="19"/>
      <c r="AP296" s="6">
        <f t="shared" si="75"/>
        <v>100</v>
      </c>
      <c r="AQ296" s="19"/>
      <c r="AR296" s="19"/>
      <c r="AS296" s="19"/>
      <c r="AT296" s="6">
        <f t="shared" si="76"/>
        <v>100</v>
      </c>
    </row>
    <row r="297" spans="1:46">
      <c r="A297" s="4">
        <v>46111</v>
      </c>
      <c r="B297" s="257"/>
      <c r="C297" s="7"/>
      <c r="D297" s="7"/>
      <c r="E297" s="7"/>
      <c r="F297" s="6">
        <f t="shared" si="66"/>
        <v>100</v>
      </c>
      <c r="G297" s="8"/>
      <c r="H297" s="8"/>
      <c r="I297" s="8"/>
      <c r="J297" s="6">
        <f t="shared" si="67"/>
        <v>100</v>
      </c>
      <c r="K297" s="19"/>
      <c r="L297" s="19"/>
      <c r="M297" s="19"/>
      <c r="N297" s="6">
        <f t="shared" si="68"/>
        <v>100</v>
      </c>
      <c r="O297" s="19"/>
      <c r="P297" s="19"/>
      <c r="Q297" s="19"/>
      <c r="R297" s="6">
        <f t="shared" si="69"/>
        <v>100</v>
      </c>
      <c r="S297" s="8"/>
      <c r="T297" s="8"/>
      <c r="U297" s="8"/>
      <c r="V297" s="6">
        <f t="shared" si="70"/>
        <v>100</v>
      </c>
      <c r="W297" s="8"/>
      <c r="X297" s="8"/>
      <c r="Y297" s="8"/>
      <c r="Z297" s="6">
        <f t="shared" si="71"/>
        <v>100</v>
      </c>
      <c r="AA297" s="19"/>
      <c r="AB297" s="19"/>
      <c r="AC297" s="19"/>
      <c r="AD297" s="6">
        <f t="shared" si="72"/>
        <v>100</v>
      </c>
      <c r="AE297" s="19"/>
      <c r="AF297" s="19"/>
      <c r="AG297" s="19"/>
      <c r="AH297" s="6">
        <f t="shared" si="73"/>
        <v>100</v>
      </c>
      <c r="AI297" s="19"/>
      <c r="AJ297" s="19"/>
      <c r="AK297" s="19"/>
      <c r="AL297" s="6">
        <f t="shared" si="74"/>
        <v>100</v>
      </c>
      <c r="AM297" s="19"/>
      <c r="AN297" s="19"/>
      <c r="AO297" s="19"/>
      <c r="AP297" s="6">
        <f t="shared" si="75"/>
        <v>100</v>
      </c>
      <c r="AQ297" s="19"/>
      <c r="AR297" s="19"/>
      <c r="AS297" s="19"/>
      <c r="AT297" s="6">
        <f t="shared" si="76"/>
        <v>100</v>
      </c>
    </row>
    <row r="298" spans="1:46">
      <c r="A298" s="70">
        <v>46112</v>
      </c>
      <c r="B298" s="257"/>
      <c r="C298" s="7"/>
      <c r="D298" s="7"/>
      <c r="E298" s="7"/>
      <c r="F298" s="6">
        <f t="shared" si="66"/>
        <v>100</v>
      </c>
      <c r="G298" s="8"/>
      <c r="H298" s="8"/>
      <c r="I298" s="8"/>
      <c r="J298" s="6">
        <f t="shared" si="67"/>
        <v>100</v>
      </c>
      <c r="K298" s="19"/>
      <c r="L298" s="19"/>
      <c r="M298" s="19"/>
      <c r="N298" s="6">
        <f t="shared" si="68"/>
        <v>100</v>
      </c>
      <c r="O298" s="19"/>
      <c r="P298" s="19"/>
      <c r="Q298" s="19"/>
      <c r="R298" s="6">
        <f t="shared" si="69"/>
        <v>100</v>
      </c>
      <c r="S298" s="8"/>
      <c r="T298" s="8"/>
      <c r="U298" s="8"/>
      <c r="V298" s="6">
        <f t="shared" si="70"/>
        <v>100</v>
      </c>
      <c r="W298" s="8"/>
      <c r="X298" s="8"/>
      <c r="Y298" s="8"/>
      <c r="Z298" s="6">
        <f t="shared" si="71"/>
        <v>100</v>
      </c>
      <c r="AA298" s="19"/>
      <c r="AB298" s="19"/>
      <c r="AC298" s="19"/>
      <c r="AD298" s="6">
        <f t="shared" si="72"/>
        <v>100</v>
      </c>
      <c r="AE298" s="19"/>
      <c r="AF298" s="19"/>
      <c r="AG298" s="19"/>
      <c r="AH298" s="6">
        <f t="shared" si="73"/>
        <v>100</v>
      </c>
      <c r="AI298" s="19"/>
      <c r="AJ298" s="19"/>
      <c r="AK298" s="19"/>
      <c r="AL298" s="6">
        <f t="shared" si="74"/>
        <v>100</v>
      </c>
      <c r="AM298" s="19"/>
      <c r="AN298" s="19"/>
      <c r="AO298" s="19"/>
      <c r="AP298" s="6">
        <f t="shared" si="75"/>
        <v>100</v>
      </c>
      <c r="AQ298" s="19"/>
      <c r="AR298" s="19"/>
      <c r="AS298" s="19"/>
      <c r="AT298" s="6">
        <f t="shared" si="76"/>
        <v>100</v>
      </c>
    </row>
    <row r="299" spans="1:46">
      <c r="A299" s="4">
        <v>46113</v>
      </c>
      <c r="B299" s="257"/>
      <c r="C299" s="7"/>
      <c r="D299" s="7"/>
      <c r="E299" s="7"/>
      <c r="F299" s="6">
        <f t="shared" si="66"/>
        <v>100</v>
      </c>
      <c r="G299" s="8"/>
      <c r="H299" s="8"/>
      <c r="I299" s="8"/>
      <c r="J299" s="6">
        <f t="shared" si="67"/>
        <v>100</v>
      </c>
      <c r="K299" s="19"/>
      <c r="L299" s="19"/>
      <c r="M299" s="19"/>
      <c r="N299" s="6">
        <f t="shared" si="68"/>
        <v>100</v>
      </c>
      <c r="O299" s="19"/>
      <c r="P299" s="19"/>
      <c r="Q299" s="19"/>
      <c r="R299" s="6">
        <f t="shared" si="69"/>
        <v>100</v>
      </c>
      <c r="S299" s="8"/>
      <c r="T299" s="8"/>
      <c r="U299" s="8"/>
      <c r="V299" s="6">
        <f t="shared" si="70"/>
        <v>100</v>
      </c>
      <c r="W299" s="8"/>
      <c r="X299" s="8"/>
      <c r="Y299" s="8"/>
      <c r="Z299" s="6">
        <f t="shared" si="71"/>
        <v>100</v>
      </c>
      <c r="AA299" s="19"/>
      <c r="AB299" s="19"/>
      <c r="AC299" s="19"/>
      <c r="AD299" s="6">
        <f t="shared" si="72"/>
        <v>100</v>
      </c>
      <c r="AE299" s="19"/>
      <c r="AF299" s="19"/>
      <c r="AG299" s="19"/>
      <c r="AH299" s="6">
        <f t="shared" si="73"/>
        <v>100</v>
      </c>
      <c r="AI299" s="19"/>
      <c r="AJ299" s="19"/>
      <c r="AK299" s="19"/>
      <c r="AL299" s="6">
        <f t="shared" si="74"/>
        <v>100</v>
      </c>
      <c r="AM299" s="19"/>
      <c r="AN299" s="19"/>
      <c r="AO299" s="19"/>
      <c r="AP299" s="6">
        <f t="shared" si="75"/>
        <v>100</v>
      </c>
      <c r="AQ299" s="19"/>
      <c r="AR299" s="19"/>
      <c r="AS299" s="19"/>
      <c r="AT299" s="6">
        <f t="shared" si="76"/>
        <v>100</v>
      </c>
    </row>
    <row r="300" spans="1:46">
      <c r="A300" s="4">
        <v>46114</v>
      </c>
      <c r="B300" s="257"/>
      <c r="C300" s="7"/>
      <c r="D300" s="7"/>
      <c r="E300" s="7"/>
      <c r="F300" s="6">
        <f t="shared" si="66"/>
        <v>100</v>
      </c>
      <c r="G300" s="8"/>
      <c r="H300" s="8"/>
      <c r="I300" s="8"/>
      <c r="J300" s="6">
        <f t="shared" si="67"/>
        <v>100</v>
      </c>
      <c r="K300" s="19"/>
      <c r="L300" s="19"/>
      <c r="M300" s="19"/>
      <c r="N300" s="6">
        <f t="shared" si="68"/>
        <v>100</v>
      </c>
      <c r="O300" s="19"/>
      <c r="P300" s="19"/>
      <c r="Q300" s="19"/>
      <c r="R300" s="6">
        <f t="shared" si="69"/>
        <v>100</v>
      </c>
      <c r="S300" s="8"/>
      <c r="T300" s="8"/>
      <c r="U300" s="8"/>
      <c r="V300" s="6">
        <f t="shared" si="70"/>
        <v>100</v>
      </c>
      <c r="W300" s="8"/>
      <c r="X300" s="8"/>
      <c r="Y300" s="8"/>
      <c r="Z300" s="6">
        <f t="shared" si="71"/>
        <v>100</v>
      </c>
      <c r="AA300" s="19"/>
      <c r="AB300" s="19"/>
      <c r="AC300" s="19"/>
      <c r="AD300" s="6">
        <f t="shared" si="72"/>
        <v>100</v>
      </c>
      <c r="AE300" s="19"/>
      <c r="AF300" s="19"/>
      <c r="AG300" s="19"/>
      <c r="AH300" s="6">
        <f t="shared" si="73"/>
        <v>100</v>
      </c>
      <c r="AI300" s="19"/>
      <c r="AJ300" s="19"/>
      <c r="AK300" s="19"/>
      <c r="AL300" s="6">
        <f t="shared" si="74"/>
        <v>100</v>
      </c>
      <c r="AM300" s="19"/>
      <c r="AN300" s="19"/>
      <c r="AO300" s="19"/>
      <c r="AP300" s="6">
        <f t="shared" si="75"/>
        <v>100</v>
      </c>
      <c r="AQ300" s="19"/>
      <c r="AR300" s="19"/>
      <c r="AS300" s="19"/>
      <c r="AT300" s="6">
        <f t="shared" si="76"/>
        <v>100</v>
      </c>
    </row>
    <row r="301" spans="1:46">
      <c r="A301" s="4">
        <v>46115</v>
      </c>
      <c r="B301" s="257"/>
      <c r="C301" s="7"/>
      <c r="D301" s="7"/>
      <c r="E301" s="7"/>
      <c r="F301" s="6">
        <f t="shared" si="66"/>
        <v>100</v>
      </c>
      <c r="G301" s="8"/>
      <c r="H301" s="8"/>
      <c r="I301" s="8"/>
      <c r="J301" s="6">
        <f t="shared" si="67"/>
        <v>100</v>
      </c>
      <c r="K301" s="19"/>
      <c r="L301" s="19"/>
      <c r="M301" s="19"/>
      <c r="N301" s="6">
        <f t="shared" si="68"/>
        <v>100</v>
      </c>
      <c r="O301" s="19"/>
      <c r="P301" s="19"/>
      <c r="Q301" s="19"/>
      <c r="R301" s="6">
        <f t="shared" si="69"/>
        <v>100</v>
      </c>
      <c r="S301" s="8"/>
      <c r="T301" s="8"/>
      <c r="U301" s="8"/>
      <c r="V301" s="6">
        <f t="shared" si="70"/>
        <v>100</v>
      </c>
      <c r="W301" s="8"/>
      <c r="X301" s="8"/>
      <c r="Y301" s="8"/>
      <c r="Z301" s="6">
        <f t="shared" si="71"/>
        <v>100</v>
      </c>
      <c r="AA301" s="19"/>
      <c r="AB301" s="19"/>
      <c r="AC301" s="19"/>
      <c r="AD301" s="6">
        <f t="shared" si="72"/>
        <v>100</v>
      </c>
      <c r="AE301" s="19"/>
      <c r="AF301" s="19"/>
      <c r="AG301" s="19"/>
      <c r="AH301" s="6">
        <f t="shared" si="73"/>
        <v>100</v>
      </c>
      <c r="AI301" s="19"/>
      <c r="AJ301" s="19"/>
      <c r="AK301" s="19"/>
      <c r="AL301" s="6">
        <f t="shared" si="74"/>
        <v>100</v>
      </c>
      <c r="AM301" s="19"/>
      <c r="AN301" s="19"/>
      <c r="AO301" s="19"/>
      <c r="AP301" s="6">
        <f t="shared" si="75"/>
        <v>100</v>
      </c>
      <c r="AQ301" s="19"/>
      <c r="AR301" s="19"/>
      <c r="AS301" s="19"/>
      <c r="AT301" s="6">
        <f t="shared" si="76"/>
        <v>100</v>
      </c>
    </row>
    <row r="302" spans="1:46">
      <c r="A302" s="4">
        <v>46116</v>
      </c>
      <c r="B302" s="257"/>
      <c r="C302" s="7"/>
      <c r="D302" s="7"/>
      <c r="E302" s="7"/>
      <c r="F302" s="6">
        <f t="shared" si="66"/>
        <v>100</v>
      </c>
      <c r="G302" s="8"/>
      <c r="H302" s="8"/>
      <c r="I302" s="8"/>
      <c r="J302" s="6">
        <f t="shared" si="67"/>
        <v>100</v>
      </c>
      <c r="K302" s="19"/>
      <c r="L302" s="19"/>
      <c r="M302" s="19"/>
      <c r="N302" s="6">
        <f t="shared" si="68"/>
        <v>100</v>
      </c>
      <c r="O302" s="19"/>
      <c r="P302" s="19"/>
      <c r="Q302" s="19"/>
      <c r="R302" s="6">
        <f t="shared" si="69"/>
        <v>100</v>
      </c>
      <c r="S302" s="8"/>
      <c r="T302" s="8"/>
      <c r="U302" s="8"/>
      <c r="V302" s="6">
        <f t="shared" si="70"/>
        <v>100</v>
      </c>
      <c r="W302" s="8"/>
      <c r="X302" s="8"/>
      <c r="Y302" s="8"/>
      <c r="Z302" s="6">
        <f t="shared" si="71"/>
        <v>100</v>
      </c>
      <c r="AA302" s="19"/>
      <c r="AB302" s="19"/>
      <c r="AC302" s="19"/>
      <c r="AD302" s="6">
        <f t="shared" si="72"/>
        <v>100</v>
      </c>
      <c r="AE302" s="19"/>
      <c r="AF302" s="19"/>
      <c r="AG302" s="19"/>
      <c r="AH302" s="6">
        <f t="shared" si="73"/>
        <v>100</v>
      </c>
      <c r="AI302" s="19"/>
      <c r="AJ302" s="19"/>
      <c r="AK302" s="19"/>
      <c r="AL302" s="6">
        <f t="shared" si="74"/>
        <v>100</v>
      </c>
      <c r="AM302" s="19"/>
      <c r="AN302" s="19"/>
      <c r="AO302" s="19"/>
      <c r="AP302" s="6">
        <f t="shared" si="75"/>
        <v>100</v>
      </c>
      <c r="AQ302" s="19"/>
      <c r="AR302" s="19"/>
      <c r="AS302" s="19"/>
      <c r="AT302" s="6">
        <f t="shared" si="76"/>
        <v>100</v>
      </c>
    </row>
    <row r="303" spans="1:46">
      <c r="A303" s="4">
        <v>46117</v>
      </c>
      <c r="B303" s="257"/>
      <c r="C303" s="7"/>
      <c r="D303" s="7"/>
      <c r="E303" s="7"/>
      <c r="F303" s="6">
        <f t="shared" si="66"/>
        <v>100</v>
      </c>
      <c r="G303" s="8"/>
      <c r="H303" s="8"/>
      <c r="I303" s="8"/>
      <c r="J303" s="6">
        <f t="shared" si="67"/>
        <v>100</v>
      </c>
      <c r="K303" s="19"/>
      <c r="L303" s="19"/>
      <c r="M303" s="19"/>
      <c r="N303" s="6">
        <f t="shared" si="68"/>
        <v>100</v>
      </c>
      <c r="O303" s="19"/>
      <c r="P303" s="19"/>
      <c r="Q303" s="19"/>
      <c r="R303" s="6">
        <f t="shared" si="69"/>
        <v>100</v>
      </c>
      <c r="S303" s="8"/>
      <c r="T303" s="8"/>
      <c r="U303" s="8"/>
      <c r="V303" s="6">
        <f t="shared" si="70"/>
        <v>100</v>
      </c>
      <c r="W303" s="8"/>
      <c r="X303" s="8"/>
      <c r="Y303" s="8"/>
      <c r="Z303" s="6">
        <f t="shared" si="71"/>
        <v>100</v>
      </c>
      <c r="AA303" s="19"/>
      <c r="AB303" s="19"/>
      <c r="AC303" s="19"/>
      <c r="AD303" s="6">
        <f t="shared" si="72"/>
        <v>100</v>
      </c>
      <c r="AE303" s="19"/>
      <c r="AF303" s="19"/>
      <c r="AG303" s="19"/>
      <c r="AH303" s="6">
        <f t="shared" si="73"/>
        <v>100</v>
      </c>
      <c r="AI303" s="19"/>
      <c r="AJ303" s="19"/>
      <c r="AK303" s="19"/>
      <c r="AL303" s="6">
        <f t="shared" si="74"/>
        <v>100</v>
      </c>
      <c r="AM303" s="19"/>
      <c r="AN303" s="19"/>
      <c r="AO303" s="19"/>
      <c r="AP303" s="6">
        <f t="shared" si="75"/>
        <v>100</v>
      </c>
      <c r="AQ303" s="19"/>
      <c r="AR303" s="19"/>
      <c r="AS303" s="19"/>
      <c r="AT303" s="6">
        <f t="shared" si="76"/>
        <v>100</v>
      </c>
    </row>
    <row r="304" spans="1:46">
      <c r="A304" s="4">
        <v>46118</v>
      </c>
      <c r="B304" s="257"/>
      <c r="C304" s="7"/>
      <c r="D304" s="7"/>
      <c r="E304" s="7"/>
      <c r="F304" s="6">
        <f t="shared" si="66"/>
        <v>100</v>
      </c>
      <c r="G304" s="8"/>
      <c r="H304" s="8"/>
      <c r="I304" s="8"/>
      <c r="J304" s="6">
        <f t="shared" si="67"/>
        <v>100</v>
      </c>
      <c r="K304" s="19"/>
      <c r="L304" s="19"/>
      <c r="M304" s="19"/>
      <c r="N304" s="6">
        <f t="shared" si="68"/>
        <v>100</v>
      </c>
      <c r="O304" s="19"/>
      <c r="P304" s="19"/>
      <c r="Q304" s="19"/>
      <c r="R304" s="6">
        <f t="shared" si="69"/>
        <v>100</v>
      </c>
      <c r="S304" s="8"/>
      <c r="T304" s="8"/>
      <c r="U304" s="8"/>
      <c r="V304" s="6">
        <f t="shared" si="70"/>
        <v>100</v>
      </c>
      <c r="W304" s="8"/>
      <c r="X304" s="8"/>
      <c r="Y304" s="8"/>
      <c r="Z304" s="6">
        <f t="shared" si="71"/>
        <v>100</v>
      </c>
      <c r="AA304" s="19"/>
      <c r="AB304" s="19"/>
      <c r="AC304" s="19"/>
      <c r="AD304" s="6">
        <f t="shared" si="72"/>
        <v>100</v>
      </c>
      <c r="AE304" s="19"/>
      <c r="AF304" s="19"/>
      <c r="AG304" s="19"/>
      <c r="AH304" s="6">
        <f t="shared" si="73"/>
        <v>100</v>
      </c>
      <c r="AI304" s="19"/>
      <c r="AJ304" s="19"/>
      <c r="AK304" s="19"/>
      <c r="AL304" s="6">
        <f t="shared" si="74"/>
        <v>100</v>
      </c>
      <c r="AM304" s="19"/>
      <c r="AN304" s="19"/>
      <c r="AO304" s="19"/>
      <c r="AP304" s="6">
        <f t="shared" si="75"/>
        <v>100</v>
      </c>
      <c r="AQ304" s="19"/>
      <c r="AR304" s="19"/>
      <c r="AS304" s="19"/>
      <c r="AT304" s="6">
        <f t="shared" si="76"/>
        <v>100</v>
      </c>
    </row>
    <row r="305" spans="1:46">
      <c r="A305" s="4">
        <v>46119</v>
      </c>
      <c r="B305" s="257"/>
      <c r="C305" s="7"/>
      <c r="D305" s="7"/>
      <c r="E305" s="7"/>
      <c r="F305" s="6">
        <f t="shared" si="66"/>
        <v>100</v>
      </c>
      <c r="G305" s="8"/>
      <c r="H305" s="8"/>
      <c r="I305" s="8"/>
      <c r="J305" s="6">
        <f t="shared" si="67"/>
        <v>100</v>
      </c>
      <c r="K305" s="19"/>
      <c r="L305" s="19"/>
      <c r="M305" s="19"/>
      <c r="N305" s="6">
        <f t="shared" si="68"/>
        <v>100</v>
      </c>
      <c r="O305" s="19"/>
      <c r="P305" s="19"/>
      <c r="Q305" s="19"/>
      <c r="R305" s="6">
        <f t="shared" si="69"/>
        <v>100</v>
      </c>
      <c r="S305" s="8"/>
      <c r="T305" s="8"/>
      <c r="U305" s="8"/>
      <c r="V305" s="6">
        <f t="shared" si="70"/>
        <v>100</v>
      </c>
      <c r="W305" s="8"/>
      <c r="X305" s="8"/>
      <c r="Y305" s="8"/>
      <c r="Z305" s="6">
        <f t="shared" si="71"/>
        <v>100</v>
      </c>
      <c r="AA305" s="19"/>
      <c r="AB305" s="19"/>
      <c r="AC305" s="19"/>
      <c r="AD305" s="6">
        <f t="shared" si="72"/>
        <v>100</v>
      </c>
      <c r="AE305" s="19"/>
      <c r="AF305" s="19"/>
      <c r="AG305" s="19"/>
      <c r="AH305" s="6">
        <f t="shared" si="73"/>
        <v>100</v>
      </c>
      <c r="AI305" s="19"/>
      <c r="AJ305" s="19"/>
      <c r="AK305" s="19"/>
      <c r="AL305" s="6">
        <f t="shared" si="74"/>
        <v>100</v>
      </c>
      <c r="AM305" s="19"/>
      <c r="AN305" s="19"/>
      <c r="AO305" s="19"/>
      <c r="AP305" s="6">
        <f t="shared" si="75"/>
        <v>100</v>
      </c>
      <c r="AQ305" s="19"/>
      <c r="AR305" s="19"/>
      <c r="AS305" s="19"/>
      <c r="AT305" s="6">
        <f t="shared" si="76"/>
        <v>100</v>
      </c>
    </row>
    <row r="306" spans="1:46">
      <c r="A306" s="4">
        <v>46120</v>
      </c>
      <c r="B306" s="257"/>
      <c r="C306" s="7"/>
      <c r="D306" s="7"/>
      <c r="E306" s="7"/>
      <c r="F306" s="6">
        <f t="shared" si="66"/>
        <v>100</v>
      </c>
      <c r="G306" s="8"/>
      <c r="H306" s="8"/>
      <c r="I306" s="8"/>
      <c r="J306" s="6">
        <f t="shared" si="67"/>
        <v>100</v>
      </c>
      <c r="K306" s="19"/>
      <c r="L306" s="19"/>
      <c r="M306" s="19"/>
      <c r="N306" s="6">
        <f t="shared" si="68"/>
        <v>100</v>
      </c>
      <c r="O306" s="19"/>
      <c r="P306" s="19"/>
      <c r="Q306" s="19"/>
      <c r="R306" s="6">
        <f t="shared" si="69"/>
        <v>100</v>
      </c>
      <c r="S306" s="8"/>
      <c r="T306" s="8"/>
      <c r="U306" s="8"/>
      <c r="V306" s="6">
        <f t="shared" si="70"/>
        <v>100</v>
      </c>
      <c r="W306" s="8"/>
      <c r="X306" s="8"/>
      <c r="Y306" s="8"/>
      <c r="Z306" s="6">
        <f t="shared" si="71"/>
        <v>100</v>
      </c>
      <c r="AA306" s="19"/>
      <c r="AB306" s="19"/>
      <c r="AC306" s="19"/>
      <c r="AD306" s="6">
        <f t="shared" si="72"/>
        <v>100</v>
      </c>
      <c r="AE306" s="19"/>
      <c r="AF306" s="19"/>
      <c r="AG306" s="19"/>
      <c r="AH306" s="6">
        <f t="shared" si="73"/>
        <v>100</v>
      </c>
      <c r="AI306" s="19"/>
      <c r="AJ306" s="19"/>
      <c r="AK306" s="19"/>
      <c r="AL306" s="6">
        <f t="shared" si="74"/>
        <v>100</v>
      </c>
      <c r="AM306" s="19"/>
      <c r="AN306" s="19"/>
      <c r="AO306" s="19"/>
      <c r="AP306" s="6">
        <f t="shared" si="75"/>
        <v>100</v>
      </c>
      <c r="AQ306" s="19"/>
      <c r="AR306" s="19"/>
      <c r="AS306" s="19"/>
      <c r="AT306" s="6">
        <f t="shared" si="76"/>
        <v>100</v>
      </c>
    </row>
    <row r="307" spans="1:46">
      <c r="A307" s="4">
        <v>46121</v>
      </c>
      <c r="B307" s="257"/>
      <c r="C307" s="7"/>
      <c r="D307" s="7"/>
      <c r="E307" s="7"/>
      <c r="F307" s="6">
        <f t="shared" si="66"/>
        <v>100</v>
      </c>
      <c r="G307" s="8"/>
      <c r="H307" s="8"/>
      <c r="I307" s="8"/>
      <c r="J307" s="6">
        <f t="shared" si="67"/>
        <v>100</v>
      </c>
      <c r="K307" s="19"/>
      <c r="L307" s="19"/>
      <c r="M307" s="19"/>
      <c r="N307" s="6">
        <f t="shared" si="68"/>
        <v>100</v>
      </c>
      <c r="O307" s="19"/>
      <c r="P307" s="19"/>
      <c r="Q307" s="19"/>
      <c r="R307" s="6">
        <f t="shared" si="69"/>
        <v>100</v>
      </c>
      <c r="S307" s="8"/>
      <c r="T307" s="8"/>
      <c r="U307" s="8"/>
      <c r="V307" s="6">
        <f t="shared" si="70"/>
        <v>100</v>
      </c>
      <c r="W307" s="8"/>
      <c r="X307" s="8"/>
      <c r="Y307" s="8"/>
      <c r="Z307" s="6">
        <f t="shared" si="71"/>
        <v>100</v>
      </c>
      <c r="AA307" s="19"/>
      <c r="AB307" s="19"/>
      <c r="AC307" s="19"/>
      <c r="AD307" s="6">
        <f t="shared" si="72"/>
        <v>100</v>
      </c>
      <c r="AE307" s="19"/>
      <c r="AF307" s="19"/>
      <c r="AG307" s="19"/>
      <c r="AH307" s="6">
        <f t="shared" si="73"/>
        <v>100</v>
      </c>
      <c r="AI307" s="19"/>
      <c r="AJ307" s="19"/>
      <c r="AK307" s="19"/>
      <c r="AL307" s="6">
        <f t="shared" si="74"/>
        <v>100</v>
      </c>
      <c r="AM307" s="19"/>
      <c r="AN307" s="19"/>
      <c r="AO307" s="19"/>
      <c r="AP307" s="6">
        <f t="shared" si="75"/>
        <v>100</v>
      </c>
      <c r="AQ307" s="19"/>
      <c r="AR307" s="19"/>
      <c r="AS307" s="19"/>
      <c r="AT307" s="6">
        <f t="shared" si="76"/>
        <v>100</v>
      </c>
    </row>
    <row r="308" spans="1:46">
      <c r="A308" s="70">
        <v>46122</v>
      </c>
      <c r="B308" s="257"/>
      <c r="C308" s="7"/>
      <c r="D308" s="7"/>
      <c r="E308" s="7"/>
      <c r="F308" s="6">
        <f t="shared" si="66"/>
        <v>100</v>
      </c>
      <c r="G308" s="8"/>
      <c r="H308" s="8"/>
      <c r="I308" s="8"/>
      <c r="J308" s="6">
        <f t="shared" si="67"/>
        <v>100</v>
      </c>
      <c r="K308" s="19"/>
      <c r="L308" s="19"/>
      <c r="M308" s="19"/>
      <c r="N308" s="6">
        <f t="shared" si="68"/>
        <v>100</v>
      </c>
      <c r="O308" s="19"/>
      <c r="P308" s="19"/>
      <c r="Q308" s="19"/>
      <c r="R308" s="6">
        <f t="shared" si="69"/>
        <v>100</v>
      </c>
      <c r="S308" s="8"/>
      <c r="T308" s="8"/>
      <c r="U308" s="8"/>
      <c r="V308" s="6">
        <f t="shared" si="70"/>
        <v>100</v>
      </c>
      <c r="W308" s="8"/>
      <c r="X308" s="8"/>
      <c r="Y308" s="8"/>
      <c r="Z308" s="6">
        <f t="shared" si="71"/>
        <v>100</v>
      </c>
      <c r="AA308" s="19"/>
      <c r="AB308" s="19"/>
      <c r="AC308" s="19"/>
      <c r="AD308" s="6">
        <f t="shared" si="72"/>
        <v>100</v>
      </c>
      <c r="AE308" s="19"/>
      <c r="AF308" s="19"/>
      <c r="AG308" s="19"/>
      <c r="AH308" s="6">
        <f t="shared" si="73"/>
        <v>100</v>
      </c>
      <c r="AI308" s="19"/>
      <c r="AJ308" s="19"/>
      <c r="AK308" s="19"/>
      <c r="AL308" s="6">
        <f t="shared" si="74"/>
        <v>100</v>
      </c>
      <c r="AM308" s="19"/>
      <c r="AN308" s="19"/>
      <c r="AO308" s="19"/>
      <c r="AP308" s="6">
        <f t="shared" si="75"/>
        <v>100</v>
      </c>
      <c r="AQ308" s="19"/>
      <c r="AR308" s="19"/>
      <c r="AS308" s="19"/>
      <c r="AT308" s="6">
        <f t="shared" si="76"/>
        <v>100</v>
      </c>
    </row>
    <row r="309" spans="1:46">
      <c r="A309" s="4">
        <v>46123</v>
      </c>
      <c r="B309" s="257"/>
      <c r="C309" s="7"/>
      <c r="D309" s="7"/>
      <c r="E309" s="7"/>
      <c r="F309" s="6">
        <f t="shared" si="66"/>
        <v>100</v>
      </c>
      <c r="G309" s="8"/>
      <c r="H309" s="8"/>
      <c r="I309" s="8"/>
      <c r="J309" s="6">
        <f t="shared" si="67"/>
        <v>100</v>
      </c>
      <c r="K309" s="19"/>
      <c r="L309" s="19"/>
      <c r="M309" s="19"/>
      <c r="N309" s="6">
        <f t="shared" si="68"/>
        <v>100</v>
      </c>
      <c r="O309" s="19"/>
      <c r="P309" s="19"/>
      <c r="Q309" s="19"/>
      <c r="R309" s="6">
        <f t="shared" si="69"/>
        <v>100</v>
      </c>
      <c r="S309" s="8"/>
      <c r="T309" s="8"/>
      <c r="U309" s="8"/>
      <c r="V309" s="6">
        <f t="shared" si="70"/>
        <v>100</v>
      </c>
      <c r="W309" s="8"/>
      <c r="X309" s="8"/>
      <c r="Y309" s="8"/>
      <c r="Z309" s="6">
        <f t="shared" si="71"/>
        <v>100</v>
      </c>
      <c r="AA309" s="19"/>
      <c r="AB309" s="19"/>
      <c r="AC309" s="19"/>
      <c r="AD309" s="6">
        <f t="shared" si="72"/>
        <v>100</v>
      </c>
      <c r="AE309" s="19"/>
      <c r="AF309" s="19"/>
      <c r="AG309" s="19"/>
      <c r="AH309" s="6">
        <f t="shared" si="73"/>
        <v>100</v>
      </c>
      <c r="AI309" s="19"/>
      <c r="AJ309" s="19"/>
      <c r="AK309" s="19"/>
      <c r="AL309" s="6">
        <f t="shared" si="74"/>
        <v>100</v>
      </c>
      <c r="AM309" s="19"/>
      <c r="AN309" s="19"/>
      <c r="AO309" s="19"/>
      <c r="AP309" s="6">
        <f t="shared" si="75"/>
        <v>100</v>
      </c>
      <c r="AQ309" s="19"/>
      <c r="AR309" s="19"/>
      <c r="AS309" s="19"/>
      <c r="AT309" s="6">
        <f t="shared" si="76"/>
        <v>100</v>
      </c>
    </row>
    <row r="310" spans="1:46">
      <c r="A310" s="4">
        <v>46124</v>
      </c>
      <c r="B310" s="257"/>
      <c r="C310" s="7"/>
      <c r="D310" s="7"/>
      <c r="E310" s="7"/>
      <c r="F310" s="6">
        <f t="shared" si="66"/>
        <v>100</v>
      </c>
      <c r="G310" s="8"/>
      <c r="H310" s="8"/>
      <c r="I310" s="8"/>
      <c r="J310" s="6">
        <f t="shared" si="67"/>
        <v>100</v>
      </c>
      <c r="K310" s="19"/>
      <c r="L310" s="19"/>
      <c r="M310" s="19"/>
      <c r="N310" s="6">
        <f t="shared" si="68"/>
        <v>100</v>
      </c>
      <c r="O310" s="19"/>
      <c r="P310" s="19"/>
      <c r="Q310" s="19"/>
      <c r="R310" s="6">
        <f t="shared" si="69"/>
        <v>100</v>
      </c>
      <c r="S310" s="8"/>
      <c r="T310" s="8"/>
      <c r="U310" s="8"/>
      <c r="V310" s="6">
        <f t="shared" si="70"/>
        <v>100</v>
      </c>
      <c r="W310" s="8"/>
      <c r="X310" s="8"/>
      <c r="Y310" s="8"/>
      <c r="Z310" s="6">
        <f t="shared" si="71"/>
        <v>100</v>
      </c>
      <c r="AA310" s="19"/>
      <c r="AB310" s="19"/>
      <c r="AC310" s="19"/>
      <c r="AD310" s="6">
        <f t="shared" si="72"/>
        <v>100</v>
      </c>
      <c r="AE310" s="19"/>
      <c r="AF310" s="19"/>
      <c r="AG310" s="19"/>
      <c r="AH310" s="6">
        <f t="shared" si="73"/>
        <v>100</v>
      </c>
      <c r="AI310" s="19"/>
      <c r="AJ310" s="19"/>
      <c r="AK310" s="19"/>
      <c r="AL310" s="6">
        <f t="shared" si="74"/>
        <v>100</v>
      </c>
      <c r="AM310" s="19"/>
      <c r="AN310" s="19"/>
      <c r="AO310" s="19"/>
      <c r="AP310" s="6">
        <f t="shared" si="75"/>
        <v>100</v>
      </c>
      <c r="AQ310" s="19"/>
      <c r="AR310" s="19"/>
      <c r="AS310" s="19"/>
      <c r="AT310" s="6">
        <f t="shared" si="76"/>
        <v>100</v>
      </c>
    </row>
    <row r="311" spans="1:46">
      <c r="A311" s="4">
        <v>46125</v>
      </c>
      <c r="B311" s="257"/>
      <c r="C311" s="7"/>
      <c r="D311" s="7"/>
      <c r="E311" s="7"/>
      <c r="F311" s="6">
        <f t="shared" si="66"/>
        <v>100</v>
      </c>
      <c r="G311" s="8"/>
      <c r="H311" s="8"/>
      <c r="I311" s="8"/>
      <c r="J311" s="6">
        <f t="shared" si="67"/>
        <v>100</v>
      </c>
      <c r="K311" s="19"/>
      <c r="L311" s="19"/>
      <c r="M311" s="19"/>
      <c r="N311" s="6">
        <f t="shared" si="68"/>
        <v>100</v>
      </c>
      <c r="O311" s="19"/>
      <c r="P311" s="19"/>
      <c r="Q311" s="19"/>
      <c r="R311" s="6">
        <f t="shared" si="69"/>
        <v>100</v>
      </c>
      <c r="S311" s="8"/>
      <c r="T311" s="8"/>
      <c r="U311" s="8"/>
      <c r="V311" s="6">
        <f t="shared" si="70"/>
        <v>100</v>
      </c>
      <c r="W311" s="8"/>
      <c r="X311" s="8"/>
      <c r="Y311" s="8"/>
      <c r="Z311" s="6">
        <f t="shared" si="71"/>
        <v>100</v>
      </c>
      <c r="AA311" s="19"/>
      <c r="AB311" s="19"/>
      <c r="AC311" s="19"/>
      <c r="AD311" s="6">
        <f t="shared" si="72"/>
        <v>100</v>
      </c>
      <c r="AE311" s="19"/>
      <c r="AF311" s="19"/>
      <c r="AG311" s="19"/>
      <c r="AH311" s="6">
        <f t="shared" si="73"/>
        <v>100</v>
      </c>
      <c r="AI311" s="19"/>
      <c r="AJ311" s="19"/>
      <c r="AK311" s="19"/>
      <c r="AL311" s="6">
        <f t="shared" si="74"/>
        <v>100</v>
      </c>
      <c r="AM311" s="19"/>
      <c r="AN311" s="19"/>
      <c r="AO311" s="19"/>
      <c r="AP311" s="6">
        <f t="shared" si="75"/>
        <v>100</v>
      </c>
      <c r="AQ311" s="19"/>
      <c r="AR311" s="19"/>
      <c r="AS311" s="19"/>
      <c r="AT311" s="6">
        <f t="shared" si="76"/>
        <v>100</v>
      </c>
    </row>
    <row r="312" spans="1:46">
      <c r="A312" s="4">
        <v>46126</v>
      </c>
      <c r="B312" s="257"/>
      <c r="C312" s="7"/>
      <c r="D312" s="7"/>
      <c r="E312" s="7"/>
      <c r="F312" s="6">
        <f t="shared" si="66"/>
        <v>100</v>
      </c>
      <c r="G312" s="8"/>
      <c r="H312" s="8"/>
      <c r="I312" s="8"/>
      <c r="J312" s="6">
        <f t="shared" si="67"/>
        <v>100</v>
      </c>
      <c r="K312" s="19"/>
      <c r="L312" s="19"/>
      <c r="M312" s="19"/>
      <c r="N312" s="6">
        <f t="shared" si="68"/>
        <v>100</v>
      </c>
      <c r="O312" s="19"/>
      <c r="P312" s="19"/>
      <c r="Q312" s="19"/>
      <c r="R312" s="6">
        <f t="shared" si="69"/>
        <v>100</v>
      </c>
      <c r="S312" s="8"/>
      <c r="T312" s="8"/>
      <c r="U312" s="8"/>
      <c r="V312" s="6">
        <f t="shared" si="70"/>
        <v>100</v>
      </c>
      <c r="W312" s="8"/>
      <c r="X312" s="8"/>
      <c r="Y312" s="8"/>
      <c r="Z312" s="6">
        <f t="shared" si="71"/>
        <v>100</v>
      </c>
      <c r="AA312" s="19"/>
      <c r="AB312" s="19"/>
      <c r="AC312" s="19"/>
      <c r="AD312" s="6">
        <f t="shared" si="72"/>
        <v>100</v>
      </c>
      <c r="AE312" s="19"/>
      <c r="AF312" s="19"/>
      <c r="AG312" s="19"/>
      <c r="AH312" s="6">
        <f t="shared" si="73"/>
        <v>100</v>
      </c>
      <c r="AI312" s="19"/>
      <c r="AJ312" s="19"/>
      <c r="AK312" s="19"/>
      <c r="AL312" s="6">
        <f t="shared" si="74"/>
        <v>100</v>
      </c>
      <c r="AM312" s="19"/>
      <c r="AN312" s="19"/>
      <c r="AO312" s="19"/>
      <c r="AP312" s="6">
        <f t="shared" si="75"/>
        <v>100</v>
      </c>
      <c r="AQ312" s="19"/>
      <c r="AR312" s="19"/>
      <c r="AS312" s="19"/>
      <c r="AT312" s="6">
        <f t="shared" si="76"/>
        <v>100</v>
      </c>
    </row>
    <row r="313" spans="1:46">
      <c r="A313" s="4">
        <v>46127</v>
      </c>
      <c r="B313" s="257"/>
      <c r="C313" s="7"/>
      <c r="D313" s="7"/>
      <c r="E313" s="7"/>
      <c r="F313" s="6">
        <f t="shared" si="66"/>
        <v>100</v>
      </c>
      <c r="G313" s="8"/>
      <c r="H313" s="8"/>
      <c r="I313" s="8"/>
      <c r="J313" s="6">
        <f t="shared" si="67"/>
        <v>100</v>
      </c>
      <c r="K313" s="19"/>
      <c r="L313" s="19"/>
      <c r="M313" s="19"/>
      <c r="N313" s="6">
        <f t="shared" si="68"/>
        <v>100</v>
      </c>
      <c r="O313" s="19"/>
      <c r="P313" s="19"/>
      <c r="Q313" s="19"/>
      <c r="R313" s="6">
        <f t="shared" si="69"/>
        <v>100</v>
      </c>
      <c r="S313" s="8"/>
      <c r="T313" s="8"/>
      <c r="U313" s="8"/>
      <c r="V313" s="6">
        <f t="shared" si="70"/>
        <v>100</v>
      </c>
      <c r="W313" s="8"/>
      <c r="X313" s="8"/>
      <c r="Y313" s="8"/>
      <c r="Z313" s="6">
        <f t="shared" si="71"/>
        <v>100</v>
      </c>
      <c r="AA313" s="19"/>
      <c r="AB313" s="19"/>
      <c r="AC313" s="19"/>
      <c r="AD313" s="6">
        <f t="shared" si="72"/>
        <v>100</v>
      </c>
      <c r="AE313" s="19"/>
      <c r="AF313" s="19"/>
      <c r="AG313" s="19"/>
      <c r="AH313" s="6">
        <f t="shared" si="73"/>
        <v>100</v>
      </c>
      <c r="AI313" s="19"/>
      <c r="AJ313" s="19"/>
      <c r="AK313" s="19"/>
      <c r="AL313" s="6">
        <f t="shared" si="74"/>
        <v>100</v>
      </c>
      <c r="AM313" s="19"/>
      <c r="AN313" s="19"/>
      <c r="AO313" s="19"/>
      <c r="AP313" s="6">
        <f t="shared" si="75"/>
        <v>100</v>
      </c>
      <c r="AQ313" s="19"/>
      <c r="AR313" s="19"/>
      <c r="AS313" s="19"/>
      <c r="AT313" s="6">
        <f t="shared" si="76"/>
        <v>100</v>
      </c>
    </row>
    <row r="314" spans="1:46">
      <c r="A314" s="4">
        <v>46128</v>
      </c>
      <c r="B314" s="257"/>
      <c r="C314" s="7"/>
      <c r="D314" s="7"/>
      <c r="E314" s="7"/>
      <c r="F314" s="6">
        <f t="shared" si="66"/>
        <v>100</v>
      </c>
      <c r="G314" s="8"/>
      <c r="H314" s="8"/>
      <c r="I314" s="8"/>
      <c r="J314" s="6">
        <f t="shared" si="67"/>
        <v>100</v>
      </c>
      <c r="K314" s="19"/>
      <c r="L314" s="19"/>
      <c r="M314" s="19"/>
      <c r="N314" s="6">
        <f t="shared" si="68"/>
        <v>100</v>
      </c>
      <c r="O314" s="19"/>
      <c r="P314" s="19"/>
      <c r="Q314" s="19"/>
      <c r="R314" s="6">
        <f t="shared" si="69"/>
        <v>100</v>
      </c>
      <c r="S314" s="8"/>
      <c r="T314" s="8"/>
      <c r="U314" s="8"/>
      <c r="V314" s="6">
        <f t="shared" si="70"/>
        <v>100</v>
      </c>
      <c r="W314" s="8"/>
      <c r="X314" s="8"/>
      <c r="Y314" s="8"/>
      <c r="Z314" s="6">
        <f t="shared" si="71"/>
        <v>100</v>
      </c>
      <c r="AA314" s="19"/>
      <c r="AB314" s="19"/>
      <c r="AC314" s="19"/>
      <c r="AD314" s="6">
        <f t="shared" si="72"/>
        <v>100</v>
      </c>
      <c r="AE314" s="19"/>
      <c r="AF314" s="19"/>
      <c r="AG314" s="19"/>
      <c r="AH314" s="6">
        <f t="shared" si="73"/>
        <v>100</v>
      </c>
      <c r="AI314" s="19"/>
      <c r="AJ314" s="19"/>
      <c r="AK314" s="19"/>
      <c r="AL314" s="6">
        <f t="shared" si="74"/>
        <v>100</v>
      </c>
      <c r="AM314" s="19"/>
      <c r="AN314" s="19"/>
      <c r="AO314" s="19"/>
      <c r="AP314" s="6">
        <f t="shared" si="75"/>
        <v>100</v>
      </c>
      <c r="AQ314" s="19"/>
      <c r="AR314" s="19"/>
      <c r="AS314" s="19"/>
      <c r="AT314" s="6">
        <f t="shared" si="76"/>
        <v>100</v>
      </c>
    </row>
    <row r="315" spans="1:46">
      <c r="A315" s="4">
        <v>46129</v>
      </c>
      <c r="B315" s="257"/>
      <c r="C315" s="7"/>
      <c r="D315" s="7"/>
      <c r="E315" s="7"/>
      <c r="F315" s="6">
        <f t="shared" si="66"/>
        <v>100</v>
      </c>
      <c r="G315" s="8"/>
      <c r="H315" s="8"/>
      <c r="I315" s="8"/>
      <c r="J315" s="6">
        <f t="shared" si="67"/>
        <v>100</v>
      </c>
      <c r="K315" s="19"/>
      <c r="L315" s="19"/>
      <c r="M315" s="19"/>
      <c r="N315" s="6">
        <f t="shared" si="68"/>
        <v>100</v>
      </c>
      <c r="O315" s="19"/>
      <c r="P315" s="19"/>
      <c r="Q315" s="19"/>
      <c r="R315" s="6">
        <f t="shared" si="69"/>
        <v>100</v>
      </c>
      <c r="S315" s="8"/>
      <c r="T315" s="8"/>
      <c r="U315" s="8"/>
      <c r="V315" s="6">
        <f t="shared" si="70"/>
        <v>100</v>
      </c>
      <c r="W315" s="8"/>
      <c r="X315" s="8"/>
      <c r="Y315" s="8"/>
      <c r="Z315" s="6">
        <f t="shared" si="71"/>
        <v>100</v>
      </c>
      <c r="AA315" s="19"/>
      <c r="AB315" s="19"/>
      <c r="AC315" s="19"/>
      <c r="AD315" s="6">
        <f t="shared" si="72"/>
        <v>100</v>
      </c>
      <c r="AE315" s="19"/>
      <c r="AF315" s="19"/>
      <c r="AG315" s="19"/>
      <c r="AH315" s="6">
        <f t="shared" si="73"/>
        <v>100</v>
      </c>
      <c r="AI315" s="19"/>
      <c r="AJ315" s="19"/>
      <c r="AK315" s="19"/>
      <c r="AL315" s="6">
        <f t="shared" si="74"/>
        <v>100</v>
      </c>
      <c r="AM315" s="19"/>
      <c r="AN315" s="19"/>
      <c r="AO315" s="19"/>
      <c r="AP315" s="6">
        <f t="shared" si="75"/>
        <v>100</v>
      </c>
      <c r="AQ315" s="19"/>
      <c r="AR315" s="19"/>
      <c r="AS315" s="19"/>
      <c r="AT315" s="6">
        <f t="shared" si="76"/>
        <v>100</v>
      </c>
    </row>
    <row r="316" spans="1:46">
      <c r="A316" s="4">
        <v>46130</v>
      </c>
      <c r="B316" s="257"/>
      <c r="C316" s="7"/>
      <c r="D316" s="7"/>
      <c r="E316" s="7"/>
      <c r="F316" s="6">
        <f t="shared" si="66"/>
        <v>100</v>
      </c>
      <c r="G316" s="8"/>
      <c r="H316" s="8"/>
      <c r="I316" s="8"/>
      <c r="J316" s="6">
        <f t="shared" si="67"/>
        <v>100</v>
      </c>
      <c r="K316" s="19"/>
      <c r="L316" s="19"/>
      <c r="M316" s="19"/>
      <c r="N316" s="6">
        <f t="shared" si="68"/>
        <v>100</v>
      </c>
      <c r="O316" s="19"/>
      <c r="P316" s="19"/>
      <c r="Q316" s="19"/>
      <c r="R316" s="6">
        <f t="shared" si="69"/>
        <v>100</v>
      </c>
      <c r="S316" s="8"/>
      <c r="T316" s="8"/>
      <c r="U316" s="8"/>
      <c r="V316" s="6">
        <f t="shared" si="70"/>
        <v>100</v>
      </c>
      <c r="W316" s="8"/>
      <c r="X316" s="8"/>
      <c r="Y316" s="8"/>
      <c r="Z316" s="6">
        <f t="shared" si="71"/>
        <v>100</v>
      </c>
      <c r="AA316" s="19"/>
      <c r="AB316" s="19"/>
      <c r="AC316" s="19"/>
      <c r="AD316" s="6">
        <f t="shared" si="72"/>
        <v>100</v>
      </c>
      <c r="AE316" s="19"/>
      <c r="AF316" s="19"/>
      <c r="AG316" s="19"/>
      <c r="AH316" s="6">
        <f t="shared" si="73"/>
        <v>100</v>
      </c>
      <c r="AI316" s="19"/>
      <c r="AJ316" s="19"/>
      <c r="AK316" s="19"/>
      <c r="AL316" s="6">
        <f t="shared" si="74"/>
        <v>100</v>
      </c>
      <c r="AM316" s="19"/>
      <c r="AN316" s="19"/>
      <c r="AO316" s="19"/>
      <c r="AP316" s="6">
        <f t="shared" si="75"/>
        <v>100</v>
      </c>
      <c r="AQ316" s="19"/>
      <c r="AR316" s="19"/>
      <c r="AS316" s="19"/>
      <c r="AT316" s="6">
        <f t="shared" si="76"/>
        <v>100</v>
      </c>
    </row>
    <row r="317" spans="1:46">
      <c r="A317" s="4">
        <v>46131</v>
      </c>
      <c r="B317" s="257"/>
      <c r="C317" s="7"/>
      <c r="D317" s="7"/>
      <c r="E317" s="7"/>
      <c r="F317" s="6">
        <f t="shared" si="66"/>
        <v>100</v>
      </c>
      <c r="G317" s="8"/>
      <c r="H317" s="8"/>
      <c r="I317" s="8"/>
      <c r="J317" s="6">
        <f t="shared" si="67"/>
        <v>100</v>
      </c>
      <c r="K317" s="19"/>
      <c r="L317" s="19"/>
      <c r="M317" s="19"/>
      <c r="N317" s="6">
        <f t="shared" si="68"/>
        <v>100</v>
      </c>
      <c r="O317" s="19"/>
      <c r="P317" s="19"/>
      <c r="Q317" s="19"/>
      <c r="R317" s="6">
        <f t="shared" si="69"/>
        <v>100</v>
      </c>
      <c r="S317" s="8"/>
      <c r="T317" s="8"/>
      <c r="U317" s="8"/>
      <c r="V317" s="6">
        <f t="shared" si="70"/>
        <v>100</v>
      </c>
      <c r="W317" s="8"/>
      <c r="X317" s="8"/>
      <c r="Y317" s="8"/>
      <c r="Z317" s="6">
        <f t="shared" si="71"/>
        <v>100</v>
      </c>
      <c r="AA317" s="19"/>
      <c r="AB317" s="19"/>
      <c r="AC317" s="19"/>
      <c r="AD317" s="6">
        <f t="shared" si="72"/>
        <v>100</v>
      </c>
      <c r="AE317" s="19"/>
      <c r="AF317" s="19"/>
      <c r="AG317" s="19"/>
      <c r="AH317" s="6">
        <f t="shared" si="73"/>
        <v>100</v>
      </c>
      <c r="AI317" s="19"/>
      <c r="AJ317" s="19"/>
      <c r="AK317" s="19"/>
      <c r="AL317" s="6">
        <f t="shared" si="74"/>
        <v>100</v>
      </c>
      <c r="AM317" s="19"/>
      <c r="AN317" s="19"/>
      <c r="AO317" s="19"/>
      <c r="AP317" s="6">
        <f t="shared" si="75"/>
        <v>100</v>
      </c>
      <c r="AQ317" s="19"/>
      <c r="AR317" s="19"/>
      <c r="AS317" s="19"/>
      <c r="AT317" s="6">
        <f t="shared" si="76"/>
        <v>100</v>
      </c>
    </row>
    <row r="318" spans="1:46">
      <c r="A318" s="70">
        <v>46132</v>
      </c>
      <c r="B318" s="257"/>
      <c r="C318" s="7"/>
      <c r="D318" s="7"/>
      <c r="E318" s="7"/>
      <c r="F318" s="6">
        <f t="shared" si="66"/>
        <v>100</v>
      </c>
      <c r="G318" s="8"/>
      <c r="H318" s="8"/>
      <c r="I318" s="8"/>
      <c r="J318" s="6">
        <f t="shared" si="67"/>
        <v>100</v>
      </c>
      <c r="K318" s="19"/>
      <c r="L318" s="19"/>
      <c r="M318" s="19"/>
      <c r="N318" s="6">
        <f t="shared" si="68"/>
        <v>100</v>
      </c>
      <c r="O318" s="19"/>
      <c r="P318" s="19"/>
      <c r="Q318" s="19"/>
      <c r="R318" s="6">
        <f t="shared" si="69"/>
        <v>100</v>
      </c>
      <c r="S318" s="8"/>
      <c r="T318" s="8"/>
      <c r="U318" s="8"/>
      <c r="V318" s="6">
        <f t="shared" si="70"/>
        <v>100</v>
      </c>
      <c r="W318" s="8"/>
      <c r="X318" s="8"/>
      <c r="Y318" s="8"/>
      <c r="Z318" s="6">
        <f t="shared" si="71"/>
        <v>100</v>
      </c>
      <c r="AA318" s="19"/>
      <c r="AB318" s="19"/>
      <c r="AC318" s="19"/>
      <c r="AD318" s="6">
        <f t="shared" si="72"/>
        <v>100</v>
      </c>
      <c r="AE318" s="19"/>
      <c r="AF318" s="19"/>
      <c r="AG318" s="19"/>
      <c r="AH318" s="6">
        <f t="shared" si="73"/>
        <v>100</v>
      </c>
      <c r="AI318" s="19"/>
      <c r="AJ318" s="19"/>
      <c r="AK318" s="19"/>
      <c r="AL318" s="6">
        <f t="shared" si="74"/>
        <v>100</v>
      </c>
      <c r="AM318" s="19"/>
      <c r="AN318" s="19"/>
      <c r="AO318" s="19"/>
      <c r="AP318" s="6">
        <f t="shared" si="75"/>
        <v>100</v>
      </c>
      <c r="AQ318" s="19"/>
      <c r="AR318" s="19"/>
      <c r="AS318" s="19"/>
      <c r="AT318" s="6">
        <f t="shared" si="76"/>
        <v>100</v>
      </c>
    </row>
    <row r="319" spans="1:46">
      <c r="A319" s="4">
        <v>46133</v>
      </c>
      <c r="B319" s="257"/>
      <c r="C319" s="7"/>
      <c r="D319" s="7"/>
      <c r="E319" s="7"/>
      <c r="F319" s="6">
        <f t="shared" si="66"/>
        <v>100</v>
      </c>
      <c r="G319" s="8"/>
      <c r="H319" s="8"/>
      <c r="I319" s="8"/>
      <c r="J319" s="6">
        <f t="shared" si="67"/>
        <v>100</v>
      </c>
      <c r="K319" s="19"/>
      <c r="L319" s="19"/>
      <c r="M319" s="19"/>
      <c r="N319" s="6">
        <f t="shared" si="68"/>
        <v>100</v>
      </c>
      <c r="O319" s="19"/>
      <c r="P319" s="19"/>
      <c r="Q319" s="19"/>
      <c r="R319" s="6">
        <f t="shared" si="69"/>
        <v>100</v>
      </c>
      <c r="S319" s="8"/>
      <c r="T319" s="8"/>
      <c r="U319" s="8"/>
      <c r="V319" s="6">
        <f t="shared" si="70"/>
        <v>100</v>
      </c>
      <c r="W319" s="8"/>
      <c r="X319" s="8"/>
      <c r="Y319" s="8"/>
      <c r="Z319" s="6">
        <f t="shared" si="71"/>
        <v>100</v>
      </c>
      <c r="AA319" s="19"/>
      <c r="AB319" s="19"/>
      <c r="AC319" s="19"/>
      <c r="AD319" s="6">
        <f t="shared" si="72"/>
        <v>100</v>
      </c>
      <c r="AE319" s="19"/>
      <c r="AF319" s="19"/>
      <c r="AG319" s="19"/>
      <c r="AH319" s="6">
        <f t="shared" si="73"/>
        <v>100</v>
      </c>
      <c r="AI319" s="19"/>
      <c r="AJ319" s="19"/>
      <c r="AK319" s="19"/>
      <c r="AL319" s="6">
        <f t="shared" si="74"/>
        <v>100</v>
      </c>
      <c r="AM319" s="19"/>
      <c r="AN319" s="19"/>
      <c r="AO319" s="19"/>
      <c r="AP319" s="6">
        <f t="shared" si="75"/>
        <v>100</v>
      </c>
      <c r="AQ319" s="19"/>
      <c r="AR319" s="19"/>
      <c r="AS319" s="19"/>
      <c r="AT319" s="6">
        <f t="shared" si="76"/>
        <v>100</v>
      </c>
    </row>
    <row r="320" spans="1:46">
      <c r="A320" s="4">
        <v>46134</v>
      </c>
      <c r="B320" s="257"/>
      <c r="C320" s="7"/>
      <c r="D320" s="7"/>
      <c r="E320" s="7"/>
      <c r="F320" s="6">
        <f t="shared" si="66"/>
        <v>100</v>
      </c>
      <c r="G320" s="8"/>
      <c r="H320" s="8"/>
      <c r="I320" s="8"/>
      <c r="J320" s="6">
        <f t="shared" si="67"/>
        <v>100</v>
      </c>
      <c r="K320" s="19"/>
      <c r="L320" s="19"/>
      <c r="M320" s="19"/>
      <c r="N320" s="6">
        <f t="shared" si="68"/>
        <v>100</v>
      </c>
      <c r="O320" s="19"/>
      <c r="P320" s="19"/>
      <c r="Q320" s="19"/>
      <c r="R320" s="6">
        <f t="shared" si="69"/>
        <v>100</v>
      </c>
      <c r="S320" s="8"/>
      <c r="T320" s="8"/>
      <c r="U320" s="8"/>
      <c r="V320" s="6">
        <f t="shared" si="70"/>
        <v>100</v>
      </c>
      <c r="W320" s="8"/>
      <c r="X320" s="8"/>
      <c r="Y320" s="8"/>
      <c r="Z320" s="6">
        <f t="shared" si="71"/>
        <v>100</v>
      </c>
      <c r="AA320" s="19"/>
      <c r="AB320" s="19"/>
      <c r="AC320" s="19"/>
      <c r="AD320" s="6">
        <f t="shared" si="72"/>
        <v>100</v>
      </c>
      <c r="AE320" s="19"/>
      <c r="AF320" s="19"/>
      <c r="AG320" s="19"/>
      <c r="AH320" s="6">
        <f t="shared" si="73"/>
        <v>100</v>
      </c>
      <c r="AI320" s="19"/>
      <c r="AJ320" s="19"/>
      <c r="AK320" s="19"/>
      <c r="AL320" s="6">
        <f t="shared" si="74"/>
        <v>100</v>
      </c>
      <c r="AM320" s="19"/>
      <c r="AN320" s="19"/>
      <c r="AO320" s="19"/>
      <c r="AP320" s="6">
        <f t="shared" si="75"/>
        <v>100</v>
      </c>
      <c r="AQ320" s="19"/>
      <c r="AR320" s="19"/>
      <c r="AS320" s="19"/>
      <c r="AT320" s="6">
        <f t="shared" si="76"/>
        <v>100</v>
      </c>
    </row>
    <row r="321" spans="1:46">
      <c r="A321" s="4">
        <v>46135</v>
      </c>
      <c r="B321" s="257"/>
      <c r="C321" s="7"/>
      <c r="D321" s="7"/>
      <c r="E321" s="7"/>
      <c r="F321" s="6">
        <f t="shared" si="66"/>
        <v>100</v>
      </c>
      <c r="G321" s="8"/>
      <c r="H321" s="8"/>
      <c r="I321" s="8"/>
      <c r="J321" s="6">
        <f t="shared" si="67"/>
        <v>100</v>
      </c>
      <c r="K321" s="19"/>
      <c r="L321" s="19"/>
      <c r="M321" s="19"/>
      <c r="N321" s="6">
        <f t="shared" si="68"/>
        <v>100</v>
      </c>
      <c r="O321" s="19"/>
      <c r="P321" s="19"/>
      <c r="Q321" s="19"/>
      <c r="R321" s="6">
        <f t="shared" si="69"/>
        <v>100</v>
      </c>
      <c r="S321" s="8"/>
      <c r="T321" s="8"/>
      <c r="U321" s="8"/>
      <c r="V321" s="6">
        <f t="shared" si="70"/>
        <v>100</v>
      </c>
      <c r="W321" s="8"/>
      <c r="X321" s="8"/>
      <c r="Y321" s="8"/>
      <c r="Z321" s="6">
        <f t="shared" si="71"/>
        <v>100</v>
      </c>
      <c r="AA321" s="19"/>
      <c r="AB321" s="19"/>
      <c r="AC321" s="19"/>
      <c r="AD321" s="6">
        <f t="shared" si="72"/>
        <v>100</v>
      </c>
      <c r="AE321" s="19"/>
      <c r="AF321" s="19"/>
      <c r="AG321" s="19"/>
      <c r="AH321" s="6">
        <f t="shared" si="73"/>
        <v>100</v>
      </c>
      <c r="AI321" s="19"/>
      <c r="AJ321" s="19"/>
      <c r="AK321" s="19"/>
      <c r="AL321" s="6">
        <f t="shared" si="74"/>
        <v>100</v>
      </c>
      <c r="AM321" s="19"/>
      <c r="AN321" s="19"/>
      <c r="AO321" s="19"/>
      <c r="AP321" s="6">
        <f t="shared" si="75"/>
        <v>100</v>
      </c>
      <c r="AQ321" s="19"/>
      <c r="AR321" s="19"/>
      <c r="AS321" s="19"/>
      <c r="AT321" s="6">
        <f t="shared" si="76"/>
        <v>100</v>
      </c>
    </row>
    <row r="322" spans="1:46">
      <c r="A322" s="4">
        <v>46136</v>
      </c>
      <c r="B322" s="257"/>
      <c r="C322" s="7"/>
      <c r="D322" s="7"/>
      <c r="E322" s="7"/>
      <c r="F322" s="6">
        <f t="shared" si="66"/>
        <v>100</v>
      </c>
      <c r="G322" s="8"/>
      <c r="H322" s="8"/>
      <c r="I322" s="8"/>
      <c r="J322" s="6">
        <f t="shared" si="67"/>
        <v>100</v>
      </c>
      <c r="K322" s="19"/>
      <c r="L322" s="19"/>
      <c r="M322" s="19"/>
      <c r="N322" s="6">
        <f t="shared" si="68"/>
        <v>100</v>
      </c>
      <c r="O322" s="19"/>
      <c r="P322" s="19"/>
      <c r="Q322" s="19"/>
      <c r="R322" s="6">
        <f t="shared" si="69"/>
        <v>100</v>
      </c>
      <c r="S322" s="8"/>
      <c r="T322" s="8"/>
      <c r="U322" s="8"/>
      <c r="V322" s="6">
        <f t="shared" si="70"/>
        <v>100</v>
      </c>
      <c r="W322" s="8"/>
      <c r="X322" s="8"/>
      <c r="Y322" s="8"/>
      <c r="Z322" s="6">
        <f t="shared" si="71"/>
        <v>100</v>
      </c>
      <c r="AA322" s="19"/>
      <c r="AB322" s="19"/>
      <c r="AC322" s="19"/>
      <c r="AD322" s="6">
        <f t="shared" si="72"/>
        <v>100</v>
      </c>
      <c r="AE322" s="19"/>
      <c r="AF322" s="19"/>
      <c r="AG322" s="19"/>
      <c r="AH322" s="6">
        <f t="shared" si="73"/>
        <v>100</v>
      </c>
      <c r="AI322" s="19"/>
      <c r="AJ322" s="19"/>
      <c r="AK322" s="19"/>
      <c r="AL322" s="6">
        <f t="shared" si="74"/>
        <v>100</v>
      </c>
      <c r="AM322" s="19"/>
      <c r="AN322" s="19"/>
      <c r="AO322" s="19"/>
      <c r="AP322" s="6">
        <f t="shared" si="75"/>
        <v>100</v>
      </c>
      <c r="AQ322" s="19"/>
      <c r="AR322" s="19"/>
      <c r="AS322" s="19"/>
      <c r="AT322" s="6">
        <f t="shared" si="76"/>
        <v>100</v>
      </c>
    </row>
    <row r="323" spans="1:46">
      <c r="A323" s="4">
        <v>46137</v>
      </c>
      <c r="B323" s="257"/>
      <c r="C323" s="7"/>
      <c r="D323" s="7"/>
      <c r="E323" s="7"/>
      <c r="F323" s="6">
        <f t="shared" si="66"/>
        <v>100</v>
      </c>
      <c r="G323" s="8"/>
      <c r="H323" s="8"/>
      <c r="I323" s="8"/>
      <c r="J323" s="6">
        <f t="shared" si="67"/>
        <v>100</v>
      </c>
      <c r="K323" s="19"/>
      <c r="L323" s="19"/>
      <c r="M323" s="19"/>
      <c r="N323" s="6">
        <f t="shared" si="68"/>
        <v>100</v>
      </c>
      <c r="O323" s="19"/>
      <c r="P323" s="19"/>
      <c r="Q323" s="19"/>
      <c r="R323" s="6">
        <f t="shared" si="69"/>
        <v>100</v>
      </c>
      <c r="S323" s="8"/>
      <c r="T323" s="8"/>
      <c r="U323" s="8"/>
      <c r="V323" s="6">
        <f t="shared" si="70"/>
        <v>100</v>
      </c>
      <c r="W323" s="8"/>
      <c r="X323" s="8"/>
      <c r="Y323" s="8"/>
      <c r="Z323" s="6">
        <f t="shared" si="71"/>
        <v>100</v>
      </c>
      <c r="AA323" s="19"/>
      <c r="AB323" s="19"/>
      <c r="AC323" s="19"/>
      <c r="AD323" s="6">
        <f t="shared" si="72"/>
        <v>100</v>
      </c>
      <c r="AE323" s="19"/>
      <c r="AF323" s="19"/>
      <c r="AG323" s="19"/>
      <c r="AH323" s="6">
        <f t="shared" si="73"/>
        <v>100</v>
      </c>
      <c r="AI323" s="19"/>
      <c r="AJ323" s="19"/>
      <c r="AK323" s="19"/>
      <c r="AL323" s="6">
        <f t="shared" si="74"/>
        <v>100</v>
      </c>
      <c r="AM323" s="19"/>
      <c r="AN323" s="19"/>
      <c r="AO323" s="19"/>
      <c r="AP323" s="6">
        <f t="shared" si="75"/>
        <v>100</v>
      </c>
      <c r="AQ323" s="19"/>
      <c r="AR323" s="19"/>
      <c r="AS323" s="19"/>
      <c r="AT323" s="6">
        <f t="shared" si="76"/>
        <v>100</v>
      </c>
    </row>
    <row r="324" spans="1:46">
      <c r="A324" s="4">
        <v>46138</v>
      </c>
      <c r="B324" s="257"/>
      <c r="C324" s="7"/>
      <c r="D324" s="7"/>
      <c r="E324" s="7"/>
      <c r="F324" s="6">
        <f t="shared" si="66"/>
        <v>100</v>
      </c>
      <c r="G324" s="8"/>
      <c r="H324" s="8"/>
      <c r="I324" s="8"/>
      <c r="J324" s="6">
        <f t="shared" si="67"/>
        <v>100</v>
      </c>
      <c r="K324" s="19"/>
      <c r="L324" s="19"/>
      <c r="M324" s="19"/>
      <c r="N324" s="6">
        <f t="shared" si="68"/>
        <v>100</v>
      </c>
      <c r="O324" s="19"/>
      <c r="P324" s="19"/>
      <c r="Q324" s="19"/>
      <c r="R324" s="6">
        <f t="shared" si="69"/>
        <v>100</v>
      </c>
      <c r="S324" s="8"/>
      <c r="T324" s="8"/>
      <c r="U324" s="8"/>
      <c r="V324" s="6">
        <f t="shared" si="70"/>
        <v>100</v>
      </c>
      <c r="W324" s="8"/>
      <c r="X324" s="8"/>
      <c r="Y324" s="8"/>
      <c r="Z324" s="6">
        <f t="shared" si="71"/>
        <v>100</v>
      </c>
      <c r="AA324" s="19"/>
      <c r="AB324" s="19"/>
      <c r="AC324" s="19"/>
      <c r="AD324" s="6">
        <f t="shared" si="72"/>
        <v>100</v>
      </c>
      <c r="AE324" s="19"/>
      <c r="AF324" s="19"/>
      <c r="AG324" s="19"/>
      <c r="AH324" s="6">
        <f t="shared" si="73"/>
        <v>100</v>
      </c>
      <c r="AI324" s="19"/>
      <c r="AJ324" s="19"/>
      <c r="AK324" s="19"/>
      <c r="AL324" s="6">
        <f t="shared" si="74"/>
        <v>100</v>
      </c>
      <c r="AM324" s="19"/>
      <c r="AN324" s="19"/>
      <c r="AO324" s="19"/>
      <c r="AP324" s="6">
        <f t="shared" si="75"/>
        <v>100</v>
      </c>
      <c r="AQ324" s="19"/>
      <c r="AR324" s="19"/>
      <c r="AS324" s="19"/>
      <c r="AT324" s="6">
        <f t="shared" si="76"/>
        <v>100</v>
      </c>
    </row>
    <row r="325" spans="1:46">
      <c r="A325" s="4">
        <v>46139</v>
      </c>
      <c r="B325" s="257"/>
      <c r="C325" s="7"/>
      <c r="D325" s="7"/>
      <c r="E325" s="7"/>
      <c r="F325" s="6">
        <f t="shared" si="66"/>
        <v>100</v>
      </c>
      <c r="G325" s="8"/>
      <c r="H325" s="8"/>
      <c r="I325" s="8"/>
      <c r="J325" s="6">
        <f t="shared" si="67"/>
        <v>100</v>
      </c>
      <c r="K325" s="19"/>
      <c r="L325" s="19"/>
      <c r="M325" s="19"/>
      <c r="N325" s="6">
        <f t="shared" si="68"/>
        <v>100</v>
      </c>
      <c r="O325" s="19"/>
      <c r="P325" s="19"/>
      <c r="Q325" s="19"/>
      <c r="R325" s="6">
        <f t="shared" si="69"/>
        <v>100</v>
      </c>
      <c r="S325" s="8"/>
      <c r="T325" s="8"/>
      <c r="U325" s="8"/>
      <c r="V325" s="6">
        <f t="shared" si="70"/>
        <v>100</v>
      </c>
      <c r="W325" s="8"/>
      <c r="X325" s="8"/>
      <c r="Y325" s="8"/>
      <c r="Z325" s="6">
        <f t="shared" si="71"/>
        <v>100</v>
      </c>
      <c r="AA325" s="19"/>
      <c r="AB325" s="19"/>
      <c r="AC325" s="19"/>
      <c r="AD325" s="6">
        <f t="shared" si="72"/>
        <v>100</v>
      </c>
      <c r="AE325" s="19"/>
      <c r="AF325" s="19"/>
      <c r="AG325" s="19"/>
      <c r="AH325" s="6">
        <f t="shared" si="73"/>
        <v>100</v>
      </c>
      <c r="AI325" s="19"/>
      <c r="AJ325" s="19"/>
      <c r="AK325" s="19"/>
      <c r="AL325" s="6">
        <f t="shared" si="74"/>
        <v>100</v>
      </c>
      <c r="AM325" s="19"/>
      <c r="AN325" s="19"/>
      <c r="AO325" s="19"/>
      <c r="AP325" s="6">
        <f t="shared" si="75"/>
        <v>100</v>
      </c>
      <c r="AQ325" s="19"/>
      <c r="AR325" s="19"/>
      <c r="AS325" s="19"/>
      <c r="AT325" s="6">
        <f t="shared" si="76"/>
        <v>100</v>
      </c>
    </row>
    <row r="326" spans="1:46">
      <c r="A326" s="4">
        <v>46140</v>
      </c>
      <c r="B326" s="257"/>
      <c r="C326" s="7"/>
      <c r="D326" s="7"/>
      <c r="E326" s="7"/>
      <c r="F326" s="6">
        <f t="shared" si="66"/>
        <v>100</v>
      </c>
      <c r="G326" s="8"/>
      <c r="H326" s="8"/>
      <c r="I326" s="8"/>
      <c r="J326" s="6">
        <f t="shared" si="67"/>
        <v>100</v>
      </c>
      <c r="K326" s="19"/>
      <c r="L326" s="19"/>
      <c r="M326" s="19"/>
      <c r="N326" s="6">
        <f t="shared" si="68"/>
        <v>100</v>
      </c>
      <c r="O326" s="19"/>
      <c r="P326" s="19"/>
      <c r="Q326" s="19"/>
      <c r="R326" s="6">
        <f t="shared" si="69"/>
        <v>100</v>
      </c>
      <c r="S326" s="8"/>
      <c r="T326" s="8"/>
      <c r="U326" s="8"/>
      <c r="V326" s="6">
        <f t="shared" si="70"/>
        <v>100</v>
      </c>
      <c r="W326" s="8"/>
      <c r="X326" s="8"/>
      <c r="Y326" s="8"/>
      <c r="Z326" s="6">
        <f t="shared" si="71"/>
        <v>100</v>
      </c>
      <c r="AA326" s="19"/>
      <c r="AB326" s="19"/>
      <c r="AC326" s="19"/>
      <c r="AD326" s="6">
        <f t="shared" si="72"/>
        <v>100</v>
      </c>
      <c r="AE326" s="19"/>
      <c r="AF326" s="19"/>
      <c r="AG326" s="19"/>
      <c r="AH326" s="6">
        <f t="shared" si="73"/>
        <v>100</v>
      </c>
      <c r="AI326" s="19"/>
      <c r="AJ326" s="19"/>
      <c r="AK326" s="19"/>
      <c r="AL326" s="6">
        <f t="shared" si="74"/>
        <v>100</v>
      </c>
      <c r="AM326" s="19"/>
      <c r="AN326" s="19"/>
      <c r="AO326" s="19"/>
      <c r="AP326" s="6">
        <f t="shared" si="75"/>
        <v>100</v>
      </c>
      <c r="AQ326" s="19"/>
      <c r="AR326" s="19"/>
      <c r="AS326" s="19"/>
      <c r="AT326" s="6">
        <f t="shared" si="76"/>
        <v>100</v>
      </c>
    </row>
    <row r="327" spans="1:46">
      <c r="A327" s="4">
        <v>46141</v>
      </c>
      <c r="B327" s="257"/>
      <c r="C327" s="7"/>
      <c r="D327" s="7"/>
      <c r="E327" s="7"/>
      <c r="F327" s="6">
        <f t="shared" si="66"/>
        <v>100</v>
      </c>
      <c r="G327" s="8"/>
      <c r="H327" s="8"/>
      <c r="I327" s="8"/>
      <c r="J327" s="6">
        <f t="shared" si="67"/>
        <v>100</v>
      </c>
      <c r="K327" s="19"/>
      <c r="L327" s="19"/>
      <c r="M327" s="19"/>
      <c r="N327" s="6">
        <f t="shared" si="68"/>
        <v>100</v>
      </c>
      <c r="O327" s="19"/>
      <c r="P327" s="19"/>
      <c r="Q327" s="19"/>
      <c r="R327" s="6">
        <f t="shared" si="69"/>
        <v>100</v>
      </c>
      <c r="S327" s="8"/>
      <c r="T327" s="8"/>
      <c r="U327" s="8"/>
      <c r="V327" s="6">
        <f t="shared" si="70"/>
        <v>100</v>
      </c>
      <c r="W327" s="8"/>
      <c r="X327" s="8"/>
      <c r="Y327" s="8"/>
      <c r="Z327" s="6">
        <f t="shared" si="71"/>
        <v>100</v>
      </c>
      <c r="AA327" s="19"/>
      <c r="AB327" s="19"/>
      <c r="AC327" s="19"/>
      <c r="AD327" s="6">
        <f t="shared" si="72"/>
        <v>100</v>
      </c>
      <c r="AE327" s="19"/>
      <c r="AF327" s="19"/>
      <c r="AG327" s="19"/>
      <c r="AH327" s="6">
        <f t="shared" si="73"/>
        <v>100</v>
      </c>
      <c r="AI327" s="19"/>
      <c r="AJ327" s="19"/>
      <c r="AK327" s="19"/>
      <c r="AL327" s="6">
        <f t="shared" si="74"/>
        <v>100</v>
      </c>
      <c r="AM327" s="19"/>
      <c r="AN327" s="19"/>
      <c r="AO327" s="19"/>
      <c r="AP327" s="6">
        <f t="shared" si="75"/>
        <v>100</v>
      </c>
      <c r="AQ327" s="19"/>
      <c r="AR327" s="19"/>
      <c r="AS327" s="19"/>
      <c r="AT327" s="6">
        <f t="shared" si="76"/>
        <v>100</v>
      </c>
    </row>
    <row r="328" spans="1:46">
      <c r="A328" s="70">
        <v>46142</v>
      </c>
      <c r="B328" s="257"/>
      <c r="C328" s="7"/>
      <c r="D328" s="7"/>
      <c r="E328" s="7"/>
      <c r="F328" s="6">
        <f t="shared" si="66"/>
        <v>100</v>
      </c>
      <c r="G328" s="8"/>
      <c r="H328" s="8"/>
      <c r="I328" s="8"/>
      <c r="J328" s="6">
        <f t="shared" si="67"/>
        <v>100</v>
      </c>
      <c r="K328" s="19"/>
      <c r="L328" s="19"/>
      <c r="M328" s="19"/>
      <c r="N328" s="6">
        <f t="shared" si="68"/>
        <v>100</v>
      </c>
      <c r="O328" s="19"/>
      <c r="P328" s="19"/>
      <c r="Q328" s="19"/>
      <c r="R328" s="6">
        <f t="shared" si="69"/>
        <v>100</v>
      </c>
      <c r="S328" s="8"/>
      <c r="T328" s="8"/>
      <c r="U328" s="8"/>
      <c r="V328" s="6">
        <f t="shared" si="70"/>
        <v>100</v>
      </c>
      <c r="W328" s="8"/>
      <c r="X328" s="8"/>
      <c r="Y328" s="8"/>
      <c r="Z328" s="6">
        <f t="shared" si="71"/>
        <v>100</v>
      </c>
      <c r="AA328" s="19"/>
      <c r="AB328" s="19"/>
      <c r="AC328" s="19"/>
      <c r="AD328" s="6">
        <f t="shared" si="72"/>
        <v>100</v>
      </c>
      <c r="AE328" s="19"/>
      <c r="AF328" s="19"/>
      <c r="AG328" s="19"/>
      <c r="AH328" s="6">
        <f t="shared" si="73"/>
        <v>100</v>
      </c>
      <c r="AI328" s="19"/>
      <c r="AJ328" s="19"/>
      <c r="AK328" s="19"/>
      <c r="AL328" s="6">
        <f t="shared" si="74"/>
        <v>100</v>
      </c>
      <c r="AM328" s="19"/>
      <c r="AN328" s="19"/>
      <c r="AO328" s="19"/>
      <c r="AP328" s="6">
        <f t="shared" si="75"/>
        <v>100</v>
      </c>
      <c r="AQ328" s="19"/>
      <c r="AR328" s="19"/>
      <c r="AS328" s="19"/>
      <c r="AT328" s="6">
        <f t="shared" si="76"/>
        <v>100</v>
      </c>
    </row>
    <row r="329" spans="1:46">
      <c r="A329" s="4">
        <v>46143</v>
      </c>
      <c r="B329" s="257"/>
      <c r="C329" s="7"/>
      <c r="D329" s="7"/>
      <c r="E329" s="7"/>
      <c r="F329" s="6">
        <f t="shared" si="66"/>
        <v>100</v>
      </c>
      <c r="G329" s="8"/>
      <c r="H329" s="8"/>
      <c r="I329" s="8"/>
      <c r="J329" s="6">
        <f t="shared" si="67"/>
        <v>100</v>
      </c>
      <c r="K329" s="19"/>
      <c r="L329" s="19"/>
      <c r="M329" s="19"/>
      <c r="N329" s="6">
        <f t="shared" si="68"/>
        <v>100</v>
      </c>
      <c r="O329" s="19"/>
      <c r="P329" s="19"/>
      <c r="Q329" s="19"/>
      <c r="R329" s="6">
        <f t="shared" si="69"/>
        <v>100</v>
      </c>
      <c r="S329" s="8"/>
      <c r="T329" s="8"/>
      <c r="U329" s="8"/>
      <c r="V329" s="6">
        <f t="shared" si="70"/>
        <v>100</v>
      </c>
      <c r="W329" s="8"/>
      <c r="X329" s="8"/>
      <c r="Y329" s="8"/>
      <c r="Z329" s="6">
        <f t="shared" si="71"/>
        <v>100</v>
      </c>
      <c r="AA329" s="19"/>
      <c r="AB329" s="19"/>
      <c r="AC329" s="19"/>
      <c r="AD329" s="6">
        <f t="shared" si="72"/>
        <v>100</v>
      </c>
      <c r="AE329" s="19"/>
      <c r="AF329" s="19"/>
      <c r="AG329" s="19"/>
      <c r="AH329" s="6">
        <f t="shared" si="73"/>
        <v>100</v>
      </c>
      <c r="AI329" s="19"/>
      <c r="AJ329" s="19"/>
      <c r="AK329" s="19"/>
      <c r="AL329" s="6">
        <f t="shared" si="74"/>
        <v>100</v>
      </c>
      <c r="AM329" s="19"/>
      <c r="AN329" s="19"/>
      <c r="AO329" s="19"/>
      <c r="AP329" s="6">
        <f t="shared" si="75"/>
        <v>100</v>
      </c>
      <c r="AQ329" s="19"/>
      <c r="AR329" s="19"/>
      <c r="AS329" s="19"/>
      <c r="AT329" s="6">
        <f t="shared" si="76"/>
        <v>100</v>
      </c>
    </row>
    <row r="330" spans="1:46">
      <c r="A330" s="4">
        <v>46144</v>
      </c>
      <c r="B330" s="257"/>
      <c r="C330" s="7"/>
      <c r="D330" s="7"/>
      <c r="E330" s="7"/>
      <c r="F330" s="6">
        <f t="shared" si="66"/>
        <v>100</v>
      </c>
      <c r="G330" s="8"/>
      <c r="H330" s="8"/>
      <c r="I330" s="8"/>
      <c r="J330" s="6">
        <f t="shared" si="67"/>
        <v>100</v>
      </c>
      <c r="K330" s="19"/>
      <c r="L330" s="19"/>
      <c r="M330" s="19"/>
      <c r="N330" s="6">
        <f t="shared" si="68"/>
        <v>100</v>
      </c>
      <c r="O330" s="19"/>
      <c r="P330" s="19"/>
      <c r="Q330" s="19"/>
      <c r="R330" s="6">
        <f t="shared" si="69"/>
        <v>100</v>
      </c>
      <c r="S330" s="8"/>
      <c r="T330" s="8"/>
      <c r="U330" s="8"/>
      <c r="V330" s="6">
        <f t="shared" si="70"/>
        <v>100</v>
      </c>
      <c r="W330" s="8"/>
      <c r="X330" s="8"/>
      <c r="Y330" s="8"/>
      <c r="Z330" s="6">
        <f t="shared" si="71"/>
        <v>100</v>
      </c>
      <c r="AA330" s="19"/>
      <c r="AB330" s="19"/>
      <c r="AC330" s="19"/>
      <c r="AD330" s="6">
        <f t="shared" si="72"/>
        <v>100</v>
      </c>
      <c r="AE330" s="19"/>
      <c r="AF330" s="19"/>
      <c r="AG330" s="19"/>
      <c r="AH330" s="6">
        <f t="shared" si="73"/>
        <v>100</v>
      </c>
      <c r="AI330" s="19"/>
      <c r="AJ330" s="19"/>
      <c r="AK330" s="19"/>
      <c r="AL330" s="6">
        <f t="shared" si="74"/>
        <v>100</v>
      </c>
      <c r="AM330" s="19"/>
      <c r="AN330" s="19"/>
      <c r="AO330" s="19"/>
      <c r="AP330" s="6">
        <f t="shared" si="75"/>
        <v>100</v>
      </c>
      <c r="AQ330" s="19"/>
      <c r="AR330" s="19"/>
      <c r="AS330" s="19"/>
      <c r="AT330" s="6">
        <f t="shared" si="76"/>
        <v>100</v>
      </c>
    </row>
    <row r="331" spans="1:46">
      <c r="A331" s="4">
        <v>46145</v>
      </c>
      <c r="B331" s="257"/>
      <c r="C331" s="7"/>
      <c r="D331" s="7"/>
      <c r="E331" s="7"/>
      <c r="F331" s="6">
        <f t="shared" si="66"/>
        <v>100</v>
      </c>
      <c r="G331" s="8"/>
      <c r="H331" s="8"/>
      <c r="I331" s="8"/>
      <c r="J331" s="6">
        <f t="shared" si="67"/>
        <v>100</v>
      </c>
      <c r="K331" s="19"/>
      <c r="L331" s="19"/>
      <c r="M331" s="19"/>
      <c r="N331" s="6">
        <f t="shared" si="68"/>
        <v>100</v>
      </c>
      <c r="O331" s="19"/>
      <c r="P331" s="19"/>
      <c r="Q331" s="19"/>
      <c r="R331" s="6">
        <f t="shared" si="69"/>
        <v>100</v>
      </c>
      <c r="S331" s="8"/>
      <c r="T331" s="8"/>
      <c r="U331" s="8"/>
      <c r="V331" s="6">
        <f t="shared" si="70"/>
        <v>100</v>
      </c>
      <c r="W331" s="8"/>
      <c r="X331" s="8"/>
      <c r="Y331" s="8"/>
      <c r="Z331" s="6">
        <f t="shared" si="71"/>
        <v>100</v>
      </c>
      <c r="AA331" s="19"/>
      <c r="AB331" s="19"/>
      <c r="AC331" s="19"/>
      <c r="AD331" s="6">
        <f t="shared" si="72"/>
        <v>100</v>
      </c>
      <c r="AE331" s="19"/>
      <c r="AF331" s="19"/>
      <c r="AG331" s="19"/>
      <c r="AH331" s="6">
        <f t="shared" si="73"/>
        <v>100</v>
      </c>
      <c r="AI331" s="19"/>
      <c r="AJ331" s="19"/>
      <c r="AK331" s="19"/>
      <c r="AL331" s="6">
        <f t="shared" si="74"/>
        <v>100</v>
      </c>
      <c r="AM331" s="19"/>
      <c r="AN331" s="19"/>
      <c r="AO331" s="19"/>
      <c r="AP331" s="6">
        <f t="shared" si="75"/>
        <v>100</v>
      </c>
      <c r="AQ331" s="19"/>
      <c r="AR331" s="19"/>
      <c r="AS331" s="19"/>
      <c r="AT331" s="6">
        <f t="shared" si="76"/>
        <v>100</v>
      </c>
    </row>
    <row r="332" spans="1:46">
      <c r="A332" s="4">
        <v>46146</v>
      </c>
      <c r="B332" s="257"/>
      <c r="C332" s="7"/>
      <c r="D332" s="7"/>
      <c r="E332" s="7"/>
      <c r="F332" s="6">
        <f t="shared" si="66"/>
        <v>100</v>
      </c>
      <c r="G332" s="8"/>
      <c r="H332" s="8"/>
      <c r="I332" s="8"/>
      <c r="J332" s="6">
        <f t="shared" si="67"/>
        <v>100</v>
      </c>
      <c r="K332" s="19"/>
      <c r="L332" s="19"/>
      <c r="M332" s="19"/>
      <c r="N332" s="6">
        <f t="shared" si="68"/>
        <v>100</v>
      </c>
      <c r="O332" s="19"/>
      <c r="P332" s="19"/>
      <c r="Q332" s="19"/>
      <c r="R332" s="6">
        <f t="shared" si="69"/>
        <v>100</v>
      </c>
      <c r="S332" s="8"/>
      <c r="T332" s="8"/>
      <c r="U332" s="8"/>
      <c r="V332" s="6">
        <f t="shared" si="70"/>
        <v>100</v>
      </c>
      <c r="W332" s="8"/>
      <c r="X332" s="8"/>
      <c r="Y332" s="8"/>
      <c r="Z332" s="6">
        <f t="shared" si="71"/>
        <v>100</v>
      </c>
      <c r="AA332" s="19"/>
      <c r="AB332" s="19"/>
      <c r="AC332" s="19"/>
      <c r="AD332" s="6">
        <f t="shared" si="72"/>
        <v>100</v>
      </c>
      <c r="AE332" s="19"/>
      <c r="AF332" s="19"/>
      <c r="AG332" s="19"/>
      <c r="AH332" s="6">
        <f t="shared" si="73"/>
        <v>100</v>
      </c>
      <c r="AI332" s="19"/>
      <c r="AJ332" s="19"/>
      <c r="AK332" s="19"/>
      <c r="AL332" s="6">
        <f t="shared" si="74"/>
        <v>100</v>
      </c>
      <c r="AM332" s="19"/>
      <c r="AN332" s="19"/>
      <c r="AO332" s="19"/>
      <c r="AP332" s="6">
        <f t="shared" si="75"/>
        <v>100</v>
      </c>
      <c r="AQ332" s="19"/>
      <c r="AR332" s="19"/>
      <c r="AS332" s="19"/>
      <c r="AT332" s="6">
        <f t="shared" si="76"/>
        <v>100</v>
      </c>
    </row>
    <row r="333" spans="1:46">
      <c r="A333" s="4">
        <v>46147</v>
      </c>
      <c r="B333" s="257"/>
      <c r="C333" s="7"/>
      <c r="D333" s="7"/>
      <c r="E333" s="7"/>
      <c r="F333" s="6">
        <f t="shared" si="66"/>
        <v>100</v>
      </c>
      <c r="G333" s="8"/>
      <c r="H333" s="8"/>
      <c r="I333" s="8"/>
      <c r="J333" s="6">
        <f t="shared" si="67"/>
        <v>100</v>
      </c>
      <c r="K333" s="19"/>
      <c r="L333" s="19"/>
      <c r="M333" s="19"/>
      <c r="N333" s="6">
        <f t="shared" si="68"/>
        <v>100</v>
      </c>
      <c r="O333" s="19"/>
      <c r="P333" s="19"/>
      <c r="Q333" s="19"/>
      <c r="R333" s="6">
        <f t="shared" si="69"/>
        <v>100</v>
      </c>
      <c r="S333" s="8"/>
      <c r="T333" s="8"/>
      <c r="U333" s="8"/>
      <c r="V333" s="6">
        <f t="shared" si="70"/>
        <v>100</v>
      </c>
      <c r="W333" s="8"/>
      <c r="X333" s="8"/>
      <c r="Y333" s="8"/>
      <c r="Z333" s="6">
        <f t="shared" si="71"/>
        <v>100</v>
      </c>
      <c r="AA333" s="19"/>
      <c r="AB333" s="19"/>
      <c r="AC333" s="19"/>
      <c r="AD333" s="6">
        <f t="shared" si="72"/>
        <v>100</v>
      </c>
      <c r="AE333" s="19"/>
      <c r="AF333" s="19"/>
      <c r="AG333" s="19"/>
      <c r="AH333" s="6">
        <f t="shared" si="73"/>
        <v>100</v>
      </c>
      <c r="AI333" s="19"/>
      <c r="AJ333" s="19"/>
      <c r="AK333" s="19"/>
      <c r="AL333" s="6">
        <f t="shared" si="74"/>
        <v>100</v>
      </c>
      <c r="AM333" s="19"/>
      <c r="AN333" s="19"/>
      <c r="AO333" s="19"/>
      <c r="AP333" s="6">
        <f t="shared" si="75"/>
        <v>100</v>
      </c>
      <c r="AQ333" s="19"/>
      <c r="AR333" s="19"/>
      <c r="AS333" s="19"/>
      <c r="AT333" s="6">
        <f t="shared" si="76"/>
        <v>100</v>
      </c>
    </row>
    <row r="334" spans="1:46">
      <c r="A334" s="4">
        <v>46148</v>
      </c>
      <c r="B334" s="257"/>
      <c r="C334" s="7"/>
      <c r="D334" s="7"/>
      <c r="E334" s="7"/>
      <c r="F334" s="6">
        <f t="shared" si="66"/>
        <v>100</v>
      </c>
      <c r="G334" s="8"/>
      <c r="H334" s="8"/>
      <c r="I334" s="8"/>
      <c r="J334" s="6">
        <f t="shared" si="67"/>
        <v>100</v>
      </c>
      <c r="K334" s="19"/>
      <c r="L334" s="19"/>
      <c r="M334" s="19"/>
      <c r="N334" s="6">
        <f t="shared" si="68"/>
        <v>100</v>
      </c>
      <c r="O334" s="19"/>
      <c r="P334" s="19"/>
      <c r="Q334" s="19"/>
      <c r="R334" s="6">
        <f t="shared" si="69"/>
        <v>100</v>
      </c>
      <c r="S334" s="8"/>
      <c r="T334" s="8"/>
      <c r="U334" s="8"/>
      <c r="V334" s="6">
        <f t="shared" si="70"/>
        <v>100</v>
      </c>
      <c r="W334" s="8"/>
      <c r="X334" s="8"/>
      <c r="Y334" s="8"/>
      <c r="Z334" s="6">
        <f t="shared" si="71"/>
        <v>100</v>
      </c>
      <c r="AA334" s="19"/>
      <c r="AB334" s="19"/>
      <c r="AC334" s="19"/>
      <c r="AD334" s="6">
        <f t="shared" si="72"/>
        <v>100</v>
      </c>
      <c r="AE334" s="19"/>
      <c r="AF334" s="19"/>
      <c r="AG334" s="19"/>
      <c r="AH334" s="6">
        <f t="shared" si="73"/>
        <v>100</v>
      </c>
      <c r="AI334" s="19"/>
      <c r="AJ334" s="19"/>
      <c r="AK334" s="19"/>
      <c r="AL334" s="6">
        <f t="shared" si="74"/>
        <v>100</v>
      </c>
      <c r="AM334" s="19"/>
      <c r="AN334" s="19"/>
      <c r="AO334" s="19"/>
      <c r="AP334" s="6">
        <f t="shared" si="75"/>
        <v>100</v>
      </c>
      <c r="AQ334" s="19"/>
      <c r="AR334" s="19"/>
      <c r="AS334" s="19"/>
      <c r="AT334" s="6">
        <f t="shared" si="76"/>
        <v>100</v>
      </c>
    </row>
    <row r="335" spans="1:46">
      <c r="A335" s="4">
        <v>46149</v>
      </c>
      <c r="B335" s="257"/>
      <c r="C335" s="7"/>
      <c r="D335" s="7"/>
      <c r="E335" s="7"/>
      <c r="F335" s="6">
        <f t="shared" si="66"/>
        <v>100</v>
      </c>
      <c r="G335" s="8"/>
      <c r="H335" s="8"/>
      <c r="I335" s="8"/>
      <c r="J335" s="6">
        <f t="shared" si="67"/>
        <v>100</v>
      </c>
      <c r="K335" s="19"/>
      <c r="L335" s="19"/>
      <c r="M335" s="19"/>
      <c r="N335" s="6">
        <f t="shared" si="68"/>
        <v>100</v>
      </c>
      <c r="O335" s="19"/>
      <c r="P335" s="19"/>
      <c r="Q335" s="19"/>
      <c r="R335" s="6">
        <f t="shared" si="69"/>
        <v>100</v>
      </c>
      <c r="S335" s="8"/>
      <c r="T335" s="8"/>
      <c r="U335" s="8"/>
      <c r="V335" s="6">
        <f t="shared" si="70"/>
        <v>100</v>
      </c>
      <c r="W335" s="8"/>
      <c r="X335" s="8"/>
      <c r="Y335" s="8"/>
      <c r="Z335" s="6">
        <f t="shared" si="71"/>
        <v>100</v>
      </c>
      <c r="AA335" s="19"/>
      <c r="AB335" s="19"/>
      <c r="AC335" s="19"/>
      <c r="AD335" s="6">
        <f t="shared" si="72"/>
        <v>100</v>
      </c>
      <c r="AE335" s="19"/>
      <c r="AF335" s="19"/>
      <c r="AG335" s="19"/>
      <c r="AH335" s="6">
        <f t="shared" si="73"/>
        <v>100</v>
      </c>
      <c r="AI335" s="19"/>
      <c r="AJ335" s="19"/>
      <c r="AK335" s="19"/>
      <c r="AL335" s="6">
        <f t="shared" si="74"/>
        <v>100</v>
      </c>
      <c r="AM335" s="19"/>
      <c r="AN335" s="19"/>
      <c r="AO335" s="19"/>
      <c r="AP335" s="6">
        <f t="shared" si="75"/>
        <v>100</v>
      </c>
      <c r="AQ335" s="19"/>
      <c r="AR335" s="19"/>
      <c r="AS335" s="19"/>
      <c r="AT335" s="6">
        <f t="shared" si="76"/>
        <v>100</v>
      </c>
    </row>
    <row r="336" spans="1:46">
      <c r="A336" s="4">
        <v>46150</v>
      </c>
      <c r="B336" s="257"/>
      <c r="C336" s="7"/>
      <c r="D336" s="7"/>
      <c r="E336" s="7"/>
      <c r="F336" s="6">
        <f t="shared" si="66"/>
        <v>100</v>
      </c>
      <c r="G336" s="8"/>
      <c r="H336" s="8"/>
      <c r="I336" s="8"/>
      <c r="J336" s="6">
        <f t="shared" si="67"/>
        <v>100</v>
      </c>
      <c r="K336" s="19"/>
      <c r="L336" s="19"/>
      <c r="M336" s="19"/>
      <c r="N336" s="6">
        <f t="shared" si="68"/>
        <v>100</v>
      </c>
      <c r="O336" s="19"/>
      <c r="P336" s="19"/>
      <c r="Q336" s="19"/>
      <c r="R336" s="6">
        <f t="shared" si="69"/>
        <v>100</v>
      </c>
      <c r="S336" s="8"/>
      <c r="T336" s="8"/>
      <c r="U336" s="8"/>
      <c r="V336" s="6">
        <f t="shared" si="70"/>
        <v>100</v>
      </c>
      <c r="W336" s="8"/>
      <c r="X336" s="8"/>
      <c r="Y336" s="8"/>
      <c r="Z336" s="6">
        <f t="shared" si="71"/>
        <v>100</v>
      </c>
      <c r="AA336" s="19"/>
      <c r="AB336" s="19"/>
      <c r="AC336" s="19"/>
      <c r="AD336" s="6">
        <f t="shared" si="72"/>
        <v>100</v>
      </c>
      <c r="AE336" s="19"/>
      <c r="AF336" s="19"/>
      <c r="AG336" s="19"/>
      <c r="AH336" s="6">
        <f t="shared" si="73"/>
        <v>100</v>
      </c>
      <c r="AI336" s="19"/>
      <c r="AJ336" s="19"/>
      <c r="AK336" s="19"/>
      <c r="AL336" s="6">
        <f t="shared" si="74"/>
        <v>100</v>
      </c>
      <c r="AM336" s="19"/>
      <c r="AN336" s="19"/>
      <c r="AO336" s="19"/>
      <c r="AP336" s="6">
        <f t="shared" si="75"/>
        <v>100</v>
      </c>
      <c r="AQ336" s="19"/>
      <c r="AR336" s="19"/>
      <c r="AS336" s="19"/>
      <c r="AT336" s="6">
        <f t="shared" si="76"/>
        <v>100</v>
      </c>
    </row>
    <row r="337" spans="1:46">
      <c r="A337" s="4">
        <v>46151</v>
      </c>
      <c r="B337" s="257"/>
      <c r="C337" s="7"/>
      <c r="D337" s="7"/>
      <c r="E337" s="7"/>
      <c r="F337" s="6">
        <f t="shared" ref="F337:F400" si="77">100-SUM(C337:E337)</f>
        <v>100</v>
      </c>
      <c r="G337" s="8"/>
      <c r="H337" s="8"/>
      <c r="I337" s="8"/>
      <c r="J337" s="6">
        <f t="shared" ref="J337:J400" si="78">100-SUM(G337:I337)</f>
        <v>100</v>
      </c>
      <c r="K337" s="19"/>
      <c r="L337" s="19"/>
      <c r="M337" s="19"/>
      <c r="N337" s="6">
        <f t="shared" ref="N337:N400" si="79">100-SUM(K337:M337)</f>
        <v>100</v>
      </c>
      <c r="O337" s="19"/>
      <c r="P337" s="19"/>
      <c r="Q337" s="19"/>
      <c r="R337" s="6">
        <f t="shared" ref="R337:R400" si="80">100-SUM(O337:Q337)</f>
        <v>100</v>
      </c>
      <c r="S337" s="8"/>
      <c r="T337" s="8"/>
      <c r="U337" s="8"/>
      <c r="V337" s="6">
        <f t="shared" ref="V337:V400" si="81">100-SUM(S337:U337)</f>
        <v>100</v>
      </c>
      <c r="W337" s="8"/>
      <c r="X337" s="8"/>
      <c r="Y337" s="8"/>
      <c r="Z337" s="6">
        <f t="shared" ref="Z337:Z400" si="82">100-SUM(W337:Y337)</f>
        <v>100</v>
      </c>
      <c r="AA337" s="19"/>
      <c r="AB337" s="19"/>
      <c r="AC337" s="19"/>
      <c r="AD337" s="6">
        <f t="shared" ref="AD337:AD400" si="83">100-SUM(AA337:AC337)</f>
        <v>100</v>
      </c>
      <c r="AE337" s="19"/>
      <c r="AF337" s="19"/>
      <c r="AG337" s="19"/>
      <c r="AH337" s="6">
        <f t="shared" ref="AH337:AH400" si="84">100-SUM(AE337:AG337)</f>
        <v>100</v>
      </c>
      <c r="AI337" s="19"/>
      <c r="AJ337" s="19"/>
      <c r="AK337" s="19"/>
      <c r="AL337" s="6">
        <f t="shared" ref="AL337:AL400" si="85">100-SUM(AI337:AK337)</f>
        <v>100</v>
      </c>
      <c r="AM337" s="19"/>
      <c r="AN337" s="19"/>
      <c r="AO337" s="19"/>
      <c r="AP337" s="6">
        <f t="shared" ref="AP337:AP400" si="86">100-SUM(AM337:AO337)</f>
        <v>100</v>
      </c>
      <c r="AQ337" s="19"/>
      <c r="AR337" s="19"/>
      <c r="AS337" s="19"/>
      <c r="AT337" s="6">
        <f t="shared" ref="AT337:AT400" si="87">100-SUM(AQ337:AS337)</f>
        <v>100</v>
      </c>
    </row>
    <row r="338" spans="1:46">
      <c r="A338" s="70">
        <v>46152</v>
      </c>
      <c r="B338" s="257"/>
      <c r="C338" s="7"/>
      <c r="D338" s="7"/>
      <c r="E338" s="7"/>
      <c r="F338" s="6">
        <f t="shared" si="77"/>
        <v>100</v>
      </c>
      <c r="G338" s="8"/>
      <c r="H338" s="8"/>
      <c r="I338" s="8"/>
      <c r="J338" s="6">
        <f t="shared" si="78"/>
        <v>100</v>
      </c>
      <c r="K338" s="19"/>
      <c r="L338" s="19"/>
      <c r="M338" s="19"/>
      <c r="N338" s="6">
        <f t="shared" si="79"/>
        <v>100</v>
      </c>
      <c r="O338" s="19"/>
      <c r="P338" s="19"/>
      <c r="Q338" s="19"/>
      <c r="R338" s="6">
        <f t="shared" si="80"/>
        <v>100</v>
      </c>
      <c r="S338" s="8"/>
      <c r="T338" s="8"/>
      <c r="U338" s="8"/>
      <c r="V338" s="6">
        <f t="shared" si="81"/>
        <v>100</v>
      </c>
      <c r="W338" s="8"/>
      <c r="X338" s="8"/>
      <c r="Y338" s="8"/>
      <c r="Z338" s="6">
        <f t="shared" si="82"/>
        <v>100</v>
      </c>
      <c r="AA338" s="19"/>
      <c r="AB338" s="19"/>
      <c r="AC338" s="19"/>
      <c r="AD338" s="6">
        <f t="shared" si="83"/>
        <v>100</v>
      </c>
      <c r="AE338" s="19"/>
      <c r="AF338" s="19"/>
      <c r="AG338" s="19"/>
      <c r="AH338" s="6">
        <f t="shared" si="84"/>
        <v>100</v>
      </c>
      <c r="AI338" s="19"/>
      <c r="AJ338" s="19"/>
      <c r="AK338" s="19"/>
      <c r="AL338" s="6">
        <f t="shared" si="85"/>
        <v>100</v>
      </c>
      <c r="AM338" s="19"/>
      <c r="AN338" s="19"/>
      <c r="AO338" s="19"/>
      <c r="AP338" s="6">
        <f t="shared" si="86"/>
        <v>100</v>
      </c>
      <c r="AQ338" s="19"/>
      <c r="AR338" s="19"/>
      <c r="AS338" s="19"/>
      <c r="AT338" s="6">
        <f t="shared" si="87"/>
        <v>100</v>
      </c>
    </row>
    <row r="339" spans="1:46">
      <c r="A339" s="4">
        <v>46153</v>
      </c>
      <c r="B339" s="257"/>
      <c r="C339" s="7"/>
      <c r="D339" s="7"/>
      <c r="E339" s="7"/>
      <c r="F339" s="6">
        <f t="shared" si="77"/>
        <v>100</v>
      </c>
      <c r="G339" s="8"/>
      <c r="H339" s="8"/>
      <c r="I339" s="8"/>
      <c r="J339" s="6">
        <f t="shared" si="78"/>
        <v>100</v>
      </c>
      <c r="K339" s="19"/>
      <c r="L339" s="19"/>
      <c r="M339" s="19"/>
      <c r="N339" s="6">
        <f t="shared" si="79"/>
        <v>100</v>
      </c>
      <c r="O339" s="19"/>
      <c r="P339" s="19"/>
      <c r="Q339" s="19"/>
      <c r="R339" s="6">
        <f t="shared" si="80"/>
        <v>100</v>
      </c>
      <c r="S339" s="8"/>
      <c r="T339" s="8"/>
      <c r="U339" s="8"/>
      <c r="V339" s="6">
        <f t="shared" si="81"/>
        <v>100</v>
      </c>
      <c r="W339" s="8"/>
      <c r="X339" s="8"/>
      <c r="Y339" s="8"/>
      <c r="Z339" s="6">
        <f t="shared" si="82"/>
        <v>100</v>
      </c>
      <c r="AA339" s="19"/>
      <c r="AB339" s="19"/>
      <c r="AC339" s="19"/>
      <c r="AD339" s="6">
        <f t="shared" si="83"/>
        <v>100</v>
      </c>
      <c r="AE339" s="19"/>
      <c r="AF339" s="19"/>
      <c r="AG339" s="19"/>
      <c r="AH339" s="6">
        <f t="shared" si="84"/>
        <v>100</v>
      </c>
      <c r="AI339" s="19"/>
      <c r="AJ339" s="19"/>
      <c r="AK339" s="19"/>
      <c r="AL339" s="6">
        <f t="shared" si="85"/>
        <v>100</v>
      </c>
      <c r="AM339" s="19"/>
      <c r="AN339" s="19"/>
      <c r="AO339" s="19"/>
      <c r="AP339" s="6">
        <f t="shared" si="86"/>
        <v>100</v>
      </c>
      <c r="AQ339" s="19"/>
      <c r="AR339" s="19"/>
      <c r="AS339" s="19"/>
      <c r="AT339" s="6">
        <f t="shared" si="87"/>
        <v>100</v>
      </c>
    </row>
    <row r="340" spans="1:46">
      <c r="A340" s="4">
        <v>46154</v>
      </c>
      <c r="B340" s="257"/>
      <c r="C340" s="7"/>
      <c r="D340" s="7"/>
      <c r="E340" s="7"/>
      <c r="F340" s="6">
        <f t="shared" si="77"/>
        <v>100</v>
      </c>
      <c r="G340" s="8"/>
      <c r="H340" s="8"/>
      <c r="I340" s="8"/>
      <c r="J340" s="6">
        <f t="shared" si="78"/>
        <v>100</v>
      </c>
      <c r="K340" s="19"/>
      <c r="L340" s="19"/>
      <c r="M340" s="19"/>
      <c r="N340" s="6">
        <f t="shared" si="79"/>
        <v>100</v>
      </c>
      <c r="O340" s="19"/>
      <c r="P340" s="19"/>
      <c r="Q340" s="19"/>
      <c r="R340" s="6">
        <f t="shared" si="80"/>
        <v>100</v>
      </c>
      <c r="S340" s="8"/>
      <c r="T340" s="8"/>
      <c r="U340" s="8"/>
      <c r="V340" s="6">
        <f t="shared" si="81"/>
        <v>100</v>
      </c>
      <c r="W340" s="8"/>
      <c r="X340" s="8"/>
      <c r="Y340" s="8"/>
      <c r="Z340" s="6">
        <f t="shared" si="82"/>
        <v>100</v>
      </c>
      <c r="AA340" s="19"/>
      <c r="AB340" s="19"/>
      <c r="AC340" s="19"/>
      <c r="AD340" s="6">
        <f t="shared" si="83"/>
        <v>100</v>
      </c>
      <c r="AE340" s="19"/>
      <c r="AF340" s="19"/>
      <c r="AG340" s="19"/>
      <c r="AH340" s="6">
        <f t="shared" si="84"/>
        <v>100</v>
      </c>
      <c r="AI340" s="19"/>
      <c r="AJ340" s="19"/>
      <c r="AK340" s="19"/>
      <c r="AL340" s="6">
        <f t="shared" si="85"/>
        <v>100</v>
      </c>
      <c r="AM340" s="19"/>
      <c r="AN340" s="19"/>
      <c r="AO340" s="19"/>
      <c r="AP340" s="6">
        <f t="shared" si="86"/>
        <v>100</v>
      </c>
      <c r="AQ340" s="19"/>
      <c r="AR340" s="19"/>
      <c r="AS340" s="19"/>
      <c r="AT340" s="6">
        <f t="shared" si="87"/>
        <v>100</v>
      </c>
    </row>
    <row r="341" spans="1:46">
      <c r="A341" s="4">
        <v>46155</v>
      </c>
      <c r="B341" s="257"/>
      <c r="C341" s="7"/>
      <c r="D341" s="7"/>
      <c r="E341" s="7"/>
      <c r="F341" s="6">
        <f t="shared" si="77"/>
        <v>100</v>
      </c>
      <c r="G341" s="8"/>
      <c r="H341" s="8"/>
      <c r="I341" s="8"/>
      <c r="J341" s="6">
        <f t="shared" si="78"/>
        <v>100</v>
      </c>
      <c r="K341" s="19"/>
      <c r="L341" s="19"/>
      <c r="M341" s="19"/>
      <c r="N341" s="6">
        <f t="shared" si="79"/>
        <v>100</v>
      </c>
      <c r="O341" s="19"/>
      <c r="P341" s="19"/>
      <c r="Q341" s="19"/>
      <c r="R341" s="6">
        <f t="shared" si="80"/>
        <v>100</v>
      </c>
      <c r="S341" s="8"/>
      <c r="T341" s="8"/>
      <c r="U341" s="8"/>
      <c r="V341" s="6">
        <f t="shared" si="81"/>
        <v>100</v>
      </c>
      <c r="W341" s="8"/>
      <c r="X341" s="8"/>
      <c r="Y341" s="8"/>
      <c r="Z341" s="6">
        <f t="shared" si="82"/>
        <v>100</v>
      </c>
      <c r="AA341" s="19"/>
      <c r="AB341" s="19"/>
      <c r="AC341" s="19"/>
      <c r="AD341" s="6">
        <f t="shared" si="83"/>
        <v>100</v>
      </c>
      <c r="AE341" s="19"/>
      <c r="AF341" s="19"/>
      <c r="AG341" s="19"/>
      <c r="AH341" s="6">
        <f t="shared" si="84"/>
        <v>100</v>
      </c>
      <c r="AI341" s="19"/>
      <c r="AJ341" s="19"/>
      <c r="AK341" s="19"/>
      <c r="AL341" s="6">
        <f t="shared" si="85"/>
        <v>100</v>
      </c>
      <c r="AM341" s="19"/>
      <c r="AN341" s="19"/>
      <c r="AO341" s="19"/>
      <c r="AP341" s="6">
        <f t="shared" si="86"/>
        <v>100</v>
      </c>
      <c r="AQ341" s="19"/>
      <c r="AR341" s="19"/>
      <c r="AS341" s="19"/>
      <c r="AT341" s="6">
        <f t="shared" si="87"/>
        <v>100</v>
      </c>
    </row>
    <row r="342" spans="1:46">
      <c r="A342" s="4">
        <v>46156</v>
      </c>
      <c r="B342" s="257"/>
      <c r="C342" s="7"/>
      <c r="D342" s="7"/>
      <c r="E342" s="7"/>
      <c r="F342" s="6">
        <f t="shared" si="77"/>
        <v>100</v>
      </c>
      <c r="G342" s="8"/>
      <c r="H342" s="8"/>
      <c r="I342" s="8"/>
      <c r="J342" s="6">
        <f t="shared" si="78"/>
        <v>100</v>
      </c>
      <c r="K342" s="19"/>
      <c r="L342" s="19"/>
      <c r="M342" s="19"/>
      <c r="N342" s="6">
        <f t="shared" si="79"/>
        <v>100</v>
      </c>
      <c r="O342" s="19"/>
      <c r="P342" s="19"/>
      <c r="Q342" s="19"/>
      <c r="R342" s="6">
        <f t="shared" si="80"/>
        <v>100</v>
      </c>
      <c r="S342" s="8"/>
      <c r="T342" s="8"/>
      <c r="U342" s="8"/>
      <c r="V342" s="6">
        <f t="shared" si="81"/>
        <v>100</v>
      </c>
      <c r="W342" s="8"/>
      <c r="X342" s="8"/>
      <c r="Y342" s="8"/>
      <c r="Z342" s="6">
        <f t="shared" si="82"/>
        <v>100</v>
      </c>
      <c r="AA342" s="19"/>
      <c r="AB342" s="19"/>
      <c r="AC342" s="19"/>
      <c r="AD342" s="6">
        <f t="shared" si="83"/>
        <v>100</v>
      </c>
      <c r="AE342" s="19"/>
      <c r="AF342" s="19"/>
      <c r="AG342" s="19"/>
      <c r="AH342" s="6">
        <f t="shared" si="84"/>
        <v>100</v>
      </c>
      <c r="AI342" s="19"/>
      <c r="AJ342" s="19"/>
      <c r="AK342" s="19"/>
      <c r="AL342" s="6">
        <f t="shared" si="85"/>
        <v>100</v>
      </c>
      <c r="AM342" s="19"/>
      <c r="AN342" s="19"/>
      <c r="AO342" s="19"/>
      <c r="AP342" s="6">
        <f t="shared" si="86"/>
        <v>100</v>
      </c>
      <c r="AQ342" s="19"/>
      <c r="AR342" s="19"/>
      <c r="AS342" s="19"/>
      <c r="AT342" s="6">
        <f t="shared" si="87"/>
        <v>100</v>
      </c>
    </row>
    <row r="343" spans="1:46">
      <c r="A343" s="4">
        <v>46157</v>
      </c>
      <c r="B343" s="257"/>
      <c r="C343" s="7"/>
      <c r="D343" s="7"/>
      <c r="E343" s="7"/>
      <c r="F343" s="6">
        <f t="shared" si="77"/>
        <v>100</v>
      </c>
      <c r="G343" s="8"/>
      <c r="H343" s="8"/>
      <c r="I343" s="8"/>
      <c r="J343" s="6">
        <f t="shared" si="78"/>
        <v>100</v>
      </c>
      <c r="K343" s="19"/>
      <c r="L343" s="19"/>
      <c r="M343" s="19"/>
      <c r="N343" s="6">
        <f t="shared" si="79"/>
        <v>100</v>
      </c>
      <c r="O343" s="19"/>
      <c r="P343" s="19"/>
      <c r="Q343" s="19"/>
      <c r="R343" s="6">
        <f t="shared" si="80"/>
        <v>100</v>
      </c>
      <c r="S343" s="8"/>
      <c r="T343" s="8"/>
      <c r="U343" s="8"/>
      <c r="V343" s="6">
        <f t="shared" si="81"/>
        <v>100</v>
      </c>
      <c r="W343" s="8"/>
      <c r="X343" s="8"/>
      <c r="Y343" s="8"/>
      <c r="Z343" s="6">
        <f t="shared" si="82"/>
        <v>100</v>
      </c>
      <c r="AA343" s="19"/>
      <c r="AB343" s="19"/>
      <c r="AC343" s="19"/>
      <c r="AD343" s="6">
        <f t="shared" si="83"/>
        <v>100</v>
      </c>
      <c r="AE343" s="19"/>
      <c r="AF343" s="19"/>
      <c r="AG343" s="19"/>
      <c r="AH343" s="6">
        <f t="shared" si="84"/>
        <v>100</v>
      </c>
      <c r="AI343" s="19"/>
      <c r="AJ343" s="19"/>
      <c r="AK343" s="19"/>
      <c r="AL343" s="6">
        <f t="shared" si="85"/>
        <v>100</v>
      </c>
      <c r="AM343" s="19"/>
      <c r="AN343" s="19"/>
      <c r="AO343" s="19"/>
      <c r="AP343" s="6">
        <f t="shared" si="86"/>
        <v>100</v>
      </c>
      <c r="AQ343" s="19"/>
      <c r="AR343" s="19"/>
      <c r="AS343" s="19"/>
      <c r="AT343" s="6">
        <f t="shared" si="87"/>
        <v>100</v>
      </c>
    </row>
    <row r="344" spans="1:46">
      <c r="A344" s="4">
        <v>46158</v>
      </c>
      <c r="B344" s="257"/>
      <c r="C344" s="7"/>
      <c r="D344" s="7"/>
      <c r="E344" s="7"/>
      <c r="F344" s="6">
        <f t="shared" si="77"/>
        <v>100</v>
      </c>
      <c r="G344" s="8"/>
      <c r="H344" s="8"/>
      <c r="I344" s="8"/>
      <c r="J344" s="6">
        <f t="shared" si="78"/>
        <v>100</v>
      </c>
      <c r="K344" s="19"/>
      <c r="L344" s="19"/>
      <c r="M344" s="19"/>
      <c r="N344" s="6">
        <f t="shared" si="79"/>
        <v>100</v>
      </c>
      <c r="O344" s="19"/>
      <c r="P344" s="19"/>
      <c r="Q344" s="19"/>
      <c r="R344" s="6">
        <f t="shared" si="80"/>
        <v>100</v>
      </c>
      <c r="S344" s="8"/>
      <c r="T344" s="8"/>
      <c r="U344" s="8"/>
      <c r="V344" s="6">
        <f t="shared" si="81"/>
        <v>100</v>
      </c>
      <c r="W344" s="8"/>
      <c r="X344" s="8"/>
      <c r="Y344" s="8"/>
      <c r="Z344" s="6">
        <f t="shared" si="82"/>
        <v>100</v>
      </c>
      <c r="AA344" s="19"/>
      <c r="AB344" s="19"/>
      <c r="AC344" s="19"/>
      <c r="AD344" s="6">
        <f t="shared" si="83"/>
        <v>100</v>
      </c>
      <c r="AE344" s="19"/>
      <c r="AF344" s="19"/>
      <c r="AG344" s="19"/>
      <c r="AH344" s="6">
        <f t="shared" si="84"/>
        <v>100</v>
      </c>
      <c r="AI344" s="19"/>
      <c r="AJ344" s="19"/>
      <c r="AK344" s="19"/>
      <c r="AL344" s="6">
        <f t="shared" si="85"/>
        <v>100</v>
      </c>
      <c r="AM344" s="19"/>
      <c r="AN344" s="19"/>
      <c r="AO344" s="19"/>
      <c r="AP344" s="6">
        <f t="shared" si="86"/>
        <v>100</v>
      </c>
      <c r="AQ344" s="19"/>
      <c r="AR344" s="19"/>
      <c r="AS344" s="19"/>
      <c r="AT344" s="6">
        <f t="shared" si="87"/>
        <v>100</v>
      </c>
    </row>
    <row r="345" spans="1:46">
      <c r="A345" s="4">
        <v>46159</v>
      </c>
      <c r="B345" s="257"/>
      <c r="C345" s="7"/>
      <c r="D345" s="7"/>
      <c r="E345" s="7"/>
      <c r="F345" s="6">
        <f t="shared" si="77"/>
        <v>100</v>
      </c>
      <c r="G345" s="8"/>
      <c r="H345" s="8"/>
      <c r="I345" s="8"/>
      <c r="J345" s="6">
        <f t="shared" si="78"/>
        <v>100</v>
      </c>
      <c r="K345" s="19"/>
      <c r="L345" s="19"/>
      <c r="M345" s="19"/>
      <c r="N345" s="6">
        <f t="shared" si="79"/>
        <v>100</v>
      </c>
      <c r="O345" s="19"/>
      <c r="P345" s="19"/>
      <c r="Q345" s="19"/>
      <c r="R345" s="6">
        <f t="shared" si="80"/>
        <v>100</v>
      </c>
      <c r="S345" s="8"/>
      <c r="T345" s="8"/>
      <c r="U345" s="8"/>
      <c r="V345" s="6">
        <f t="shared" si="81"/>
        <v>100</v>
      </c>
      <c r="W345" s="8"/>
      <c r="X345" s="8"/>
      <c r="Y345" s="8"/>
      <c r="Z345" s="6">
        <f t="shared" si="82"/>
        <v>100</v>
      </c>
      <c r="AA345" s="19"/>
      <c r="AB345" s="19"/>
      <c r="AC345" s="19"/>
      <c r="AD345" s="6">
        <f t="shared" si="83"/>
        <v>100</v>
      </c>
      <c r="AE345" s="19"/>
      <c r="AF345" s="19"/>
      <c r="AG345" s="19"/>
      <c r="AH345" s="6">
        <f t="shared" si="84"/>
        <v>100</v>
      </c>
      <c r="AI345" s="19"/>
      <c r="AJ345" s="19"/>
      <c r="AK345" s="19"/>
      <c r="AL345" s="6">
        <f t="shared" si="85"/>
        <v>100</v>
      </c>
      <c r="AM345" s="19"/>
      <c r="AN345" s="19"/>
      <c r="AO345" s="19"/>
      <c r="AP345" s="6">
        <f t="shared" si="86"/>
        <v>100</v>
      </c>
      <c r="AQ345" s="19"/>
      <c r="AR345" s="19"/>
      <c r="AS345" s="19"/>
      <c r="AT345" s="6">
        <f t="shared" si="87"/>
        <v>100</v>
      </c>
    </row>
    <row r="346" spans="1:46">
      <c r="A346" s="4">
        <v>46160</v>
      </c>
      <c r="B346" s="257"/>
      <c r="C346" s="7"/>
      <c r="D346" s="7"/>
      <c r="E346" s="7"/>
      <c r="F346" s="6">
        <f t="shared" si="77"/>
        <v>100</v>
      </c>
      <c r="G346" s="8"/>
      <c r="H346" s="8"/>
      <c r="I346" s="8"/>
      <c r="J346" s="6">
        <f t="shared" si="78"/>
        <v>100</v>
      </c>
      <c r="K346" s="19"/>
      <c r="L346" s="19"/>
      <c r="M346" s="19"/>
      <c r="N346" s="6">
        <f t="shared" si="79"/>
        <v>100</v>
      </c>
      <c r="O346" s="19"/>
      <c r="P346" s="19"/>
      <c r="Q346" s="19"/>
      <c r="R346" s="6">
        <f t="shared" si="80"/>
        <v>100</v>
      </c>
      <c r="S346" s="8"/>
      <c r="T346" s="8"/>
      <c r="U346" s="8"/>
      <c r="V346" s="6">
        <f t="shared" si="81"/>
        <v>100</v>
      </c>
      <c r="W346" s="8"/>
      <c r="X346" s="8"/>
      <c r="Y346" s="8"/>
      <c r="Z346" s="6">
        <f t="shared" si="82"/>
        <v>100</v>
      </c>
      <c r="AA346" s="19"/>
      <c r="AB346" s="19"/>
      <c r="AC346" s="19"/>
      <c r="AD346" s="6">
        <f t="shared" si="83"/>
        <v>100</v>
      </c>
      <c r="AE346" s="19"/>
      <c r="AF346" s="19"/>
      <c r="AG346" s="19"/>
      <c r="AH346" s="6">
        <f t="shared" si="84"/>
        <v>100</v>
      </c>
      <c r="AI346" s="19"/>
      <c r="AJ346" s="19"/>
      <c r="AK346" s="19"/>
      <c r="AL346" s="6">
        <f t="shared" si="85"/>
        <v>100</v>
      </c>
      <c r="AM346" s="19"/>
      <c r="AN346" s="19"/>
      <c r="AO346" s="19"/>
      <c r="AP346" s="6">
        <f t="shared" si="86"/>
        <v>100</v>
      </c>
      <c r="AQ346" s="19"/>
      <c r="AR346" s="19"/>
      <c r="AS346" s="19"/>
      <c r="AT346" s="6">
        <f t="shared" si="87"/>
        <v>100</v>
      </c>
    </row>
    <row r="347" spans="1:46">
      <c r="A347" s="4">
        <v>46161</v>
      </c>
      <c r="B347" s="257"/>
      <c r="C347" s="7"/>
      <c r="D347" s="7"/>
      <c r="E347" s="7"/>
      <c r="F347" s="6">
        <f t="shared" si="77"/>
        <v>100</v>
      </c>
      <c r="G347" s="8"/>
      <c r="H347" s="8"/>
      <c r="I347" s="8"/>
      <c r="J347" s="6">
        <f t="shared" si="78"/>
        <v>100</v>
      </c>
      <c r="K347" s="19"/>
      <c r="L347" s="19"/>
      <c r="M347" s="19"/>
      <c r="N347" s="6">
        <f t="shared" si="79"/>
        <v>100</v>
      </c>
      <c r="O347" s="19"/>
      <c r="P347" s="19"/>
      <c r="Q347" s="19"/>
      <c r="R347" s="6">
        <f t="shared" si="80"/>
        <v>100</v>
      </c>
      <c r="S347" s="8"/>
      <c r="T347" s="8"/>
      <c r="U347" s="8"/>
      <c r="V347" s="6">
        <f t="shared" si="81"/>
        <v>100</v>
      </c>
      <c r="W347" s="8"/>
      <c r="X347" s="8"/>
      <c r="Y347" s="8"/>
      <c r="Z347" s="6">
        <f t="shared" si="82"/>
        <v>100</v>
      </c>
      <c r="AA347" s="19"/>
      <c r="AB347" s="19"/>
      <c r="AC347" s="19"/>
      <c r="AD347" s="6">
        <f t="shared" si="83"/>
        <v>100</v>
      </c>
      <c r="AE347" s="19"/>
      <c r="AF347" s="19"/>
      <c r="AG347" s="19"/>
      <c r="AH347" s="6">
        <f t="shared" si="84"/>
        <v>100</v>
      </c>
      <c r="AI347" s="19"/>
      <c r="AJ347" s="19"/>
      <c r="AK347" s="19"/>
      <c r="AL347" s="6">
        <f t="shared" si="85"/>
        <v>100</v>
      </c>
      <c r="AM347" s="19"/>
      <c r="AN347" s="19"/>
      <c r="AO347" s="19"/>
      <c r="AP347" s="6">
        <f t="shared" si="86"/>
        <v>100</v>
      </c>
      <c r="AQ347" s="19"/>
      <c r="AR347" s="19"/>
      <c r="AS347" s="19"/>
      <c r="AT347" s="6">
        <f t="shared" si="87"/>
        <v>100</v>
      </c>
    </row>
    <row r="348" spans="1:46">
      <c r="A348" s="70">
        <v>46162</v>
      </c>
      <c r="B348" s="257"/>
      <c r="C348" s="7"/>
      <c r="D348" s="7"/>
      <c r="E348" s="7"/>
      <c r="F348" s="6">
        <f t="shared" si="77"/>
        <v>100</v>
      </c>
      <c r="G348" s="8"/>
      <c r="H348" s="8"/>
      <c r="I348" s="8"/>
      <c r="J348" s="6">
        <f t="shared" si="78"/>
        <v>100</v>
      </c>
      <c r="K348" s="19"/>
      <c r="L348" s="19"/>
      <c r="M348" s="19"/>
      <c r="N348" s="6">
        <f t="shared" si="79"/>
        <v>100</v>
      </c>
      <c r="O348" s="19"/>
      <c r="P348" s="19"/>
      <c r="Q348" s="19"/>
      <c r="R348" s="6">
        <f t="shared" si="80"/>
        <v>100</v>
      </c>
      <c r="S348" s="8"/>
      <c r="T348" s="8"/>
      <c r="U348" s="8"/>
      <c r="V348" s="6">
        <f t="shared" si="81"/>
        <v>100</v>
      </c>
      <c r="W348" s="8"/>
      <c r="X348" s="8"/>
      <c r="Y348" s="8"/>
      <c r="Z348" s="6">
        <f t="shared" si="82"/>
        <v>100</v>
      </c>
      <c r="AA348" s="19"/>
      <c r="AB348" s="19"/>
      <c r="AC348" s="19"/>
      <c r="AD348" s="6">
        <f t="shared" si="83"/>
        <v>100</v>
      </c>
      <c r="AE348" s="19"/>
      <c r="AF348" s="19"/>
      <c r="AG348" s="19"/>
      <c r="AH348" s="6">
        <f t="shared" si="84"/>
        <v>100</v>
      </c>
      <c r="AI348" s="19"/>
      <c r="AJ348" s="19"/>
      <c r="AK348" s="19"/>
      <c r="AL348" s="6">
        <f t="shared" si="85"/>
        <v>100</v>
      </c>
      <c r="AM348" s="19"/>
      <c r="AN348" s="19"/>
      <c r="AO348" s="19"/>
      <c r="AP348" s="6">
        <f t="shared" si="86"/>
        <v>100</v>
      </c>
      <c r="AQ348" s="19"/>
      <c r="AR348" s="19"/>
      <c r="AS348" s="19"/>
      <c r="AT348" s="6">
        <f t="shared" si="87"/>
        <v>100</v>
      </c>
    </row>
    <row r="349" spans="1:46">
      <c r="A349" s="4">
        <v>46163</v>
      </c>
      <c r="B349" s="257"/>
      <c r="C349" s="7"/>
      <c r="D349" s="7"/>
      <c r="E349" s="7"/>
      <c r="F349" s="6">
        <f t="shared" si="77"/>
        <v>100</v>
      </c>
      <c r="G349" s="8"/>
      <c r="H349" s="8"/>
      <c r="I349" s="8"/>
      <c r="J349" s="6">
        <f t="shared" si="78"/>
        <v>100</v>
      </c>
      <c r="K349" s="19"/>
      <c r="L349" s="19"/>
      <c r="M349" s="19"/>
      <c r="N349" s="6">
        <f t="shared" si="79"/>
        <v>100</v>
      </c>
      <c r="O349" s="19"/>
      <c r="P349" s="19"/>
      <c r="Q349" s="19"/>
      <c r="R349" s="6">
        <f t="shared" si="80"/>
        <v>100</v>
      </c>
      <c r="S349" s="8"/>
      <c r="T349" s="8"/>
      <c r="U349" s="8"/>
      <c r="V349" s="6">
        <f t="shared" si="81"/>
        <v>100</v>
      </c>
      <c r="W349" s="8"/>
      <c r="X349" s="8"/>
      <c r="Y349" s="8"/>
      <c r="Z349" s="6">
        <f t="shared" si="82"/>
        <v>100</v>
      </c>
      <c r="AA349" s="19"/>
      <c r="AB349" s="19"/>
      <c r="AC349" s="19"/>
      <c r="AD349" s="6">
        <f t="shared" si="83"/>
        <v>100</v>
      </c>
      <c r="AE349" s="19"/>
      <c r="AF349" s="19"/>
      <c r="AG349" s="19"/>
      <c r="AH349" s="6">
        <f t="shared" si="84"/>
        <v>100</v>
      </c>
      <c r="AI349" s="19"/>
      <c r="AJ349" s="19"/>
      <c r="AK349" s="19"/>
      <c r="AL349" s="6">
        <f t="shared" si="85"/>
        <v>100</v>
      </c>
      <c r="AM349" s="19"/>
      <c r="AN349" s="19"/>
      <c r="AO349" s="19"/>
      <c r="AP349" s="6">
        <f t="shared" si="86"/>
        <v>100</v>
      </c>
      <c r="AQ349" s="19"/>
      <c r="AR349" s="19"/>
      <c r="AS349" s="19"/>
      <c r="AT349" s="6">
        <f t="shared" si="87"/>
        <v>100</v>
      </c>
    </row>
    <row r="350" spans="1:46">
      <c r="A350" s="4">
        <v>46164</v>
      </c>
      <c r="B350" s="257"/>
      <c r="C350" s="7"/>
      <c r="D350" s="7"/>
      <c r="E350" s="7"/>
      <c r="F350" s="6">
        <f t="shared" si="77"/>
        <v>100</v>
      </c>
      <c r="G350" s="8"/>
      <c r="H350" s="8"/>
      <c r="I350" s="8"/>
      <c r="J350" s="6">
        <f t="shared" si="78"/>
        <v>100</v>
      </c>
      <c r="K350" s="19"/>
      <c r="L350" s="19"/>
      <c r="M350" s="19"/>
      <c r="N350" s="6">
        <f t="shared" si="79"/>
        <v>100</v>
      </c>
      <c r="O350" s="19"/>
      <c r="P350" s="19"/>
      <c r="Q350" s="19"/>
      <c r="R350" s="6">
        <f t="shared" si="80"/>
        <v>100</v>
      </c>
      <c r="S350" s="8"/>
      <c r="T350" s="8"/>
      <c r="U350" s="8"/>
      <c r="V350" s="6">
        <f t="shared" si="81"/>
        <v>100</v>
      </c>
      <c r="W350" s="8"/>
      <c r="X350" s="8"/>
      <c r="Y350" s="8"/>
      <c r="Z350" s="6">
        <f t="shared" si="82"/>
        <v>100</v>
      </c>
      <c r="AA350" s="19"/>
      <c r="AB350" s="19"/>
      <c r="AC350" s="19"/>
      <c r="AD350" s="6">
        <f t="shared" si="83"/>
        <v>100</v>
      </c>
      <c r="AE350" s="19"/>
      <c r="AF350" s="19"/>
      <c r="AG350" s="19"/>
      <c r="AH350" s="6">
        <f t="shared" si="84"/>
        <v>100</v>
      </c>
      <c r="AI350" s="19"/>
      <c r="AJ350" s="19"/>
      <c r="AK350" s="19"/>
      <c r="AL350" s="6">
        <f t="shared" si="85"/>
        <v>100</v>
      </c>
      <c r="AM350" s="19"/>
      <c r="AN350" s="19"/>
      <c r="AO350" s="19"/>
      <c r="AP350" s="6">
        <f t="shared" si="86"/>
        <v>100</v>
      </c>
      <c r="AQ350" s="19"/>
      <c r="AR350" s="19"/>
      <c r="AS350" s="19"/>
      <c r="AT350" s="6">
        <f t="shared" si="87"/>
        <v>100</v>
      </c>
    </row>
    <row r="351" spans="1:46">
      <c r="A351" s="4">
        <v>46165</v>
      </c>
      <c r="B351" s="257"/>
      <c r="C351" s="7"/>
      <c r="D351" s="7"/>
      <c r="E351" s="7"/>
      <c r="F351" s="6">
        <f t="shared" si="77"/>
        <v>100</v>
      </c>
      <c r="G351" s="8"/>
      <c r="H351" s="8"/>
      <c r="I351" s="8"/>
      <c r="J351" s="6">
        <f t="shared" si="78"/>
        <v>100</v>
      </c>
      <c r="K351" s="19"/>
      <c r="L351" s="19"/>
      <c r="M351" s="19"/>
      <c r="N351" s="6">
        <f t="shared" si="79"/>
        <v>100</v>
      </c>
      <c r="O351" s="19"/>
      <c r="P351" s="19"/>
      <c r="Q351" s="19"/>
      <c r="R351" s="6">
        <f t="shared" si="80"/>
        <v>100</v>
      </c>
      <c r="S351" s="8"/>
      <c r="T351" s="8"/>
      <c r="U351" s="8"/>
      <c r="V351" s="6">
        <f t="shared" si="81"/>
        <v>100</v>
      </c>
      <c r="W351" s="8"/>
      <c r="X351" s="8"/>
      <c r="Y351" s="8"/>
      <c r="Z351" s="6">
        <f t="shared" si="82"/>
        <v>100</v>
      </c>
      <c r="AA351" s="19"/>
      <c r="AB351" s="19"/>
      <c r="AC351" s="19"/>
      <c r="AD351" s="6">
        <f t="shared" si="83"/>
        <v>100</v>
      </c>
      <c r="AE351" s="19"/>
      <c r="AF351" s="19"/>
      <c r="AG351" s="19"/>
      <c r="AH351" s="6">
        <f t="shared" si="84"/>
        <v>100</v>
      </c>
      <c r="AI351" s="19"/>
      <c r="AJ351" s="19"/>
      <c r="AK351" s="19"/>
      <c r="AL351" s="6">
        <f t="shared" si="85"/>
        <v>100</v>
      </c>
      <c r="AM351" s="19"/>
      <c r="AN351" s="19"/>
      <c r="AO351" s="19"/>
      <c r="AP351" s="6">
        <f t="shared" si="86"/>
        <v>100</v>
      </c>
      <c r="AQ351" s="19"/>
      <c r="AR351" s="19"/>
      <c r="AS351" s="19"/>
      <c r="AT351" s="6">
        <f t="shared" si="87"/>
        <v>100</v>
      </c>
    </row>
    <row r="352" spans="1:46">
      <c r="A352" s="4">
        <v>46166</v>
      </c>
      <c r="B352" s="257"/>
      <c r="C352" s="7"/>
      <c r="D352" s="7"/>
      <c r="E352" s="7"/>
      <c r="F352" s="6">
        <f t="shared" si="77"/>
        <v>100</v>
      </c>
      <c r="G352" s="8"/>
      <c r="H352" s="8"/>
      <c r="I352" s="8"/>
      <c r="J352" s="6">
        <f t="shared" si="78"/>
        <v>100</v>
      </c>
      <c r="K352" s="19"/>
      <c r="L352" s="19"/>
      <c r="M352" s="19"/>
      <c r="N352" s="6">
        <f t="shared" si="79"/>
        <v>100</v>
      </c>
      <c r="O352" s="19"/>
      <c r="P352" s="19"/>
      <c r="Q352" s="19"/>
      <c r="R352" s="6">
        <f t="shared" si="80"/>
        <v>100</v>
      </c>
      <c r="S352" s="8"/>
      <c r="T352" s="8"/>
      <c r="U352" s="8"/>
      <c r="V352" s="6">
        <f t="shared" si="81"/>
        <v>100</v>
      </c>
      <c r="W352" s="8"/>
      <c r="X352" s="8"/>
      <c r="Y352" s="8"/>
      <c r="Z352" s="6">
        <f t="shared" si="82"/>
        <v>100</v>
      </c>
      <c r="AA352" s="19"/>
      <c r="AB352" s="19"/>
      <c r="AC352" s="19"/>
      <c r="AD352" s="6">
        <f t="shared" si="83"/>
        <v>100</v>
      </c>
      <c r="AE352" s="19"/>
      <c r="AF352" s="19"/>
      <c r="AG352" s="19"/>
      <c r="AH352" s="6">
        <f t="shared" si="84"/>
        <v>100</v>
      </c>
      <c r="AI352" s="19"/>
      <c r="AJ352" s="19"/>
      <c r="AK352" s="19"/>
      <c r="AL352" s="6">
        <f t="shared" si="85"/>
        <v>100</v>
      </c>
      <c r="AM352" s="19"/>
      <c r="AN352" s="19"/>
      <c r="AO352" s="19"/>
      <c r="AP352" s="6">
        <f t="shared" si="86"/>
        <v>100</v>
      </c>
      <c r="AQ352" s="19"/>
      <c r="AR352" s="19"/>
      <c r="AS352" s="19"/>
      <c r="AT352" s="6">
        <f t="shared" si="87"/>
        <v>100</v>
      </c>
    </row>
    <row r="353" spans="1:46">
      <c r="A353" s="4">
        <v>46167</v>
      </c>
      <c r="B353" s="257"/>
      <c r="C353" s="7"/>
      <c r="D353" s="7"/>
      <c r="E353" s="7"/>
      <c r="F353" s="6">
        <f t="shared" si="77"/>
        <v>100</v>
      </c>
      <c r="G353" s="8"/>
      <c r="H353" s="8"/>
      <c r="I353" s="8"/>
      <c r="J353" s="6">
        <f t="shared" si="78"/>
        <v>100</v>
      </c>
      <c r="K353" s="19"/>
      <c r="L353" s="19"/>
      <c r="M353" s="19"/>
      <c r="N353" s="6">
        <f t="shared" si="79"/>
        <v>100</v>
      </c>
      <c r="O353" s="19"/>
      <c r="P353" s="19"/>
      <c r="Q353" s="19"/>
      <c r="R353" s="6">
        <f t="shared" si="80"/>
        <v>100</v>
      </c>
      <c r="S353" s="8"/>
      <c r="T353" s="8"/>
      <c r="U353" s="8"/>
      <c r="V353" s="6">
        <f t="shared" si="81"/>
        <v>100</v>
      </c>
      <c r="W353" s="8"/>
      <c r="X353" s="8"/>
      <c r="Y353" s="8"/>
      <c r="Z353" s="6">
        <f t="shared" si="82"/>
        <v>100</v>
      </c>
      <c r="AA353" s="19"/>
      <c r="AB353" s="19"/>
      <c r="AC353" s="19"/>
      <c r="AD353" s="6">
        <f t="shared" si="83"/>
        <v>100</v>
      </c>
      <c r="AE353" s="19"/>
      <c r="AF353" s="19"/>
      <c r="AG353" s="19"/>
      <c r="AH353" s="6">
        <f t="shared" si="84"/>
        <v>100</v>
      </c>
      <c r="AI353" s="19"/>
      <c r="AJ353" s="19"/>
      <c r="AK353" s="19"/>
      <c r="AL353" s="6">
        <f t="shared" si="85"/>
        <v>100</v>
      </c>
      <c r="AM353" s="19"/>
      <c r="AN353" s="19"/>
      <c r="AO353" s="19"/>
      <c r="AP353" s="6">
        <f t="shared" si="86"/>
        <v>100</v>
      </c>
      <c r="AQ353" s="19"/>
      <c r="AR353" s="19"/>
      <c r="AS353" s="19"/>
      <c r="AT353" s="6">
        <f t="shared" si="87"/>
        <v>100</v>
      </c>
    </row>
    <row r="354" spans="1:46">
      <c r="A354" s="4">
        <v>46168</v>
      </c>
      <c r="B354" s="257"/>
      <c r="C354" s="7"/>
      <c r="D354" s="7"/>
      <c r="E354" s="7"/>
      <c r="F354" s="6">
        <f t="shared" si="77"/>
        <v>100</v>
      </c>
      <c r="G354" s="8"/>
      <c r="H354" s="8"/>
      <c r="I354" s="8"/>
      <c r="J354" s="6">
        <f t="shared" si="78"/>
        <v>100</v>
      </c>
      <c r="K354" s="19"/>
      <c r="L354" s="19"/>
      <c r="M354" s="19"/>
      <c r="N354" s="6">
        <f t="shared" si="79"/>
        <v>100</v>
      </c>
      <c r="O354" s="19"/>
      <c r="P354" s="19"/>
      <c r="Q354" s="19"/>
      <c r="R354" s="6">
        <f t="shared" si="80"/>
        <v>100</v>
      </c>
      <c r="S354" s="8"/>
      <c r="T354" s="8"/>
      <c r="U354" s="8"/>
      <c r="V354" s="6">
        <f t="shared" si="81"/>
        <v>100</v>
      </c>
      <c r="W354" s="8"/>
      <c r="X354" s="8"/>
      <c r="Y354" s="8"/>
      <c r="Z354" s="6">
        <f t="shared" si="82"/>
        <v>100</v>
      </c>
      <c r="AA354" s="19"/>
      <c r="AB354" s="19"/>
      <c r="AC354" s="19"/>
      <c r="AD354" s="6">
        <f t="shared" si="83"/>
        <v>100</v>
      </c>
      <c r="AE354" s="19"/>
      <c r="AF354" s="19"/>
      <c r="AG354" s="19"/>
      <c r="AH354" s="6">
        <f t="shared" si="84"/>
        <v>100</v>
      </c>
      <c r="AI354" s="19"/>
      <c r="AJ354" s="19"/>
      <c r="AK354" s="19"/>
      <c r="AL354" s="6">
        <f t="shared" si="85"/>
        <v>100</v>
      </c>
      <c r="AM354" s="19"/>
      <c r="AN354" s="19"/>
      <c r="AO354" s="19"/>
      <c r="AP354" s="6">
        <f t="shared" si="86"/>
        <v>100</v>
      </c>
      <c r="AQ354" s="19"/>
      <c r="AR354" s="19"/>
      <c r="AS354" s="19"/>
      <c r="AT354" s="6">
        <f t="shared" si="87"/>
        <v>100</v>
      </c>
    </row>
    <row r="355" spans="1:46">
      <c r="A355" s="4">
        <v>46169</v>
      </c>
      <c r="B355" s="257"/>
      <c r="C355" s="7"/>
      <c r="D355" s="7"/>
      <c r="E355" s="7"/>
      <c r="F355" s="6">
        <f t="shared" si="77"/>
        <v>100</v>
      </c>
      <c r="G355" s="8"/>
      <c r="H355" s="8"/>
      <c r="I355" s="8"/>
      <c r="J355" s="6">
        <f t="shared" si="78"/>
        <v>100</v>
      </c>
      <c r="K355" s="19"/>
      <c r="L355" s="19"/>
      <c r="M355" s="19"/>
      <c r="N355" s="6">
        <f t="shared" si="79"/>
        <v>100</v>
      </c>
      <c r="O355" s="19"/>
      <c r="P355" s="19"/>
      <c r="Q355" s="19"/>
      <c r="R355" s="6">
        <f t="shared" si="80"/>
        <v>100</v>
      </c>
      <c r="S355" s="8"/>
      <c r="T355" s="8"/>
      <c r="U355" s="8"/>
      <c r="V355" s="6">
        <f t="shared" si="81"/>
        <v>100</v>
      </c>
      <c r="W355" s="8"/>
      <c r="X355" s="8"/>
      <c r="Y355" s="8"/>
      <c r="Z355" s="6">
        <f t="shared" si="82"/>
        <v>100</v>
      </c>
      <c r="AA355" s="19"/>
      <c r="AB355" s="19"/>
      <c r="AC355" s="19"/>
      <c r="AD355" s="6">
        <f t="shared" si="83"/>
        <v>100</v>
      </c>
      <c r="AE355" s="19"/>
      <c r="AF355" s="19"/>
      <c r="AG355" s="19"/>
      <c r="AH355" s="6">
        <f t="shared" si="84"/>
        <v>100</v>
      </c>
      <c r="AI355" s="19"/>
      <c r="AJ355" s="19"/>
      <c r="AK355" s="19"/>
      <c r="AL355" s="6">
        <f t="shared" si="85"/>
        <v>100</v>
      </c>
      <c r="AM355" s="19"/>
      <c r="AN355" s="19"/>
      <c r="AO355" s="19"/>
      <c r="AP355" s="6">
        <f t="shared" si="86"/>
        <v>100</v>
      </c>
      <c r="AQ355" s="19"/>
      <c r="AR355" s="19"/>
      <c r="AS355" s="19"/>
      <c r="AT355" s="6">
        <f t="shared" si="87"/>
        <v>100</v>
      </c>
    </row>
    <row r="356" spans="1:46">
      <c r="A356" s="4">
        <v>46170</v>
      </c>
      <c r="B356" s="257"/>
      <c r="C356" s="7"/>
      <c r="D356" s="7"/>
      <c r="E356" s="7"/>
      <c r="F356" s="6">
        <f t="shared" si="77"/>
        <v>100</v>
      </c>
      <c r="G356" s="8"/>
      <c r="H356" s="8"/>
      <c r="I356" s="8"/>
      <c r="J356" s="6">
        <f t="shared" si="78"/>
        <v>100</v>
      </c>
      <c r="K356" s="19"/>
      <c r="L356" s="19"/>
      <c r="M356" s="19"/>
      <c r="N356" s="6">
        <f t="shared" si="79"/>
        <v>100</v>
      </c>
      <c r="O356" s="19"/>
      <c r="P356" s="19"/>
      <c r="Q356" s="19"/>
      <c r="R356" s="6">
        <f t="shared" si="80"/>
        <v>100</v>
      </c>
      <c r="S356" s="8"/>
      <c r="T356" s="8"/>
      <c r="U356" s="8"/>
      <c r="V356" s="6">
        <f t="shared" si="81"/>
        <v>100</v>
      </c>
      <c r="W356" s="8"/>
      <c r="X356" s="8"/>
      <c r="Y356" s="8"/>
      <c r="Z356" s="6">
        <f t="shared" si="82"/>
        <v>100</v>
      </c>
      <c r="AA356" s="19"/>
      <c r="AB356" s="19"/>
      <c r="AC356" s="19"/>
      <c r="AD356" s="6">
        <f t="shared" si="83"/>
        <v>100</v>
      </c>
      <c r="AE356" s="19"/>
      <c r="AF356" s="19"/>
      <c r="AG356" s="19"/>
      <c r="AH356" s="6">
        <f t="shared" si="84"/>
        <v>100</v>
      </c>
      <c r="AI356" s="19"/>
      <c r="AJ356" s="19"/>
      <c r="AK356" s="19"/>
      <c r="AL356" s="6">
        <f t="shared" si="85"/>
        <v>100</v>
      </c>
      <c r="AM356" s="19"/>
      <c r="AN356" s="19"/>
      <c r="AO356" s="19"/>
      <c r="AP356" s="6">
        <f t="shared" si="86"/>
        <v>100</v>
      </c>
      <c r="AQ356" s="19"/>
      <c r="AR356" s="19"/>
      <c r="AS356" s="19"/>
      <c r="AT356" s="6">
        <f t="shared" si="87"/>
        <v>100</v>
      </c>
    </row>
    <row r="357" spans="1:46">
      <c r="A357" s="4">
        <v>46171</v>
      </c>
      <c r="B357" s="257"/>
      <c r="C357" s="7"/>
      <c r="D357" s="7"/>
      <c r="E357" s="7"/>
      <c r="F357" s="6">
        <f t="shared" si="77"/>
        <v>100</v>
      </c>
      <c r="G357" s="8"/>
      <c r="H357" s="8"/>
      <c r="I357" s="8"/>
      <c r="J357" s="6">
        <f t="shared" si="78"/>
        <v>100</v>
      </c>
      <c r="K357" s="19"/>
      <c r="L357" s="19"/>
      <c r="M357" s="19"/>
      <c r="N357" s="6">
        <f t="shared" si="79"/>
        <v>100</v>
      </c>
      <c r="O357" s="19"/>
      <c r="P357" s="19"/>
      <c r="Q357" s="19"/>
      <c r="R357" s="6">
        <f t="shared" si="80"/>
        <v>100</v>
      </c>
      <c r="S357" s="8"/>
      <c r="T357" s="8"/>
      <c r="U357" s="8"/>
      <c r="V357" s="6">
        <f t="shared" si="81"/>
        <v>100</v>
      </c>
      <c r="W357" s="8"/>
      <c r="X357" s="8"/>
      <c r="Y357" s="8"/>
      <c r="Z357" s="6">
        <f t="shared" si="82"/>
        <v>100</v>
      </c>
      <c r="AA357" s="19"/>
      <c r="AB357" s="19"/>
      <c r="AC357" s="19"/>
      <c r="AD357" s="6">
        <f t="shared" si="83"/>
        <v>100</v>
      </c>
      <c r="AE357" s="19"/>
      <c r="AF357" s="19"/>
      <c r="AG357" s="19"/>
      <c r="AH357" s="6">
        <f t="shared" si="84"/>
        <v>100</v>
      </c>
      <c r="AI357" s="19"/>
      <c r="AJ357" s="19"/>
      <c r="AK357" s="19"/>
      <c r="AL357" s="6">
        <f t="shared" si="85"/>
        <v>100</v>
      </c>
      <c r="AM357" s="19"/>
      <c r="AN357" s="19"/>
      <c r="AO357" s="19"/>
      <c r="AP357" s="6">
        <f t="shared" si="86"/>
        <v>100</v>
      </c>
      <c r="AQ357" s="19"/>
      <c r="AR357" s="19"/>
      <c r="AS357" s="19"/>
      <c r="AT357" s="6">
        <f t="shared" si="87"/>
        <v>100</v>
      </c>
    </row>
    <row r="358" spans="1:46">
      <c r="A358" s="70">
        <v>46172</v>
      </c>
      <c r="B358" s="257"/>
      <c r="C358" s="7"/>
      <c r="D358" s="7"/>
      <c r="E358" s="7"/>
      <c r="F358" s="6">
        <f t="shared" si="77"/>
        <v>100</v>
      </c>
      <c r="G358" s="8"/>
      <c r="H358" s="8"/>
      <c r="I358" s="8"/>
      <c r="J358" s="6">
        <f t="shared" si="78"/>
        <v>100</v>
      </c>
      <c r="K358" s="19"/>
      <c r="L358" s="19"/>
      <c r="M358" s="19"/>
      <c r="N358" s="6">
        <f t="shared" si="79"/>
        <v>100</v>
      </c>
      <c r="O358" s="19"/>
      <c r="P358" s="19"/>
      <c r="Q358" s="19"/>
      <c r="R358" s="6">
        <f t="shared" si="80"/>
        <v>100</v>
      </c>
      <c r="S358" s="8"/>
      <c r="T358" s="8"/>
      <c r="U358" s="8"/>
      <c r="V358" s="6">
        <f t="shared" si="81"/>
        <v>100</v>
      </c>
      <c r="W358" s="8"/>
      <c r="X358" s="8"/>
      <c r="Y358" s="8"/>
      <c r="Z358" s="6">
        <f t="shared" si="82"/>
        <v>100</v>
      </c>
      <c r="AA358" s="19"/>
      <c r="AB358" s="19"/>
      <c r="AC358" s="19"/>
      <c r="AD358" s="6">
        <f t="shared" si="83"/>
        <v>100</v>
      </c>
      <c r="AE358" s="19"/>
      <c r="AF358" s="19"/>
      <c r="AG358" s="19"/>
      <c r="AH358" s="6">
        <f t="shared" si="84"/>
        <v>100</v>
      </c>
      <c r="AI358" s="19"/>
      <c r="AJ358" s="19"/>
      <c r="AK358" s="19"/>
      <c r="AL358" s="6">
        <f t="shared" si="85"/>
        <v>100</v>
      </c>
      <c r="AM358" s="19"/>
      <c r="AN358" s="19"/>
      <c r="AO358" s="19"/>
      <c r="AP358" s="6">
        <f t="shared" si="86"/>
        <v>100</v>
      </c>
      <c r="AQ358" s="19"/>
      <c r="AR358" s="19"/>
      <c r="AS358" s="19"/>
      <c r="AT358" s="6">
        <f t="shared" si="87"/>
        <v>100</v>
      </c>
    </row>
    <row r="359" spans="1:46">
      <c r="A359" s="4">
        <v>46173</v>
      </c>
      <c r="B359" s="257"/>
      <c r="C359" s="7"/>
      <c r="D359" s="7"/>
      <c r="E359" s="7"/>
      <c r="F359" s="6">
        <f t="shared" si="77"/>
        <v>100</v>
      </c>
      <c r="G359" s="8"/>
      <c r="H359" s="8"/>
      <c r="I359" s="8"/>
      <c r="J359" s="6">
        <f t="shared" si="78"/>
        <v>100</v>
      </c>
      <c r="K359" s="19"/>
      <c r="L359" s="19"/>
      <c r="M359" s="19"/>
      <c r="N359" s="6">
        <f t="shared" si="79"/>
        <v>100</v>
      </c>
      <c r="O359" s="19"/>
      <c r="P359" s="19"/>
      <c r="Q359" s="19"/>
      <c r="R359" s="6">
        <f t="shared" si="80"/>
        <v>100</v>
      </c>
      <c r="S359" s="8"/>
      <c r="T359" s="8"/>
      <c r="U359" s="8"/>
      <c r="V359" s="6">
        <f t="shared" si="81"/>
        <v>100</v>
      </c>
      <c r="W359" s="8"/>
      <c r="X359" s="8"/>
      <c r="Y359" s="8"/>
      <c r="Z359" s="6">
        <f t="shared" si="82"/>
        <v>100</v>
      </c>
      <c r="AA359" s="19"/>
      <c r="AB359" s="19"/>
      <c r="AC359" s="19"/>
      <c r="AD359" s="6">
        <f t="shared" si="83"/>
        <v>100</v>
      </c>
      <c r="AE359" s="19"/>
      <c r="AF359" s="19"/>
      <c r="AG359" s="19"/>
      <c r="AH359" s="6">
        <f t="shared" si="84"/>
        <v>100</v>
      </c>
      <c r="AI359" s="19"/>
      <c r="AJ359" s="19"/>
      <c r="AK359" s="19"/>
      <c r="AL359" s="6">
        <f t="shared" si="85"/>
        <v>100</v>
      </c>
      <c r="AM359" s="19"/>
      <c r="AN359" s="19"/>
      <c r="AO359" s="19"/>
      <c r="AP359" s="6">
        <f t="shared" si="86"/>
        <v>100</v>
      </c>
      <c r="AQ359" s="19"/>
      <c r="AR359" s="19"/>
      <c r="AS359" s="19"/>
      <c r="AT359" s="6">
        <f t="shared" si="87"/>
        <v>100</v>
      </c>
    </row>
    <row r="360" spans="1:46">
      <c r="A360" s="4">
        <v>46174</v>
      </c>
      <c r="B360" s="257"/>
      <c r="C360" s="7"/>
      <c r="D360" s="7"/>
      <c r="E360" s="7"/>
      <c r="F360" s="6">
        <f t="shared" si="77"/>
        <v>100</v>
      </c>
      <c r="G360" s="8"/>
      <c r="H360" s="8"/>
      <c r="I360" s="8"/>
      <c r="J360" s="6">
        <f t="shared" si="78"/>
        <v>100</v>
      </c>
      <c r="K360" s="19"/>
      <c r="L360" s="19"/>
      <c r="M360" s="19"/>
      <c r="N360" s="6">
        <f t="shared" si="79"/>
        <v>100</v>
      </c>
      <c r="O360" s="19"/>
      <c r="P360" s="19"/>
      <c r="Q360" s="19"/>
      <c r="R360" s="6">
        <f t="shared" si="80"/>
        <v>100</v>
      </c>
      <c r="S360" s="8"/>
      <c r="T360" s="8"/>
      <c r="U360" s="8"/>
      <c r="V360" s="6">
        <f t="shared" si="81"/>
        <v>100</v>
      </c>
      <c r="W360" s="8"/>
      <c r="X360" s="8"/>
      <c r="Y360" s="8"/>
      <c r="Z360" s="6">
        <f t="shared" si="82"/>
        <v>100</v>
      </c>
      <c r="AA360" s="19"/>
      <c r="AB360" s="19"/>
      <c r="AC360" s="19"/>
      <c r="AD360" s="6">
        <f t="shared" si="83"/>
        <v>100</v>
      </c>
      <c r="AE360" s="19"/>
      <c r="AF360" s="19"/>
      <c r="AG360" s="19"/>
      <c r="AH360" s="6">
        <f t="shared" si="84"/>
        <v>100</v>
      </c>
      <c r="AI360" s="19"/>
      <c r="AJ360" s="19"/>
      <c r="AK360" s="19"/>
      <c r="AL360" s="6">
        <f t="shared" si="85"/>
        <v>100</v>
      </c>
      <c r="AM360" s="19"/>
      <c r="AN360" s="19"/>
      <c r="AO360" s="19"/>
      <c r="AP360" s="6">
        <f t="shared" si="86"/>
        <v>100</v>
      </c>
      <c r="AQ360" s="19"/>
      <c r="AR360" s="19"/>
      <c r="AS360" s="19"/>
      <c r="AT360" s="6">
        <f t="shared" si="87"/>
        <v>100</v>
      </c>
    </row>
    <row r="361" spans="1:46">
      <c r="A361" s="4">
        <v>46175</v>
      </c>
      <c r="B361" s="257"/>
      <c r="C361" s="7"/>
      <c r="D361" s="7"/>
      <c r="E361" s="7"/>
      <c r="F361" s="6">
        <f t="shared" si="77"/>
        <v>100</v>
      </c>
      <c r="G361" s="8"/>
      <c r="H361" s="8"/>
      <c r="I361" s="8"/>
      <c r="J361" s="6">
        <f t="shared" si="78"/>
        <v>100</v>
      </c>
      <c r="K361" s="19"/>
      <c r="L361" s="19"/>
      <c r="M361" s="19"/>
      <c r="N361" s="6">
        <f t="shared" si="79"/>
        <v>100</v>
      </c>
      <c r="O361" s="19"/>
      <c r="P361" s="19"/>
      <c r="Q361" s="19"/>
      <c r="R361" s="6">
        <f t="shared" si="80"/>
        <v>100</v>
      </c>
      <c r="S361" s="8"/>
      <c r="T361" s="8"/>
      <c r="U361" s="8"/>
      <c r="V361" s="6">
        <f t="shared" si="81"/>
        <v>100</v>
      </c>
      <c r="W361" s="8"/>
      <c r="X361" s="8"/>
      <c r="Y361" s="8"/>
      <c r="Z361" s="6">
        <f t="shared" si="82"/>
        <v>100</v>
      </c>
      <c r="AA361" s="19"/>
      <c r="AB361" s="19"/>
      <c r="AC361" s="19"/>
      <c r="AD361" s="6">
        <f t="shared" si="83"/>
        <v>100</v>
      </c>
      <c r="AE361" s="19"/>
      <c r="AF361" s="19"/>
      <c r="AG361" s="19"/>
      <c r="AH361" s="6">
        <f t="shared" si="84"/>
        <v>100</v>
      </c>
      <c r="AI361" s="19"/>
      <c r="AJ361" s="19"/>
      <c r="AK361" s="19"/>
      <c r="AL361" s="6">
        <f t="shared" si="85"/>
        <v>100</v>
      </c>
      <c r="AM361" s="19"/>
      <c r="AN361" s="19"/>
      <c r="AO361" s="19"/>
      <c r="AP361" s="6">
        <f t="shared" si="86"/>
        <v>100</v>
      </c>
      <c r="AQ361" s="19"/>
      <c r="AR361" s="19"/>
      <c r="AS361" s="19"/>
      <c r="AT361" s="6">
        <f t="shared" si="87"/>
        <v>100</v>
      </c>
    </row>
    <row r="362" spans="1:46">
      <c r="A362" s="4">
        <v>46176</v>
      </c>
      <c r="B362" s="257"/>
      <c r="C362" s="7"/>
      <c r="D362" s="7"/>
      <c r="E362" s="7"/>
      <c r="F362" s="6">
        <f t="shared" si="77"/>
        <v>100</v>
      </c>
      <c r="G362" s="8"/>
      <c r="H362" s="8"/>
      <c r="I362" s="8"/>
      <c r="J362" s="6">
        <f t="shared" si="78"/>
        <v>100</v>
      </c>
      <c r="K362" s="19"/>
      <c r="L362" s="19"/>
      <c r="M362" s="19"/>
      <c r="N362" s="6">
        <f t="shared" si="79"/>
        <v>100</v>
      </c>
      <c r="O362" s="19"/>
      <c r="P362" s="19"/>
      <c r="Q362" s="19"/>
      <c r="R362" s="6">
        <f t="shared" si="80"/>
        <v>100</v>
      </c>
      <c r="S362" s="8"/>
      <c r="T362" s="8"/>
      <c r="U362" s="8"/>
      <c r="V362" s="6">
        <f t="shared" si="81"/>
        <v>100</v>
      </c>
      <c r="W362" s="8"/>
      <c r="X362" s="8"/>
      <c r="Y362" s="8"/>
      <c r="Z362" s="6">
        <f t="shared" si="82"/>
        <v>100</v>
      </c>
      <c r="AA362" s="19"/>
      <c r="AB362" s="19"/>
      <c r="AC362" s="19"/>
      <c r="AD362" s="6">
        <f t="shared" si="83"/>
        <v>100</v>
      </c>
      <c r="AE362" s="19"/>
      <c r="AF362" s="19"/>
      <c r="AG362" s="19"/>
      <c r="AH362" s="6">
        <f t="shared" si="84"/>
        <v>100</v>
      </c>
      <c r="AI362" s="19"/>
      <c r="AJ362" s="19"/>
      <c r="AK362" s="19"/>
      <c r="AL362" s="6">
        <f t="shared" si="85"/>
        <v>100</v>
      </c>
      <c r="AM362" s="19"/>
      <c r="AN362" s="19"/>
      <c r="AO362" s="19"/>
      <c r="AP362" s="6">
        <f t="shared" si="86"/>
        <v>100</v>
      </c>
      <c r="AQ362" s="19"/>
      <c r="AR362" s="19"/>
      <c r="AS362" s="19"/>
      <c r="AT362" s="6">
        <f t="shared" si="87"/>
        <v>100</v>
      </c>
    </row>
    <row r="363" spans="1:46">
      <c r="A363" s="4">
        <v>46177</v>
      </c>
      <c r="B363" s="257"/>
      <c r="C363" s="7"/>
      <c r="D363" s="7"/>
      <c r="E363" s="7"/>
      <c r="F363" s="6">
        <f t="shared" si="77"/>
        <v>100</v>
      </c>
      <c r="G363" s="8"/>
      <c r="H363" s="8"/>
      <c r="I363" s="8"/>
      <c r="J363" s="6">
        <f t="shared" si="78"/>
        <v>100</v>
      </c>
      <c r="K363" s="19"/>
      <c r="L363" s="19"/>
      <c r="M363" s="19"/>
      <c r="N363" s="6">
        <f t="shared" si="79"/>
        <v>100</v>
      </c>
      <c r="O363" s="19"/>
      <c r="P363" s="19"/>
      <c r="Q363" s="19"/>
      <c r="R363" s="6">
        <f t="shared" si="80"/>
        <v>100</v>
      </c>
      <c r="S363" s="8"/>
      <c r="T363" s="8"/>
      <c r="U363" s="8"/>
      <c r="V363" s="6">
        <f t="shared" si="81"/>
        <v>100</v>
      </c>
      <c r="W363" s="8"/>
      <c r="X363" s="8"/>
      <c r="Y363" s="8"/>
      <c r="Z363" s="6">
        <f t="shared" si="82"/>
        <v>100</v>
      </c>
      <c r="AA363" s="19"/>
      <c r="AB363" s="19"/>
      <c r="AC363" s="19"/>
      <c r="AD363" s="6">
        <f t="shared" si="83"/>
        <v>100</v>
      </c>
      <c r="AE363" s="19"/>
      <c r="AF363" s="19"/>
      <c r="AG363" s="19"/>
      <c r="AH363" s="6">
        <f t="shared" si="84"/>
        <v>100</v>
      </c>
      <c r="AI363" s="19"/>
      <c r="AJ363" s="19"/>
      <c r="AK363" s="19"/>
      <c r="AL363" s="6">
        <f t="shared" si="85"/>
        <v>100</v>
      </c>
      <c r="AM363" s="19"/>
      <c r="AN363" s="19"/>
      <c r="AO363" s="19"/>
      <c r="AP363" s="6">
        <f t="shared" si="86"/>
        <v>100</v>
      </c>
      <c r="AQ363" s="19"/>
      <c r="AR363" s="19"/>
      <c r="AS363" s="19"/>
      <c r="AT363" s="6">
        <f t="shared" si="87"/>
        <v>100</v>
      </c>
    </row>
    <row r="364" spans="1:46">
      <c r="A364" s="4">
        <v>46178</v>
      </c>
      <c r="B364" s="257"/>
      <c r="C364" s="7"/>
      <c r="D364" s="7"/>
      <c r="E364" s="7"/>
      <c r="F364" s="6">
        <f t="shared" si="77"/>
        <v>100</v>
      </c>
      <c r="G364" s="8"/>
      <c r="H364" s="8"/>
      <c r="I364" s="8"/>
      <c r="J364" s="6">
        <f t="shared" si="78"/>
        <v>100</v>
      </c>
      <c r="K364" s="19"/>
      <c r="L364" s="19"/>
      <c r="M364" s="19"/>
      <c r="N364" s="6">
        <f t="shared" si="79"/>
        <v>100</v>
      </c>
      <c r="O364" s="19"/>
      <c r="P364" s="19"/>
      <c r="Q364" s="19"/>
      <c r="R364" s="6">
        <f t="shared" si="80"/>
        <v>100</v>
      </c>
      <c r="S364" s="8"/>
      <c r="T364" s="8"/>
      <c r="U364" s="8"/>
      <c r="V364" s="6">
        <f t="shared" si="81"/>
        <v>100</v>
      </c>
      <c r="W364" s="8"/>
      <c r="X364" s="8"/>
      <c r="Y364" s="8"/>
      <c r="Z364" s="6">
        <f t="shared" si="82"/>
        <v>100</v>
      </c>
      <c r="AA364" s="19"/>
      <c r="AB364" s="19"/>
      <c r="AC364" s="19"/>
      <c r="AD364" s="6">
        <f t="shared" si="83"/>
        <v>100</v>
      </c>
      <c r="AE364" s="19"/>
      <c r="AF364" s="19"/>
      <c r="AG364" s="19"/>
      <c r="AH364" s="6">
        <f t="shared" si="84"/>
        <v>100</v>
      </c>
      <c r="AI364" s="19"/>
      <c r="AJ364" s="19"/>
      <c r="AK364" s="19"/>
      <c r="AL364" s="6">
        <f t="shared" si="85"/>
        <v>100</v>
      </c>
      <c r="AM364" s="19"/>
      <c r="AN364" s="19"/>
      <c r="AO364" s="19"/>
      <c r="AP364" s="6">
        <f t="shared" si="86"/>
        <v>100</v>
      </c>
      <c r="AQ364" s="19"/>
      <c r="AR364" s="19"/>
      <c r="AS364" s="19"/>
      <c r="AT364" s="6">
        <f t="shared" si="87"/>
        <v>100</v>
      </c>
    </row>
    <row r="365" spans="1:46">
      <c r="A365" s="4">
        <v>46179</v>
      </c>
      <c r="B365" s="257"/>
      <c r="C365" s="7"/>
      <c r="D365" s="7"/>
      <c r="E365" s="7"/>
      <c r="F365" s="6">
        <f t="shared" si="77"/>
        <v>100</v>
      </c>
      <c r="G365" s="8"/>
      <c r="H365" s="8"/>
      <c r="I365" s="8"/>
      <c r="J365" s="6">
        <f t="shared" si="78"/>
        <v>100</v>
      </c>
      <c r="K365" s="19"/>
      <c r="L365" s="19"/>
      <c r="M365" s="19"/>
      <c r="N365" s="6">
        <f t="shared" si="79"/>
        <v>100</v>
      </c>
      <c r="O365" s="19"/>
      <c r="P365" s="19"/>
      <c r="Q365" s="19"/>
      <c r="R365" s="6">
        <f t="shared" si="80"/>
        <v>100</v>
      </c>
      <c r="S365" s="8"/>
      <c r="T365" s="8"/>
      <c r="U365" s="8"/>
      <c r="V365" s="6">
        <f t="shared" si="81"/>
        <v>100</v>
      </c>
      <c r="W365" s="8"/>
      <c r="X365" s="8"/>
      <c r="Y365" s="8"/>
      <c r="Z365" s="6">
        <f t="shared" si="82"/>
        <v>100</v>
      </c>
      <c r="AA365" s="19"/>
      <c r="AB365" s="19"/>
      <c r="AC365" s="19"/>
      <c r="AD365" s="6">
        <f t="shared" si="83"/>
        <v>100</v>
      </c>
      <c r="AE365" s="19"/>
      <c r="AF365" s="19"/>
      <c r="AG365" s="19"/>
      <c r="AH365" s="6">
        <f t="shared" si="84"/>
        <v>100</v>
      </c>
      <c r="AI365" s="19"/>
      <c r="AJ365" s="19"/>
      <c r="AK365" s="19"/>
      <c r="AL365" s="6">
        <f t="shared" si="85"/>
        <v>100</v>
      </c>
      <c r="AM365" s="19"/>
      <c r="AN365" s="19"/>
      <c r="AO365" s="19"/>
      <c r="AP365" s="6">
        <f t="shared" si="86"/>
        <v>100</v>
      </c>
      <c r="AQ365" s="19"/>
      <c r="AR365" s="19"/>
      <c r="AS365" s="19"/>
      <c r="AT365" s="6">
        <f t="shared" si="87"/>
        <v>100</v>
      </c>
    </row>
    <row r="366" spans="1:46">
      <c r="A366" s="4">
        <v>46180</v>
      </c>
      <c r="B366" s="257"/>
      <c r="C366" s="7"/>
      <c r="D366" s="7"/>
      <c r="E366" s="7"/>
      <c r="F366" s="6">
        <f t="shared" si="77"/>
        <v>100</v>
      </c>
      <c r="G366" s="8"/>
      <c r="H366" s="8"/>
      <c r="I366" s="8"/>
      <c r="J366" s="6">
        <f t="shared" si="78"/>
        <v>100</v>
      </c>
      <c r="K366" s="19"/>
      <c r="L366" s="19"/>
      <c r="M366" s="19"/>
      <c r="N366" s="6">
        <f t="shared" si="79"/>
        <v>100</v>
      </c>
      <c r="O366" s="19"/>
      <c r="P366" s="19"/>
      <c r="Q366" s="19"/>
      <c r="R366" s="6">
        <f t="shared" si="80"/>
        <v>100</v>
      </c>
      <c r="S366" s="8"/>
      <c r="T366" s="8"/>
      <c r="U366" s="8"/>
      <c r="V366" s="6">
        <f t="shared" si="81"/>
        <v>100</v>
      </c>
      <c r="W366" s="8"/>
      <c r="X366" s="8"/>
      <c r="Y366" s="8"/>
      <c r="Z366" s="6">
        <f t="shared" si="82"/>
        <v>100</v>
      </c>
      <c r="AA366" s="19"/>
      <c r="AB366" s="19"/>
      <c r="AC366" s="19"/>
      <c r="AD366" s="6">
        <f t="shared" si="83"/>
        <v>100</v>
      </c>
      <c r="AE366" s="19"/>
      <c r="AF366" s="19"/>
      <c r="AG366" s="19"/>
      <c r="AH366" s="6">
        <f t="shared" si="84"/>
        <v>100</v>
      </c>
      <c r="AI366" s="19"/>
      <c r="AJ366" s="19"/>
      <c r="AK366" s="19"/>
      <c r="AL366" s="6">
        <f t="shared" si="85"/>
        <v>100</v>
      </c>
      <c r="AM366" s="19"/>
      <c r="AN366" s="19"/>
      <c r="AO366" s="19"/>
      <c r="AP366" s="6">
        <f t="shared" si="86"/>
        <v>100</v>
      </c>
      <c r="AQ366" s="19"/>
      <c r="AR366" s="19"/>
      <c r="AS366" s="19"/>
      <c r="AT366" s="6">
        <f t="shared" si="87"/>
        <v>100</v>
      </c>
    </row>
    <row r="367" spans="1:46">
      <c r="A367" s="4">
        <v>46181</v>
      </c>
      <c r="B367" s="257"/>
      <c r="C367" s="7"/>
      <c r="D367" s="7"/>
      <c r="E367" s="7"/>
      <c r="F367" s="6">
        <f t="shared" si="77"/>
        <v>100</v>
      </c>
      <c r="G367" s="8"/>
      <c r="H367" s="8"/>
      <c r="I367" s="8"/>
      <c r="J367" s="6">
        <f t="shared" si="78"/>
        <v>100</v>
      </c>
      <c r="K367" s="19"/>
      <c r="L367" s="19"/>
      <c r="M367" s="19"/>
      <c r="N367" s="6">
        <f t="shared" si="79"/>
        <v>100</v>
      </c>
      <c r="O367" s="19"/>
      <c r="P367" s="19"/>
      <c r="Q367" s="19"/>
      <c r="R367" s="6">
        <f t="shared" si="80"/>
        <v>100</v>
      </c>
      <c r="S367" s="8"/>
      <c r="T367" s="8"/>
      <c r="U367" s="8"/>
      <c r="V367" s="6">
        <f t="shared" si="81"/>
        <v>100</v>
      </c>
      <c r="W367" s="8"/>
      <c r="X367" s="8"/>
      <c r="Y367" s="8"/>
      <c r="Z367" s="6">
        <f t="shared" si="82"/>
        <v>100</v>
      </c>
      <c r="AA367" s="19"/>
      <c r="AB367" s="19"/>
      <c r="AC367" s="19"/>
      <c r="AD367" s="6">
        <f t="shared" si="83"/>
        <v>100</v>
      </c>
      <c r="AE367" s="19"/>
      <c r="AF367" s="19"/>
      <c r="AG367" s="19"/>
      <c r="AH367" s="6">
        <f t="shared" si="84"/>
        <v>100</v>
      </c>
      <c r="AI367" s="19"/>
      <c r="AJ367" s="19"/>
      <c r="AK367" s="19"/>
      <c r="AL367" s="6">
        <f t="shared" si="85"/>
        <v>100</v>
      </c>
      <c r="AM367" s="19"/>
      <c r="AN367" s="19"/>
      <c r="AO367" s="19"/>
      <c r="AP367" s="6">
        <f t="shared" si="86"/>
        <v>100</v>
      </c>
      <c r="AQ367" s="19"/>
      <c r="AR367" s="19"/>
      <c r="AS367" s="19"/>
      <c r="AT367" s="6">
        <f t="shared" si="87"/>
        <v>100</v>
      </c>
    </row>
    <row r="368" spans="1:46">
      <c r="A368" s="70">
        <v>46182</v>
      </c>
      <c r="B368" s="257"/>
      <c r="C368" s="7"/>
      <c r="D368" s="7"/>
      <c r="E368" s="7"/>
      <c r="F368" s="6">
        <f t="shared" si="77"/>
        <v>100</v>
      </c>
      <c r="G368" s="8"/>
      <c r="H368" s="8"/>
      <c r="I368" s="8"/>
      <c r="J368" s="6">
        <f t="shared" si="78"/>
        <v>100</v>
      </c>
      <c r="K368" s="19"/>
      <c r="L368" s="19"/>
      <c r="M368" s="19"/>
      <c r="N368" s="6">
        <f t="shared" si="79"/>
        <v>100</v>
      </c>
      <c r="O368" s="19"/>
      <c r="P368" s="19"/>
      <c r="Q368" s="19"/>
      <c r="R368" s="6">
        <f t="shared" si="80"/>
        <v>100</v>
      </c>
      <c r="S368" s="8"/>
      <c r="T368" s="8"/>
      <c r="U368" s="8"/>
      <c r="V368" s="6">
        <f t="shared" si="81"/>
        <v>100</v>
      </c>
      <c r="W368" s="8"/>
      <c r="X368" s="8"/>
      <c r="Y368" s="8"/>
      <c r="Z368" s="6">
        <f t="shared" si="82"/>
        <v>100</v>
      </c>
      <c r="AA368" s="19"/>
      <c r="AB368" s="19"/>
      <c r="AC368" s="19"/>
      <c r="AD368" s="6">
        <f t="shared" si="83"/>
        <v>100</v>
      </c>
      <c r="AE368" s="19"/>
      <c r="AF368" s="19"/>
      <c r="AG368" s="19"/>
      <c r="AH368" s="6">
        <f t="shared" si="84"/>
        <v>100</v>
      </c>
      <c r="AI368" s="19"/>
      <c r="AJ368" s="19"/>
      <c r="AK368" s="19"/>
      <c r="AL368" s="6">
        <f t="shared" si="85"/>
        <v>100</v>
      </c>
      <c r="AM368" s="19"/>
      <c r="AN368" s="19"/>
      <c r="AO368" s="19"/>
      <c r="AP368" s="6">
        <f t="shared" si="86"/>
        <v>100</v>
      </c>
      <c r="AQ368" s="19"/>
      <c r="AR368" s="19"/>
      <c r="AS368" s="19"/>
      <c r="AT368" s="6">
        <f t="shared" si="87"/>
        <v>100</v>
      </c>
    </row>
    <row r="369" spans="1:46">
      <c r="A369" s="4">
        <v>46183</v>
      </c>
      <c r="B369" s="257"/>
      <c r="C369" s="7"/>
      <c r="D369" s="7"/>
      <c r="E369" s="7"/>
      <c r="F369" s="6">
        <f t="shared" si="77"/>
        <v>100</v>
      </c>
      <c r="G369" s="8"/>
      <c r="H369" s="8"/>
      <c r="I369" s="8"/>
      <c r="J369" s="6">
        <f t="shared" si="78"/>
        <v>100</v>
      </c>
      <c r="K369" s="19"/>
      <c r="L369" s="19"/>
      <c r="M369" s="19"/>
      <c r="N369" s="6">
        <f t="shared" si="79"/>
        <v>100</v>
      </c>
      <c r="O369" s="19"/>
      <c r="P369" s="19"/>
      <c r="Q369" s="19"/>
      <c r="R369" s="6">
        <f t="shared" si="80"/>
        <v>100</v>
      </c>
      <c r="S369" s="8"/>
      <c r="T369" s="8"/>
      <c r="U369" s="8"/>
      <c r="V369" s="6">
        <f t="shared" si="81"/>
        <v>100</v>
      </c>
      <c r="W369" s="8"/>
      <c r="X369" s="8"/>
      <c r="Y369" s="8"/>
      <c r="Z369" s="6">
        <f t="shared" si="82"/>
        <v>100</v>
      </c>
      <c r="AA369" s="19"/>
      <c r="AB369" s="19"/>
      <c r="AC369" s="19"/>
      <c r="AD369" s="6">
        <f t="shared" si="83"/>
        <v>100</v>
      </c>
      <c r="AE369" s="19"/>
      <c r="AF369" s="19"/>
      <c r="AG369" s="19"/>
      <c r="AH369" s="6">
        <f t="shared" si="84"/>
        <v>100</v>
      </c>
      <c r="AI369" s="19"/>
      <c r="AJ369" s="19"/>
      <c r="AK369" s="19"/>
      <c r="AL369" s="6">
        <f t="shared" si="85"/>
        <v>100</v>
      </c>
      <c r="AM369" s="19"/>
      <c r="AN369" s="19"/>
      <c r="AO369" s="19"/>
      <c r="AP369" s="6">
        <f t="shared" si="86"/>
        <v>100</v>
      </c>
      <c r="AQ369" s="19"/>
      <c r="AR369" s="19"/>
      <c r="AS369" s="19"/>
      <c r="AT369" s="6">
        <f t="shared" si="87"/>
        <v>100</v>
      </c>
    </row>
    <row r="370" spans="1:46">
      <c r="A370" s="4">
        <v>46184</v>
      </c>
      <c r="B370" s="257"/>
      <c r="C370" s="7"/>
      <c r="D370" s="7"/>
      <c r="E370" s="7"/>
      <c r="F370" s="6">
        <f t="shared" si="77"/>
        <v>100</v>
      </c>
      <c r="G370" s="8"/>
      <c r="H370" s="8"/>
      <c r="I370" s="8"/>
      <c r="J370" s="6">
        <f t="shared" si="78"/>
        <v>100</v>
      </c>
      <c r="K370" s="19"/>
      <c r="L370" s="19"/>
      <c r="M370" s="19"/>
      <c r="N370" s="6">
        <f t="shared" si="79"/>
        <v>100</v>
      </c>
      <c r="O370" s="19"/>
      <c r="P370" s="19"/>
      <c r="Q370" s="19"/>
      <c r="R370" s="6">
        <f t="shared" si="80"/>
        <v>100</v>
      </c>
      <c r="S370" s="8"/>
      <c r="T370" s="8"/>
      <c r="U370" s="8"/>
      <c r="V370" s="6">
        <f t="shared" si="81"/>
        <v>100</v>
      </c>
      <c r="W370" s="8"/>
      <c r="X370" s="8"/>
      <c r="Y370" s="8"/>
      <c r="Z370" s="6">
        <f t="shared" si="82"/>
        <v>100</v>
      </c>
      <c r="AA370" s="19"/>
      <c r="AB370" s="19"/>
      <c r="AC370" s="19"/>
      <c r="AD370" s="6">
        <f t="shared" si="83"/>
        <v>100</v>
      </c>
      <c r="AE370" s="19"/>
      <c r="AF370" s="19"/>
      <c r="AG370" s="19"/>
      <c r="AH370" s="6">
        <f t="shared" si="84"/>
        <v>100</v>
      </c>
      <c r="AI370" s="19"/>
      <c r="AJ370" s="19"/>
      <c r="AK370" s="19"/>
      <c r="AL370" s="6">
        <f t="shared" si="85"/>
        <v>100</v>
      </c>
      <c r="AM370" s="19"/>
      <c r="AN370" s="19"/>
      <c r="AO370" s="19"/>
      <c r="AP370" s="6">
        <f t="shared" si="86"/>
        <v>100</v>
      </c>
      <c r="AQ370" s="19"/>
      <c r="AR370" s="19"/>
      <c r="AS370" s="19"/>
      <c r="AT370" s="6">
        <f t="shared" si="87"/>
        <v>100</v>
      </c>
    </row>
    <row r="371" spans="1:46">
      <c r="A371" s="4">
        <v>46185</v>
      </c>
      <c r="B371" s="257"/>
      <c r="C371" s="7"/>
      <c r="D371" s="7"/>
      <c r="E371" s="7"/>
      <c r="F371" s="6">
        <f t="shared" si="77"/>
        <v>100</v>
      </c>
      <c r="G371" s="8"/>
      <c r="H371" s="8"/>
      <c r="I371" s="8"/>
      <c r="J371" s="6">
        <f t="shared" si="78"/>
        <v>100</v>
      </c>
      <c r="K371" s="19"/>
      <c r="L371" s="19"/>
      <c r="M371" s="19"/>
      <c r="N371" s="6">
        <f t="shared" si="79"/>
        <v>100</v>
      </c>
      <c r="O371" s="19"/>
      <c r="P371" s="19"/>
      <c r="Q371" s="19"/>
      <c r="R371" s="6">
        <f t="shared" si="80"/>
        <v>100</v>
      </c>
      <c r="S371" s="8"/>
      <c r="T371" s="8"/>
      <c r="U371" s="8"/>
      <c r="V371" s="6">
        <f t="shared" si="81"/>
        <v>100</v>
      </c>
      <c r="W371" s="8"/>
      <c r="X371" s="8"/>
      <c r="Y371" s="8"/>
      <c r="Z371" s="6">
        <f t="shared" si="82"/>
        <v>100</v>
      </c>
      <c r="AA371" s="19"/>
      <c r="AB371" s="19"/>
      <c r="AC371" s="19"/>
      <c r="AD371" s="6">
        <f t="shared" si="83"/>
        <v>100</v>
      </c>
      <c r="AE371" s="19"/>
      <c r="AF371" s="19"/>
      <c r="AG371" s="19"/>
      <c r="AH371" s="6">
        <f t="shared" si="84"/>
        <v>100</v>
      </c>
      <c r="AI371" s="19"/>
      <c r="AJ371" s="19"/>
      <c r="AK371" s="19"/>
      <c r="AL371" s="6">
        <f t="shared" si="85"/>
        <v>100</v>
      </c>
      <c r="AM371" s="19"/>
      <c r="AN371" s="19"/>
      <c r="AO371" s="19"/>
      <c r="AP371" s="6">
        <f t="shared" si="86"/>
        <v>100</v>
      </c>
      <c r="AQ371" s="19"/>
      <c r="AR371" s="19"/>
      <c r="AS371" s="19"/>
      <c r="AT371" s="6">
        <f t="shared" si="87"/>
        <v>100</v>
      </c>
    </row>
    <row r="372" spans="1:46">
      <c r="A372" s="4">
        <v>46186</v>
      </c>
      <c r="B372" s="257"/>
      <c r="C372" s="7"/>
      <c r="D372" s="7"/>
      <c r="E372" s="7"/>
      <c r="F372" s="6">
        <f t="shared" si="77"/>
        <v>100</v>
      </c>
      <c r="G372" s="8"/>
      <c r="H372" s="8"/>
      <c r="I372" s="8"/>
      <c r="J372" s="6">
        <f t="shared" si="78"/>
        <v>100</v>
      </c>
      <c r="K372" s="19"/>
      <c r="L372" s="19"/>
      <c r="M372" s="19"/>
      <c r="N372" s="6">
        <f t="shared" si="79"/>
        <v>100</v>
      </c>
      <c r="O372" s="19"/>
      <c r="P372" s="19"/>
      <c r="Q372" s="19"/>
      <c r="R372" s="6">
        <f t="shared" si="80"/>
        <v>100</v>
      </c>
      <c r="S372" s="8"/>
      <c r="T372" s="8"/>
      <c r="U372" s="8"/>
      <c r="V372" s="6">
        <f t="shared" si="81"/>
        <v>100</v>
      </c>
      <c r="W372" s="8"/>
      <c r="X372" s="8"/>
      <c r="Y372" s="8"/>
      <c r="Z372" s="6">
        <f t="shared" si="82"/>
        <v>100</v>
      </c>
      <c r="AA372" s="19"/>
      <c r="AB372" s="19"/>
      <c r="AC372" s="19"/>
      <c r="AD372" s="6">
        <f t="shared" si="83"/>
        <v>100</v>
      </c>
      <c r="AE372" s="19"/>
      <c r="AF372" s="19"/>
      <c r="AG372" s="19"/>
      <c r="AH372" s="6">
        <f t="shared" si="84"/>
        <v>100</v>
      </c>
      <c r="AI372" s="19"/>
      <c r="AJ372" s="19"/>
      <c r="AK372" s="19"/>
      <c r="AL372" s="6">
        <f t="shared" si="85"/>
        <v>100</v>
      </c>
      <c r="AM372" s="19"/>
      <c r="AN372" s="19"/>
      <c r="AO372" s="19"/>
      <c r="AP372" s="6">
        <f t="shared" si="86"/>
        <v>100</v>
      </c>
      <c r="AQ372" s="19"/>
      <c r="AR372" s="19"/>
      <c r="AS372" s="19"/>
      <c r="AT372" s="6">
        <f t="shared" si="87"/>
        <v>100</v>
      </c>
    </row>
    <row r="373" spans="1:46">
      <c r="A373" s="4">
        <v>46187</v>
      </c>
      <c r="B373" s="257"/>
      <c r="C373" s="7"/>
      <c r="D373" s="7"/>
      <c r="E373" s="7"/>
      <c r="F373" s="6">
        <f t="shared" si="77"/>
        <v>100</v>
      </c>
      <c r="G373" s="8"/>
      <c r="H373" s="8"/>
      <c r="I373" s="8"/>
      <c r="J373" s="6">
        <f t="shared" si="78"/>
        <v>100</v>
      </c>
      <c r="K373" s="19"/>
      <c r="L373" s="19"/>
      <c r="M373" s="19"/>
      <c r="N373" s="6">
        <f t="shared" si="79"/>
        <v>100</v>
      </c>
      <c r="O373" s="19"/>
      <c r="P373" s="19"/>
      <c r="Q373" s="19"/>
      <c r="R373" s="6">
        <f t="shared" si="80"/>
        <v>100</v>
      </c>
      <c r="S373" s="8"/>
      <c r="T373" s="8"/>
      <c r="U373" s="8"/>
      <c r="V373" s="6">
        <f t="shared" si="81"/>
        <v>100</v>
      </c>
      <c r="W373" s="8"/>
      <c r="X373" s="8"/>
      <c r="Y373" s="8"/>
      <c r="Z373" s="6">
        <f t="shared" si="82"/>
        <v>100</v>
      </c>
      <c r="AA373" s="19"/>
      <c r="AB373" s="19"/>
      <c r="AC373" s="19"/>
      <c r="AD373" s="6">
        <f t="shared" si="83"/>
        <v>100</v>
      </c>
      <c r="AE373" s="19"/>
      <c r="AF373" s="19"/>
      <c r="AG373" s="19"/>
      <c r="AH373" s="6">
        <f t="shared" si="84"/>
        <v>100</v>
      </c>
      <c r="AI373" s="19"/>
      <c r="AJ373" s="19"/>
      <c r="AK373" s="19"/>
      <c r="AL373" s="6">
        <f t="shared" si="85"/>
        <v>100</v>
      </c>
      <c r="AM373" s="19"/>
      <c r="AN373" s="19"/>
      <c r="AO373" s="19"/>
      <c r="AP373" s="6">
        <f t="shared" si="86"/>
        <v>100</v>
      </c>
      <c r="AQ373" s="19"/>
      <c r="AR373" s="19"/>
      <c r="AS373" s="19"/>
      <c r="AT373" s="6">
        <f t="shared" si="87"/>
        <v>100</v>
      </c>
    </row>
    <row r="374" spans="1:46">
      <c r="A374" s="4">
        <v>46188</v>
      </c>
      <c r="B374" s="257"/>
      <c r="C374" s="7"/>
      <c r="D374" s="7"/>
      <c r="E374" s="7"/>
      <c r="F374" s="6">
        <f t="shared" si="77"/>
        <v>100</v>
      </c>
      <c r="G374" s="8"/>
      <c r="H374" s="8"/>
      <c r="I374" s="8"/>
      <c r="J374" s="6">
        <f t="shared" si="78"/>
        <v>100</v>
      </c>
      <c r="K374" s="19"/>
      <c r="L374" s="19"/>
      <c r="M374" s="19"/>
      <c r="N374" s="6">
        <f t="shared" si="79"/>
        <v>100</v>
      </c>
      <c r="O374" s="19"/>
      <c r="P374" s="19"/>
      <c r="Q374" s="19"/>
      <c r="R374" s="6">
        <f t="shared" si="80"/>
        <v>100</v>
      </c>
      <c r="S374" s="8"/>
      <c r="T374" s="8"/>
      <c r="U374" s="8"/>
      <c r="V374" s="6">
        <f t="shared" si="81"/>
        <v>100</v>
      </c>
      <c r="W374" s="8"/>
      <c r="X374" s="8"/>
      <c r="Y374" s="8"/>
      <c r="Z374" s="6">
        <f t="shared" si="82"/>
        <v>100</v>
      </c>
      <c r="AA374" s="19"/>
      <c r="AB374" s="19"/>
      <c r="AC374" s="19"/>
      <c r="AD374" s="6">
        <f t="shared" si="83"/>
        <v>100</v>
      </c>
      <c r="AE374" s="19"/>
      <c r="AF374" s="19"/>
      <c r="AG374" s="19"/>
      <c r="AH374" s="6">
        <f t="shared" si="84"/>
        <v>100</v>
      </c>
      <c r="AI374" s="19"/>
      <c r="AJ374" s="19"/>
      <c r="AK374" s="19"/>
      <c r="AL374" s="6">
        <f t="shared" si="85"/>
        <v>100</v>
      </c>
      <c r="AM374" s="19"/>
      <c r="AN374" s="19"/>
      <c r="AO374" s="19"/>
      <c r="AP374" s="6">
        <f t="shared" si="86"/>
        <v>100</v>
      </c>
      <c r="AQ374" s="19"/>
      <c r="AR374" s="19"/>
      <c r="AS374" s="19"/>
      <c r="AT374" s="6">
        <f t="shared" si="87"/>
        <v>100</v>
      </c>
    </row>
    <row r="375" spans="1:46">
      <c r="A375" s="4">
        <v>46189</v>
      </c>
      <c r="B375" s="257"/>
      <c r="C375" s="7"/>
      <c r="D375" s="7"/>
      <c r="E375" s="7"/>
      <c r="F375" s="6">
        <f t="shared" si="77"/>
        <v>100</v>
      </c>
      <c r="G375" s="8"/>
      <c r="H375" s="8"/>
      <c r="I375" s="8"/>
      <c r="J375" s="6">
        <f t="shared" si="78"/>
        <v>100</v>
      </c>
      <c r="K375" s="19"/>
      <c r="L375" s="19"/>
      <c r="M375" s="19"/>
      <c r="N375" s="6">
        <f t="shared" si="79"/>
        <v>100</v>
      </c>
      <c r="O375" s="19"/>
      <c r="P375" s="19"/>
      <c r="Q375" s="19"/>
      <c r="R375" s="6">
        <f t="shared" si="80"/>
        <v>100</v>
      </c>
      <c r="S375" s="8"/>
      <c r="T375" s="8"/>
      <c r="U375" s="8"/>
      <c r="V375" s="6">
        <f t="shared" si="81"/>
        <v>100</v>
      </c>
      <c r="W375" s="8"/>
      <c r="X375" s="8"/>
      <c r="Y375" s="8"/>
      <c r="Z375" s="6">
        <f t="shared" si="82"/>
        <v>100</v>
      </c>
      <c r="AA375" s="19"/>
      <c r="AB375" s="19"/>
      <c r="AC375" s="19"/>
      <c r="AD375" s="6">
        <f t="shared" si="83"/>
        <v>100</v>
      </c>
      <c r="AE375" s="19"/>
      <c r="AF375" s="19"/>
      <c r="AG375" s="19"/>
      <c r="AH375" s="6">
        <f t="shared" si="84"/>
        <v>100</v>
      </c>
      <c r="AI375" s="19"/>
      <c r="AJ375" s="19"/>
      <c r="AK375" s="19"/>
      <c r="AL375" s="6">
        <f t="shared" si="85"/>
        <v>100</v>
      </c>
      <c r="AM375" s="19"/>
      <c r="AN375" s="19"/>
      <c r="AO375" s="19"/>
      <c r="AP375" s="6">
        <f t="shared" si="86"/>
        <v>100</v>
      </c>
      <c r="AQ375" s="19"/>
      <c r="AR375" s="19"/>
      <c r="AS375" s="19"/>
      <c r="AT375" s="6">
        <f t="shared" si="87"/>
        <v>100</v>
      </c>
    </row>
    <row r="376" spans="1:46">
      <c r="A376" s="4">
        <v>46190</v>
      </c>
      <c r="B376" s="257"/>
      <c r="C376" s="7"/>
      <c r="D376" s="7"/>
      <c r="E376" s="7"/>
      <c r="F376" s="6">
        <f t="shared" si="77"/>
        <v>100</v>
      </c>
      <c r="G376" s="8"/>
      <c r="H376" s="8"/>
      <c r="I376" s="8"/>
      <c r="J376" s="6">
        <f t="shared" si="78"/>
        <v>100</v>
      </c>
      <c r="K376" s="19"/>
      <c r="L376" s="19"/>
      <c r="M376" s="19"/>
      <c r="N376" s="6">
        <f t="shared" si="79"/>
        <v>100</v>
      </c>
      <c r="O376" s="19"/>
      <c r="P376" s="19"/>
      <c r="Q376" s="19"/>
      <c r="R376" s="6">
        <f t="shared" si="80"/>
        <v>100</v>
      </c>
      <c r="S376" s="8"/>
      <c r="T376" s="8"/>
      <c r="U376" s="8"/>
      <c r="V376" s="6">
        <f t="shared" si="81"/>
        <v>100</v>
      </c>
      <c r="W376" s="8"/>
      <c r="X376" s="8"/>
      <c r="Y376" s="8"/>
      <c r="Z376" s="6">
        <f t="shared" si="82"/>
        <v>100</v>
      </c>
      <c r="AA376" s="19"/>
      <c r="AB376" s="19"/>
      <c r="AC376" s="19"/>
      <c r="AD376" s="6">
        <f t="shared" si="83"/>
        <v>100</v>
      </c>
      <c r="AE376" s="19"/>
      <c r="AF376" s="19"/>
      <c r="AG376" s="19"/>
      <c r="AH376" s="6">
        <f t="shared" si="84"/>
        <v>100</v>
      </c>
      <c r="AI376" s="19"/>
      <c r="AJ376" s="19"/>
      <c r="AK376" s="19"/>
      <c r="AL376" s="6">
        <f t="shared" si="85"/>
        <v>100</v>
      </c>
      <c r="AM376" s="19"/>
      <c r="AN376" s="19"/>
      <c r="AO376" s="19"/>
      <c r="AP376" s="6">
        <f t="shared" si="86"/>
        <v>100</v>
      </c>
      <c r="AQ376" s="19"/>
      <c r="AR376" s="19"/>
      <c r="AS376" s="19"/>
      <c r="AT376" s="6">
        <f t="shared" si="87"/>
        <v>100</v>
      </c>
    </row>
    <row r="377" spans="1:46">
      <c r="A377" s="4">
        <v>46191</v>
      </c>
      <c r="B377" s="257"/>
      <c r="C377" s="7"/>
      <c r="D377" s="7"/>
      <c r="E377" s="7"/>
      <c r="F377" s="6">
        <f t="shared" si="77"/>
        <v>100</v>
      </c>
      <c r="G377" s="8"/>
      <c r="H377" s="8"/>
      <c r="I377" s="8"/>
      <c r="J377" s="6">
        <f t="shared" si="78"/>
        <v>100</v>
      </c>
      <c r="K377" s="19"/>
      <c r="L377" s="19"/>
      <c r="M377" s="19"/>
      <c r="N377" s="6">
        <f t="shared" si="79"/>
        <v>100</v>
      </c>
      <c r="O377" s="19"/>
      <c r="P377" s="19"/>
      <c r="Q377" s="19"/>
      <c r="R377" s="6">
        <f t="shared" si="80"/>
        <v>100</v>
      </c>
      <c r="S377" s="8"/>
      <c r="T377" s="8"/>
      <c r="U377" s="8"/>
      <c r="V377" s="6">
        <f t="shared" si="81"/>
        <v>100</v>
      </c>
      <c r="W377" s="8"/>
      <c r="X377" s="8"/>
      <c r="Y377" s="8"/>
      <c r="Z377" s="6">
        <f t="shared" si="82"/>
        <v>100</v>
      </c>
      <c r="AA377" s="19"/>
      <c r="AB377" s="19"/>
      <c r="AC377" s="19"/>
      <c r="AD377" s="6">
        <f t="shared" si="83"/>
        <v>100</v>
      </c>
      <c r="AE377" s="19"/>
      <c r="AF377" s="19"/>
      <c r="AG377" s="19"/>
      <c r="AH377" s="6">
        <f t="shared" si="84"/>
        <v>100</v>
      </c>
      <c r="AI377" s="19"/>
      <c r="AJ377" s="19"/>
      <c r="AK377" s="19"/>
      <c r="AL377" s="6">
        <f t="shared" si="85"/>
        <v>100</v>
      </c>
      <c r="AM377" s="19"/>
      <c r="AN377" s="19"/>
      <c r="AO377" s="19"/>
      <c r="AP377" s="6">
        <f t="shared" si="86"/>
        <v>100</v>
      </c>
      <c r="AQ377" s="19"/>
      <c r="AR377" s="19"/>
      <c r="AS377" s="19"/>
      <c r="AT377" s="6">
        <f t="shared" si="87"/>
        <v>100</v>
      </c>
    </row>
    <row r="378" spans="1:46">
      <c r="A378" s="70">
        <v>46192</v>
      </c>
      <c r="B378" s="257"/>
      <c r="C378" s="7"/>
      <c r="D378" s="7"/>
      <c r="E378" s="7"/>
      <c r="F378" s="6">
        <f t="shared" si="77"/>
        <v>100</v>
      </c>
      <c r="G378" s="8"/>
      <c r="H378" s="8"/>
      <c r="I378" s="8"/>
      <c r="J378" s="6">
        <f t="shared" si="78"/>
        <v>100</v>
      </c>
      <c r="K378" s="19"/>
      <c r="L378" s="19"/>
      <c r="M378" s="19"/>
      <c r="N378" s="6">
        <f t="shared" si="79"/>
        <v>100</v>
      </c>
      <c r="O378" s="19"/>
      <c r="P378" s="19"/>
      <c r="Q378" s="19"/>
      <c r="R378" s="6">
        <f t="shared" si="80"/>
        <v>100</v>
      </c>
      <c r="S378" s="8"/>
      <c r="T378" s="8"/>
      <c r="U378" s="8"/>
      <c r="V378" s="6">
        <f t="shared" si="81"/>
        <v>100</v>
      </c>
      <c r="W378" s="8"/>
      <c r="X378" s="8"/>
      <c r="Y378" s="8"/>
      <c r="Z378" s="6">
        <f t="shared" si="82"/>
        <v>100</v>
      </c>
      <c r="AA378" s="19"/>
      <c r="AB378" s="19"/>
      <c r="AC378" s="19"/>
      <c r="AD378" s="6">
        <f t="shared" si="83"/>
        <v>100</v>
      </c>
      <c r="AE378" s="19"/>
      <c r="AF378" s="19"/>
      <c r="AG378" s="19"/>
      <c r="AH378" s="6">
        <f t="shared" si="84"/>
        <v>100</v>
      </c>
      <c r="AI378" s="19"/>
      <c r="AJ378" s="19"/>
      <c r="AK378" s="19"/>
      <c r="AL378" s="6">
        <f t="shared" si="85"/>
        <v>100</v>
      </c>
      <c r="AM378" s="19"/>
      <c r="AN378" s="19"/>
      <c r="AO378" s="19"/>
      <c r="AP378" s="6">
        <f t="shared" si="86"/>
        <v>100</v>
      </c>
      <c r="AQ378" s="19"/>
      <c r="AR378" s="19"/>
      <c r="AS378" s="19"/>
      <c r="AT378" s="6">
        <f t="shared" si="87"/>
        <v>100</v>
      </c>
    </row>
    <row r="379" spans="1:46">
      <c r="A379" s="4">
        <v>46193</v>
      </c>
      <c r="B379" s="257"/>
      <c r="C379" s="7"/>
      <c r="D379" s="7"/>
      <c r="E379" s="7"/>
      <c r="F379" s="6">
        <f t="shared" si="77"/>
        <v>100</v>
      </c>
      <c r="G379" s="8"/>
      <c r="H379" s="8"/>
      <c r="I379" s="8"/>
      <c r="J379" s="6">
        <f t="shared" si="78"/>
        <v>100</v>
      </c>
      <c r="K379" s="19"/>
      <c r="L379" s="19"/>
      <c r="M379" s="19"/>
      <c r="N379" s="6">
        <f t="shared" si="79"/>
        <v>100</v>
      </c>
      <c r="O379" s="19"/>
      <c r="P379" s="19"/>
      <c r="Q379" s="19"/>
      <c r="R379" s="6">
        <f t="shared" si="80"/>
        <v>100</v>
      </c>
      <c r="S379" s="8"/>
      <c r="T379" s="8"/>
      <c r="U379" s="8"/>
      <c r="V379" s="6">
        <f t="shared" si="81"/>
        <v>100</v>
      </c>
      <c r="W379" s="8"/>
      <c r="X379" s="8"/>
      <c r="Y379" s="8"/>
      <c r="Z379" s="6">
        <f t="shared" si="82"/>
        <v>100</v>
      </c>
      <c r="AA379" s="19"/>
      <c r="AB379" s="19"/>
      <c r="AC379" s="19"/>
      <c r="AD379" s="6">
        <f t="shared" si="83"/>
        <v>100</v>
      </c>
      <c r="AE379" s="19"/>
      <c r="AF379" s="19"/>
      <c r="AG379" s="19"/>
      <c r="AH379" s="6">
        <f t="shared" si="84"/>
        <v>100</v>
      </c>
      <c r="AI379" s="19"/>
      <c r="AJ379" s="19"/>
      <c r="AK379" s="19"/>
      <c r="AL379" s="6">
        <f t="shared" si="85"/>
        <v>100</v>
      </c>
      <c r="AM379" s="19"/>
      <c r="AN379" s="19"/>
      <c r="AO379" s="19"/>
      <c r="AP379" s="6">
        <f t="shared" si="86"/>
        <v>100</v>
      </c>
      <c r="AQ379" s="19"/>
      <c r="AR379" s="19"/>
      <c r="AS379" s="19"/>
      <c r="AT379" s="6">
        <f t="shared" si="87"/>
        <v>100</v>
      </c>
    </row>
    <row r="380" spans="1:46">
      <c r="A380" s="4">
        <v>46194</v>
      </c>
      <c r="B380" s="257"/>
      <c r="C380" s="7"/>
      <c r="D380" s="7"/>
      <c r="E380" s="7"/>
      <c r="F380" s="6">
        <f t="shared" si="77"/>
        <v>100</v>
      </c>
      <c r="G380" s="8"/>
      <c r="H380" s="8"/>
      <c r="I380" s="8"/>
      <c r="J380" s="6">
        <f t="shared" si="78"/>
        <v>100</v>
      </c>
      <c r="K380" s="19"/>
      <c r="L380" s="19"/>
      <c r="M380" s="19"/>
      <c r="N380" s="6">
        <f t="shared" si="79"/>
        <v>100</v>
      </c>
      <c r="O380" s="19"/>
      <c r="P380" s="19"/>
      <c r="Q380" s="19"/>
      <c r="R380" s="6">
        <f t="shared" si="80"/>
        <v>100</v>
      </c>
      <c r="S380" s="8"/>
      <c r="T380" s="8"/>
      <c r="U380" s="8"/>
      <c r="V380" s="6">
        <f t="shared" si="81"/>
        <v>100</v>
      </c>
      <c r="W380" s="8"/>
      <c r="X380" s="8"/>
      <c r="Y380" s="8"/>
      <c r="Z380" s="6">
        <f t="shared" si="82"/>
        <v>100</v>
      </c>
      <c r="AA380" s="19"/>
      <c r="AB380" s="19"/>
      <c r="AC380" s="19"/>
      <c r="AD380" s="6">
        <f t="shared" si="83"/>
        <v>100</v>
      </c>
      <c r="AE380" s="19"/>
      <c r="AF380" s="19"/>
      <c r="AG380" s="19"/>
      <c r="AH380" s="6">
        <f t="shared" si="84"/>
        <v>100</v>
      </c>
      <c r="AI380" s="19"/>
      <c r="AJ380" s="19"/>
      <c r="AK380" s="19"/>
      <c r="AL380" s="6">
        <f t="shared" si="85"/>
        <v>100</v>
      </c>
      <c r="AM380" s="19"/>
      <c r="AN380" s="19"/>
      <c r="AO380" s="19"/>
      <c r="AP380" s="6">
        <f t="shared" si="86"/>
        <v>100</v>
      </c>
      <c r="AQ380" s="19"/>
      <c r="AR380" s="19"/>
      <c r="AS380" s="19"/>
      <c r="AT380" s="6">
        <f t="shared" si="87"/>
        <v>100</v>
      </c>
    </row>
    <row r="381" spans="1:46">
      <c r="A381" s="4">
        <v>46195</v>
      </c>
      <c r="B381" s="257"/>
      <c r="C381" s="7"/>
      <c r="D381" s="7"/>
      <c r="E381" s="7"/>
      <c r="F381" s="6">
        <f t="shared" si="77"/>
        <v>100</v>
      </c>
      <c r="G381" s="8"/>
      <c r="H381" s="8"/>
      <c r="I381" s="8"/>
      <c r="J381" s="6">
        <f t="shared" si="78"/>
        <v>100</v>
      </c>
      <c r="K381" s="19"/>
      <c r="L381" s="19"/>
      <c r="M381" s="19"/>
      <c r="N381" s="6">
        <f t="shared" si="79"/>
        <v>100</v>
      </c>
      <c r="O381" s="19"/>
      <c r="P381" s="19"/>
      <c r="Q381" s="19"/>
      <c r="R381" s="6">
        <f t="shared" si="80"/>
        <v>100</v>
      </c>
      <c r="S381" s="8"/>
      <c r="T381" s="8"/>
      <c r="U381" s="8"/>
      <c r="V381" s="6">
        <f t="shared" si="81"/>
        <v>100</v>
      </c>
      <c r="W381" s="8"/>
      <c r="X381" s="8"/>
      <c r="Y381" s="8"/>
      <c r="Z381" s="6">
        <f t="shared" si="82"/>
        <v>100</v>
      </c>
      <c r="AA381" s="19"/>
      <c r="AB381" s="19"/>
      <c r="AC381" s="19"/>
      <c r="AD381" s="6">
        <f t="shared" si="83"/>
        <v>100</v>
      </c>
      <c r="AE381" s="19"/>
      <c r="AF381" s="19"/>
      <c r="AG381" s="19"/>
      <c r="AH381" s="6">
        <f t="shared" si="84"/>
        <v>100</v>
      </c>
      <c r="AI381" s="19"/>
      <c r="AJ381" s="19"/>
      <c r="AK381" s="19"/>
      <c r="AL381" s="6">
        <f t="shared" si="85"/>
        <v>100</v>
      </c>
      <c r="AM381" s="19"/>
      <c r="AN381" s="19"/>
      <c r="AO381" s="19"/>
      <c r="AP381" s="6">
        <f t="shared" si="86"/>
        <v>100</v>
      </c>
      <c r="AQ381" s="19"/>
      <c r="AR381" s="19"/>
      <c r="AS381" s="19"/>
      <c r="AT381" s="6">
        <f t="shared" si="87"/>
        <v>100</v>
      </c>
    </row>
    <row r="382" spans="1:46">
      <c r="A382" s="4">
        <v>46196</v>
      </c>
      <c r="B382" s="257"/>
      <c r="C382" s="7"/>
      <c r="D382" s="7"/>
      <c r="E382" s="7"/>
      <c r="F382" s="6">
        <f t="shared" si="77"/>
        <v>100</v>
      </c>
      <c r="G382" s="8"/>
      <c r="H382" s="8"/>
      <c r="I382" s="8"/>
      <c r="J382" s="6">
        <f t="shared" si="78"/>
        <v>100</v>
      </c>
      <c r="K382" s="19"/>
      <c r="L382" s="19"/>
      <c r="M382" s="19"/>
      <c r="N382" s="6">
        <f t="shared" si="79"/>
        <v>100</v>
      </c>
      <c r="O382" s="19"/>
      <c r="P382" s="19"/>
      <c r="Q382" s="19"/>
      <c r="R382" s="6">
        <f t="shared" si="80"/>
        <v>100</v>
      </c>
      <c r="S382" s="8"/>
      <c r="T382" s="8"/>
      <c r="U382" s="8"/>
      <c r="V382" s="6">
        <f t="shared" si="81"/>
        <v>100</v>
      </c>
      <c r="W382" s="8"/>
      <c r="X382" s="8"/>
      <c r="Y382" s="8"/>
      <c r="Z382" s="6">
        <f t="shared" si="82"/>
        <v>100</v>
      </c>
      <c r="AA382" s="19"/>
      <c r="AB382" s="19"/>
      <c r="AC382" s="19"/>
      <c r="AD382" s="6">
        <f t="shared" si="83"/>
        <v>100</v>
      </c>
      <c r="AE382" s="19"/>
      <c r="AF382" s="19"/>
      <c r="AG382" s="19"/>
      <c r="AH382" s="6">
        <f t="shared" si="84"/>
        <v>100</v>
      </c>
      <c r="AI382" s="19"/>
      <c r="AJ382" s="19"/>
      <c r="AK382" s="19"/>
      <c r="AL382" s="6">
        <f t="shared" si="85"/>
        <v>100</v>
      </c>
      <c r="AM382" s="19"/>
      <c r="AN382" s="19"/>
      <c r="AO382" s="19"/>
      <c r="AP382" s="6">
        <f t="shared" si="86"/>
        <v>100</v>
      </c>
      <c r="AQ382" s="19"/>
      <c r="AR382" s="19"/>
      <c r="AS382" s="19"/>
      <c r="AT382" s="6">
        <f t="shared" si="87"/>
        <v>100</v>
      </c>
    </row>
    <row r="383" spans="1:46">
      <c r="A383" s="4">
        <v>46197</v>
      </c>
      <c r="B383" s="257"/>
      <c r="C383" s="7"/>
      <c r="D383" s="7"/>
      <c r="E383" s="7"/>
      <c r="F383" s="6">
        <f t="shared" si="77"/>
        <v>100</v>
      </c>
      <c r="G383" s="8"/>
      <c r="H383" s="8"/>
      <c r="I383" s="8"/>
      <c r="J383" s="6">
        <f t="shared" si="78"/>
        <v>100</v>
      </c>
      <c r="K383" s="19"/>
      <c r="L383" s="19"/>
      <c r="M383" s="19"/>
      <c r="N383" s="6">
        <f t="shared" si="79"/>
        <v>100</v>
      </c>
      <c r="O383" s="19"/>
      <c r="P383" s="19"/>
      <c r="Q383" s="19"/>
      <c r="R383" s="6">
        <f t="shared" si="80"/>
        <v>100</v>
      </c>
      <c r="S383" s="8"/>
      <c r="T383" s="8"/>
      <c r="U383" s="8"/>
      <c r="V383" s="6">
        <f t="shared" si="81"/>
        <v>100</v>
      </c>
      <c r="W383" s="8"/>
      <c r="X383" s="8"/>
      <c r="Y383" s="8"/>
      <c r="Z383" s="6">
        <f t="shared" si="82"/>
        <v>100</v>
      </c>
      <c r="AA383" s="19"/>
      <c r="AB383" s="19"/>
      <c r="AC383" s="19"/>
      <c r="AD383" s="6">
        <f t="shared" si="83"/>
        <v>100</v>
      </c>
      <c r="AE383" s="19"/>
      <c r="AF383" s="19"/>
      <c r="AG383" s="19"/>
      <c r="AH383" s="6">
        <f t="shared" si="84"/>
        <v>100</v>
      </c>
      <c r="AI383" s="19"/>
      <c r="AJ383" s="19"/>
      <c r="AK383" s="19"/>
      <c r="AL383" s="6">
        <f t="shared" si="85"/>
        <v>100</v>
      </c>
      <c r="AM383" s="19"/>
      <c r="AN383" s="19"/>
      <c r="AO383" s="19"/>
      <c r="AP383" s="6">
        <f t="shared" si="86"/>
        <v>100</v>
      </c>
      <c r="AQ383" s="19"/>
      <c r="AR383" s="19"/>
      <c r="AS383" s="19"/>
      <c r="AT383" s="6">
        <f t="shared" si="87"/>
        <v>100</v>
      </c>
    </row>
    <row r="384" spans="1:46">
      <c r="A384" s="4">
        <v>46198</v>
      </c>
      <c r="B384" s="257"/>
      <c r="C384" s="7"/>
      <c r="D384" s="7"/>
      <c r="E384" s="7"/>
      <c r="F384" s="6">
        <f t="shared" si="77"/>
        <v>100</v>
      </c>
      <c r="G384" s="8"/>
      <c r="H384" s="8"/>
      <c r="I384" s="8"/>
      <c r="J384" s="6">
        <f t="shared" si="78"/>
        <v>100</v>
      </c>
      <c r="K384" s="19"/>
      <c r="L384" s="19"/>
      <c r="M384" s="19"/>
      <c r="N384" s="6">
        <f t="shared" si="79"/>
        <v>100</v>
      </c>
      <c r="O384" s="19"/>
      <c r="P384" s="19"/>
      <c r="Q384" s="19"/>
      <c r="R384" s="6">
        <f t="shared" si="80"/>
        <v>100</v>
      </c>
      <c r="S384" s="8"/>
      <c r="T384" s="8"/>
      <c r="U384" s="8"/>
      <c r="V384" s="6">
        <f t="shared" si="81"/>
        <v>100</v>
      </c>
      <c r="W384" s="8"/>
      <c r="X384" s="8"/>
      <c r="Y384" s="8"/>
      <c r="Z384" s="6">
        <f t="shared" si="82"/>
        <v>100</v>
      </c>
      <c r="AA384" s="19"/>
      <c r="AB384" s="19"/>
      <c r="AC384" s="19"/>
      <c r="AD384" s="6">
        <f t="shared" si="83"/>
        <v>100</v>
      </c>
      <c r="AE384" s="19"/>
      <c r="AF384" s="19"/>
      <c r="AG384" s="19"/>
      <c r="AH384" s="6">
        <f t="shared" si="84"/>
        <v>100</v>
      </c>
      <c r="AI384" s="19"/>
      <c r="AJ384" s="19"/>
      <c r="AK384" s="19"/>
      <c r="AL384" s="6">
        <f t="shared" si="85"/>
        <v>100</v>
      </c>
      <c r="AM384" s="19"/>
      <c r="AN384" s="19"/>
      <c r="AO384" s="19"/>
      <c r="AP384" s="6">
        <f t="shared" si="86"/>
        <v>100</v>
      </c>
      <c r="AQ384" s="19"/>
      <c r="AR384" s="19"/>
      <c r="AS384" s="19"/>
      <c r="AT384" s="6">
        <f t="shared" si="87"/>
        <v>100</v>
      </c>
    </row>
    <row r="385" spans="1:46">
      <c r="A385" s="4">
        <v>46199</v>
      </c>
      <c r="B385" s="257"/>
      <c r="C385" s="7"/>
      <c r="D385" s="7"/>
      <c r="E385" s="7"/>
      <c r="F385" s="6">
        <f t="shared" si="77"/>
        <v>100</v>
      </c>
      <c r="G385" s="8"/>
      <c r="H385" s="8"/>
      <c r="I385" s="8"/>
      <c r="J385" s="6">
        <f t="shared" si="78"/>
        <v>100</v>
      </c>
      <c r="K385" s="19"/>
      <c r="L385" s="19"/>
      <c r="M385" s="19"/>
      <c r="N385" s="6">
        <f t="shared" si="79"/>
        <v>100</v>
      </c>
      <c r="O385" s="19"/>
      <c r="P385" s="19"/>
      <c r="Q385" s="19"/>
      <c r="R385" s="6">
        <f t="shared" si="80"/>
        <v>100</v>
      </c>
      <c r="S385" s="8"/>
      <c r="T385" s="8"/>
      <c r="U385" s="8"/>
      <c r="V385" s="6">
        <f t="shared" si="81"/>
        <v>100</v>
      </c>
      <c r="W385" s="8"/>
      <c r="X385" s="8"/>
      <c r="Y385" s="8"/>
      <c r="Z385" s="6">
        <f t="shared" si="82"/>
        <v>100</v>
      </c>
      <c r="AA385" s="19"/>
      <c r="AB385" s="19"/>
      <c r="AC385" s="19"/>
      <c r="AD385" s="6">
        <f t="shared" si="83"/>
        <v>100</v>
      </c>
      <c r="AE385" s="19"/>
      <c r="AF385" s="19"/>
      <c r="AG385" s="19"/>
      <c r="AH385" s="6">
        <f t="shared" si="84"/>
        <v>100</v>
      </c>
      <c r="AI385" s="19"/>
      <c r="AJ385" s="19"/>
      <c r="AK385" s="19"/>
      <c r="AL385" s="6">
        <f t="shared" si="85"/>
        <v>100</v>
      </c>
      <c r="AM385" s="19"/>
      <c r="AN385" s="19"/>
      <c r="AO385" s="19"/>
      <c r="AP385" s="6">
        <f t="shared" si="86"/>
        <v>100</v>
      </c>
      <c r="AQ385" s="19"/>
      <c r="AR385" s="19"/>
      <c r="AS385" s="19"/>
      <c r="AT385" s="6">
        <f t="shared" si="87"/>
        <v>100</v>
      </c>
    </row>
    <row r="386" spans="1:46">
      <c r="A386" s="4">
        <v>46200</v>
      </c>
      <c r="B386" s="257"/>
      <c r="C386" s="7"/>
      <c r="D386" s="7"/>
      <c r="E386" s="7"/>
      <c r="F386" s="6">
        <f t="shared" si="77"/>
        <v>100</v>
      </c>
      <c r="G386" s="8"/>
      <c r="H386" s="8"/>
      <c r="I386" s="8"/>
      <c r="J386" s="6">
        <f t="shared" si="78"/>
        <v>100</v>
      </c>
      <c r="K386" s="19"/>
      <c r="L386" s="19"/>
      <c r="M386" s="19"/>
      <c r="N386" s="6">
        <f t="shared" si="79"/>
        <v>100</v>
      </c>
      <c r="O386" s="19"/>
      <c r="P386" s="19"/>
      <c r="Q386" s="19"/>
      <c r="R386" s="6">
        <f t="shared" si="80"/>
        <v>100</v>
      </c>
      <c r="S386" s="8"/>
      <c r="T386" s="8"/>
      <c r="U386" s="8"/>
      <c r="V386" s="6">
        <f t="shared" si="81"/>
        <v>100</v>
      </c>
      <c r="W386" s="8"/>
      <c r="X386" s="8"/>
      <c r="Y386" s="8"/>
      <c r="Z386" s="6">
        <f t="shared" si="82"/>
        <v>100</v>
      </c>
      <c r="AA386" s="19"/>
      <c r="AB386" s="19"/>
      <c r="AC386" s="19"/>
      <c r="AD386" s="6">
        <f t="shared" si="83"/>
        <v>100</v>
      </c>
      <c r="AE386" s="19"/>
      <c r="AF386" s="19"/>
      <c r="AG386" s="19"/>
      <c r="AH386" s="6">
        <f t="shared" si="84"/>
        <v>100</v>
      </c>
      <c r="AI386" s="19"/>
      <c r="AJ386" s="19"/>
      <c r="AK386" s="19"/>
      <c r="AL386" s="6">
        <f t="shared" si="85"/>
        <v>100</v>
      </c>
      <c r="AM386" s="19"/>
      <c r="AN386" s="19"/>
      <c r="AO386" s="19"/>
      <c r="AP386" s="6">
        <f t="shared" si="86"/>
        <v>100</v>
      </c>
      <c r="AQ386" s="19"/>
      <c r="AR386" s="19"/>
      <c r="AS386" s="19"/>
      <c r="AT386" s="6">
        <f t="shared" si="87"/>
        <v>100</v>
      </c>
    </row>
    <row r="387" spans="1:46">
      <c r="A387" s="4">
        <v>46201</v>
      </c>
      <c r="B387" s="257"/>
      <c r="C387" s="7"/>
      <c r="D387" s="7"/>
      <c r="E387" s="7"/>
      <c r="F387" s="6">
        <f t="shared" si="77"/>
        <v>100</v>
      </c>
      <c r="G387" s="8"/>
      <c r="H387" s="8"/>
      <c r="I387" s="8"/>
      <c r="J387" s="6">
        <f t="shared" si="78"/>
        <v>100</v>
      </c>
      <c r="K387" s="19"/>
      <c r="L387" s="19"/>
      <c r="M387" s="19"/>
      <c r="N387" s="6">
        <f t="shared" si="79"/>
        <v>100</v>
      </c>
      <c r="O387" s="19"/>
      <c r="P387" s="19"/>
      <c r="Q387" s="19"/>
      <c r="R387" s="6">
        <f t="shared" si="80"/>
        <v>100</v>
      </c>
      <c r="S387" s="8"/>
      <c r="T387" s="8"/>
      <c r="U387" s="8"/>
      <c r="V387" s="6">
        <f t="shared" si="81"/>
        <v>100</v>
      </c>
      <c r="W387" s="8"/>
      <c r="X387" s="8"/>
      <c r="Y387" s="8"/>
      <c r="Z387" s="6">
        <f t="shared" si="82"/>
        <v>100</v>
      </c>
      <c r="AA387" s="19"/>
      <c r="AB387" s="19"/>
      <c r="AC387" s="19"/>
      <c r="AD387" s="6">
        <f t="shared" si="83"/>
        <v>100</v>
      </c>
      <c r="AE387" s="19"/>
      <c r="AF387" s="19"/>
      <c r="AG387" s="19"/>
      <c r="AH387" s="6">
        <f t="shared" si="84"/>
        <v>100</v>
      </c>
      <c r="AI387" s="19"/>
      <c r="AJ387" s="19"/>
      <c r="AK387" s="19"/>
      <c r="AL387" s="6">
        <f t="shared" si="85"/>
        <v>100</v>
      </c>
      <c r="AM387" s="19"/>
      <c r="AN387" s="19"/>
      <c r="AO387" s="19"/>
      <c r="AP387" s="6">
        <f t="shared" si="86"/>
        <v>100</v>
      </c>
      <c r="AQ387" s="19"/>
      <c r="AR387" s="19"/>
      <c r="AS387" s="19"/>
      <c r="AT387" s="6">
        <f t="shared" si="87"/>
        <v>100</v>
      </c>
    </row>
    <row r="388" spans="1:46">
      <c r="A388" s="70">
        <v>46202</v>
      </c>
      <c r="B388" s="257"/>
      <c r="C388" s="7"/>
      <c r="D388" s="7"/>
      <c r="E388" s="7"/>
      <c r="F388" s="6">
        <f t="shared" si="77"/>
        <v>100</v>
      </c>
      <c r="G388" s="8"/>
      <c r="H388" s="8"/>
      <c r="I388" s="8"/>
      <c r="J388" s="6">
        <f t="shared" si="78"/>
        <v>100</v>
      </c>
      <c r="K388" s="19"/>
      <c r="L388" s="19"/>
      <c r="M388" s="19"/>
      <c r="N388" s="6">
        <f t="shared" si="79"/>
        <v>100</v>
      </c>
      <c r="O388" s="19"/>
      <c r="P388" s="19"/>
      <c r="Q388" s="19"/>
      <c r="R388" s="6">
        <f t="shared" si="80"/>
        <v>100</v>
      </c>
      <c r="S388" s="8"/>
      <c r="T388" s="8"/>
      <c r="U388" s="8"/>
      <c r="V388" s="6">
        <f t="shared" si="81"/>
        <v>100</v>
      </c>
      <c r="W388" s="8"/>
      <c r="X388" s="8"/>
      <c r="Y388" s="8"/>
      <c r="Z388" s="6">
        <f t="shared" si="82"/>
        <v>100</v>
      </c>
      <c r="AA388" s="19"/>
      <c r="AB388" s="19"/>
      <c r="AC388" s="19"/>
      <c r="AD388" s="6">
        <f t="shared" si="83"/>
        <v>100</v>
      </c>
      <c r="AE388" s="19"/>
      <c r="AF388" s="19"/>
      <c r="AG388" s="19"/>
      <c r="AH388" s="6">
        <f t="shared" si="84"/>
        <v>100</v>
      </c>
      <c r="AI388" s="19"/>
      <c r="AJ388" s="19"/>
      <c r="AK388" s="19"/>
      <c r="AL388" s="6">
        <f t="shared" si="85"/>
        <v>100</v>
      </c>
      <c r="AM388" s="19"/>
      <c r="AN388" s="19"/>
      <c r="AO388" s="19"/>
      <c r="AP388" s="6">
        <f t="shared" si="86"/>
        <v>100</v>
      </c>
      <c r="AQ388" s="19"/>
      <c r="AR388" s="19"/>
      <c r="AS388" s="19"/>
      <c r="AT388" s="6">
        <f t="shared" si="87"/>
        <v>100</v>
      </c>
    </row>
    <row r="389" spans="1:46">
      <c r="A389" s="4">
        <v>46203</v>
      </c>
      <c r="B389" s="257"/>
      <c r="C389" s="7"/>
      <c r="D389" s="7"/>
      <c r="E389" s="7"/>
      <c r="F389" s="6">
        <f t="shared" si="77"/>
        <v>100</v>
      </c>
      <c r="G389" s="8"/>
      <c r="H389" s="8"/>
      <c r="I389" s="8"/>
      <c r="J389" s="6">
        <f t="shared" si="78"/>
        <v>100</v>
      </c>
      <c r="K389" s="19"/>
      <c r="L389" s="19"/>
      <c r="M389" s="19"/>
      <c r="N389" s="6">
        <f t="shared" si="79"/>
        <v>100</v>
      </c>
      <c r="O389" s="19"/>
      <c r="P389" s="19"/>
      <c r="Q389" s="19"/>
      <c r="R389" s="6">
        <f t="shared" si="80"/>
        <v>100</v>
      </c>
      <c r="S389" s="8"/>
      <c r="T389" s="8"/>
      <c r="U389" s="8"/>
      <c r="V389" s="6">
        <f t="shared" si="81"/>
        <v>100</v>
      </c>
      <c r="W389" s="8"/>
      <c r="X389" s="8"/>
      <c r="Y389" s="8"/>
      <c r="Z389" s="6">
        <f t="shared" si="82"/>
        <v>100</v>
      </c>
      <c r="AA389" s="19"/>
      <c r="AB389" s="19"/>
      <c r="AC389" s="19"/>
      <c r="AD389" s="6">
        <f t="shared" si="83"/>
        <v>100</v>
      </c>
      <c r="AE389" s="19"/>
      <c r="AF389" s="19"/>
      <c r="AG389" s="19"/>
      <c r="AH389" s="6">
        <f t="shared" si="84"/>
        <v>100</v>
      </c>
      <c r="AI389" s="19"/>
      <c r="AJ389" s="19"/>
      <c r="AK389" s="19"/>
      <c r="AL389" s="6">
        <f t="shared" si="85"/>
        <v>100</v>
      </c>
      <c r="AM389" s="19"/>
      <c r="AN389" s="19"/>
      <c r="AO389" s="19"/>
      <c r="AP389" s="6">
        <f t="shared" si="86"/>
        <v>100</v>
      </c>
      <c r="AQ389" s="19"/>
      <c r="AR389" s="19"/>
      <c r="AS389" s="19"/>
      <c r="AT389" s="6">
        <f t="shared" si="87"/>
        <v>100</v>
      </c>
    </row>
    <row r="390" spans="1:46">
      <c r="A390" s="4">
        <v>46204</v>
      </c>
      <c r="B390" s="257"/>
      <c r="C390" s="7"/>
      <c r="D390" s="7"/>
      <c r="E390" s="7"/>
      <c r="F390" s="6">
        <f t="shared" si="77"/>
        <v>100</v>
      </c>
      <c r="G390" s="8"/>
      <c r="H390" s="8"/>
      <c r="I390" s="8"/>
      <c r="J390" s="6">
        <f t="shared" si="78"/>
        <v>100</v>
      </c>
      <c r="K390" s="19"/>
      <c r="L390" s="19"/>
      <c r="M390" s="19"/>
      <c r="N390" s="6">
        <f t="shared" si="79"/>
        <v>100</v>
      </c>
      <c r="O390" s="19"/>
      <c r="P390" s="19"/>
      <c r="Q390" s="19"/>
      <c r="R390" s="6">
        <f t="shared" si="80"/>
        <v>100</v>
      </c>
      <c r="S390" s="8"/>
      <c r="T390" s="8"/>
      <c r="U390" s="8"/>
      <c r="V390" s="6">
        <f t="shared" si="81"/>
        <v>100</v>
      </c>
      <c r="W390" s="8"/>
      <c r="X390" s="8"/>
      <c r="Y390" s="8"/>
      <c r="Z390" s="6">
        <f t="shared" si="82"/>
        <v>100</v>
      </c>
      <c r="AA390" s="19"/>
      <c r="AB390" s="19"/>
      <c r="AC390" s="19"/>
      <c r="AD390" s="6">
        <f t="shared" si="83"/>
        <v>100</v>
      </c>
      <c r="AE390" s="19"/>
      <c r="AF390" s="19"/>
      <c r="AG390" s="19"/>
      <c r="AH390" s="6">
        <f t="shared" si="84"/>
        <v>100</v>
      </c>
      <c r="AI390" s="19"/>
      <c r="AJ390" s="19"/>
      <c r="AK390" s="19"/>
      <c r="AL390" s="6">
        <f t="shared" si="85"/>
        <v>100</v>
      </c>
      <c r="AM390" s="19"/>
      <c r="AN390" s="19"/>
      <c r="AO390" s="19"/>
      <c r="AP390" s="6">
        <f t="shared" si="86"/>
        <v>100</v>
      </c>
      <c r="AQ390" s="19"/>
      <c r="AR390" s="19"/>
      <c r="AS390" s="19"/>
      <c r="AT390" s="6">
        <f t="shared" si="87"/>
        <v>100</v>
      </c>
    </row>
    <row r="391" spans="1:46">
      <c r="A391" s="4">
        <v>46205</v>
      </c>
      <c r="B391" s="257"/>
      <c r="C391" s="7"/>
      <c r="D391" s="7"/>
      <c r="E391" s="7"/>
      <c r="F391" s="6">
        <f t="shared" si="77"/>
        <v>100</v>
      </c>
      <c r="G391" s="8"/>
      <c r="H391" s="8"/>
      <c r="I391" s="8"/>
      <c r="J391" s="6">
        <f t="shared" si="78"/>
        <v>100</v>
      </c>
      <c r="K391" s="19"/>
      <c r="L391" s="19"/>
      <c r="M391" s="19"/>
      <c r="N391" s="6">
        <f t="shared" si="79"/>
        <v>100</v>
      </c>
      <c r="O391" s="19"/>
      <c r="P391" s="19"/>
      <c r="Q391" s="19"/>
      <c r="R391" s="6">
        <f t="shared" si="80"/>
        <v>100</v>
      </c>
      <c r="S391" s="8"/>
      <c r="T391" s="8"/>
      <c r="U391" s="8"/>
      <c r="V391" s="6">
        <f t="shared" si="81"/>
        <v>100</v>
      </c>
      <c r="W391" s="8"/>
      <c r="X391" s="8"/>
      <c r="Y391" s="8"/>
      <c r="Z391" s="6">
        <f t="shared" si="82"/>
        <v>100</v>
      </c>
      <c r="AA391" s="19"/>
      <c r="AB391" s="19"/>
      <c r="AC391" s="19"/>
      <c r="AD391" s="6">
        <f t="shared" si="83"/>
        <v>100</v>
      </c>
      <c r="AE391" s="19"/>
      <c r="AF391" s="19"/>
      <c r="AG391" s="19"/>
      <c r="AH391" s="6">
        <f t="shared" si="84"/>
        <v>100</v>
      </c>
      <c r="AI391" s="19"/>
      <c r="AJ391" s="19"/>
      <c r="AK391" s="19"/>
      <c r="AL391" s="6">
        <f t="shared" si="85"/>
        <v>100</v>
      </c>
      <c r="AM391" s="19"/>
      <c r="AN391" s="19"/>
      <c r="AO391" s="19"/>
      <c r="AP391" s="6">
        <f t="shared" si="86"/>
        <v>100</v>
      </c>
      <c r="AQ391" s="19"/>
      <c r="AR391" s="19"/>
      <c r="AS391" s="19"/>
      <c r="AT391" s="6">
        <f t="shared" si="87"/>
        <v>100</v>
      </c>
    </row>
    <row r="392" spans="1:46">
      <c r="A392" s="4">
        <v>46206</v>
      </c>
      <c r="B392" s="257"/>
      <c r="C392" s="7"/>
      <c r="D392" s="7"/>
      <c r="E392" s="7"/>
      <c r="F392" s="6">
        <f t="shared" si="77"/>
        <v>100</v>
      </c>
      <c r="G392" s="8"/>
      <c r="H392" s="8"/>
      <c r="I392" s="8"/>
      <c r="J392" s="6">
        <f t="shared" si="78"/>
        <v>100</v>
      </c>
      <c r="K392" s="19"/>
      <c r="L392" s="19"/>
      <c r="M392" s="19"/>
      <c r="N392" s="6">
        <f t="shared" si="79"/>
        <v>100</v>
      </c>
      <c r="O392" s="19"/>
      <c r="P392" s="19"/>
      <c r="Q392" s="19"/>
      <c r="R392" s="6">
        <f t="shared" si="80"/>
        <v>100</v>
      </c>
      <c r="S392" s="8"/>
      <c r="T392" s="8"/>
      <c r="U392" s="8"/>
      <c r="V392" s="6">
        <f t="shared" si="81"/>
        <v>100</v>
      </c>
      <c r="W392" s="8"/>
      <c r="X392" s="8"/>
      <c r="Y392" s="8"/>
      <c r="Z392" s="6">
        <f t="shared" si="82"/>
        <v>100</v>
      </c>
      <c r="AA392" s="19"/>
      <c r="AB392" s="19"/>
      <c r="AC392" s="19"/>
      <c r="AD392" s="6">
        <f t="shared" si="83"/>
        <v>100</v>
      </c>
      <c r="AE392" s="19"/>
      <c r="AF392" s="19"/>
      <c r="AG392" s="19"/>
      <c r="AH392" s="6">
        <f t="shared" si="84"/>
        <v>100</v>
      </c>
      <c r="AI392" s="19"/>
      <c r="AJ392" s="19"/>
      <c r="AK392" s="19"/>
      <c r="AL392" s="6">
        <f t="shared" si="85"/>
        <v>100</v>
      </c>
      <c r="AM392" s="19"/>
      <c r="AN392" s="19"/>
      <c r="AO392" s="19"/>
      <c r="AP392" s="6">
        <f t="shared" si="86"/>
        <v>100</v>
      </c>
      <c r="AQ392" s="19"/>
      <c r="AR392" s="19"/>
      <c r="AS392" s="19"/>
      <c r="AT392" s="6">
        <f t="shared" si="87"/>
        <v>100</v>
      </c>
    </row>
    <row r="393" spans="1:46">
      <c r="A393" s="4">
        <v>46207</v>
      </c>
      <c r="B393" s="257"/>
      <c r="C393" s="7"/>
      <c r="D393" s="7"/>
      <c r="E393" s="7"/>
      <c r="F393" s="6">
        <f t="shared" si="77"/>
        <v>100</v>
      </c>
      <c r="G393" s="8"/>
      <c r="H393" s="8"/>
      <c r="I393" s="8"/>
      <c r="J393" s="6">
        <f t="shared" si="78"/>
        <v>100</v>
      </c>
      <c r="K393" s="19"/>
      <c r="L393" s="19"/>
      <c r="M393" s="19"/>
      <c r="N393" s="6">
        <f t="shared" si="79"/>
        <v>100</v>
      </c>
      <c r="O393" s="19"/>
      <c r="P393" s="19"/>
      <c r="Q393" s="19"/>
      <c r="R393" s="6">
        <f t="shared" si="80"/>
        <v>100</v>
      </c>
      <c r="S393" s="8"/>
      <c r="T393" s="8"/>
      <c r="U393" s="8"/>
      <c r="V393" s="6">
        <f t="shared" si="81"/>
        <v>100</v>
      </c>
      <c r="W393" s="8"/>
      <c r="X393" s="8"/>
      <c r="Y393" s="8"/>
      <c r="Z393" s="6">
        <f t="shared" si="82"/>
        <v>100</v>
      </c>
      <c r="AA393" s="19"/>
      <c r="AB393" s="19"/>
      <c r="AC393" s="19"/>
      <c r="AD393" s="6">
        <f t="shared" si="83"/>
        <v>100</v>
      </c>
      <c r="AE393" s="19"/>
      <c r="AF393" s="19"/>
      <c r="AG393" s="19"/>
      <c r="AH393" s="6">
        <f t="shared" si="84"/>
        <v>100</v>
      </c>
      <c r="AI393" s="19"/>
      <c r="AJ393" s="19"/>
      <c r="AK393" s="19"/>
      <c r="AL393" s="6">
        <f t="shared" si="85"/>
        <v>100</v>
      </c>
      <c r="AM393" s="19"/>
      <c r="AN393" s="19"/>
      <c r="AO393" s="19"/>
      <c r="AP393" s="6">
        <f t="shared" si="86"/>
        <v>100</v>
      </c>
      <c r="AQ393" s="19"/>
      <c r="AR393" s="19"/>
      <c r="AS393" s="19"/>
      <c r="AT393" s="6">
        <f t="shared" si="87"/>
        <v>100</v>
      </c>
    </row>
    <row r="394" spans="1:46">
      <c r="A394" s="4">
        <v>46208</v>
      </c>
      <c r="B394" s="257"/>
      <c r="C394" s="7"/>
      <c r="D394" s="7"/>
      <c r="E394" s="7"/>
      <c r="F394" s="6">
        <f t="shared" si="77"/>
        <v>100</v>
      </c>
      <c r="G394" s="8"/>
      <c r="H394" s="8"/>
      <c r="I394" s="8"/>
      <c r="J394" s="6">
        <f t="shared" si="78"/>
        <v>100</v>
      </c>
      <c r="K394" s="19"/>
      <c r="L394" s="19"/>
      <c r="M394" s="19"/>
      <c r="N394" s="6">
        <f t="shared" si="79"/>
        <v>100</v>
      </c>
      <c r="O394" s="19"/>
      <c r="P394" s="19"/>
      <c r="Q394" s="19"/>
      <c r="R394" s="6">
        <f t="shared" si="80"/>
        <v>100</v>
      </c>
      <c r="S394" s="8"/>
      <c r="T394" s="8"/>
      <c r="U394" s="8"/>
      <c r="V394" s="6">
        <f t="shared" si="81"/>
        <v>100</v>
      </c>
      <c r="W394" s="8"/>
      <c r="X394" s="8"/>
      <c r="Y394" s="8"/>
      <c r="Z394" s="6">
        <f t="shared" si="82"/>
        <v>100</v>
      </c>
      <c r="AA394" s="19"/>
      <c r="AB394" s="19"/>
      <c r="AC394" s="19"/>
      <c r="AD394" s="6">
        <f t="shared" si="83"/>
        <v>100</v>
      </c>
      <c r="AE394" s="19"/>
      <c r="AF394" s="19"/>
      <c r="AG394" s="19"/>
      <c r="AH394" s="6">
        <f t="shared" si="84"/>
        <v>100</v>
      </c>
      <c r="AI394" s="19"/>
      <c r="AJ394" s="19"/>
      <c r="AK394" s="19"/>
      <c r="AL394" s="6">
        <f t="shared" si="85"/>
        <v>100</v>
      </c>
      <c r="AM394" s="19"/>
      <c r="AN394" s="19"/>
      <c r="AO394" s="19"/>
      <c r="AP394" s="6">
        <f t="shared" si="86"/>
        <v>100</v>
      </c>
      <c r="AQ394" s="19"/>
      <c r="AR394" s="19"/>
      <c r="AS394" s="19"/>
      <c r="AT394" s="6">
        <f t="shared" si="87"/>
        <v>100</v>
      </c>
    </row>
    <row r="395" spans="1:46">
      <c r="A395" s="4">
        <v>46209</v>
      </c>
      <c r="B395" s="257"/>
      <c r="C395" s="7"/>
      <c r="D395" s="7"/>
      <c r="E395" s="7"/>
      <c r="F395" s="6">
        <f t="shared" si="77"/>
        <v>100</v>
      </c>
      <c r="G395" s="8"/>
      <c r="H395" s="8"/>
      <c r="I395" s="8"/>
      <c r="J395" s="6">
        <f t="shared" si="78"/>
        <v>100</v>
      </c>
      <c r="K395" s="19"/>
      <c r="L395" s="19"/>
      <c r="M395" s="19"/>
      <c r="N395" s="6">
        <f t="shared" si="79"/>
        <v>100</v>
      </c>
      <c r="O395" s="19"/>
      <c r="P395" s="19"/>
      <c r="Q395" s="19"/>
      <c r="R395" s="6">
        <f t="shared" si="80"/>
        <v>100</v>
      </c>
      <c r="S395" s="8"/>
      <c r="T395" s="8"/>
      <c r="U395" s="8"/>
      <c r="V395" s="6">
        <f t="shared" si="81"/>
        <v>100</v>
      </c>
      <c r="W395" s="8"/>
      <c r="X395" s="8"/>
      <c r="Y395" s="8"/>
      <c r="Z395" s="6">
        <f t="shared" si="82"/>
        <v>100</v>
      </c>
      <c r="AA395" s="19"/>
      <c r="AB395" s="19"/>
      <c r="AC395" s="19"/>
      <c r="AD395" s="6">
        <f t="shared" si="83"/>
        <v>100</v>
      </c>
      <c r="AE395" s="19"/>
      <c r="AF395" s="19"/>
      <c r="AG395" s="19"/>
      <c r="AH395" s="6">
        <f t="shared" si="84"/>
        <v>100</v>
      </c>
      <c r="AI395" s="19"/>
      <c r="AJ395" s="19"/>
      <c r="AK395" s="19"/>
      <c r="AL395" s="6">
        <f t="shared" si="85"/>
        <v>100</v>
      </c>
      <c r="AM395" s="19"/>
      <c r="AN395" s="19"/>
      <c r="AO395" s="19"/>
      <c r="AP395" s="6">
        <f t="shared" si="86"/>
        <v>100</v>
      </c>
      <c r="AQ395" s="19"/>
      <c r="AR395" s="19"/>
      <c r="AS395" s="19"/>
      <c r="AT395" s="6">
        <f t="shared" si="87"/>
        <v>100</v>
      </c>
    </row>
    <row r="396" spans="1:46">
      <c r="A396" s="4">
        <v>46210</v>
      </c>
      <c r="B396" s="257"/>
      <c r="C396" s="7"/>
      <c r="D396" s="7"/>
      <c r="E396" s="7"/>
      <c r="F396" s="6">
        <f t="shared" si="77"/>
        <v>100</v>
      </c>
      <c r="G396" s="8"/>
      <c r="H396" s="8"/>
      <c r="I396" s="8"/>
      <c r="J396" s="6">
        <f t="shared" si="78"/>
        <v>100</v>
      </c>
      <c r="K396" s="19"/>
      <c r="L396" s="19"/>
      <c r="M396" s="19"/>
      <c r="N396" s="6">
        <f t="shared" si="79"/>
        <v>100</v>
      </c>
      <c r="O396" s="19"/>
      <c r="P396" s="19"/>
      <c r="Q396" s="19"/>
      <c r="R396" s="6">
        <f t="shared" si="80"/>
        <v>100</v>
      </c>
      <c r="S396" s="8"/>
      <c r="T396" s="8"/>
      <c r="U396" s="8"/>
      <c r="V396" s="6">
        <f t="shared" si="81"/>
        <v>100</v>
      </c>
      <c r="W396" s="8"/>
      <c r="X396" s="8"/>
      <c r="Y396" s="8"/>
      <c r="Z396" s="6">
        <f t="shared" si="82"/>
        <v>100</v>
      </c>
      <c r="AA396" s="19"/>
      <c r="AB396" s="19"/>
      <c r="AC396" s="19"/>
      <c r="AD396" s="6">
        <f t="shared" si="83"/>
        <v>100</v>
      </c>
      <c r="AE396" s="19"/>
      <c r="AF396" s="19"/>
      <c r="AG396" s="19"/>
      <c r="AH396" s="6">
        <f t="shared" si="84"/>
        <v>100</v>
      </c>
      <c r="AI396" s="19"/>
      <c r="AJ396" s="19"/>
      <c r="AK396" s="19"/>
      <c r="AL396" s="6">
        <f t="shared" si="85"/>
        <v>100</v>
      </c>
      <c r="AM396" s="19"/>
      <c r="AN396" s="19"/>
      <c r="AO396" s="19"/>
      <c r="AP396" s="6">
        <f t="shared" si="86"/>
        <v>100</v>
      </c>
      <c r="AQ396" s="19"/>
      <c r="AR396" s="19"/>
      <c r="AS396" s="19"/>
      <c r="AT396" s="6">
        <f t="shared" si="87"/>
        <v>100</v>
      </c>
    </row>
    <row r="397" spans="1:46">
      <c r="A397" s="4">
        <v>46211</v>
      </c>
      <c r="B397" s="257"/>
      <c r="C397" s="7"/>
      <c r="D397" s="7"/>
      <c r="E397" s="7"/>
      <c r="F397" s="6">
        <f t="shared" si="77"/>
        <v>100</v>
      </c>
      <c r="G397" s="8"/>
      <c r="H397" s="8"/>
      <c r="I397" s="8"/>
      <c r="J397" s="6">
        <f t="shared" si="78"/>
        <v>100</v>
      </c>
      <c r="K397" s="19"/>
      <c r="L397" s="19"/>
      <c r="M397" s="19"/>
      <c r="N397" s="6">
        <f t="shared" si="79"/>
        <v>100</v>
      </c>
      <c r="O397" s="19"/>
      <c r="P397" s="19"/>
      <c r="Q397" s="19"/>
      <c r="R397" s="6">
        <f t="shared" si="80"/>
        <v>100</v>
      </c>
      <c r="S397" s="8"/>
      <c r="T397" s="8"/>
      <c r="U397" s="8"/>
      <c r="V397" s="6">
        <f t="shared" si="81"/>
        <v>100</v>
      </c>
      <c r="W397" s="8"/>
      <c r="X397" s="8"/>
      <c r="Y397" s="8"/>
      <c r="Z397" s="6">
        <f t="shared" si="82"/>
        <v>100</v>
      </c>
      <c r="AA397" s="19"/>
      <c r="AB397" s="19"/>
      <c r="AC397" s="19"/>
      <c r="AD397" s="6">
        <f t="shared" si="83"/>
        <v>100</v>
      </c>
      <c r="AE397" s="19"/>
      <c r="AF397" s="19"/>
      <c r="AG397" s="19"/>
      <c r="AH397" s="6">
        <f t="shared" si="84"/>
        <v>100</v>
      </c>
      <c r="AI397" s="19"/>
      <c r="AJ397" s="19"/>
      <c r="AK397" s="19"/>
      <c r="AL397" s="6">
        <f t="shared" si="85"/>
        <v>100</v>
      </c>
      <c r="AM397" s="19"/>
      <c r="AN397" s="19"/>
      <c r="AO397" s="19"/>
      <c r="AP397" s="6">
        <f t="shared" si="86"/>
        <v>100</v>
      </c>
      <c r="AQ397" s="19"/>
      <c r="AR397" s="19"/>
      <c r="AS397" s="19"/>
      <c r="AT397" s="6">
        <f t="shared" si="87"/>
        <v>100</v>
      </c>
    </row>
    <row r="398" spans="1:46">
      <c r="A398" s="70">
        <v>46212</v>
      </c>
      <c r="B398" s="257"/>
      <c r="C398" s="7"/>
      <c r="D398" s="7"/>
      <c r="E398" s="7"/>
      <c r="F398" s="6">
        <f t="shared" si="77"/>
        <v>100</v>
      </c>
      <c r="G398" s="8"/>
      <c r="H398" s="8"/>
      <c r="I398" s="8"/>
      <c r="J398" s="6">
        <f t="shared" si="78"/>
        <v>100</v>
      </c>
      <c r="K398" s="19"/>
      <c r="L398" s="19"/>
      <c r="M398" s="19"/>
      <c r="N398" s="6">
        <f t="shared" si="79"/>
        <v>100</v>
      </c>
      <c r="O398" s="19"/>
      <c r="P398" s="19"/>
      <c r="Q398" s="19"/>
      <c r="R398" s="6">
        <f t="shared" si="80"/>
        <v>100</v>
      </c>
      <c r="S398" s="8"/>
      <c r="T398" s="8"/>
      <c r="U398" s="8"/>
      <c r="V398" s="6">
        <f t="shared" si="81"/>
        <v>100</v>
      </c>
      <c r="W398" s="8"/>
      <c r="X398" s="8"/>
      <c r="Y398" s="8"/>
      <c r="Z398" s="6">
        <f t="shared" si="82"/>
        <v>100</v>
      </c>
      <c r="AA398" s="19"/>
      <c r="AB398" s="19"/>
      <c r="AC398" s="19"/>
      <c r="AD398" s="6">
        <f t="shared" si="83"/>
        <v>100</v>
      </c>
      <c r="AE398" s="19"/>
      <c r="AF398" s="19"/>
      <c r="AG398" s="19"/>
      <c r="AH398" s="6">
        <f t="shared" si="84"/>
        <v>100</v>
      </c>
      <c r="AI398" s="19"/>
      <c r="AJ398" s="19"/>
      <c r="AK398" s="19"/>
      <c r="AL398" s="6">
        <f t="shared" si="85"/>
        <v>100</v>
      </c>
      <c r="AM398" s="19"/>
      <c r="AN398" s="19"/>
      <c r="AO398" s="19"/>
      <c r="AP398" s="6">
        <f t="shared" si="86"/>
        <v>100</v>
      </c>
      <c r="AQ398" s="19"/>
      <c r="AR398" s="19"/>
      <c r="AS398" s="19"/>
      <c r="AT398" s="6">
        <f t="shared" si="87"/>
        <v>100</v>
      </c>
    </row>
    <row r="399" spans="1:46">
      <c r="A399" s="4">
        <v>46213</v>
      </c>
      <c r="B399" s="257"/>
      <c r="C399" s="7"/>
      <c r="D399" s="7"/>
      <c r="E399" s="7"/>
      <c r="F399" s="6">
        <f t="shared" si="77"/>
        <v>100</v>
      </c>
      <c r="G399" s="8"/>
      <c r="H399" s="8"/>
      <c r="I399" s="8"/>
      <c r="J399" s="6">
        <f t="shared" si="78"/>
        <v>100</v>
      </c>
      <c r="K399" s="19"/>
      <c r="L399" s="19"/>
      <c r="M399" s="19"/>
      <c r="N399" s="6">
        <f t="shared" si="79"/>
        <v>100</v>
      </c>
      <c r="O399" s="19"/>
      <c r="P399" s="19"/>
      <c r="Q399" s="19"/>
      <c r="R399" s="6">
        <f t="shared" si="80"/>
        <v>100</v>
      </c>
      <c r="S399" s="8"/>
      <c r="T399" s="8"/>
      <c r="U399" s="8"/>
      <c r="V399" s="6">
        <f t="shared" si="81"/>
        <v>100</v>
      </c>
      <c r="W399" s="8"/>
      <c r="X399" s="8"/>
      <c r="Y399" s="8"/>
      <c r="Z399" s="6">
        <f t="shared" si="82"/>
        <v>100</v>
      </c>
      <c r="AA399" s="19"/>
      <c r="AB399" s="19"/>
      <c r="AC399" s="19"/>
      <c r="AD399" s="6">
        <f t="shared" si="83"/>
        <v>100</v>
      </c>
      <c r="AE399" s="19"/>
      <c r="AF399" s="19"/>
      <c r="AG399" s="19"/>
      <c r="AH399" s="6">
        <f t="shared" si="84"/>
        <v>100</v>
      </c>
      <c r="AI399" s="19"/>
      <c r="AJ399" s="19"/>
      <c r="AK399" s="19"/>
      <c r="AL399" s="6">
        <f t="shared" si="85"/>
        <v>100</v>
      </c>
      <c r="AM399" s="19"/>
      <c r="AN399" s="19"/>
      <c r="AO399" s="19"/>
      <c r="AP399" s="6">
        <f t="shared" si="86"/>
        <v>100</v>
      </c>
      <c r="AQ399" s="19"/>
      <c r="AR399" s="19"/>
      <c r="AS399" s="19"/>
      <c r="AT399" s="6">
        <f t="shared" si="87"/>
        <v>100</v>
      </c>
    </row>
    <row r="400" spans="1:46">
      <c r="A400" s="4">
        <v>46214</v>
      </c>
      <c r="B400" s="257"/>
      <c r="C400" s="7"/>
      <c r="D400" s="7"/>
      <c r="E400" s="7"/>
      <c r="F400" s="6">
        <f t="shared" si="77"/>
        <v>100</v>
      </c>
      <c r="G400" s="8"/>
      <c r="H400" s="8"/>
      <c r="I400" s="8"/>
      <c r="J400" s="6">
        <f t="shared" si="78"/>
        <v>100</v>
      </c>
      <c r="K400" s="19"/>
      <c r="L400" s="19"/>
      <c r="M400" s="19"/>
      <c r="N400" s="6">
        <f t="shared" si="79"/>
        <v>100</v>
      </c>
      <c r="O400" s="19"/>
      <c r="P400" s="19"/>
      <c r="Q400" s="19"/>
      <c r="R400" s="6">
        <f t="shared" si="80"/>
        <v>100</v>
      </c>
      <c r="S400" s="8"/>
      <c r="T400" s="8"/>
      <c r="U400" s="8"/>
      <c r="V400" s="6">
        <f t="shared" si="81"/>
        <v>100</v>
      </c>
      <c r="W400" s="8"/>
      <c r="X400" s="8"/>
      <c r="Y400" s="8"/>
      <c r="Z400" s="6">
        <f t="shared" si="82"/>
        <v>100</v>
      </c>
      <c r="AA400" s="19"/>
      <c r="AB400" s="19"/>
      <c r="AC400" s="19"/>
      <c r="AD400" s="6">
        <f t="shared" si="83"/>
        <v>100</v>
      </c>
      <c r="AE400" s="19"/>
      <c r="AF400" s="19"/>
      <c r="AG400" s="19"/>
      <c r="AH400" s="6">
        <f t="shared" si="84"/>
        <v>100</v>
      </c>
      <c r="AI400" s="19"/>
      <c r="AJ400" s="19"/>
      <c r="AK400" s="19"/>
      <c r="AL400" s="6">
        <f t="shared" si="85"/>
        <v>100</v>
      </c>
      <c r="AM400" s="19"/>
      <c r="AN400" s="19"/>
      <c r="AO400" s="19"/>
      <c r="AP400" s="6">
        <f t="shared" si="86"/>
        <v>100</v>
      </c>
      <c r="AQ400" s="19"/>
      <c r="AR400" s="19"/>
      <c r="AS400" s="19"/>
      <c r="AT400" s="6">
        <f t="shared" si="87"/>
        <v>100</v>
      </c>
    </row>
    <row r="401" spans="1:46">
      <c r="A401" s="4">
        <v>46215</v>
      </c>
      <c r="B401" s="257"/>
      <c r="C401" s="7"/>
      <c r="D401" s="7"/>
      <c r="E401" s="7"/>
      <c r="F401" s="6">
        <f t="shared" ref="F401:F464" si="88">100-SUM(C401:E401)</f>
        <v>100</v>
      </c>
      <c r="G401" s="8"/>
      <c r="H401" s="8"/>
      <c r="I401" s="8"/>
      <c r="J401" s="6">
        <f t="shared" ref="J401:J464" si="89">100-SUM(G401:I401)</f>
        <v>100</v>
      </c>
      <c r="K401" s="19"/>
      <c r="L401" s="19"/>
      <c r="M401" s="19"/>
      <c r="N401" s="6">
        <f t="shared" ref="N401:N464" si="90">100-SUM(K401:M401)</f>
        <v>100</v>
      </c>
      <c r="O401" s="19"/>
      <c r="P401" s="19"/>
      <c r="Q401" s="19"/>
      <c r="R401" s="6">
        <f t="shared" ref="R401:R464" si="91">100-SUM(O401:Q401)</f>
        <v>100</v>
      </c>
      <c r="S401" s="8"/>
      <c r="T401" s="8"/>
      <c r="U401" s="8"/>
      <c r="V401" s="6">
        <f t="shared" ref="V401:V464" si="92">100-SUM(S401:U401)</f>
        <v>100</v>
      </c>
      <c r="W401" s="8"/>
      <c r="X401" s="8"/>
      <c r="Y401" s="8"/>
      <c r="Z401" s="6">
        <f t="shared" ref="Z401:Z464" si="93">100-SUM(W401:Y401)</f>
        <v>100</v>
      </c>
      <c r="AA401" s="19"/>
      <c r="AB401" s="19"/>
      <c r="AC401" s="19"/>
      <c r="AD401" s="6">
        <f t="shared" ref="AD401:AD464" si="94">100-SUM(AA401:AC401)</f>
        <v>100</v>
      </c>
      <c r="AE401" s="19"/>
      <c r="AF401" s="19"/>
      <c r="AG401" s="19"/>
      <c r="AH401" s="6">
        <f t="shared" ref="AH401:AH464" si="95">100-SUM(AE401:AG401)</f>
        <v>100</v>
      </c>
      <c r="AI401" s="19"/>
      <c r="AJ401" s="19"/>
      <c r="AK401" s="19"/>
      <c r="AL401" s="6">
        <f t="shared" ref="AL401:AL464" si="96">100-SUM(AI401:AK401)</f>
        <v>100</v>
      </c>
      <c r="AM401" s="19"/>
      <c r="AN401" s="19"/>
      <c r="AO401" s="19"/>
      <c r="AP401" s="6">
        <f t="shared" ref="AP401:AP464" si="97">100-SUM(AM401:AO401)</f>
        <v>100</v>
      </c>
      <c r="AQ401" s="19"/>
      <c r="AR401" s="19"/>
      <c r="AS401" s="19"/>
      <c r="AT401" s="6">
        <f t="shared" ref="AT401:AT464" si="98">100-SUM(AQ401:AS401)</f>
        <v>100</v>
      </c>
    </row>
    <row r="402" spans="1:46">
      <c r="A402" s="4">
        <v>46216</v>
      </c>
      <c r="B402" s="257"/>
      <c r="C402" s="7"/>
      <c r="D402" s="7"/>
      <c r="E402" s="7"/>
      <c r="F402" s="6">
        <f t="shared" si="88"/>
        <v>100</v>
      </c>
      <c r="G402" s="8"/>
      <c r="H402" s="8"/>
      <c r="I402" s="8"/>
      <c r="J402" s="6">
        <f t="shared" si="89"/>
        <v>100</v>
      </c>
      <c r="K402" s="19"/>
      <c r="L402" s="19"/>
      <c r="M402" s="19"/>
      <c r="N402" s="6">
        <f t="shared" si="90"/>
        <v>100</v>
      </c>
      <c r="O402" s="19"/>
      <c r="P402" s="19"/>
      <c r="Q402" s="19"/>
      <c r="R402" s="6">
        <f t="shared" si="91"/>
        <v>100</v>
      </c>
      <c r="S402" s="8"/>
      <c r="T402" s="8"/>
      <c r="U402" s="8"/>
      <c r="V402" s="6">
        <f t="shared" si="92"/>
        <v>100</v>
      </c>
      <c r="W402" s="8"/>
      <c r="X402" s="8"/>
      <c r="Y402" s="8"/>
      <c r="Z402" s="6">
        <f t="shared" si="93"/>
        <v>100</v>
      </c>
      <c r="AA402" s="19"/>
      <c r="AB402" s="19"/>
      <c r="AC402" s="19"/>
      <c r="AD402" s="6">
        <f t="shared" si="94"/>
        <v>100</v>
      </c>
      <c r="AE402" s="19"/>
      <c r="AF402" s="19"/>
      <c r="AG402" s="19"/>
      <c r="AH402" s="6">
        <f t="shared" si="95"/>
        <v>100</v>
      </c>
      <c r="AI402" s="19"/>
      <c r="AJ402" s="19"/>
      <c r="AK402" s="19"/>
      <c r="AL402" s="6">
        <f t="shared" si="96"/>
        <v>100</v>
      </c>
      <c r="AM402" s="19"/>
      <c r="AN402" s="19"/>
      <c r="AO402" s="19"/>
      <c r="AP402" s="6">
        <f t="shared" si="97"/>
        <v>100</v>
      </c>
      <c r="AQ402" s="19"/>
      <c r="AR402" s="19"/>
      <c r="AS402" s="19"/>
      <c r="AT402" s="6">
        <f t="shared" si="98"/>
        <v>100</v>
      </c>
    </row>
    <row r="403" spans="1:46">
      <c r="A403" s="4">
        <v>46217</v>
      </c>
      <c r="B403" s="257"/>
      <c r="C403" s="7"/>
      <c r="D403" s="7"/>
      <c r="E403" s="7"/>
      <c r="F403" s="6">
        <f t="shared" si="88"/>
        <v>100</v>
      </c>
      <c r="G403" s="8"/>
      <c r="H403" s="8"/>
      <c r="I403" s="8"/>
      <c r="J403" s="6">
        <f t="shared" si="89"/>
        <v>100</v>
      </c>
      <c r="K403" s="19"/>
      <c r="L403" s="19"/>
      <c r="M403" s="19"/>
      <c r="N403" s="6">
        <f t="shared" si="90"/>
        <v>100</v>
      </c>
      <c r="O403" s="19"/>
      <c r="P403" s="19"/>
      <c r="Q403" s="19"/>
      <c r="R403" s="6">
        <f t="shared" si="91"/>
        <v>100</v>
      </c>
      <c r="S403" s="8"/>
      <c r="T403" s="8"/>
      <c r="U403" s="8"/>
      <c r="V403" s="6">
        <f t="shared" si="92"/>
        <v>100</v>
      </c>
      <c r="W403" s="8"/>
      <c r="X403" s="8"/>
      <c r="Y403" s="8"/>
      <c r="Z403" s="6">
        <f t="shared" si="93"/>
        <v>100</v>
      </c>
      <c r="AA403" s="19"/>
      <c r="AB403" s="19"/>
      <c r="AC403" s="19"/>
      <c r="AD403" s="6">
        <f t="shared" si="94"/>
        <v>100</v>
      </c>
      <c r="AE403" s="19"/>
      <c r="AF403" s="19"/>
      <c r="AG403" s="19"/>
      <c r="AH403" s="6">
        <f t="shared" si="95"/>
        <v>100</v>
      </c>
      <c r="AI403" s="19"/>
      <c r="AJ403" s="19"/>
      <c r="AK403" s="19"/>
      <c r="AL403" s="6">
        <f t="shared" si="96"/>
        <v>100</v>
      </c>
      <c r="AM403" s="19"/>
      <c r="AN403" s="19"/>
      <c r="AO403" s="19"/>
      <c r="AP403" s="6">
        <f t="shared" si="97"/>
        <v>100</v>
      </c>
      <c r="AQ403" s="19"/>
      <c r="AR403" s="19"/>
      <c r="AS403" s="19"/>
      <c r="AT403" s="6">
        <f t="shared" si="98"/>
        <v>100</v>
      </c>
    </row>
    <row r="404" spans="1:46">
      <c r="A404" s="4">
        <v>46218</v>
      </c>
      <c r="B404" s="257"/>
      <c r="C404" s="7"/>
      <c r="D404" s="7"/>
      <c r="E404" s="7"/>
      <c r="F404" s="6">
        <f t="shared" si="88"/>
        <v>100</v>
      </c>
      <c r="G404" s="8"/>
      <c r="H404" s="8"/>
      <c r="I404" s="8"/>
      <c r="J404" s="6">
        <f t="shared" si="89"/>
        <v>100</v>
      </c>
      <c r="K404" s="19"/>
      <c r="L404" s="19"/>
      <c r="M404" s="19"/>
      <c r="N404" s="6">
        <f t="shared" si="90"/>
        <v>100</v>
      </c>
      <c r="O404" s="19"/>
      <c r="P404" s="19"/>
      <c r="Q404" s="19"/>
      <c r="R404" s="6">
        <f t="shared" si="91"/>
        <v>100</v>
      </c>
      <c r="S404" s="8"/>
      <c r="T404" s="8"/>
      <c r="U404" s="8"/>
      <c r="V404" s="6">
        <f t="shared" si="92"/>
        <v>100</v>
      </c>
      <c r="W404" s="8"/>
      <c r="X404" s="8"/>
      <c r="Y404" s="8"/>
      <c r="Z404" s="6">
        <f t="shared" si="93"/>
        <v>100</v>
      </c>
      <c r="AA404" s="19"/>
      <c r="AB404" s="19"/>
      <c r="AC404" s="19"/>
      <c r="AD404" s="6">
        <f t="shared" si="94"/>
        <v>100</v>
      </c>
      <c r="AE404" s="19"/>
      <c r="AF404" s="19"/>
      <c r="AG404" s="19"/>
      <c r="AH404" s="6">
        <f t="shared" si="95"/>
        <v>100</v>
      </c>
      <c r="AI404" s="19"/>
      <c r="AJ404" s="19"/>
      <c r="AK404" s="19"/>
      <c r="AL404" s="6">
        <f t="shared" si="96"/>
        <v>100</v>
      </c>
      <c r="AM404" s="19"/>
      <c r="AN404" s="19"/>
      <c r="AO404" s="19"/>
      <c r="AP404" s="6">
        <f t="shared" si="97"/>
        <v>100</v>
      </c>
      <c r="AQ404" s="19"/>
      <c r="AR404" s="19"/>
      <c r="AS404" s="19"/>
      <c r="AT404" s="6">
        <f t="shared" si="98"/>
        <v>100</v>
      </c>
    </row>
    <row r="405" spans="1:46">
      <c r="A405" s="4">
        <v>46219</v>
      </c>
      <c r="B405" s="257"/>
      <c r="C405" s="7"/>
      <c r="D405" s="7"/>
      <c r="E405" s="7"/>
      <c r="F405" s="6">
        <f t="shared" si="88"/>
        <v>100</v>
      </c>
      <c r="G405" s="8"/>
      <c r="H405" s="8"/>
      <c r="I405" s="8"/>
      <c r="J405" s="6">
        <f t="shared" si="89"/>
        <v>100</v>
      </c>
      <c r="K405" s="19"/>
      <c r="L405" s="19"/>
      <c r="M405" s="19"/>
      <c r="N405" s="6">
        <f t="shared" si="90"/>
        <v>100</v>
      </c>
      <c r="O405" s="19"/>
      <c r="P405" s="19"/>
      <c r="Q405" s="19"/>
      <c r="R405" s="6">
        <f t="shared" si="91"/>
        <v>100</v>
      </c>
      <c r="S405" s="8"/>
      <c r="T405" s="8"/>
      <c r="U405" s="8"/>
      <c r="V405" s="6">
        <f t="shared" si="92"/>
        <v>100</v>
      </c>
      <c r="W405" s="8"/>
      <c r="X405" s="8"/>
      <c r="Y405" s="8"/>
      <c r="Z405" s="6">
        <f t="shared" si="93"/>
        <v>100</v>
      </c>
      <c r="AA405" s="19"/>
      <c r="AB405" s="19"/>
      <c r="AC405" s="19"/>
      <c r="AD405" s="6">
        <f t="shared" si="94"/>
        <v>100</v>
      </c>
      <c r="AE405" s="19"/>
      <c r="AF405" s="19"/>
      <c r="AG405" s="19"/>
      <c r="AH405" s="6">
        <f t="shared" si="95"/>
        <v>100</v>
      </c>
      <c r="AI405" s="19"/>
      <c r="AJ405" s="19"/>
      <c r="AK405" s="19"/>
      <c r="AL405" s="6">
        <f t="shared" si="96"/>
        <v>100</v>
      </c>
      <c r="AM405" s="19"/>
      <c r="AN405" s="19"/>
      <c r="AO405" s="19"/>
      <c r="AP405" s="6">
        <f t="shared" si="97"/>
        <v>100</v>
      </c>
      <c r="AQ405" s="19"/>
      <c r="AR405" s="19"/>
      <c r="AS405" s="19"/>
      <c r="AT405" s="6">
        <f t="shared" si="98"/>
        <v>100</v>
      </c>
    </row>
    <row r="406" spans="1:46">
      <c r="A406" s="4">
        <v>46220</v>
      </c>
      <c r="B406" s="257"/>
      <c r="C406" s="7"/>
      <c r="D406" s="7"/>
      <c r="E406" s="7"/>
      <c r="F406" s="6">
        <f t="shared" si="88"/>
        <v>100</v>
      </c>
      <c r="G406" s="8"/>
      <c r="H406" s="8"/>
      <c r="I406" s="8"/>
      <c r="J406" s="6">
        <f t="shared" si="89"/>
        <v>100</v>
      </c>
      <c r="K406" s="19"/>
      <c r="L406" s="19"/>
      <c r="M406" s="19"/>
      <c r="N406" s="6">
        <f t="shared" si="90"/>
        <v>100</v>
      </c>
      <c r="O406" s="19"/>
      <c r="P406" s="19"/>
      <c r="Q406" s="19"/>
      <c r="R406" s="6">
        <f t="shared" si="91"/>
        <v>100</v>
      </c>
      <c r="S406" s="8"/>
      <c r="T406" s="8"/>
      <c r="U406" s="8"/>
      <c r="V406" s="6">
        <f t="shared" si="92"/>
        <v>100</v>
      </c>
      <c r="W406" s="8"/>
      <c r="X406" s="8"/>
      <c r="Y406" s="8"/>
      <c r="Z406" s="6">
        <f t="shared" si="93"/>
        <v>100</v>
      </c>
      <c r="AA406" s="19"/>
      <c r="AB406" s="19"/>
      <c r="AC406" s="19"/>
      <c r="AD406" s="6">
        <f t="shared" si="94"/>
        <v>100</v>
      </c>
      <c r="AE406" s="19"/>
      <c r="AF406" s="19"/>
      <c r="AG406" s="19"/>
      <c r="AH406" s="6">
        <f t="shared" si="95"/>
        <v>100</v>
      </c>
      <c r="AI406" s="19"/>
      <c r="AJ406" s="19"/>
      <c r="AK406" s="19"/>
      <c r="AL406" s="6">
        <f t="shared" si="96"/>
        <v>100</v>
      </c>
      <c r="AM406" s="19"/>
      <c r="AN406" s="19"/>
      <c r="AO406" s="19"/>
      <c r="AP406" s="6">
        <f t="shared" si="97"/>
        <v>100</v>
      </c>
      <c r="AQ406" s="19"/>
      <c r="AR406" s="19"/>
      <c r="AS406" s="19"/>
      <c r="AT406" s="6">
        <f t="shared" si="98"/>
        <v>100</v>
      </c>
    </row>
    <row r="407" spans="1:46">
      <c r="A407" s="4">
        <v>46221</v>
      </c>
      <c r="B407" s="257"/>
      <c r="C407" s="7"/>
      <c r="D407" s="7"/>
      <c r="E407" s="7"/>
      <c r="F407" s="6">
        <f t="shared" si="88"/>
        <v>100</v>
      </c>
      <c r="G407" s="8"/>
      <c r="H407" s="8"/>
      <c r="I407" s="8"/>
      <c r="J407" s="6">
        <f t="shared" si="89"/>
        <v>100</v>
      </c>
      <c r="K407" s="19"/>
      <c r="L407" s="19"/>
      <c r="M407" s="19"/>
      <c r="N407" s="6">
        <f t="shared" si="90"/>
        <v>100</v>
      </c>
      <c r="O407" s="19"/>
      <c r="P407" s="19"/>
      <c r="Q407" s="19"/>
      <c r="R407" s="6">
        <f t="shared" si="91"/>
        <v>100</v>
      </c>
      <c r="S407" s="8"/>
      <c r="T407" s="8"/>
      <c r="U407" s="8"/>
      <c r="V407" s="6">
        <f t="shared" si="92"/>
        <v>100</v>
      </c>
      <c r="W407" s="8"/>
      <c r="X407" s="8"/>
      <c r="Y407" s="8"/>
      <c r="Z407" s="6">
        <f t="shared" si="93"/>
        <v>100</v>
      </c>
      <c r="AA407" s="19"/>
      <c r="AB407" s="19"/>
      <c r="AC407" s="19"/>
      <c r="AD407" s="6">
        <f t="shared" si="94"/>
        <v>100</v>
      </c>
      <c r="AE407" s="19"/>
      <c r="AF407" s="19"/>
      <c r="AG407" s="19"/>
      <c r="AH407" s="6">
        <f t="shared" si="95"/>
        <v>100</v>
      </c>
      <c r="AI407" s="19"/>
      <c r="AJ407" s="19"/>
      <c r="AK407" s="19"/>
      <c r="AL407" s="6">
        <f t="shared" si="96"/>
        <v>100</v>
      </c>
      <c r="AM407" s="19"/>
      <c r="AN407" s="19"/>
      <c r="AO407" s="19"/>
      <c r="AP407" s="6">
        <f t="shared" si="97"/>
        <v>100</v>
      </c>
      <c r="AQ407" s="19"/>
      <c r="AR407" s="19"/>
      <c r="AS407" s="19"/>
      <c r="AT407" s="6">
        <f t="shared" si="98"/>
        <v>100</v>
      </c>
    </row>
    <row r="408" spans="1:46">
      <c r="A408" s="70">
        <v>46222</v>
      </c>
      <c r="B408" s="257"/>
      <c r="C408" s="7"/>
      <c r="D408" s="7"/>
      <c r="E408" s="7"/>
      <c r="F408" s="6">
        <f t="shared" si="88"/>
        <v>100</v>
      </c>
      <c r="G408" s="8"/>
      <c r="H408" s="8"/>
      <c r="I408" s="8"/>
      <c r="J408" s="6">
        <f t="shared" si="89"/>
        <v>100</v>
      </c>
      <c r="K408" s="19"/>
      <c r="L408" s="19"/>
      <c r="M408" s="19"/>
      <c r="N408" s="6">
        <f t="shared" si="90"/>
        <v>100</v>
      </c>
      <c r="O408" s="19"/>
      <c r="P408" s="19"/>
      <c r="Q408" s="19"/>
      <c r="R408" s="6">
        <f t="shared" si="91"/>
        <v>100</v>
      </c>
      <c r="S408" s="8"/>
      <c r="T408" s="8"/>
      <c r="U408" s="8"/>
      <c r="V408" s="6">
        <f t="shared" si="92"/>
        <v>100</v>
      </c>
      <c r="W408" s="8"/>
      <c r="X408" s="8"/>
      <c r="Y408" s="8"/>
      <c r="Z408" s="6">
        <f t="shared" si="93"/>
        <v>100</v>
      </c>
      <c r="AA408" s="19"/>
      <c r="AB408" s="19"/>
      <c r="AC408" s="19"/>
      <c r="AD408" s="6">
        <f t="shared" si="94"/>
        <v>100</v>
      </c>
      <c r="AE408" s="19"/>
      <c r="AF408" s="19"/>
      <c r="AG408" s="19"/>
      <c r="AH408" s="6">
        <f t="shared" si="95"/>
        <v>100</v>
      </c>
      <c r="AI408" s="19"/>
      <c r="AJ408" s="19"/>
      <c r="AK408" s="19"/>
      <c r="AL408" s="6">
        <f t="shared" si="96"/>
        <v>100</v>
      </c>
      <c r="AM408" s="19"/>
      <c r="AN408" s="19"/>
      <c r="AO408" s="19"/>
      <c r="AP408" s="6">
        <f t="shared" si="97"/>
        <v>100</v>
      </c>
      <c r="AQ408" s="19"/>
      <c r="AR408" s="19"/>
      <c r="AS408" s="19"/>
      <c r="AT408" s="6">
        <f t="shared" si="98"/>
        <v>100</v>
      </c>
    </row>
    <row r="409" spans="1:46">
      <c r="A409" s="4">
        <v>46223</v>
      </c>
      <c r="B409" s="257"/>
      <c r="C409" s="7"/>
      <c r="D409" s="7"/>
      <c r="E409" s="7"/>
      <c r="F409" s="6">
        <f t="shared" si="88"/>
        <v>100</v>
      </c>
      <c r="G409" s="8"/>
      <c r="H409" s="8"/>
      <c r="I409" s="8"/>
      <c r="J409" s="6">
        <f t="shared" si="89"/>
        <v>100</v>
      </c>
      <c r="K409" s="19"/>
      <c r="L409" s="19"/>
      <c r="M409" s="19"/>
      <c r="N409" s="6">
        <f t="shared" si="90"/>
        <v>100</v>
      </c>
      <c r="O409" s="19"/>
      <c r="P409" s="19"/>
      <c r="Q409" s="19"/>
      <c r="R409" s="6">
        <f t="shared" si="91"/>
        <v>100</v>
      </c>
      <c r="S409" s="8"/>
      <c r="T409" s="8"/>
      <c r="U409" s="8"/>
      <c r="V409" s="6">
        <f t="shared" si="92"/>
        <v>100</v>
      </c>
      <c r="W409" s="8"/>
      <c r="X409" s="8"/>
      <c r="Y409" s="8"/>
      <c r="Z409" s="6">
        <f t="shared" si="93"/>
        <v>100</v>
      </c>
      <c r="AA409" s="19"/>
      <c r="AB409" s="19"/>
      <c r="AC409" s="19"/>
      <c r="AD409" s="6">
        <f t="shared" si="94"/>
        <v>100</v>
      </c>
      <c r="AE409" s="19"/>
      <c r="AF409" s="19"/>
      <c r="AG409" s="19"/>
      <c r="AH409" s="6">
        <f t="shared" si="95"/>
        <v>100</v>
      </c>
      <c r="AI409" s="19"/>
      <c r="AJ409" s="19"/>
      <c r="AK409" s="19"/>
      <c r="AL409" s="6">
        <f t="shared" si="96"/>
        <v>100</v>
      </c>
      <c r="AM409" s="19"/>
      <c r="AN409" s="19"/>
      <c r="AO409" s="19"/>
      <c r="AP409" s="6">
        <f t="shared" si="97"/>
        <v>100</v>
      </c>
      <c r="AQ409" s="19"/>
      <c r="AR409" s="19"/>
      <c r="AS409" s="19"/>
      <c r="AT409" s="6">
        <f t="shared" si="98"/>
        <v>100</v>
      </c>
    </row>
    <row r="410" spans="1:46">
      <c r="A410" s="4">
        <v>46224</v>
      </c>
      <c r="B410" s="257"/>
      <c r="C410" s="7"/>
      <c r="D410" s="7"/>
      <c r="E410" s="7"/>
      <c r="F410" s="6">
        <f t="shared" si="88"/>
        <v>100</v>
      </c>
      <c r="G410" s="8"/>
      <c r="H410" s="8"/>
      <c r="I410" s="8"/>
      <c r="J410" s="6">
        <f t="shared" si="89"/>
        <v>100</v>
      </c>
      <c r="K410" s="19"/>
      <c r="L410" s="19"/>
      <c r="M410" s="19"/>
      <c r="N410" s="6">
        <f t="shared" si="90"/>
        <v>100</v>
      </c>
      <c r="O410" s="19"/>
      <c r="P410" s="19"/>
      <c r="Q410" s="19"/>
      <c r="R410" s="6">
        <f t="shared" si="91"/>
        <v>100</v>
      </c>
      <c r="S410" s="8"/>
      <c r="T410" s="8"/>
      <c r="U410" s="8"/>
      <c r="V410" s="6">
        <f t="shared" si="92"/>
        <v>100</v>
      </c>
      <c r="W410" s="8"/>
      <c r="X410" s="8"/>
      <c r="Y410" s="8"/>
      <c r="Z410" s="6">
        <f t="shared" si="93"/>
        <v>100</v>
      </c>
      <c r="AA410" s="19"/>
      <c r="AB410" s="19"/>
      <c r="AC410" s="19"/>
      <c r="AD410" s="6">
        <f t="shared" si="94"/>
        <v>100</v>
      </c>
      <c r="AE410" s="19"/>
      <c r="AF410" s="19"/>
      <c r="AG410" s="19"/>
      <c r="AH410" s="6">
        <f t="shared" si="95"/>
        <v>100</v>
      </c>
      <c r="AI410" s="19"/>
      <c r="AJ410" s="19"/>
      <c r="AK410" s="19"/>
      <c r="AL410" s="6">
        <f t="shared" si="96"/>
        <v>100</v>
      </c>
      <c r="AM410" s="19"/>
      <c r="AN410" s="19"/>
      <c r="AO410" s="19"/>
      <c r="AP410" s="6">
        <f t="shared" si="97"/>
        <v>100</v>
      </c>
      <c r="AQ410" s="19"/>
      <c r="AR410" s="19"/>
      <c r="AS410" s="19"/>
      <c r="AT410" s="6">
        <f t="shared" si="98"/>
        <v>100</v>
      </c>
    </row>
    <row r="411" spans="1:46">
      <c r="A411" s="4">
        <v>46225</v>
      </c>
      <c r="B411" s="257"/>
      <c r="C411" s="7"/>
      <c r="D411" s="7"/>
      <c r="E411" s="7"/>
      <c r="F411" s="6">
        <f t="shared" si="88"/>
        <v>100</v>
      </c>
      <c r="G411" s="8"/>
      <c r="H411" s="8"/>
      <c r="I411" s="8"/>
      <c r="J411" s="6">
        <f t="shared" si="89"/>
        <v>100</v>
      </c>
      <c r="K411" s="19"/>
      <c r="L411" s="19"/>
      <c r="M411" s="19"/>
      <c r="N411" s="6">
        <f t="shared" si="90"/>
        <v>100</v>
      </c>
      <c r="O411" s="19"/>
      <c r="P411" s="19"/>
      <c r="Q411" s="19"/>
      <c r="R411" s="6">
        <f t="shared" si="91"/>
        <v>100</v>
      </c>
      <c r="S411" s="8"/>
      <c r="T411" s="8"/>
      <c r="U411" s="8"/>
      <c r="V411" s="6">
        <f t="shared" si="92"/>
        <v>100</v>
      </c>
      <c r="W411" s="8"/>
      <c r="X411" s="8"/>
      <c r="Y411" s="8"/>
      <c r="Z411" s="6">
        <f t="shared" si="93"/>
        <v>100</v>
      </c>
      <c r="AA411" s="19"/>
      <c r="AB411" s="19"/>
      <c r="AC411" s="19"/>
      <c r="AD411" s="6">
        <f t="shared" si="94"/>
        <v>100</v>
      </c>
      <c r="AE411" s="19"/>
      <c r="AF411" s="19"/>
      <c r="AG411" s="19"/>
      <c r="AH411" s="6">
        <f t="shared" si="95"/>
        <v>100</v>
      </c>
      <c r="AI411" s="19"/>
      <c r="AJ411" s="19"/>
      <c r="AK411" s="19"/>
      <c r="AL411" s="6">
        <f t="shared" si="96"/>
        <v>100</v>
      </c>
      <c r="AM411" s="19"/>
      <c r="AN411" s="19"/>
      <c r="AO411" s="19"/>
      <c r="AP411" s="6">
        <f t="shared" si="97"/>
        <v>100</v>
      </c>
      <c r="AQ411" s="19"/>
      <c r="AR411" s="19"/>
      <c r="AS411" s="19"/>
      <c r="AT411" s="6">
        <f t="shared" si="98"/>
        <v>100</v>
      </c>
    </row>
    <row r="412" spans="1:46">
      <c r="A412" s="4">
        <v>46226</v>
      </c>
      <c r="B412" s="257"/>
      <c r="C412" s="7"/>
      <c r="D412" s="7"/>
      <c r="E412" s="7"/>
      <c r="F412" s="6">
        <f t="shared" si="88"/>
        <v>100</v>
      </c>
      <c r="G412" s="8"/>
      <c r="H412" s="8"/>
      <c r="I412" s="8"/>
      <c r="J412" s="6">
        <f t="shared" si="89"/>
        <v>100</v>
      </c>
      <c r="K412" s="19"/>
      <c r="L412" s="19"/>
      <c r="M412" s="19"/>
      <c r="N412" s="6">
        <f t="shared" si="90"/>
        <v>100</v>
      </c>
      <c r="O412" s="19"/>
      <c r="P412" s="19"/>
      <c r="Q412" s="19"/>
      <c r="R412" s="6">
        <f t="shared" si="91"/>
        <v>100</v>
      </c>
      <c r="S412" s="8"/>
      <c r="T412" s="8"/>
      <c r="U412" s="8"/>
      <c r="V412" s="6">
        <f t="shared" si="92"/>
        <v>100</v>
      </c>
      <c r="W412" s="8"/>
      <c r="X412" s="8"/>
      <c r="Y412" s="8"/>
      <c r="Z412" s="6">
        <f t="shared" si="93"/>
        <v>100</v>
      </c>
      <c r="AA412" s="19"/>
      <c r="AB412" s="19"/>
      <c r="AC412" s="19"/>
      <c r="AD412" s="6">
        <f t="shared" si="94"/>
        <v>100</v>
      </c>
      <c r="AE412" s="19"/>
      <c r="AF412" s="19"/>
      <c r="AG412" s="19"/>
      <c r="AH412" s="6">
        <f t="shared" si="95"/>
        <v>100</v>
      </c>
      <c r="AI412" s="19"/>
      <c r="AJ412" s="19"/>
      <c r="AK412" s="19"/>
      <c r="AL412" s="6">
        <f t="shared" si="96"/>
        <v>100</v>
      </c>
      <c r="AM412" s="19"/>
      <c r="AN412" s="19"/>
      <c r="AO412" s="19"/>
      <c r="AP412" s="6">
        <f t="shared" si="97"/>
        <v>100</v>
      </c>
      <c r="AQ412" s="19"/>
      <c r="AR412" s="19"/>
      <c r="AS412" s="19"/>
      <c r="AT412" s="6">
        <f t="shared" si="98"/>
        <v>100</v>
      </c>
    </row>
    <row r="413" spans="1:46">
      <c r="A413" s="4">
        <v>46227</v>
      </c>
      <c r="B413" s="257"/>
      <c r="C413" s="7"/>
      <c r="D413" s="7"/>
      <c r="E413" s="7"/>
      <c r="F413" s="6">
        <f t="shared" si="88"/>
        <v>100</v>
      </c>
      <c r="G413" s="8"/>
      <c r="H413" s="8"/>
      <c r="I413" s="8"/>
      <c r="J413" s="6">
        <f t="shared" si="89"/>
        <v>100</v>
      </c>
      <c r="K413" s="19"/>
      <c r="L413" s="19"/>
      <c r="M413" s="19"/>
      <c r="N413" s="6">
        <f t="shared" si="90"/>
        <v>100</v>
      </c>
      <c r="O413" s="19"/>
      <c r="P413" s="19"/>
      <c r="Q413" s="19"/>
      <c r="R413" s="6">
        <f t="shared" si="91"/>
        <v>100</v>
      </c>
      <c r="S413" s="8"/>
      <c r="T413" s="8"/>
      <c r="U413" s="8"/>
      <c r="V413" s="6">
        <f t="shared" si="92"/>
        <v>100</v>
      </c>
      <c r="W413" s="8"/>
      <c r="X413" s="8"/>
      <c r="Y413" s="8"/>
      <c r="Z413" s="6">
        <f t="shared" si="93"/>
        <v>100</v>
      </c>
      <c r="AA413" s="19"/>
      <c r="AB413" s="19"/>
      <c r="AC413" s="19"/>
      <c r="AD413" s="6">
        <f t="shared" si="94"/>
        <v>100</v>
      </c>
      <c r="AE413" s="19"/>
      <c r="AF413" s="19"/>
      <c r="AG413" s="19"/>
      <c r="AH413" s="6">
        <f t="shared" si="95"/>
        <v>100</v>
      </c>
      <c r="AI413" s="19"/>
      <c r="AJ413" s="19"/>
      <c r="AK413" s="19"/>
      <c r="AL413" s="6">
        <f t="shared" si="96"/>
        <v>100</v>
      </c>
      <c r="AM413" s="19"/>
      <c r="AN413" s="19"/>
      <c r="AO413" s="19"/>
      <c r="AP413" s="6">
        <f t="shared" si="97"/>
        <v>100</v>
      </c>
      <c r="AQ413" s="19"/>
      <c r="AR413" s="19"/>
      <c r="AS413" s="19"/>
      <c r="AT413" s="6">
        <f t="shared" si="98"/>
        <v>100</v>
      </c>
    </row>
    <row r="414" spans="1:46">
      <c r="A414" s="4">
        <v>46228</v>
      </c>
      <c r="B414" s="257"/>
      <c r="C414" s="7"/>
      <c r="D414" s="7"/>
      <c r="E414" s="7"/>
      <c r="F414" s="6">
        <f t="shared" si="88"/>
        <v>100</v>
      </c>
      <c r="G414" s="8"/>
      <c r="H414" s="8"/>
      <c r="I414" s="8"/>
      <c r="J414" s="6">
        <f t="shared" si="89"/>
        <v>100</v>
      </c>
      <c r="K414" s="19"/>
      <c r="L414" s="19"/>
      <c r="M414" s="19"/>
      <c r="N414" s="6">
        <f t="shared" si="90"/>
        <v>100</v>
      </c>
      <c r="O414" s="19"/>
      <c r="P414" s="19"/>
      <c r="Q414" s="19"/>
      <c r="R414" s="6">
        <f t="shared" si="91"/>
        <v>100</v>
      </c>
      <c r="S414" s="8"/>
      <c r="T414" s="8"/>
      <c r="U414" s="8"/>
      <c r="V414" s="6">
        <f t="shared" si="92"/>
        <v>100</v>
      </c>
      <c r="W414" s="8"/>
      <c r="X414" s="8"/>
      <c r="Y414" s="8"/>
      <c r="Z414" s="6">
        <f t="shared" si="93"/>
        <v>100</v>
      </c>
      <c r="AA414" s="19"/>
      <c r="AB414" s="19"/>
      <c r="AC414" s="19"/>
      <c r="AD414" s="6">
        <f t="shared" si="94"/>
        <v>100</v>
      </c>
      <c r="AE414" s="19"/>
      <c r="AF414" s="19"/>
      <c r="AG414" s="19"/>
      <c r="AH414" s="6">
        <f t="shared" si="95"/>
        <v>100</v>
      </c>
      <c r="AI414" s="19"/>
      <c r="AJ414" s="19"/>
      <c r="AK414" s="19"/>
      <c r="AL414" s="6">
        <f t="shared" si="96"/>
        <v>100</v>
      </c>
      <c r="AM414" s="19"/>
      <c r="AN414" s="19"/>
      <c r="AO414" s="19"/>
      <c r="AP414" s="6">
        <f t="shared" si="97"/>
        <v>100</v>
      </c>
      <c r="AQ414" s="19"/>
      <c r="AR414" s="19"/>
      <c r="AS414" s="19"/>
      <c r="AT414" s="6">
        <f t="shared" si="98"/>
        <v>100</v>
      </c>
    </row>
    <row r="415" spans="1:46">
      <c r="A415" s="4">
        <v>46229</v>
      </c>
      <c r="B415" s="257"/>
      <c r="C415" s="7"/>
      <c r="D415" s="7"/>
      <c r="E415" s="7"/>
      <c r="F415" s="6">
        <f t="shared" si="88"/>
        <v>100</v>
      </c>
      <c r="G415" s="8"/>
      <c r="H415" s="8"/>
      <c r="I415" s="8"/>
      <c r="J415" s="6">
        <f t="shared" si="89"/>
        <v>100</v>
      </c>
      <c r="K415" s="19"/>
      <c r="L415" s="19"/>
      <c r="M415" s="19"/>
      <c r="N415" s="6">
        <f t="shared" si="90"/>
        <v>100</v>
      </c>
      <c r="O415" s="19"/>
      <c r="P415" s="19"/>
      <c r="Q415" s="19"/>
      <c r="R415" s="6">
        <f t="shared" si="91"/>
        <v>100</v>
      </c>
      <c r="S415" s="8"/>
      <c r="T415" s="8"/>
      <c r="U415" s="8"/>
      <c r="V415" s="6">
        <f t="shared" si="92"/>
        <v>100</v>
      </c>
      <c r="W415" s="8"/>
      <c r="X415" s="8"/>
      <c r="Y415" s="8"/>
      <c r="Z415" s="6">
        <f t="shared" si="93"/>
        <v>100</v>
      </c>
      <c r="AA415" s="19"/>
      <c r="AB415" s="19"/>
      <c r="AC415" s="19"/>
      <c r="AD415" s="6">
        <f t="shared" si="94"/>
        <v>100</v>
      </c>
      <c r="AE415" s="19"/>
      <c r="AF415" s="19"/>
      <c r="AG415" s="19"/>
      <c r="AH415" s="6">
        <f t="shared" si="95"/>
        <v>100</v>
      </c>
      <c r="AI415" s="19"/>
      <c r="AJ415" s="19"/>
      <c r="AK415" s="19"/>
      <c r="AL415" s="6">
        <f t="shared" si="96"/>
        <v>100</v>
      </c>
      <c r="AM415" s="19"/>
      <c r="AN415" s="19"/>
      <c r="AO415" s="19"/>
      <c r="AP415" s="6">
        <f t="shared" si="97"/>
        <v>100</v>
      </c>
      <c r="AQ415" s="19"/>
      <c r="AR415" s="19"/>
      <c r="AS415" s="19"/>
      <c r="AT415" s="6">
        <f t="shared" si="98"/>
        <v>100</v>
      </c>
    </row>
    <row r="416" spans="1:46">
      <c r="A416" s="4">
        <v>46230</v>
      </c>
      <c r="B416" s="257"/>
      <c r="C416" s="7"/>
      <c r="D416" s="7"/>
      <c r="E416" s="7"/>
      <c r="F416" s="6">
        <f t="shared" si="88"/>
        <v>100</v>
      </c>
      <c r="G416" s="8"/>
      <c r="H416" s="8"/>
      <c r="I416" s="8"/>
      <c r="J416" s="6">
        <f t="shared" si="89"/>
        <v>100</v>
      </c>
      <c r="K416" s="19"/>
      <c r="L416" s="19"/>
      <c r="M416" s="19"/>
      <c r="N416" s="6">
        <f t="shared" si="90"/>
        <v>100</v>
      </c>
      <c r="O416" s="19"/>
      <c r="P416" s="19"/>
      <c r="Q416" s="19"/>
      <c r="R416" s="6">
        <f t="shared" si="91"/>
        <v>100</v>
      </c>
      <c r="S416" s="8"/>
      <c r="T416" s="8"/>
      <c r="U416" s="8"/>
      <c r="V416" s="6">
        <f t="shared" si="92"/>
        <v>100</v>
      </c>
      <c r="W416" s="8"/>
      <c r="X416" s="8"/>
      <c r="Y416" s="8"/>
      <c r="Z416" s="6">
        <f t="shared" si="93"/>
        <v>100</v>
      </c>
      <c r="AA416" s="19"/>
      <c r="AB416" s="19"/>
      <c r="AC416" s="19"/>
      <c r="AD416" s="6">
        <f t="shared" si="94"/>
        <v>100</v>
      </c>
      <c r="AE416" s="19"/>
      <c r="AF416" s="19"/>
      <c r="AG416" s="19"/>
      <c r="AH416" s="6">
        <f t="shared" si="95"/>
        <v>100</v>
      </c>
      <c r="AI416" s="19"/>
      <c r="AJ416" s="19"/>
      <c r="AK416" s="19"/>
      <c r="AL416" s="6">
        <f t="shared" si="96"/>
        <v>100</v>
      </c>
      <c r="AM416" s="19"/>
      <c r="AN416" s="19"/>
      <c r="AO416" s="19"/>
      <c r="AP416" s="6">
        <f t="shared" si="97"/>
        <v>100</v>
      </c>
      <c r="AQ416" s="19"/>
      <c r="AR416" s="19"/>
      <c r="AS416" s="19"/>
      <c r="AT416" s="6">
        <f t="shared" si="98"/>
        <v>100</v>
      </c>
    </row>
    <row r="417" spans="1:46">
      <c r="A417" s="4">
        <v>46231</v>
      </c>
      <c r="B417" s="257"/>
      <c r="C417" s="7"/>
      <c r="D417" s="7"/>
      <c r="E417" s="7"/>
      <c r="F417" s="6">
        <f t="shared" si="88"/>
        <v>100</v>
      </c>
      <c r="G417" s="8"/>
      <c r="H417" s="8"/>
      <c r="I417" s="8"/>
      <c r="J417" s="6">
        <f t="shared" si="89"/>
        <v>100</v>
      </c>
      <c r="K417" s="19"/>
      <c r="L417" s="19"/>
      <c r="M417" s="19"/>
      <c r="N417" s="6">
        <f t="shared" si="90"/>
        <v>100</v>
      </c>
      <c r="O417" s="19"/>
      <c r="P417" s="19"/>
      <c r="Q417" s="19"/>
      <c r="R417" s="6">
        <f t="shared" si="91"/>
        <v>100</v>
      </c>
      <c r="S417" s="8"/>
      <c r="T417" s="8"/>
      <c r="U417" s="8"/>
      <c r="V417" s="6">
        <f t="shared" si="92"/>
        <v>100</v>
      </c>
      <c r="W417" s="8"/>
      <c r="X417" s="8"/>
      <c r="Y417" s="8"/>
      <c r="Z417" s="6">
        <f t="shared" si="93"/>
        <v>100</v>
      </c>
      <c r="AA417" s="19"/>
      <c r="AB417" s="19"/>
      <c r="AC417" s="19"/>
      <c r="AD417" s="6">
        <f t="shared" si="94"/>
        <v>100</v>
      </c>
      <c r="AE417" s="19"/>
      <c r="AF417" s="19"/>
      <c r="AG417" s="19"/>
      <c r="AH417" s="6">
        <f t="shared" si="95"/>
        <v>100</v>
      </c>
      <c r="AI417" s="19"/>
      <c r="AJ417" s="19"/>
      <c r="AK417" s="19"/>
      <c r="AL417" s="6">
        <f t="shared" si="96"/>
        <v>100</v>
      </c>
      <c r="AM417" s="19"/>
      <c r="AN417" s="19"/>
      <c r="AO417" s="19"/>
      <c r="AP417" s="6">
        <f t="shared" si="97"/>
        <v>100</v>
      </c>
      <c r="AQ417" s="19"/>
      <c r="AR417" s="19"/>
      <c r="AS417" s="19"/>
      <c r="AT417" s="6">
        <f t="shared" si="98"/>
        <v>100</v>
      </c>
    </row>
    <row r="418" spans="1:46">
      <c r="A418" s="70">
        <v>46232</v>
      </c>
      <c r="B418" s="257"/>
      <c r="C418" s="7"/>
      <c r="D418" s="7"/>
      <c r="E418" s="7"/>
      <c r="F418" s="6">
        <f t="shared" si="88"/>
        <v>100</v>
      </c>
      <c r="G418" s="8"/>
      <c r="H418" s="8"/>
      <c r="I418" s="8"/>
      <c r="J418" s="6">
        <f t="shared" si="89"/>
        <v>100</v>
      </c>
      <c r="K418" s="19"/>
      <c r="L418" s="19"/>
      <c r="M418" s="19"/>
      <c r="N418" s="6">
        <f t="shared" si="90"/>
        <v>100</v>
      </c>
      <c r="O418" s="19"/>
      <c r="P418" s="19"/>
      <c r="Q418" s="19"/>
      <c r="R418" s="6">
        <f t="shared" si="91"/>
        <v>100</v>
      </c>
      <c r="S418" s="8"/>
      <c r="T418" s="8"/>
      <c r="U418" s="8"/>
      <c r="V418" s="6">
        <f t="shared" si="92"/>
        <v>100</v>
      </c>
      <c r="W418" s="8"/>
      <c r="X418" s="8"/>
      <c r="Y418" s="8"/>
      <c r="Z418" s="6">
        <f t="shared" si="93"/>
        <v>100</v>
      </c>
      <c r="AA418" s="19"/>
      <c r="AB418" s="19"/>
      <c r="AC418" s="19"/>
      <c r="AD418" s="6">
        <f t="shared" si="94"/>
        <v>100</v>
      </c>
      <c r="AE418" s="19"/>
      <c r="AF418" s="19"/>
      <c r="AG418" s="19"/>
      <c r="AH418" s="6">
        <f t="shared" si="95"/>
        <v>100</v>
      </c>
      <c r="AI418" s="19"/>
      <c r="AJ418" s="19"/>
      <c r="AK418" s="19"/>
      <c r="AL418" s="6">
        <f t="shared" si="96"/>
        <v>100</v>
      </c>
      <c r="AM418" s="19"/>
      <c r="AN418" s="19"/>
      <c r="AO418" s="19"/>
      <c r="AP418" s="6">
        <f t="shared" si="97"/>
        <v>100</v>
      </c>
      <c r="AQ418" s="19"/>
      <c r="AR418" s="19"/>
      <c r="AS418" s="19"/>
      <c r="AT418" s="6">
        <f t="shared" si="98"/>
        <v>100</v>
      </c>
    </row>
    <row r="419" spans="1:46">
      <c r="A419" s="4">
        <v>46233</v>
      </c>
      <c r="B419" s="257"/>
      <c r="C419" s="7"/>
      <c r="D419" s="7"/>
      <c r="E419" s="7"/>
      <c r="F419" s="6">
        <f t="shared" si="88"/>
        <v>100</v>
      </c>
      <c r="G419" s="8"/>
      <c r="H419" s="8"/>
      <c r="I419" s="8"/>
      <c r="J419" s="6">
        <f t="shared" si="89"/>
        <v>100</v>
      </c>
      <c r="K419" s="19"/>
      <c r="L419" s="19"/>
      <c r="M419" s="19"/>
      <c r="N419" s="6">
        <f t="shared" si="90"/>
        <v>100</v>
      </c>
      <c r="O419" s="19"/>
      <c r="P419" s="19"/>
      <c r="Q419" s="19"/>
      <c r="R419" s="6">
        <f t="shared" si="91"/>
        <v>100</v>
      </c>
      <c r="S419" s="8"/>
      <c r="T419" s="8"/>
      <c r="U419" s="8"/>
      <c r="V419" s="6">
        <f t="shared" si="92"/>
        <v>100</v>
      </c>
      <c r="W419" s="8"/>
      <c r="X419" s="8"/>
      <c r="Y419" s="8"/>
      <c r="Z419" s="6">
        <f t="shared" si="93"/>
        <v>100</v>
      </c>
      <c r="AA419" s="19"/>
      <c r="AB419" s="19"/>
      <c r="AC419" s="19"/>
      <c r="AD419" s="6">
        <f t="shared" si="94"/>
        <v>100</v>
      </c>
      <c r="AE419" s="19"/>
      <c r="AF419" s="19"/>
      <c r="AG419" s="19"/>
      <c r="AH419" s="6">
        <f t="shared" si="95"/>
        <v>100</v>
      </c>
      <c r="AI419" s="19"/>
      <c r="AJ419" s="19"/>
      <c r="AK419" s="19"/>
      <c r="AL419" s="6">
        <f t="shared" si="96"/>
        <v>100</v>
      </c>
      <c r="AM419" s="19"/>
      <c r="AN419" s="19"/>
      <c r="AO419" s="19"/>
      <c r="AP419" s="6">
        <f t="shared" si="97"/>
        <v>100</v>
      </c>
      <c r="AQ419" s="19"/>
      <c r="AR419" s="19"/>
      <c r="AS419" s="19"/>
      <c r="AT419" s="6">
        <f t="shared" si="98"/>
        <v>100</v>
      </c>
    </row>
    <row r="420" spans="1:46">
      <c r="A420" s="4">
        <v>46234</v>
      </c>
      <c r="B420" s="257"/>
      <c r="C420" s="7"/>
      <c r="D420" s="7"/>
      <c r="E420" s="7"/>
      <c r="F420" s="6">
        <f t="shared" si="88"/>
        <v>100</v>
      </c>
      <c r="G420" s="8"/>
      <c r="H420" s="8"/>
      <c r="I420" s="8"/>
      <c r="J420" s="6">
        <f t="shared" si="89"/>
        <v>100</v>
      </c>
      <c r="K420" s="19"/>
      <c r="L420" s="19"/>
      <c r="M420" s="19"/>
      <c r="N420" s="6">
        <f t="shared" si="90"/>
        <v>100</v>
      </c>
      <c r="O420" s="19"/>
      <c r="P420" s="19"/>
      <c r="Q420" s="19"/>
      <c r="R420" s="6">
        <f t="shared" si="91"/>
        <v>100</v>
      </c>
      <c r="S420" s="8"/>
      <c r="T420" s="8"/>
      <c r="U420" s="8"/>
      <c r="V420" s="6">
        <f t="shared" si="92"/>
        <v>100</v>
      </c>
      <c r="W420" s="8"/>
      <c r="X420" s="8"/>
      <c r="Y420" s="8"/>
      <c r="Z420" s="6">
        <f t="shared" si="93"/>
        <v>100</v>
      </c>
      <c r="AA420" s="19"/>
      <c r="AB420" s="19"/>
      <c r="AC420" s="19"/>
      <c r="AD420" s="6">
        <f t="shared" si="94"/>
        <v>100</v>
      </c>
      <c r="AE420" s="19"/>
      <c r="AF420" s="19"/>
      <c r="AG420" s="19"/>
      <c r="AH420" s="6">
        <f t="shared" si="95"/>
        <v>100</v>
      </c>
      <c r="AI420" s="19"/>
      <c r="AJ420" s="19"/>
      <c r="AK420" s="19"/>
      <c r="AL420" s="6">
        <f t="shared" si="96"/>
        <v>100</v>
      </c>
      <c r="AM420" s="19"/>
      <c r="AN420" s="19"/>
      <c r="AO420" s="19"/>
      <c r="AP420" s="6">
        <f t="shared" si="97"/>
        <v>100</v>
      </c>
      <c r="AQ420" s="19"/>
      <c r="AR420" s="19"/>
      <c r="AS420" s="19"/>
      <c r="AT420" s="6">
        <f t="shared" si="98"/>
        <v>100</v>
      </c>
    </row>
    <row r="421" spans="1:46">
      <c r="A421" s="4">
        <v>46235</v>
      </c>
      <c r="B421" s="257"/>
      <c r="C421" s="7"/>
      <c r="D421" s="7"/>
      <c r="E421" s="7"/>
      <c r="F421" s="6">
        <f t="shared" si="88"/>
        <v>100</v>
      </c>
      <c r="G421" s="8"/>
      <c r="H421" s="8"/>
      <c r="I421" s="8"/>
      <c r="J421" s="6">
        <f t="shared" si="89"/>
        <v>100</v>
      </c>
      <c r="K421" s="19"/>
      <c r="L421" s="19"/>
      <c r="M421" s="19"/>
      <c r="N421" s="6">
        <f t="shared" si="90"/>
        <v>100</v>
      </c>
      <c r="O421" s="19"/>
      <c r="P421" s="19"/>
      <c r="Q421" s="19"/>
      <c r="R421" s="6">
        <f t="shared" si="91"/>
        <v>100</v>
      </c>
      <c r="S421" s="8"/>
      <c r="T421" s="8"/>
      <c r="U421" s="8"/>
      <c r="V421" s="6">
        <f t="shared" si="92"/>
        <v>100</v>
      </c>
      <c r="W421" s="8"/>
      <c r="X421" s="8"/>
      <c r="Y421" s="8"/>
      <c r="Z421" s="6">
        <f t="shared" si="93"/>
        <v>100</v>
      </c>
      <c r="AA421" s="19"/>
      <c r="AB421" s="19"/>
      <c r="AC421" s="19"/>
      <c r="AD421" s="6">
        <f t="shared" si="94"/>
        <v>100</v>
      </c>
      <c r="AE421" s="19"/>
      <c r="AF421" s="19"/>
      <c r="AG421" s="19"/>
      <c r="AH421" s="6">
        <f t="shared" si="95"/>
        <v>100</v>
      </c>
      <c r="AI421" s="19"/>
      <c r="AJ421" s="19"/>
      <c r="AK421" s="19"/>
      <c r="AL421" s="6">
        <f t="shared" si="96"/>
        <v>100</v>
      </c>
      <c r="AM421" s="19"/>
      <c r="AN421" s="19"/>
      <c r="AO421" s="19"/>
      <c r="AP421" s="6">
        <f t="shared" si="97"/>
        <v>100</v>
      </c>
      <c r="AQ421" s="19"/>
      <c r="AR421" s="19"/>
      <c r="AS421" s="19"/>
      <c r="AT421" s="6">
        <f t="shared" si="98"/>
        <v>100</v>
      </c>
    </row>
    <row r="422" spans="1:46">
      <c r="A422" s="4">
        <v>46236</v>
      </c>
      <c r="B422" s="257"/>
      <c r="C422" s="7"/>
      <c r="D422" s="7"/>
      <c r="E422" s="7"/>
      <c r="F422" s="6">
        <f t="shared" si="88"/>
        <v>100</v>
      </c>
      <c r="G422" s="8"/>
      <c r="H422" s="8"/>
      <c r="I422" s="8"/>
      <c r="J422" s="6">
        <f t="shared" si="89"/>
        <v>100</v>
      </c>
      <c r="K422" s="19"/>
      <c r="L422" s="19"/>
      <c r="M422" s="19"/>
      <c r="N422" s="6">
        <f t="shared" si="90"/>
        <v>100</v>
      </c>
      <c r="O422" s="19"/>
      <c r="P422" s="19"/>
      <c r="Q422" s="19"/>
      <c r="R422" s="6">
        <f t="shared" si="91"/>
        <v>100</v>
      </c>
      <c r="S422" s="8"/>
      <c r="T422" s="8"/>
      <c r="U422" s="8"/>
      <c r="V422" s="6">
        <f t="shared" si="92"/>
        <v>100</v>
      </c>
      <c r="W422" s="8"/>
      <c r="X422" s="8"/>
      <c r="Y422" s="8"/>
      <c r="Z422" s="6">
        <f t="shared" si="93"/>
        <v>100</v>
      </c>
      <c r="AA422" s="19"/>
      <c r="AB422" s="19"/>
      <c r="AC422" s="19"/>
      <c r="AD422" s="6">
        <f t="shared" si="94"/>
        <v>100</v>
      </c>
      <c r="AE422" s="19"/>
      <c r="AF422" s="19"/>
      <c r="AG422" s="19"/>
      <c r="AH422" s="6">
        <f t="shared" si="95"/>
        <v>100</v>
      </c>
      <c r="AI422" s="19"/>
      <c r="AJ422" s="19"/>
      <c r="AK422" s="19"/>
      <c r="AL422" s="6">
        <f t="shared" si="96"/>
        <v>100</v>
      </c>
      <c r="AM422" s="19"/>
      <c r="AN422" s="19"/>
      <c r="AO422" s="19"/>
      <c r="AP422" s="6">
        <f t="shared" si="97"/>
        <v>100</v>
      </c>
      <c r="AQ422" s="19"/>
      <c r="AR422" s="19"/>
      <c r="AS422" s="19"/>
      <c r="AT422" s="6">
        <f t="shared" si="98"/>
        <v>100</v>
      </c>
    </row>
    <row r="423" spans="1:46">
      <c r="A423" s="4">
        <v>46237</v>
      </c>
      <c r="B423" s="257"/>
      <c r="C423" s="7"/>
      <c r="D423" s="7"/>
      <c r="E423" s="7"/>
      <c r="F423" s="6">
        <f t="shared" si="88"/>
        <v>100</v>
      </c>
      <c r="G423" s="8"/>
      <c r="H423" s="8"/>
      <c r="I423" s="8"/>
      <c r="J423" s="6">
        <f t="shared" si="89"/>
        <v>100</v>
      </c>
      <c r="K423" s="19"/>
      <c r="L423" s="19"/>
      <c r="M423" s="19"/>
      <c r="N423" s="6">
        <f t="shared" si="90"/>
        <v>100</v>
      </c>
      <c r="O423" s="19"/>
      <c r="P423" s="19"/>
      <c r="Q423" s="19"/>
      <c r="R423" s="6">
        <f t="shared" si="91"/>
        <v>100</v>
      </c>
      <c r="S423" s="8"/>
      <c r="T423" s="8"/>
      <c r="U423" s="8"/>
      <c r="V423" s="6">
        <f t="shared" si="92"/>
        <v>100</v>
      </c>
      <c r="W423" s="8"/>
      <c r="X423" s="8"/>
      <c r="Y423" s="8"/>
      <c r="Z423" s="6">
        <f t="shared" si="93"/>
        <v>100</v>
      </c>
      <c r="AA423" s="19"/>
      <c r="AB423" s="19"/>
      <c r="AC423" s="19"/>
      <c r="AD423" s="6">
        <f t="shared" si="94"/>
        <v>100</v>
      </c>
      <c r="AE423" s="19"/>
      <c r="AF423" s="19"/>
      <c r="AG423" s="19"/>
      <c r="AH423" s="6">
        <f t="shared" si="95"/>
        <v>100</v>
      </c>
      <c r="AI423" s="19"/>
      <c r="AJ423" s="19"/>
      <c r="AK423" s="19"/>
      <c r="AL423" s="6">
        <f t="shared" si="96"/>
        <v>100</v>
      </c>
      <c r="AM423" s="19"/>
      <c r="AN423" s="19"/>
      <c r="AO423" s="19"/>
      <c r="AP423" s="6">
        <f t="shared" si="97"/>
        <v>100</v>
      </c>
      <c r="AQ423" s="19"/>
      <c r="AR423" s="19"/>
      <c r="AS423" s="19"/>
      <c r="AT423" s="6">
        <f t="shared" si="98"/>
        <v>100</v>
      </c>
    </row>
    <row r="424" spans="1:46">
      <c r="A424" s="4">
        <v>46238</v>
      </c>
      <c r="B424" s="257"/>
      <c r="C424" s="7"/>
      <c r="D424" s="7"/>
      <c r="E424" s="7"/>
      <c r="F424" s="6">
        <f t="shared" si="88"/>
        <v>100</v>
      </c>
      <c r="G424" s="8"/>
      <c r="H424" s="8"/>
      <c r="I424" s="8"/>
      <c r="J424" s="6">
        <f t="shared" si="89"/>
        <v>100</v>
      </c>
      <c r="K424" s="19"/>
      <c r="L424" s="19"/>
      <c r="M424" s="19"/>
      <c r="N424" s="6">
        <f t="shared" si="90"/>
        <v>100</v>
      </c>
      <c r="O424" s="19"/>
      <c r="P424" s="19"/>
      <c r="Q424" s="19"/>
      <c r="R424" s="6">
        <f t="shared" si="91"/>
        <v>100</v>
      </c>
      <c r="S424" s="8"/>
      <c r="T424" s="8"/>
      <c r="U424" s="8"/>
      <c r="V424" s="6">
        <f t="shared" si="92"/>
        <v>100</v>
      </c>
      <c r="W424" s="8"/>
      <c r="X424" s="8"/>
      <c r="Y424" s="8"/>
      <c r="Z424" s="6">
        <f t="shared" si="93"/>
        <v>100</v>
      </c>
      <c r="AA424" s="19"/>
      <c r="AB424" s="19"/>
      <c r="AC424" s="19"/>
      <c r="AD424" s="6">
        <f t="shared" si="94"/>
        <v>100</v>
      </c>
      <c r="AE424" s="19"/>
      <c r="AF424" s="19"/>
      <c r="AG424" s="19"/>
      <c r="AH424" s="6">
        <f t="shared" si="95"/>
        <v>100</v>
      </c>
      <c r="AI424" s="19"/>
      <c r="AJ424" s="19"/>
      <c r="AK424" s="19"/>
      <c r="AL424" s="6">
        <f t="shared" si="96"/>
        <v>100</v>
      </c>
      <c r="AM424" s="19"/>
      <c r="AN424" s="19"/>
      <c r="AO424" s="19"/>
      <c r="AP424" s="6">
        <f t="shared" si="97"/>
        <v>100</v>
      </c>
      <c r="AQ424" s="19"/>
      <c r="AR424" s="19"/>
      <c r="AS424" s="19"/>
      <c r="AT424" s="6">
        <f t="shared" si="98"/>
        <v>100</v>
      </c>
    </row>
    <row r="425" spans="1:46">
      <c r="A425" s="4">
        <v>46239</v>
      </c>
      <c r="B425" s="257"/>
      <c r="C425" s="7"/>
      <c r="D425" s="7"/>
      <c r="E425" s="7"/>
      <c r="F425" s="6">
        <f t="shared" si="88"/>
        <v>100</v>
      </c>
      <c r="G425" s="8"/>
      <c r="H425" s="8"/>
      <c r="I425" s="8"/>
      <c r="J425" s="6">
        <f t="shared" si="89"/>
        <v>100</v>
      </c>
      <c r="K425" s="19"/>
      <c r="L425" s="19"/>
      <c r="M425" s="19"/>
      <c r="N425" s="6">
        <f t="shared" si="90"/>
        <v>100</v>
      </c>
      <c r="O425" s="19"/>
      <c r="P425" s="19"/>
      <c r="Q425" s="19"/>
      <c r="R425" s="6">
        <f t="shared" si="91"/>
        <v>100</v>
      </c>
      <c r="S425" s="8"/>
      <c r="T425" s="8"/>
      <c r="U425" s="8"/>
      <c r="V425" s="6">
        <f t="shared" si="92"/>
        <v>100</v>
      </c>
      <c r="W425" s="8"/>
      <c r="X425" s="8"/>
      <c r="Y425" s="8"/>
      <c r="Z425" s="6">
        <f t="shared" si="93"/>
        <v>100</v>
      </c>
      <c r="AA425" s="19"/>
      <c r="AB425" s="19"/>
      <c r="AC425" s="19"/>
      <c r="AD425" s="6">
        <f t="shared" si="94"/>
        <v>100</v>
      </c>
      <c r="AE425" s="19"/>
      <c r="AF425" s="19"/>
      <c r="AG425" s="19"/>
      <c r="AH425" s="6">
        <f t="shared" si="95"/>
        <v>100</v>
      </c>
      <c r="AI425" s="19"/>
      <c r="AJ425" s="19"/>
      <c r="AK425" s="19"/>
      <c r="AL425" s="6">
        <f t="shared" si="96"/>
        <v>100</v>
      </c>
      <c r="AM425" s="19"/>
      <c r="AN425" s="19"/>
      <c r="AO425" s="19"/>
      <c r="AP425" s="6">
        <f t="shared" si="97"/>
        <v>100</v>
      </c>
      <c r="AQ425" s="19"/>
      <c r="AR425" s="19"/>
      <c r="AS425" s="19"/>
      <c r="AT425" s="6">
        <f t="shared" si="98"/>
        <v>100</v>
      </c>
    </row>
    <row r="426" spans="1:46">
      <c r="A426" s="4">
        <v>46240</v>
      </c>
      <c r="B426" s="257"/>
      <c r="C426" s="7"/>
      <c r="D426" s="7"/>
      <c r="E426" s="7"/>
      <c r="F426" s="6">
        <f t="shared" si="88"/>
        <v>100</v>
      </c>
      <c r="G426" s="8"/>
      <c r="H426" s="8"/>
      <c r="I426" s="8"/>
      <c r="J426" s="6">
        <f t="shared" si="89"/>
        <v>100</v>
      </c>
      <c r="K426" s="19"/>
      <c r="L426" s="19"/>
      <c r="M426" s="19"/>
      <c r="N426" s="6">
        <f t="shared" si="90"/>
        <v>100</v>
      </c>
      <c r="O426" s="19"/>
      <c r="P426" s="19"/>
      <c r="Q426" s="19"/>
      <c r="R426" s="6">
        <f t="shared" si="91"/>
        <v>100</v>
      </c>
      <c r="S426" s="8"/>
      <c r="T426" s="8"/>
      <c r="U426" s="8"/>
      <c r="V426" s="6">
        <f t="shared" si="92"/>
        <v>100</v>
      </c>
      <c r="W426" s="8"/>
      <c r="X426" s="8"/>
      <c r="Y426" s="8"/>
      <c r="Z426" s="6">
        <f t="shared" si="93"/>
        <v>100</v>
      </c>
      <c r="AA426" s="19"/>
      <c r="AB426" s="19"/>
      <c r="AC426" s="19"/>
      <c r="AD426" s="6">
        <f t="shared" si="94"/>
        <v>100</v>
      </c>
      <c r="AE426" s="19"/>
      <c r="AF426" s="19"/>
      <c r="AG426" s="19"/>
      <c r="AH426" s="6">
        <f t="shared" si="95"/>
        <v>100</v>
      </c>
      <c r="AI426" s="19"/>
      <c r="AJ426" s="19"/>
      <c r="AK426" s="19"/>
      <c r="AL426" s="6">
        <f t="shared" si="96"/>
        <v>100</v>
      </c>
      <c r="AM426" s="19"/>
      <c r="AN426" s="19"/>
      <c r="AO426" s="19"/>
      <c r="AP426" s="6">
        <f t="shared" si="97"/>
        <v>100</v>
      </c>
      <c r="AQ426" s="19"/>
      <c r="AR426" s="19"/>
      <c r="AS426" s="19"/>
      <c r="AT426" s="6">
        <f t="shared" si="98"/>
        <v>100</v>
      </c>
    </row>
    <row r="427" spans="1:46">
      <c r="A427" s="4">
        <v>46241</v>
      </c>
      <c r="B427" s="257"/>
      <c r="C427" s="7"/>
      <c r="D427" s="7"/>
      <c r="E427" s="7"/>
      <c r="F427" s="6">
        <f t="shared" si="88"/>
        <v>100</v>
      </c>
      <c r="G427" s="8"/>
      <c r="H427" s="8"/>
      <c r="I427" s="8"/>
      <c r="J427" s="6">
        <f t="shared" si="89"/>
        <v>100</v>
      </c>
      <c r="K427" s="19"/>
      <c r="L427" s="19"/>
      <c r="M427" s="19"/>
      <c r="N427" s="6">
        <f t="shared" si="90"/>
        <v>100</v>
      </c>
      <c r="O427" s="19"/>
      <c r="P427" s="19"/>
      <c r="Q427" s="19"/>
      <c r="R427" s="6">
        <f t="shared" si="91"/>
        <v>100</v>
      </c>
      <c r="S427" s="8"/>
      <c r="T427" s="8"/>
      <c r="U427" s="8"/>
      <c r="V427" s="6">
        <f t="shared" si="92"/>
        <v>100</v>
      </c>
      <c r="W427" s="8"/>
      <c r="X427" s="8"/>
      <c r="Y427" s="8"/>
      <c r="Z427" s="6">
        <f t="shared" si="93"/>
        <v>100</v>
      </c>
      <c r="AA427" s="19"/>
      <c r="AB427" s="19"/>
      <c r="AC427" s="19"/>
      <c r="AD427" s="6">
        <f t="shared" si="94"/>
        <v>100</v>
      </c>
      <c r="AE427" s="19"/>
      <c r="AF427" s="19"/>
      <c r="AG427" s="19"/>
      <c r="AH427" s="6">
        <f t="shared" si="95"/>
        <v>100</v>
      </c>
      <c r="AI427" s="19"/>
      <c r="AJ427" s="19"/>
      <c r="AK427" s="19"/>
      <c r="AL427" s="6">
        <f t="shared" si="96"/>
        <v>100</v>
      </c>
      <c r="AM427" s="19"/>
      <c r="AN427" s="19"/>
      <c r="AO427" s="19"/>
      <c r="AP427" s="6">
        <f t="shared" si="97"/>
        <v>100</v>
      </c>
      <c r="AQ427" s="19"/>
      <c r="AR427" s="19"/>
      <c r="AS427" s="19"/>
      <c r="AT427" s="6">
        <f t="shared" si="98"/>
        <v>100</v>
      </c>
    </row>
    <row r="428" spans="1:46">
      <c r="A428" s="70">
        <v>46242</v>
      </c>
      <c r="B428" s="257"/>
      <c r="C428" s="7"/>
      <c r="D428" s="7"/>
      <c r="E428" s="7"/>
      <c r="F428" s="6">
        <f t="shared" si="88"/>
        <v>100</v>
      </c>
      <c r="G428" s="8"/>
      <c r="H428" s="8"/>
      <c r="I428" s="8"/>
      <c r="J428" s="6">
        <f t="shared" si="89"/>
        <v>100</v>
      </c>
      <c r="K428" s="19"/>
      <c r="L428" s="19"/>
      <c r="M428" s="19"/>
      <c r="N428" s="6">
        <f t="shared" si="90"/>
        <v>100</v>
      </c>
      <c r="O428" s="19"/>
      <c r="P428" s="19"/>
      <c r="Q428" s="19"/>
      <c r="R428" s="6">
        <f t="shared" si="91"/>
        <v>100</v>
      </c>
      <c r="S428" s="8"/>
      <c r="T428" s="8"/>
      <c r="U428" s="8"/>
      <c r="V428" s="6">
        <f t="shared" si="92"/>
        <v>100</v>
      </c>
      <c r="W428" s="8"/>
      <c r="X428" s="8"/>
      <c r="Y428" s="8"/>
      <c r="Z428" s="6">
        <f t="shared" si="93"/>
        <v>100</v>
      </c>
      <c r="AA428" s="19"/>
      <c r="AB428" s="19"/>
      <c r="AC428" s="19"/>
      <c r="AD428" s="6">
        <f t="shared" si="94"/>
        <v>100</v>
      </c>
      <c r="AE428" s="19"/>
      <c r="AF428" s="19"/>
      <c r="AG428" s="19"/>
      <c r="AH428" s="6">
        <f t="shared" si="95"/>
        <v>100</v>
      </c>
      <c r="AI428" s="19"/>
      <c r="AJ428" s="19"/>
      <c r="AK428" s="19"/>
      <c r="AL428" s="6">
        <f t="shared" si="96"/>
        <v>100</v>
      </c>
      <c r="AM428" s="19"/>
      <c r="AN428" s="19"/>
      <c r="AO428" s="19"/>
      <c r="AP428" s="6">
        <f t="shared" si="97"/>
        <v>100</v>
      </c>
      <c r="AQ428" s="19"/>
      <c r="AR428" s="19"/>
      <c r="AS428" s="19"/>
      <c r="AT428" s="6">
        <f t="shared" si="98"/>
        <v>100</v>
      </c>
    </row>
    <row r="429" spans="1:46">
      <c r="A429" s="4">
        <v>46243</v>
      </c>
      <c r="B429" s="257"/>
      <c r="C429" s="7"/>
      <c r="D429" s="7"/>
      <c r="E429" s="7"/>
      <c r="F429" s="6">
        <f t="shared" si="88"/>
        <v>100</v>
      </c>
      <c r="G429" s="8"/>
      <c r="H429" s="8"/>
      <c r="I429" s="8"/>
      <c r="J429" s="6">
        <f t="shared" si="89"/>
        <v>100</v>
      </c>
      <c r="K429" s="19"/>
      <c r="L429" s="19"/>
      <c r="M429" s="19"/>
      <c r="N429" s="6">
        <f t="shared" si="90"/>
        <v>100</v>
      </c>
      <c r="O429" s="19"/>
      <c r="P429" s="19"/>
      <c r="Q429" s="19"/>
      <c r="R429" s="6">
        <f t="shared" si="91"/>
        <v>100</v>
      </c>
      <c r="S429" s="8"/>
      <c r="T429" s="8"/>
      <c r="U429" s="8"/>
      <c r="V429" s="6">
        <f t="shared" si="92"/>
        <v>100</v>
      </c>
      <c r="W429" s="8"/>
      <c r="X429" s="8"/>
      <c r="Y429" s="8"/>
      <c r="Z429" s="6">
        <f t="shared" si="93"/>
        <v>100</v>
      </c>
      <c r="AA429" s="19"/>
      <c r="AB429" s="19"/>
      <c r="AC429" s="19"/>
      <c r="AD429" s="6">
        <f t="shared" si="94"/>
        <v>100</v>
      </c>
      <c r="AE429" s="19"/>
      <c r="AF429" s="19"/>
      <c r="AG429" s="19"/>
      <c r="AH429" s="6">
        <f t="shared" si="95"/>
        <v>100</v>
      </c>
      <c r="AI429" s="19"/>
      <c r="AJ429" s="19"/>
      <c r="AK429" s="19"/>
      <c r="AL429" s="6">
        <f t="shared" si="96"/>
        <v>100</v>
      </c>
      <c r="AM429" s="19"/>
      <c r="AN429" s="19"/>
      <c r="AO429" s="19"/>
      <c r="AP429" s="6">
        <f t="shared" si="97"/>
        <v>100</v>
      </c>
      <c r="AQ429" s="19"/>
      <c r="AR429" s="19"/>
      <c r="AS429" s="19"/>
      <c r="AT429" s="6">
        <f t="shared" si="98"/>
        <v>100</v>
      </c>
    </row>
    <row r="430" spans="1:46">
      <c r="A430" s="4">
        <v>46244</v>
      </c>
      <c r="B430" s="257"/>
      <c r="C430" s="7"/>
      <c r="D430" s="7"/>
      <c r="E430" s="7"/>
      <c r="F430" s="6">
        <f t="shared" si="88"/>
        <v>100</v>
      </c>
      <c r="G430" s="8"/>
      <c r="H430" s="8"/>
      <c r="I430" s="8"/>
      <c r="J430" s="6">
        <f t="shared" si="89"/>
        <v>100</v>
      </c>
      <c r="K430" s="19"/>
      <c r="L430" s="19"/>
      <c r="M430" s="19"/>
      <c r="N430" s="6">
        <f t="shared" si="90"/>
        <v>100</v>
      </c>
      <c r="O430" s="19"/>
      <c r="P430" s="19"/>
      <c r="Q430" s="19"/>
      <c r="R430" s="6">
        <f t="shared" si="91"/>
        <v>100</v>
      </c>
      <c r="S430" s="8"/>
      <c r="T430" s="8"/>
      <c r="U430" s="8"/>
      <c r="V430" s="6">
        <f t="shared" si="92"/>
        <v>100</v>
      </c>
      <c r="W430" s="8"/>
      <c r="X430" s="8"/>
      <c r="Y430" s="8"/>
      <c r="Z430" s="6">
        <f t="shared" si="93"/>
        <v>100</v>
      </c>
      <c r="AA430" s="19"/>
      <c r="AB430" s="19"/>
      <c r="AC430" s="19"/>
      <c r="AD430" s="6">
        <f t="shared" si="94"/>
        <v>100</v>
      </c>
      <c r="AE430" s="19"/>
      <c r="AF430" s="19"/>
      <c r="AG430" s="19"/>
      <c r="AH430" s="6">
        <f t="shared" si="95"/>
        <v>100</v>
      </c>
      <c r="AI430" s="19"/>
      <c r="AJ430" s="19"/>
      <c r="AK430" s="19"/>
      <c r="AL430" s="6">
        <f t="shared" si="96"/>
        <v>100</v>
      </c>
      <c r="AM430" s="19"/>
      <c r="AN430" s="19"/>
      <c r="AO430" s="19"/>
      <c r="AP430" s="6">
        <f t="shared" si="97"/>
        <v>100</v>
      </c>
      <c r="AQ430" s="19"/>
      <c r="AR430" s="19"/>
      <c r="AS430" s="19"/>
      <c r="AT430" s="6">
        <f t="shared" si="98"/>
        <v>100</v>
      </c>
    </row>
    <row r="431" spans="1:46">
      <c r="A431" s="4">
        <v>46245</v>
      </c>
      <c r="B431" s="257"/>
      <c r="C431" s="7"/>
      <c r="D431" s="7"/>
      <c r="E431" s="7"/>
      <c r="F431" s="6">
        <f t="shared" si="88"/>
        <v>100</v>
      </c>
      <c r="G431" s="8"/>
      <c r="H431" s="8"/>
      <c r="I431" s="8"/>
      <c r="J431" s="6">
        <f t="shared" si="89"/>
        <v>100</v>
      </c>
      <c r="K431" s="19"/>
      <c r="L431" s="19"/>
      <c r="M431" s="19"/>
      <c r="N431" s="6">
        <f t="shared" si="90"/>
        <v>100</v>
      </c>
      <c r="O431" s="19"/>
      <c r="P431" s="19"/>
      <c r="Q431" s="19"/>
      <c r="R431" s="6">
        <f t="shared" si="91"/>
        <v>100</v>
      </c>
      <c r="S431" s="8"/>
      <c r="T431" s="8"/>
      <c r="U431" s="8"/>
      <c r="V431" s="6">
        <f t="shared" si="92"/>
        <v>100</v>
      </c>
      <c r="W431" s="8"/>
      <c r="X431" s="8"/>
      <c r="Y431" s="8"/>
      <c r="Z431" s="6">
        <f t="shared" si="93"/>
        <v>100</v>
      </c>
      <c r="AA431" s="19"/>
      <c r="AB431" s="19"/>
      <c r="AC431" s="19"/>
      <c r="AD431" s="6">
        <f t="shared" si="94"/>
        <v>100</v>
      </c>
      <c r="AE431" s="19"/>
      <c r="AF431" s="19"/>
      <c r="AG431" s="19"/>
      <c r="AH431" s="6">
        <f t="shared" si="95"/>
        <v>100</v>
      </c>
      <c r="AI431" s="19"/>
      <c r="AJ431" s="19"/>
      <c r="AK431" s="19"/>
      <c r="AL431" s="6">
        <f t="shared" si="96"/>
        <v>100</v>
      </c>
      <c r="AM431" s="19"/>
      <c r="AN431" s="19"/>
      <c r="AO431" s="19"/>
      <c r="AP431" s="6">
        <f t="shared" si="97"/>
        <v>100</v>
      </c>
      <c r="AQ431" s="19"/>
      <c r="AR431" s="19"/>
      <c r="AS431" s="19"/>
      <c r="AT431" s="6">
        <f t="shared" si="98"/>
        <v>100</v>
      </c>
    </row>
    <row r="432" spans="1:46">
      <c r="A432" s="4">
        <v>46246</v>
      </c>
      <c r="B432" s="257"/>
      <c r="C432" s="7"/>
      <c r="D432" s="7"/>
      <c r="E432" s="7"/>
      <c r="F432" s="6">
        <f t="shared" si="88"/>
        <v>100</v>
      </c>
      <c r="G432" s="8"/>
      <c r="H432" s="8"/>
      <c r="I432" s="8"/>
      <c r="J432" s="6">
        <f t="shared" si="89"/>
        <v>100</v>
      </c>
      <c r="K432" s="19"/>
      <c r="L432" s="19"/>
      <c r="M432" s="19"/>
      <c r="N432" s="6">
        <f t="shared" si="90"/>
        <v>100</v>
      </c>
      <c r="O432" s="19"/>
      <c r="P432" s="19"/>
      <c r="Q432" s="19"/>
      <c r="R432" s="6">
        <f t="shared" si="91"/>
        <v>100</v>
      </c>
      <c r="S432" s="8"/>
      <c r="T432" s="8"/>
      <c r="U432" s="8"/>
      <c r="V432" s="6">
        <f t="shared" si="92"/>
        <v>100</v>
      </c>
      <c r="W432" s="8"/>
      <c r="X432" s="8"/>
      <c r="Y432" s="8"/>
      <c r="Z432" s="6">
        <f t="shared" si="93"/>
        <v>100</v>
      </c>
      <c r="AA432" s="19"/>
      <c r="AB432" s="19"/>
      <c r="AC432" s="19"/>
      <c r="AD432" s="6">
        <f t="shared" si="94"/>
        <v>100</v>
      </c>
      <c r="AE432" s="19"/>
      <c r="AF432" s="19"/>
      <c r="AG432" s="19"/>
      <c r="AH432" s="6">
        <f t="shared" si="95"/>
        <v>100</v>
      </c>
      <c r="AI432" s="19"/>
      <c r="AJ432" s="19"/>
      <c r="AK432" s="19"/>
      <c r="AL432" s="6">
        <f t="shared" si="96"/>
        <v>100</v>
      </c>
      <c r="AM432" s="19"/>
      <c r="AN432" s="19"/>
      <c r="AO432" s="19"/>
      <c r="AP432" s="6">
        <f t="shared" si="97"/>
        <v>100</v>
      </c>
      <c r="AQ432" s="19"/>
      <c r="AR432" s="19"/>
      <c r="AS432" s="19"/>
      <c r="AT432" s="6">
        <f t="shared" si="98"/>
        <v>100</v>
      </c>
    </row>
    <row r="433" spans="1:46">
      <c r="A433" s="4">
        <v>46247</v>
      </c>
      <c r="B433" s="257"/>
      <c r="C433" s="7"/>
      <c r="D433" s="7"/>
      <c r="E433" s="7"/>
      <c r="F433" s="6">
        <f t="shared" si="88"/>
        <v>100</v>
      </c>
      <c r="G433" s="8"/>
      <c r="H433" s="8"/>
      <c r="I433" s="8"/>
      <c r="J433" s="6">
        <f t="shared" si="89"/>
        <v>100</v>
      </c>
      <c r="K433" s="19"/>
      <c r="L433" s="19"/>
      <c r="M433" s="19"/>
      <c r="N433" s="6">
        <f t="shared" si="90"/>
        <v>100</v>
      </c>
      <c r="O433" s="19"/>
      <c r="P433" s="19"/>
      <c r="Q433" s="19"/>
      <c r="R433" s="6">
        <f t="shared" si="91"/>
        <v>100</v>
      </c>
      <c r="S433" s="8"/>
      <c r="T433" s="8"/>
      <c r="U433" s="8"/>
      <c r="V433" s="6">
        <f t="shared" si="92"/>
        <v>100</v>
      </c>
      <c r="W433" s="8"/>
      <c r="X433" s="8"/>
      <c r="Y433" s="8"/>
      <c r="Z433" s="6">
        <f t="shared" si="93"/>
        <v>100</v>
      </c>
      <c r="AA433" s="19"/>
      <c r="AB433" s="19"/>
      <c r="AC433" s="19"/>
      <c r="AD433" s="6">
        <f t="shared" si="94"/>
        <v>100</v>
      </c>
      <c r="AE433" s="19"/>
      <c r="AF433" s="19"/>
      <c r="AG433" s="19"/>
      <c r="AH433" s="6">
        <f t="shared" si="95"/>
        <v>100</v>
      </c>
      <c r="AI433" s="19"/>
      <c r="AJ433" s="19"/>
      <c r="AK433" s="19"/>
      <c r="AL433" s="6">
        <f t="shared" si="96"/>
        <v>100</v>
      </c>
      <c r="AM433" s="19"/>
      <c r="AN433" s="19"/>
      <c r="AO433" s="19"/>
      <c r="AP433" s="6">
        <f t="shared" si="97"/>
        <v>100</v>
      </c>
      <c r="AQ433" s="19"/>
      <c r="AR433" s="19"/>
      <c r="AS433" s="19"/>
      <c r="AT433" s="6">
        <f t="shared" si="98"/>
        <v>100</v>
      </c>
    </row>
    <row r="434" spans="1:46">
      <c r="A434" s="4">
        <v>46248</v>
      </c>
      <c r="B434" s="257"/>
      <c r="C434" s="7"/>
      <c r="D434" s="7"/>
      <c r="E434" s="7"/>
      <c r="F434" s="6">
        <f t="shared" si="88"/>
        <v>100</v>
      </c>
      <c r="G434" s="8"/>
      <c r="H434" s="8"/>
      <c r="I434" s="8"/>
      <c r="J434" s="6">
        <f t="shared" si="89"/>
        <v>100</v>
      </c>
      <c r="K434" s="19"/>
      <c r="L434" s="19"/>
      <c r="M434" s="19"/>
      <c r="N434" s="6">
        <f t="shared" si="90"/>
        <v>100</v>
      </c>
      <c r="O434" s="19"/>
      <c r="P434" s="19"/>
      <c r="Q434" s="19"/>
      <c r="R434" s="6">
        <f t="shared" si="91"/>
        <v>100</v>
      </c>
      <c r="S434" s="8"/>
      <c r="T434" s="8"/>
      <c r="U434" s="8"/>
      <c r="V434" s="6">
        <f t="shared" si="92"/>
        <v>100</v>
      </c>
      <c r="W434" s="8"/>
      <c r="X434" s="8"/>
      <c r="Y434" s="8"/>
      <c r="Z434" s="6">
        <f t="shared" si="93"/>
        <v>100</v>
      </c>
      <c r="AA434" s="19"/>
      <c r="AB434" s="19"/>
      <c r="AC434" s="19"/>
      <c r="AD434" s="6">
        <f t="shared" si="94"/>
        <v>100</v>
      </c>
      <c r="AE434" s="19"/>
      <c r="AF434" s="19"/>
      <c r="AG434" s="19"/>
      <c r="AH434" s="6">
        <f t="shared" si="95"/>
        <v>100</v>
      </c>
      <c r="AI434" s="19"/>
      <c r="AJ434" s="19"/>
      <c r="AK434" s="19"/>
      <c r="AL434" s="6">
        <f t="shared" si="96"/>
        <v>100</v>
      </c>
      <c r="AM434" s="19"/>
      <c r="AN434" s="19"/>
      <c r="AO434" s="19"/>
      <c r="AP434" s="6">
        <f t="shared" si="97"/>
        <v>100</v>
      </c>
      <c r="AQ434" s="19"/>
      <c r="AR434" s="19"/>
      <c r="AS434" s="19"/>
      <c r="AT434" s="6">
        <f t="shared" si="98"/>
        <v>100</v>
      </c>
    </row>
    <row r="435" spans="1:46">
      <c r="A435" s="4">
        <v>46249</v>
      </c>
      <c r="B435" s="257"/>
      <c r="C435" s="7"/>
      <c r="D435" s="7"/>
      <c r="E435" s="7"/>
      <c r="F435" s="6">
        <f t="shared" si="88"/>
        <v>100</v>
      </c>
      <c r="G435" s="8"/>
      <c r="H435" s="8"/>
      <c r="I435" s="8"/>
      <c r="J435" s="6">
        <f t="shared" si="89"/>
        <v>100</v>
      </c>
      <c r="K435" s="19"/>
      <c r="L435" s="19"/>
      <c r="M435" s="19"/>
      <c r="N435" s="6">
        <f t="shared" si="90"/>
        <v>100</v>
      </c>
      <c r="O435" s="19"/>
      <c r="P435" s="19"/>
      <c r="Q435" s="19"/>
      <c r="R435" s="6">
        <f t="shared" si="91"/>
        <v>100</v>
      </c>
      <c r="S435" s="8"/>
      <c r="T435" s="8"/>
      <c r="U435" s="8"/>
      <c r="V435" s="6">
        <f t="shared" si="92"/>
        <v>100</v>
      </c>
      <c r="W435" s="8"/>
      <c r="X435" s="8"/>
      <c r="Y435" s="8"/>
      <c r="Z435" s="6">
        <f t="shared" si="93"/>
        <v>100</v>
      </c>
      <c r="AA435" s="19"/>
      <c r="AB435" s="19"/>
      <c r="AC435" s="19"/>
      <c r="AD435" s="6">
        <f t="shared" si="94"/>
        <v>100</v>
      </c>
      <c r="AE435" s="19"/>
      <c r="AF435" s="19"/>
      <c r="AG435" s="19"/>
      <c r="AH435" s="6">
        <f t="shared" si="95"/>
        <v>100</v>
      </c>
      <c r="AI435" s="19"/>
      <c r="AJ435" s="19"/>
      <c r="AK435" s="19"/>
      <c r="AL435" s="6">
        <f t="shared" si="96"/>
        <v>100</v>
      </c>
      <c r="AM435" s="19"/>
      <c r="AN435" s="19"/>
      <c r="AO435" s="19"/>
      <c r="AP435" s="6">
        <f t="shared" si="97"/>
        <v>100</v>
      </c>
      <c r="AQ435" s="19"/>
      <c r="AR435" s="19"/>
      <c r="AS435" s="19"/>
      <c r="AT435" s="6">
        <f t="shared" si="98"/>
        <v>100</v>
      </c>
    </row>
    <row r="436" spans="1:46">
      <c r="A436" s="4">
        <v>46250</v>
      </c>
      <c r="B436" s="257"/>
      <c r="C436" s="7"/>
      <c r="D436" s="7"/>
      <c r="E436" s="7"/>
      <c r="F436" s="6">
        <f t="shared" si="88"/>
        <v>100</v>
      </c>
      <c r="G436" s="8"/>
      <c r="H436" s="8"/>
      <c r="I436" s="8"/>
      <c r="J436" s="6">
        <f t="shared" si="89"/>
        <v>100</v>
      </c>
      <c r="K436" s="19"/>
      <c r="L436" s="19"/>
      <c r="M436" s="19"/>
      <c r="N436" s="6">
        <f t="shared" si="90"/>
        <v>100</v>
      </c>
      <c r="O436" s="19"/>
      <c r="P436" s="19"/>
      <c r="Q436" s="19"/>
      <c r="R436" s="6">
        <f t="shared" si="91"/>
        <v>100</v>
      </c>
      <c r="S436" s="8"/>
      <c r="T436" s="8"/>
      <c r="U436" s="8"/>
      <c r="V436" s="6">
        <f t="shared" si="92"/>
        <v>100</v>
      </c>
      <c r="W436" s="8"/>
      <c r="X436" s="8"/>
      <c r="Y436" s="8"/>
      <c r="Z436" s="6">
        <f t="shared" si="93"/>
        <v>100</v>
      </c>
      <c r="AA436" s="19"/>
      <c r="AB436" s="19"/>
      <c r="AC436" s="19"/>
      <c r="AD436" s="6">
        <f t="shared" si="94"/>
        <v>100</v>
      </c>
      <c r="AE436" s="19"/>
      <c r="AF436" s="19"/>
      <c r="AG436" s="19"/>
      <c r="AH436" s="6">
        <f t="shared" si="95"/>
        <v>100</v>
      </c>
      <c r="AI436" s="19"/>
      <c r="AJ436" s="19"/>
      <c r="AK436" s="19"/>
      <c r="AL436" s="6">
        <f t="shared" si="96"/>
        <v>100</v>
      </c>
      <c r="AM436" s="19"/>
      <c r="AN436" s="19"/>
      <c r="AO436" s="19"/>
      <c r="AP436" s="6">
        <f t="shared" si="97"/>
        <v>100</v>
      </c>
      <c r="AQ436" s="19"/>
      <c r="AR436" s="19"/>
      <c r="AS436" s="19"/>
      <c r="AT436" s="6">
        <f t="shared" si="98"/>
        <v>100</v>
      </c>
    </row>
    <row r="437" spans="1:46">
      <c r="A437" s="4">
        <v>46251</v>
      </c>
      <c r="B437" s="257"/>
      <c r="C437" s="7"/>
      <c r="D437" s="7"/>
      <c r="E437" s="7"/>
      <c r="F437" s="6">
        <f t="shared" si="88"/>
        <v>100</v>
      </c>
      <c r="G437" s="8"/>
      <c r="H437" s="8"/>
      <c r="I437" s="8"/>
      <c r="J437" s="6">
        <f t="shared" si="89"/>
        <v>100</v>
      </c>
      <c r="K437" s="19"/>
      <c r="L437" s="19"/>
      <c r="M437" s="19"/>
      <c r="N437" s="6">
        <f t="shared" si="90"/>
        <v>100</v>
      </c>
      <c r="O437" s="19"/>
      <c r="P437" s="19"/>
      <c r="Q437" s="19"/>
      <c r="R437" s="6">
        <f t="shared" si="91"/>
        <v>100</v>
      </c>
      <c r="S437" s="8"/>
      <c r="T437" s="8"/>
      <c r="U437" s="8"/>
      <c r="V437" s="6">
        <f t="shared" si="92"/>
        <v>100</v>
      </c>
      <c r="W437" s="8"/>
      <c r="X437" s="8"/>
      <c r="Y437" s="8"/>
      <c r="Z437" s="6">
        <f t="shared" si="93"/>
        <v>100</v>
      </c>
      <c r="AA437" s="19"/>
      <c r="AB437" s="19"/>
      <c r="AC437" s="19"/>
      <c r="AD437" s="6">
        <f t="shared" si="94"/>
        <v>100</v>
      </c>
      <c r="AE437" s="19"/>
      <c r="AF437" s="19"/>
      <c r="AG437" s="19"/>
      <c r="AH437" s="6">
        <f t="shared" si="95"/>
        <v>100</v>
      </c>
      <c r="AI437" s="19"/>
      <c r="AJ437" s="19"/>
      <c r="AK437" s="19"/>
      <c r="AL437" s="6">
        <f t="shared" si="96"/>
        <v>100</v>
      </c>
      <c r="AM437" s="19"/>
      <c r="AN437" s="19"/>
      <c r="AO437" s="19"/>
      <c r="AP437" s="6">
        <f t="shared" si="97"/>
        <v>100</v>
      </c>
      <c r="AQ437" s="19"/>
      <c r="AR437" s="19"/>
      <c r="AS437" s="19"/>
      <c r="AT437" s="6">
        <f t="shared" si="98"/>
        <v>100</v>
      </c>
    </row>
    <row r="438" spans="1:46">
      <c r="A438" s="70">
        <v>46252</v>
      </c>
      <c r="B438" s="257"/>
      <c r="C438" s="7"/>
      <c r="D438" s="7"/>
      <c r="E438" s="7"/>
      <c r="F438" s="6">
        <f t="shared" si="88"/>
        <v>100</v>
      </c>
      <c r="G438" s="8"/>
      <c r="H438" s="8"/>
      <c r="I438" s="8"/>
      <c r="J438" s="6">
        <f t="shared" si="89"/>
        <v>100</v>
      </c>
      <c r="K438" s="19"/>
      <c r="L438" s="19"/>
      <c r="M438" s="19"/>
      <c r="N438" s="6">
        <f t="shared" si="90"/>
        <v>100</v>
      </c>
      <c r="O438" s="19"/>
      <c r="P438" s="19"/>
      <c r="Q438" s="19"/>
      <c r="R438" s="6">
        <f t="shared" si="91"/>
        <v>100</v>
      </c>
      <c r="S438" s="8"/>
      <c r="T438" s="8"/>
      <c r="U438" s="8"/>
      <c r="V438" s="6">
        <f t="shared" si="92"/>
        <v>100</v>
      </c>
      <c r="W438" s="8"/>
      <c r="X438" s="8"/>
      <c r="Y438" s="8"/>
      <c r="Z438" s="6">
        <f t="shared" si="93"/>
        <v>100</v>
      </c>
      <c r="AA438" s="19"/>
      <c r="AB438" s="19"/>
      <c r="AC438" s="19"/>
      <c r="AD438" s="6">
        <f t="shared" si="94"/>
        <v>100</v>
      </c>
      <c r="AE438" s="19"/>
      <c r="AF438" s="19"/>
      <c r="AG438" s="19"/>
      <c r="AH438" s="6">
        <f t="shared" si="95"/>
        <v>100</v>
      </c>
      <c r="AI438" s="19"/>
      <c r="AJ438" s="19"/>
      <c r="AK438" s="19"/>
      <c r="AL438" s="6">
        <f t="shared" si="96"/>
        <v>100</v>
      </c>
      <c r="AM438" s="19"/>
      <c r="AN438" s="19"/>
      <c r="AO438" s="19"/>
      <c r="AP438" s="6">
        <f t="shared" si="97"/>
        <v>100</v>
      </c>
      <c r="AQ438" s="19"/>
      <c r="AR438" s="19"/>
      <c r="AS438" s="19"/>
      <c r="AT438" s="6">
        <f t="shared" si="98"/>
        <v>100</v>
      </c>
    </row>
    <row r="439" spans="1:46">
      <c r="A439" s="4">
        <v>46253</v>
      </c>
      <c r="B439" s="257"/>
      <c r="C439" s="7"/>
      <c r="D439" s="7"/>
      <c r="E439" s="7"/>
      <c r="F439" s="6">
        <f t="shared" si="88"/>
        <v>100</v>
      </c>
      <c r="G439" s="8"/>
      <c r="H439" s="8"/>
      <c r="I439" s="8"/>
      <c r="J439" s="6">
        <f t="shared" si="89"/>
        <v>100</v>
      </c>
      <c r="K439" s="19"/>
      <c r="L439" s="19"/>
      <c r="M439" s="19"/>
      <c r="N439" s="6">
        <f t="shared" si="90"/>
        <v>100</v>
      </c>
      <c r="O439" s="19"/>
      <c r="P439" s="19"/>
      <c r="Q439" s="19"/>
      <c r="R439" s="6">
        <f t="shared" si="91"/>
        <v>100</v>
      </c>
      <c r="S439" s="8"/>
      <c r="T439" s="8"/>
      <c r="U439" s="8"/>
      <c r="V439" s="6">
        <f t="shared" si="92"/>
        <v>100</v>
      </c>
      <c r="W439" s="8"/>
      <c r="X439" s="8"/>
      <c r="Y439" s="8"/>
      <c r="Z439" s="6">
        <f t="shared" si="93"/>
        <v>100</v>
      </c>
      <c r="AA439" s="19"/>
      <c r="AB439" s="19"/>
      <c r="AC439" s="19"/>
      <c r="AD439" s="6">
        <f t="shared" si="94"/>
        <v>100</v>
      </c>
      <c r="AE439" s="19"/>
      <c r="AF439" s="19"/>
      <c r="AG439" s="19"/>
      <c r="AH439" s="6">
        <f t="shared" si="95"/>
        <v>100</v>
      </c>
      <c r="AI439" s="19"/>
      <c r="AJ439" s="19"/>
      <c r="AK439" s="19"/>
      <c r="AL439" s="6">
        <f t="shared" si="96"/>
        <v>100</v>
      </c>
      <c r="AM439" s="19"/>
      <c r="AN439" s="19"/>
      <c r="AO439" s="19"/>
      <c r="AP439" s="6">
        <f t="shared" si="97"/>
        <v>100</v>
      </c>
      <c r="AQ439" s="19"/>
      <c r="AR439" s="19"/>
      <c r="AS439" s="19"/>
      <c r="AT439" s="6">
        <f t="shared" si="98"/>
        <v>100</v>
      </c>
    </row>
    <row r="440" spans="1:46">
      <c r="A440" s="4">
        <v>46254</v>
      </c>
      <c r="B440" s="257"/>
      <c r="C440" s="7"/>
      <c r="D440" s="7"/>
      <c r="E440" s="7"/>
      <c r="F440" s="6">
        <f t="shared" si="88"/>
        <v>100</v>
      </c>
      <c r="G440" s="8"/>
      <c r="H440" s="8"/>
      <c r="I440" s="8"/>
      <c r="J440" s="6">
        <f t="shared" si="89"/>
        <v>100</v>
      </c>
      <c r="K440" s="19"/>
      <c r="L440" s="19"/>
      <c r="M440" s="19"/>
      <c r="N440" s="6">
        <f t="shared" si="90"/>
        <v>100</v>
      </c>
      <c r="O440" s="19"/>
      <c r="P440" s="19"/>
      <c r="Q440" s="19"/>
      <c r="R440" s="6">
        <f t="shared" si="91"/>
        <v>100</v>
      </c>
      <c r="S440" s="8"/>
      <c r="T440" s="8"/>
      <c r="U440" s="8"/>
      <c r="V440" s="6">
        <f t="shared" si="92"/>
        <v>100</v>
      </c>
      <c r="W440" s="8"/>
      <c r="X440" s="8"/>
      <c r="Y440" s="8"/>
      <c r="Z440" s="6">
        <f t="shared" si="93"/>
        <v>100</v>
      </c>
      <c r="AA440" s="19"/>
      <c r="AB440" s="19"/>
      <c r="AC440" s="19"/>
      <c r="AD440" s="6">
        <f t="shared" si="94"/>
        <v>100</v>
      </c>
      <c r="AE440" s="19"/>
      <c r="AF440" s="19"/>
      <c r="AG440" s="19"/>
      <c r="AH440" s="6">
        <f t="shared" si="95"/>
        <v>100</v>
      </c>
      <c r="AI440" s="19"/>
      <c r="AJ440" s="19"/>
      <c r="AK440" s="19"/>
      <c r="AL440" s="6">
        <f t="shared" si="96"/>
        <v>100</v>
      </c>
      <c r="AM440" s="19"/>
      <c r="AN440" s="19"/>
      <c r="AO440" s="19"/>
      <c r="AP440" s="6">
        <f t="shared" si="97"/>
        <v>100</v>
      </c>
      <c r="AQ440" s="19"/>
      <c r="AR440" s="19"/>
      <c r="AS440" s="19"/>
      <c r="AT440" s="6">
        <f t="shared" si="98"/>
        <v>100</v>
      </c>
    </row>
    <row r="441" spans="1:46">
      <c r="A441" s="4">
        <v>46255</v>
      </c>
      <c r="B441" s="257"/>
      <c r="C441" s="7"/>
      <c r="D441" s="7"/>
      <c r="E441" s="7"/>
      <c r="F441" s="6">
        <f t="shared" si="88"/>
        <v>100</v>
      </c>
      <c r="G441" s="8"/>
      <c r="H441" s="8"/>
      <c r="I441" s="8"/>
      <c r="J441" s="6">
        <f t="shared" si="89"/>
        <v>100</v>
      </c>
      <c r="K441" s="19"/>
      <c r="L441" s="19"/>
      <c r="M441" s="19"/>
      <c r="N441" s="6">
        <f t="shared" si="90"/>
        <v>100</v>
      </c>
      <c r="O441" s="19"/>
      <c r="P441" s="19"/>
      <c r="Q441" s="19"/>
      <c r="R441" s="6">
        <f t="shared" si="91"/>
        <v>100</v>
      </c>
      <c r="S441" s="8"/>
      <c r="T441" s="8"/>
      <c r="U441" s="8"/>
      <c r="V441" s="6">
        <f t="shared" si="92"/>
        <v>100</v>
      </c>
      <c r="W441" s="8"/>
      <c r="X441" s="8"/>
      <c r="Y441" s="8"/>
      <c r="Z441" s="6">
        <f t="shared" si="93"/>
        <v>100</v>
      </c>
      <c r="AA441" s="19"/>
      <c r="AB441" s="19"/>
      <c r="AC441" s="19"/>
      <c r="AD441" s="6">
        <f t="shared" si="94"/>
        <v>100</v>
      </c>
      <c r="AE441" s="19"/>
      <c r="AF441" s="19"/>
      <c r="AG441" s="19"/>
      <c r="AH441" s="6">
        <f t="shared" si="95"/>
        <v>100</v>
      </c>
      <c r="AI441" s="19"/>
      <c r="AJ441" s="19"/>
      <c r="AK441" s="19"/>
      <c r="AL441" s="6">
        <f t="shared" si="96"/>
        <v>100</v>
      </c>
      <c r="AM441" s="19"/>
      <c r="AN441" s="19"/>
      <c r="AO441" s="19"/>
      <c r="AP441" s="6">
        <f t="shared" si="97"/>
        <v>100</v>
      </c>
      <c r="AQ441" s="19"/>
      <c r="AR441" s="19"/>
      <c r="AS441" s="19"/>
      <c r="AT441" s="6">
        <f t="shared" si="98"/>
        <v>100</v>
      </c>
    </row>
    <row r="442" spans="1:46">
      <c r="A442" s="4">
        <v>46256</v>
      </c>
      <c r="B442" s="257"/>
      <c r="C442" s="7"/>
      <c r="D442" s="7"/>
      <c r="E442" s="7"/>
      <c r="F442" s="6">
        <f t="shared" si="88"/>
        <v>100</v>
      </c>
      <c r="G442" s="8"/>
      <c r="H442" s="8"/>
      <c r="I442" s="8"/>
      <c r="J442" s="6">
        <f t="shared" si="89"/>
        <v>100</v>
      </c>
      <c r="K442" s="19"/>
      <c r="L442" s="19"/>
      <c r="M442" s="19"/>
      <c r="N442" s="6">
        <f t="shared" si="90"/>
        <v>100</v>
      </c>
      <c r="O442" s="19"/>
      <c r="P442" s="19"/>
      <c r="Q442" s="19"/>
      <c r="R442" s="6">
        <f t="shared" si="91"/>
        <v>100</v>
      </c>
      <c r="S442" s="8"/>
      <c r="T442" s="8"/>
      <c r="U442" s="8"/>
      <c r="V442" s="6">
        <f t="shared" si="92"/>
        <v>100</v>
      </c>
      <c r="W442" s="8"/>
      <c r="X442" s="8"/>
      <c r="Y442" s="8"/>
      <c r="Z442" s="6">
        <f t="shared" si="93"/>
        <v>100</v>
      </c>
      <c r="AA442" s="19"/>
      <c r="AB442" s="19"/>
      <c r="AC442" s="19"/>
      <c r="AD442" s="6">
        <f t="shared" si="94"/>
        <v>100</v>
      </c>
      <c r="AE442" s="19"/>
      <c r="AF442" s="19"/>
      <c r="AG442" s="19"/>
      <c r="AH442" s="6">
        <f t="shared" si="95"/>
        <v>100</v>
      </c>
      <c r="AI442" s="19"/>
      <c r="AJ442" s="19"/>
      <c r="AK442" s="19"/>
      <c r="AL442" s="6">
        <f t="shared" si="96"/>
        <v>100</v>
      </c>
      <c r="AM442" s="19"/>
      <c r="AN442" s="19"/>
      <c r="AO442" s="19"/>
      <c r="AP442" s="6">
        <f t="shared" si="97"/>
        <v>100</v>
      </c>
      <c r="AQ442" s="19"/>
      <c r="AR442" s="19"/>
      <c r="AS442" s="19"/>
      <c r="AT442" s="6">
        <f t="shared" si="98"/>
        <v>100</v>
      </c>
    </row>
    <row r="443" spans="1:46">
      <c r="A443" s="4">
        <v>46257</v>
      </c>
      <c r="B443" s="257"/>
      <c r="C443" s="7"/>
      <c r="D443" s="7"/>
      <c r="E443" s="7"/>
      <c r="F443" s="6">
        <f t="shared" si="88"/>
        <v>100</v>
      </c>
      <c r="G443" s="8"/>
      <c r="H443" s="8"/>
      <c r="I443" s="8"/>
      <c r="J443" s="6">
        <f t="shared" si="89"/>
        <v>100</v>
      </c>
      <c r="K443" s="19"/>
      <c r="L443" s="19"/>
      <c r="M443" s="19"/>
      <c r="N443" s="6">
        <f t="shared" si="90"/>
        <v>100</v>
      </c>
      <c r="O443" s="19"/>
      <c r="P443" s="19"/>
      <c r="Q443" s="19"/>
      <c r="R443" s="6">
        <f t="shared" si="91"/>
        <v>100</v>
      </c>
      <c r="S443" s="8"/>
      <c r="T443" s="8"/>
      <c r="U443" s="8"/>
      <c r="V443" s="6">
        <f t="shared" si="92"/>
        <v>100</v>
      </c>
      <c r="W443" s="8"/>
      <c r="X443" s="8"/>
      <c r="Y443" s="8"/>
      <c r="Z443" s="6">
        <f t="shared" si="93"/>
        <v>100</v>
      </c>
      <c r="AA443" s="19"/>
      <c r="AB443" s="19"/>
      <c r="AC443" s="19"/>
      <c r="AD443" s="6">
        <f t="shared" si="94"/>
        <v>100</v>
      </c>
      <c r="AE443" s="19"/>
      <c r="AF443" s="19"/>
      <c r="AG443" s="19"/>
      <c r="AH443" s="6">
        <f t="shared" si="95"/>
        <v>100</v>
      </c>
      <c r="AI443" s="19"/>
      <c r="AJ443" s="19"/>
      <c r="AK443" s="19"/>
      <c r="AL443" s="6">
        <f t="shared" si="96"/>
        <v>100</v>
      </c>
      <c r="AM443" s="19"/>
      <c r="AN443" s="19"/>
      <c r="AO443" s="19"/>
      <c r="AP443" s="6">
        <f t="shared" si="97"/>
        <v>100</v>
      </c>
      <c r="AQ443" s="19"/>
      <c r="AR443" s="19"/>
      <c r="AS443" s="19"/>
      <c r="AT443" s="6">
        <f t="shared" si="98"/>
        <v>100</v>
      </c>
    </row>
    <row r="444" spans="1:46">
      <c r="A444" s="4">
        <v>46258</v>
      </c>
      <c r="B444" s="257"/>
      <c r="C444" s="7"/>
      <c r="D444" s="7"/>
      <c r="E444" s="7"/>
      <c r="F444" s="6">
        <f t="shared" si="88"/>
        <v>100</v>
      </c>
      <c r="G444" s="8"/>
      <c r="H444" s="8"/>
      <c r="I444" s="8"/>
      <c r="J444" s="6">
        <f t="shared" si="89"/>
        <v>100</v>
      </c>
      <c r="K444" s="19"/>
      <c r="L444" s="19"/>
      <c r="M444" s="19"/>
      <c r="N444" s="6">
        <f t="shared" si="90"/>
        <v>100</v>
      </c>
      <c r="O444" s="19"/>
      <c r="P444" s="19"/>
      <c r="Q444" s="19"/>
      <c r="R444" s="6">
        <f t="shared" si="91"/>
        <v>100</v>
      </c>
      <c r="S444" s="8"/>
      <c r="T444" s="8"/>
      <c r="U444" s="8"/>
      <c r="V444" s="6">
        <f t="shared" si="92"/>
        <v>100</v>
      </c>
      <c r="W444" s="8"/>
      <c r="X444" s="8"/>
      <c r="Y444" s="8"/>
      <c r="Z444" s="6">
        <f t="shared" si="93"/>
        <v>100</v>
      </c>
      <c r="AA444" s="19"/>
      <c r="AB444" s="19"/>
      <c r="AC444" s="19"/>
      <c r="AD444" s="6">
        <f t="shared" si="94"/>
        <v>100</v>
      </c>
      <c r="AE444" s="19"/>
      <c r="AF444" s="19"/>
      <c r="AG444" s="19"/>
      <c r="AH444" s="6">
        <f t="shared" si="95"/>
        <v>100</v>
      </c>
      <c r="AI444" s="19"/>
      <c r="AJ444" s="19"/>
      <c r="AK444" s="19"/>
      <c r="AL444" s="6">
        <f t="shared" si="96"/>
        <v>100</v>
      </c>
      <c r="AM444" s="19"/>
      <c r="AN444" s="19"/>
      <c r="AO444" s="19"/>
      <c r="AP444" s="6">
        <f t="shared" si="97"/>
        <v>100</v>
      </c>
      <c r="AQ444" s="19"/>
      <c r="AR444" s="19"/>
      <c r="AS444" s="19"/>
      <c r="AT444" s="6">
        <f t="shared" si="98"/>
        <v>100</v>
      </c>
    </row>
    <row r="445" spans="1:46">
      <c r="A445" s="4">
        <v>46259</v>
      </c>
      <c r="B445" s="257"/>
      <c r="C445" s="7"/>
      <c r="D445" s="7"/>
      <c r="E445" s="7"/>
      <c r="F445" s="6">
        <f t="shared" si="88"/>
        <v>100</v>
      </c>
      <c r="G445" s="8"/>
      <c r="H445" s="8"/>
      <c r="I445" s="8"/>
      <c r="J445" s="6">
        <f t="shared" si="89"/>
        <v>100</v>
      </c>
      <c r="K445" s="19"/>
      <c r="L445" s="19"/>
      <c r="M445" s="19"/>
      <c r="N445" s="6">
        <f t="shared" si="90"/>
        <v>100</v>
      </c>
      <c r="O445" s="19"/>
      <c r="P445" s="19"/>
      <c r="Q445" s="19"/>
      <c r="R445" s="6">
        <f t="shared" si="91"/>
        <v>100</v>
      </c>
      <c r="S445" s="8"/>
      <c r="T445" s="8"/>
      <c r="U445" s="8"/>
      <c r="V445" s="6">
        <f t="shared" si="92"/>
        <v>100</v>
      </c>
      <c r="W445" s="8"/>
      <c r="X445" s="8"/>
      <c r="Y445" s="8"/>
      <c r="Z445" s="6">
        <f t="shared" si="93"/>
        <v>100</v>
      </c>
      <c r="AA445" s="19"/>
      <c r="AB445" s="19"/>
      <c r="AC445" s="19"/>
      <c r="AD445" s="6">
        <f t="shared" si="94"/>
        <v>100</v>
      </c>
      <c r="AE445" s="19"/>
      <c r="AF445" s="19"/>
      <c r="AG445" s="19"/>
      <c r="AH445" s="6">
        <f t="shared" si="95"/>
        <v>100</v>
      </c>
      <c r="AI445" s="19"/>
      <c r="AJ445" s="19"/>
      <c r="AK445" s="19"/>
      <c r="AL445" s="6">
        <f t="shared" si="96"/>
        <v>100</v>
      </c>
      <c r="AM445" s="19"/>
      <c r="AN445" s="19"/>
      <c r="AO445" s="19"/>
      <c r="AP445" s="6">
        <f t="shared" si="97"/>
        <v>100</v>
      </c>
      <c r="AQ445" s="19"/>
      <c r="AR445" s="19"/>
      <c r="AS445" s="19"/>
      <c r="AT445" s="6">
        <f t="shared" si="98"/>
        <v>100</v>
      </c>
    </row>
    <row r="446" spans="1:46">
      <c r="A446" s="4">
        <v>46260</v>
      </c>
      <c r="B446" s="257"/>
      <c r="C446" s="7"/>
      <c r="D446" s="7"/>
      <c r="E446" s="7"/>
      <c r="F446" s="6">
        <f t="shared" si="88"/>
        <v>100</v>
      </c>
      <c r="G446" s="8"/>
      <c r="H446" s="8"/>
      <c r="I446" s="8"/>
      <c r="J446" s="6">
        <f t="shared" si="89"/>
        <v>100</v>
      </c>
      <c r="K446" s="19"/>
      <c r="L446" s="19"/>
      <c r="M446" s="19"/>
      <c r="N446" s="6">
        <f t="shared" si="90"/>
        <v>100</v>
      </c>
      <c r="O446" s="19"/>
      <c r="P446" s="19"/>
      <c r="Q446" s="19"/>
      <c r="R446" s="6">
        <f t="shared" si="91"/>
        <v>100</v>
      </c>
      <c r="S446" s="8"/>
      <c r="T446" s="8"/>
      <c r="U446" s="8"/>
      <c r="V446" s="6">
        <f t="shared" si="92"/>
        <v>100</v>
      </c>
      <c r="W446" s="8"/>
      <c r="X446" s="8"/>
      <c r="Y446" s="8"/>
      <c r="Z446" s="6">
        <f t="shared" si="93"/>
        <v>100</v>
      </c>
      <c r="AA446" s="19"/>
      <c r="AB446" s="19"/>
      <c r="AC446" s="19"/>
      <c r="AD446" s="6">
        <f t="shared" si="94"/>
        <v>100</v>
      </c>
      <c r="AE446" s="19"/>
      <c r="AF446" s="19"/>
      <c r="AG446" s="19"/>
      <c r="AH446" s="6">
        <f t="shared" si="95"/>
        <v>100</v>
      </c>
      <c r="AI446" s="19"/>
      <c r="AJ446" s="19"/>
      <c r="AK446" s="19"/>
      <c r="AL446" s="6">
        <f t="shared" si="96"/>
        <v>100</v>
      </c>
      <c r="AM446" s="19"/>
      <c r="AN446" s="19"/>
      <c r="AO446" s="19"/>
      <c r="AP446" s="6">
        <f t="shared" si="97"/>
        <v>100</v>
      </c>
      <c r="AQ446" s="19"/>
      <c r="AR446" s="19"/>
      <c r="AS446" s="19"/>
      <c r="AT446" s="6">
        <f t="shared" si="98"/>
        <v>100</v>
      </c>
    </row>
    <row r="447" spans="1:46">
      <c r="A447" s="4">
        <v>46261</v>
      </c>
      <c r="B447" s="257"/>
      <c r="C447" s="7"/>
      <c r="D447" s="7"/>
      <c r="E447" s="7"/>
      <c r="F447" s="6">
        <f t="shared" si="88"/>
        <v>100</v>
      </c>
      <c r="G447" s="8"/>
      <c r="H447" s="8"/>
      <c r="I447" s="8"/>
      <c r="J447" s="6">
        <f t="shared" si="89"/>
        <v>100</v>
      </c>
      <c r="K447" s="19"/>
      <c r="L447" s="19"/>
      <c r="M447" s="19"/>
      <c r="N447" s="6">
        <f t="shared" si="90"/>
        <v>100</v>
      </c>
      <c r="O447" s="19"/>
      <c r="P447" s="19"/>
      <c r="Q447" s="19"/>
      <c r="R447" s="6">
        <f t="shared" si="91"/>
        <v>100</v>
      </c>
      <c r="S447" s="8"/>
      <c r="T447" s="8"/>
      <c r="U447" s="8"/>
      <c r="V447" s="6">
        <f t="shared" si="92"/>
        <v>100</v>
      </c>
      <c r="W447" s="8"/>
      <c r="X447" s="8"/>
      <c r="Y447" s="8"/>
      <c r="Z447" s="6">
        <f t="shared" si="93"/>
        <v>100</v>
      </c>
      <c r="AA447" s="19"/>
      <c r="AB447" s="19"/>
      <c r="AC447" s="19"/>
      <c r="AD447" s="6">
        <f t="shared" si="94"/>
        <v>100</v>
      </c>
      <c r="AE447" s="19"/>
      <c r="AF447" s="19"/>
      <c r="AG447" s="19"/>
      <c r="AH447" s="6">
        <f t="shared" si="95"/>
        <v>100</v>
      </c>
      <c r="AI447" s="19"/>
      <c r="AJ447" s="19"/>
      <c r="AK447" s="19"/>
      <c r="AL447" s="6">
        <f t="shared" si="96"/>
        <v>100</v>
      </c>
      <c r="AM447" s="19"/>
      <c r="AN447" s="19"/>
      <c r="AO447" s="19"/>
      <c r="AP447" s="6">
        <f t="shared" si="97"/>
        <v>100</v>
      </c>
      <c r="AQ447" s="19"/>
      <c r="AR447" s="19"/>
      <c r="AS447" s="19"/>
      <c r="AT447" s="6">
        <f t="shared" si="98"/>
        <v>100</v>
      </c>
    </row>
    <row r="448" spans="1:46">
      <c r="A448" s="70">
        <v>46262</v>
      </c>
      <c r="B448" s="257"/>
      <c r="C448" s="7"/>
      <c r="D448" s="7"/>
      <c r="E448" s="7"/>
      <c r="F448" s="6">
        <f t="shared" si="88"/>
        <v>100</v>
      </c>
      <c r="G448" s="8"/>
      <c r="H448" s="8"/>
      <c r="I448" s="8"/>
      <c r="J448" s="6">
        <f t="shared" si="89"/>
        <v>100</v>
      </c>
      <c r="K448" s="19"/>
      <c r="L448" s="19"/>
      <c r="M448" s="19"/>
      <c r="N448" s="6">
        <f t="shared" si="90"/>
        <v>100</v>
      </c>
      <c r="O448" s="19"/>
      <c r="P448" s="19"/>
      <c r="Q448" s="19"/>
      <c r="R448" s="6">
        <f t="shared" si="91"/>
        <v>100</v>
      </c>
      <c r="S448" s="8"/>
      <c r="T448" s="8"/>
      <c r="U448" s="8"/>
      <c r="V448" s="6">
        <f t="shared" si="92"/>
        <v>100</v>
      </c>
      <c r="W448" s="8"/>
      <c r="X448" s="8"/>
      <c r="Y448" s="8"/>
      <c r="Z448" s="6">
        <f t="shared" si="93"/>
        <v>100</v>
      </c>
      <c r="AA448" s="19"/>
      <c r="AB448" s="19"/>
      <c r="AC448" s="19"/>
      <c r="AD448" s="6">
        <f t="shared" si="94"/>
        <v>100</v>
      </c>
      <c r="AE448" s="19"/>
      <c r="AF448" s="19"/>
      <c r="AG448" s="19"/>
      <c r="AH448" s="6">
        <f t="shared" si="95"/>
        <v>100</v>
      </c>
      <c r="AI448" s="19"/>
      <c r="AJ448" s="19"/>
      <c r="AK448" s="19"/>
      <c r="AL448" s="6">
        <f t="shared" si="96"/>
        <v>100</v>
      </c>
      <c r="AM448" s="19"/>
      <c r="AN448" s="19"/>
      <c r="AO448" s="19"/>
      <c r="AP448" s="6">
        <f t="shared" si="97"/>
        <v>100</v>
      </c>
      <c r="AQ448" s="19"/>
      <c r="AR448" s="19"/>
      <c r="AS448" s="19"/>
      <c r="AT448" s="6">
        <f t="shared" si="98"/>
        <v>100</v>
      </c>
    </row>
    <row r="449" spans="1:46">
      <c r="A449" s="4">
        <v>46263</v>
      </c>
      <c r="B449" s="257"/>
      <c r="C449" s="7"/>
      <c r="D449" s="7"/>
      <c r="E449" s="7"/>
      <c r="F449" s="6">
        <f t="shared" si="88"/>
        <v>100</v>
      </c>
      <c r="G449" s="8"/>
      <c r="H449" s="8"/>
      <c r="I449" s="8"/>
      <c r="J449" s="6">
        <f t="shared" si="89"/>
        <v>100</v>
      </c>
      <c r="K449" s="19"/>
      <c r="L449" s="19"/>
      <c r="M449" s="19"/>
      <c r="N449" s="6">
        <f t="shared" si="90"/>
        <v>100</v>
      </c>
      <c r="O449" s="19"/>
      <c r="P449" s="19"/>
      <c r="Q449" s="19"/>
      <c r="R449" s="6">
        <f t="shared" si="91"/>
        <v>100</v>
      </c>
      <c r="S449" s="8"/>
      <c r="T449" s="8"/>
      <c r="U449" s="8"/>
      <c r="V449" s="6">
        <f t="shared" si="92"/>
        <v>100</v>
      </c>
      <c r="W449" s="8"/>
      <c r="X449" s="8"/>
      <c r="Y449" s="8"/>
      <c r="Z449" s="6">
        <f t="shared" si="93"/>
        <v>100</v>
      </c>
      <c r="AA449" s="19"/>
      <c r="AB449" s="19"/>
      <c r="AC449" s="19"/>
      <c r="AD449" s="6">
        <f t="shared" si="94"/>
        <v>100</v>
      </c>
      <c r="AE449" s="19"/>
      <c r="AF449" s="19"/>
      <c r="AG449" s="19"/>
      <c r="AH449" s="6">
        <f t="shared" si="95"/>
        <v>100</v>
      </c>
      <c r="AI449" s="19"/>
      <c r="AJ449" s="19"/>
      <c r="AK449" s="19"/>
      <c r="AL449" s="6">
        <f t="shared" si="96"/>
        <v>100</v>
      </c>
      <c r="AM449" s="19"/>
      <c r="AN449" s="19"/>
      <c r="AO449" s="19"/>
      <c r="AP449" s="6">
        <f t="shared" si="97"/>
        <v>100</v>
      </c>
      <c r="AQ449" s="19"/>
      <c r="AR449" s="19"/>
      <c r="AS449" s="19"/>
      <c r="AT449" s="6">
        <f t="shared" si="98"/>
        <v>100</v>
      </c>
    </row>
    <row r="450" spans="1:46">
      <c r="A450" s="4">
        <v>46264</v>
      </c>
      <c r="B450" s="257"/>
      <c r="C450" s="7"/>
      <c r="D450" s="7"/>
      <c r="E450" s="7"/>
      <c r="F450" s="6">
        <f t="shared" si="88"/>
        <v>100</v>
      </c>
      <c r="G450" s="8"/>
      <c r="H450" s="8"/>
      <c r="I450" s="8"/>
      <c r="J450" s="6">
        <f t="shared" si="89"/>
        <v>100</v>
      </c>
      <c r="K450" s="19"/>
      <c r="L450" s="19"/>
      <c r="M450" s="19"/>
      <c r="N450" s="6">
        <f t="shared" si="90"/>
        <v>100</v>
      </c>
      <c r="O450" s="19"/>
      <c r="P450" s="19"/>
      <c r="Q450" s="19"/>
      <c r="R450" s="6">
        <f t="shared" si="91"/>
        <v>100</v>
      </c>
      <c r="S450" s="8"/>
      <c r="T450" s="8"/>
      <c r="U450" s="8"/>
      <c r="V450" s="6">
        <f t="shared" si="92"/>
        <v>100</v>
      </c>
      <c r="W450" s="8"/>
      <c r="X450" s="8"/>
      <c r="Y450" s="8"/>
      <c r="Z450" s="6">
        <f t="shared" si="93"/>
        <v>100</v>
      </c>
      <c r="AA450" s="19"/>
      <c r="AB450" s="19"/>
      <c r="AC450" s="19"/>
      <c r="AD450" s="6">
        <f t="shared" si="94"/>
        <v>100</v>
      </c>
      <c r="AE450" s="19"/>
      <c r="AF450" s="19"/>
      <c r="AG450" s="19"/>
      <c r="AH450" s="6">
        <f t="shared" si="95"/>
        <v>100</v>
      </c>
      <c r="AI450" s="19"/>
      <c r="AJ450" s="19"/>
      <c r="AK450" s="19"/>
      <c r="AL450" s="6">
        <f t="shared" si="96"/>
        <v>100</v>
      </c>
      <c r="AM450" s="19"/>
      <c r="AN450" s="19"/>
      <c r="AO450" s="19"/>
      <c r="AP450" s="6">
        <f t="shared" si="97"/>
        <v>100</v>
      </c>
      <c r="AQ450" s="19"/>
      <c r="AR450" s="19"/>
      <c r="AS450" s="19"/>
      <c r="AT450" s="6">
        <f t="shared" si="98"/>
        <v>100</v>
      </c>
    </row>
    <row r="451" spans="1:46">
      <c r="A451" s="4">
        <v>46265</v>
      </c>
      <c r="B451" s="257"/>
      <c r="C451" s="7"/>
      <c r="D451" s="7"/>
      <c r="E451" s="7"/>
      <c r="F451" s="6">
        <f t="shared" si="88"/>
        <v>100</v>
      </c>
      <c r="G451" s="8"/>
      <c r="H451" s="8"/>
      <c r="I451" s="8"/>
      <c r="J451" s="6">
        <f t="shared" si="89"/>
        <v>100</v>
      </c>
      <c r="K451" s="19"/>
      <c r="L451" s="19"/>
      <c r="M451" s="19"/>
      <c r="N451" s="6">
        <f t="shared" si="90"/>
        <v>100</v>
      </c>
      <c r="O451" s="19"/>
      <c r="P451" s="19"/>
      <c r="Q451" s="19"/>
      <c r="R451" s="6">
        <f t="shared" si="91"/>
        <v>100</v>
      </c>
      <c r="S451" s="8"/>
      <c r="T451" s="8"/>
      <c r="U451" s="8"/>
      <c r="V451" s="6">
        <f t="shared" si="92"/>
        <v>100</v>
      </c>
      <c r="W451" s="8"/>
      <c r="X451" s="8"/>
      <c r="Y451" s="8"/>
      <c r="Z451" s="6">
        <f t="shared" si="93"/>
        <v>100</v>
      </c>
      <c r="AA451" s="19"/>
      <c r="AB451" s="19"/>
      <c r="AC451" s="19"/>
      <c r="AD451" s="6">
        <f t="shared" si="94"/>
        <v>100</v>
      </c>
      <c r="AE451" s="19"/>
      <c r="AF451" s="19"/>
      <c r="AG451" s="19"/>
      <c r="AH451" s="6">
        <f t="shared" si="95"/>
        <v>100</v>
      </c>
      <c r="AI451" s="19"/>
      <c r="AJ451" s="19"/>
      <c r="AK451" s="19"/>
      <c r="AL451" s="6">
        <f t="shared" si="96"/>
        <v>100</v>
      </c>
      <c r="AM451" s="19"/>
      <c r="AN451" s="19"/>
      <c r="AO451" s="19"/>
      <c r="AP451" s="6">
        <f t="shared" si="97"/>
        <v>100</v>
      </c>
      <c r="AQ451" s="19"/>
      <c r="AR451" s="19"/>
      <c r="AS451" s="19"/>
      <c r="AT451" s="6">
        <f t="shared" si="98"/>
        <v>100</v>
      </c>
    </row>
    <row r="452" spans="1:46">
      <c r="A452" s="4">
        <v>46266</v>
      </c>
      <c r="B452" s="257"/>
      <c r="C452" s="7"/>
      <c r="D452" s="7"/>
      <c r="E452" s="7"/>
      <c r="F452" s="6">
        <f t="shared" si="88"/>
        <v>100</v>
      </c>
      <c r="G452" s="8"/>
      <c r="H452" s="8"/>
      <c r="I452" s="8"/>
      <c r="J452" s="6">
        <f t="shared" si="89"/>
        <v>100</v>
      </c>
      <c r="K452" s="19"/>
      <c r="L452" s="19"/>
      <c r="M452" s="19"/>
      <c r="N452" s="6">
        <f t="shared" si="90"/>
        <v>100</v>
      </c>
      <c r="O452" s="19"/>
      <c r="P452" s="19"/>
      <c r="Q452" s="19"/>
      <c r="R452" s="6">
        <f t="shared" si="91"/>
        <v>100</v>
      </c>
      <c r="S452" s="8"/>
      <c r="T452" s="8"/>
      <c r="U452" s="8"/>
      <c r="V452" s="6">
        <f t="shared" si="92"/>
        <v>100</v>
      </c>
      <c r="W452" s="8"/>
      <c r="X452" s="8"/>
      <c r="Y452" s="8"/>
      <c r="Z452" s="6">
        <f t="shared" si="93"/>
        <v>100</v>
      </c>
      <c r="AA452" s="19"/>
      <c r="AB452" s="19"/>
      <c r="AC452" s="19"/>
      <c r="AD452" s="6">
        <f t="shared" si="94"/>
        <v>100</v>
      </c>
      <c r="AE452" s="19"/>
      <c r="AF452" s="19"/>
      <c r="AG452" s="19"/>
      <c r="AH452" s="6">
        <f t="shared" si="95"/>
        <v>100</v>
      </c>
      <c r="AI452" s="19"/>
      <c r="AJ452" s="19"/>
      <c r="AK452" s="19"/>
      <c r="AL452" s="6">
        <f t="shared" si="96"/>
        <v>100</v>
      </c>
      <c r="AM452" s="19"/>
      <c r="AN452" s="19"/>
      <c r="AO452" s="19"/>
      <c r="AP452" s="6">
        <f t="shared" si="97"/>
        <v>100</v>
      </c>
      <c r="AQ452" s="19"/>
      <c r="AR452" s="19"/>
      <c r="AS452" s="19"/>
      <c r="AT452" s="6">
        <f t="shared" si="98"/>
        <v>100</v>
      </c>
    </row>
    <row r="453" spans="1:46">
      <c r="A453" s="4">
        <v>46267</v>
      </c>
      <c r="B453" s="257"/>
      <c r="C453" s="7"/>
      <c r="D453" s="7"/>
      <c r="E453" s="7"/>
      <c r="F453" s="6">
        <f t="shared" si="88"/>
        <v>100</v>
      </c>
      <c r="G453" s="8"/>
      <c r="H453" s="8"/>
      <c r="I453" s="8"/>
      <c r="J453" s="6">
        <f t="shared" si="89"/>
        <v>100</v>
      </c>
      <c r="K453" s="19"/>
      <c r="L453" s="19"/>
      <c r="M453" s="19"/>
      <c r="N453" s="6">
        <f t="shared" si="90"/>
        <v>100</v>
      </c>
      <c r="O453" s="19"/>
      <c r="P453" s="19"/>
      <c r="Q453" s="19"/>
      <c r="R453" s="6">
        <f t="shared" si="91"/>
        <v>100</v>
      </c>
      <c r="S453" s="8"/>
      <c r="T453" s="8"/>
      <c r="U453" s="8"/>
      <c r="V453" s="6">
        <f t="shared" si="92"/>
        <v>100</v>
      </c>
      <c r="W453" s="8"/>
      <c r="X453" s="8"/>
      <c r="Y453" s="8"/>
      <c r="Z453" s="6">
        <f t="shared" si="93"/>
        <v>100</v>
      </c>
      <c r="AA453" s="19"/>
      <c r="AB453" s="19"/>
      <c r="AC453" s="19"/>
      <c r="AD453" s="6">
        <f t="shared" si="94"/>
        <v>100</v>
      </c>
      <c r="AE453" s="19"/>
      <c r="AF453" s="19"/>
      <c r="AG453" s="19"/>
      <c r="AH453" s="6">
        <f t="shared" si="95"/>
        <v>100</v>
      </c>
      <c r="AI453" s="19"/>
      <c r="AJ453" s="19"/>
      <c r="AK453" s="19"/>
      <c r="AL453" s="6">
        <f t="shared" si="96"/>
        <v>100</v>
      </c>
      <c r="AM453" s="19"/>
      <c r="AN453" s="19"/>
      <c r="AO453" s="19"/>
      <c r="AP453" s="6">
        <f t="shared" si="97"/>
        <v>100</v>
      </c>
      <c r="AQ453" s="19"/>
      <c r="AR453" s="19"/>
      <c r="AS453" s="19"/>
      <c r="AT453" s="6">
        <f t="shared" si="98"/>
        <v>100</v>
      </c>
    </row>
    <row r="454" spans="1:46">
      <c r="A454" s="4">
        <v>46268</v>
      </c>
      <c r="B454" s="257"/>
      <c r="C454" s="7"/>
      <c r="D454" s="7"/>
      <c r="E454" s="7"/>
      <c r="F454" s="6">
        <f t="shared" si="88"/>
        <v>100</v>
      </c>
      <c r="G454" s="8"/>
      <c r="H454" s="8"/>
      <c r="I454" s="8"/>
      <c r="J454" s="6">
        <f t="shared" si="89"/>
        <v>100</v>
      </c>
      <c r="K454" s="19"/>
      <c r="L454" s="19"/>
      <c r="M454" s="19"/>
      <c r="N454" s="6">
        <f t="shared" si="90"/>
        <v>100</v>
      </c>
      <c r="O454" s="19"/>
      <c r="P454" s="19"/>
      <c r="Q454" s="19"/>
      <c r="R454" s="6">
        <f t="shared" si="91"/>
        <v>100</v>
      </c>
      <c r="S454" s="8"/>
      <c r="T454" s="8"/>
      <c r="U454" s="8"/>
      <c r="V454" s="6">
        <f t="shared" si="92"/>
        <v>100</v>
      </c>
      <c r="W454" s="8"/>
      <c r="X454" s="8"/>
      <c r="Y454" s="8"/>
      <c r="Z454" s="6">
        <f t="shared" si="93"/>
        <v>100</v>
      </c>
      <c r="AA454" s="19"/>
      <c r="AB454" s="19"/>
      <c r="AC454" s="19"/>
      <c r="AD454" s="6">
        <f t="shared" si="94"/>
        <v>100</v>
      </c>
      <c r="AE454" s="19"/>
      <c r="AF454" s="19"/>
      <c r="AG454" s="19"/>
      <c r="AH454" s="6">
        <f t="shared" si="95"/>
        <v>100</v>
      </c>
      <c r="AI454" s="19"/>
      <c r="AJ454" s="19"/>
      <c r="AK454" s="19"/>
      <c r="AL454" s="6">
        <f t="shared" si="96"/>
        <v>100</v>
      </c>
      <c r="AM454" s="19"/>
      <c r="AN454" s="19"/>
      <c r="AO454" s="19"/>
      <c r="AP454" s="6">
        <f t="shared" si="97"/>
        <v>100</v>
      </c>
      <c r="AQ454" s="19"/>
      <c r="AR454" s="19"/>
      <c r="AS454" s="19"/>
      <c r="AT454" s="6">
        <f t="shared" si="98"/>
        <v>100</v>
      </c>
    </row>
    <row r="455" spans="1:46">
      <c r="A455" s="4">
        <v>46269</v>
      </c>
      <c r="B455" s="257"/>
      <c r="C455" s="7"/>
      <c r="D455" s="7"/>
      <c r="E455" s="7"/>
      <c r="F455" s="6">
        <f t="shared" si="88"/>
        <v>100</v>
      </c>
      <c r="G455" s="8"/>
      <c r="H455" s="8"/>
      <c r="I455" s="8"/>
      <c r="J455" s="6">
        <f t="shared" si="89"/>
        <v>100</v>
      </c>
      <c r="K455" s="19"/>
      <c r="L455" s="19"/>
      <c r="M455" s="19"/>
      <c r="N455" s="6">
        <f t="shared" si="90"/>
        <v>100</v>
      </c>
      <c r="O455" s="19"/>
      <c r="P455" s="19"/>
      <c r="Q455" s="19"/>
      <c r="R455" s="6">
        <f t="shared" si="91"/>
        <v>100</v>
      </c>
      <c r="S455" s="8"/>
      <c r="T455" s="8"/>
      <c r="U455" s="8"/>
      <c r="V455" s="6">
        <f t="shared" si="92"/>
        <v>100</v>
      </c>
      <c r="W455" s="8"/>
      <c r="X455" s="8"/>
      <c r="Y455" s="8"/>
      <c r="Z455" s="6">
        <f t="shared" si="93"/>
        <v>100</v>
      </c>
      <c r="AA455" s="19"/>
      <c r="AB455" s="19"/>
      <c r="AC455" s="19"/>
      <c r="AD455" s="6">
        <f t="shared" si="94"/>
        <v>100</v>
      </c>
      <c r="AE455" s="19"/>
      <c r="AF455" s="19"/>
      <c r="AG455" s="19"/>
      <c r="AH455" s="6">
        <f t="shared" si="95"/>
        <v>100</v>
      </c>
      <c r="AI455" s="19"/>
      <c r="AJ455" s="19"/>
      <c r="AK455" s="19"/>
      <c r="AL455" s="6">
        <f t="shared" si="96"/>
        <v>100</v>
      </c>
      <c r="AM455" s="19"/>
      <c r="AN455" s="19"/>
      <c r="AO455" s="19"/>
      <c r="AP455" s="6">
        <f t="shared" si="97"/>
        <v>100</v>
      </c>
      <c r="AQ455" s="19"/>
      <c r="AR455" s="19"/>
      <c r="AS455" s="19"/>
      <c r="AT455" s="6">
        <f t="shared" si="98"/>
        <v>100</v>
      </c>
    </row>
    <row r="456" spans="1:46">
      <c r="A456" s="4">
        <v>46270</v>
      </c>
      <c r="B456" s="257"/>
      <c r="C456" s="7"/>
      <c r="D456" s="7"/>
      <c r="E456" s="7"/>
      <c r="F456" s="6">
        <f t="shared" si="88"/>
        <v>100</v>
      </c>
      <c r="G456" s="8"/>
      <c r="H456" s="8"/>
      <c r="I456" s="8"/>
      <c r="J456" s="6">
        <f t="shared" si="89"/>
        <v>100</v>
      </c>
      <c r="K456" s="19"/>
      <c r="L456" s="19"/>
      <c r="M456" s="19"/>
      <c r="N456" s="6">
        <f t="shared" si="90"/>
        <v>100</v>
      </c>
      <c r="O456" s="19"/>
      <c r="P456" s="19"/>
      <c r="Q456" s="19"/>
      <c r="R456" s="6">
        <f t="shared" si="91"/>
        <v>100</v>
      </c>
      <c r="S456" s="8"/>
      <c r="T456" s="8"/>
      <c r="U456" s="8"/>
      <c r="V456" s="6">
        <f t="shared" si="92"/>
        <v>100</v>
      </c>
      <c r="W456" s="8"/>
      <c r="X456" s="8"/>
      <c r="Y456" s="8"/>
      <c r="Z456" s="6">
        <f t="shared" si="93"/>
        <v>100</v>
      </c>
      <c r="AA456" s="19"/>
      <c r="AB456" s="19"/>
      <c r="AC456" s="19"/>
      <c r="AD456" s="6">
        <f t="shared" si="94"/>
        <v>100</v>
      </c>
      <c r="AE456" s="19"/>
      <c r="AF456" s="19"/>
      <c r="AG456" s="19"/>
      <c r="AH456" s="6">
        <f t="shared" si="95"/>
        <v>100</v>
      </c>
      <c r="AI456" s="19"/>
      <c r="AJ456" s="19"/>
      <c r="AK456" s="19"/>
      <c r="AL456" s="6">
        <f t="shared" si="96"/>
        <v>100</v>
      </c>
      <c r="AM456" s="19"/>
      <c r="AN456" s="19"/>
      <c r="AO456" s="19"/>
      <c r="AP456" s="6">
        <f t="shared" si="97"/>
        <v>100</v>
      </c>
      <c r="AQ456" s="19"/>
      <c r="AR456" s="19"/>
      <c r="AS456" s="19"/>
      <c r="AT456" s="6">
        <f t="shared" si="98"/>
        <v>100</v>
      </c>
    </row>
    <row r="457" spans="1:46">
      <c r="A457" s="4">
        <v>46271</v>
      </c>
      <c r="B457" s="257"/>
      <c r="C457" s="7"/>
      <c r="D457" s="7"/>
      <c r="E457" s="7"/>
      <c r="F457" s="6">
        <f t="shared" si="88"/>
        <v>100</v>
      </c>
      <c r="G457" s="8"/>
      <c r="H457" s="8"/>
      <c r="I457" s="8"/>
      <c r="J457" s="6">
        <f t="shared" si="89"/>
        <v>100</v>
      </c>
      <c r="K457" s="19"/>
      <c r="L457" s="19"/>
      <c r="M457" s="19"/>
      <c r="N457" s="6">
        <f t="shared" si="90"/>
        <v>100</v>
      </c>
      <c r="O457" s="19"/>
      <c r="P457" s="19"/>
      <c r="Q457" s="19"/>
      <c r="R457" s="6">
        <f t="shared" si="91"/>
        <v>100</v>
      </c>
      <c r="S457" s="8"/>
      <c r="T457" s="8"/>
      <c r="U457" s="8"/>
      <c r="V457" s="6">
        <f t="shared" si="92"/>
        <v>100</v>
      </c>
      <c r="W457" s="8"/>
      <c r="X457" s="8"/>
      <c r="Y457" s="8"/>
      <c r="Z457" s="6">
        <f t="shared" si="93"/>
        <v>100</v>
      </c>
      <c r="AA457" s="19"/>
      <c r="AB457" s="19"/>
      <c r="AC457" s="19"/>
      <c r="AD457" s="6">
        <f t="shared" si="94"/>
        <v>100</v>
      </c>
      <c r="AE457" s="19"/>
      <c r="AF457" s="19"/>
      <c r="AG457" s="19"/>
      <c r="AH457" s="6">
        <f t="shared" si="95"/>
        <v>100</v>
      </c>
      <c r="AI457" s="19"/>
      <c r="AJ457" s="19"/>
      <c r="AK457" s="19"/>
      <c r="AL457" s="6">
        <f t="shared" si="96"/>
        <v>100</v>
      </c>
      <c r="AM457" s="19"/>
      <c r="AN457" s="19"/>
      <c r="AO457" s="19"/>
      <c r="AP457" s="6">
        <f t="shared" si="97"/>
        <v>100</v>
      </c>
      <c r="AQ457" s="19"/>
      <c r="AR457" s="19"/>
      <c r="AS457" s="19"/>
      <c r="AT457" s="6">
        <f t="shared" si="98"/>
        <v>100</v>
      </c>
    </row>
    <row r="458" spans="1:46">
      <c r="A458" s="70">
        <v>46272</v>
      </c>
      <c r="B458" s="257"/>
      <c r="C458" s="7"/>
      <c r="D458" s="7"/>
      <c r="E458" s="7"/>
      <c r="F458" s="6">
        <f t="shared" si="88"/>
        <v>100</v>
      </c>
      <c r="G458" s="8"/>
      <c r="H458" s="8"/>
      <c r="I458" s="8"/>
      <c r="J458" s="6">
        <f t="shared" si="89"/>
        <v>100</v>
      </c>
      <c r="K458" s="19"/>
      <c r="L458" s="19"/>
      <c r="M458" s="19"/>
      <c r="N458" s="6">
        <f t="shared" si="90"/>
        <v>100</v>
      </c>
      <c r="O458" s="19"/>
      <c r="P458" s="19"/>
      <c r="Q458" s="19"/>
      <c r="R458" s="6">
        <f t="shared" si="91"/>
        <v>100</v>
      </c>
      <c r="S458" s="8"/>
      <c r="T458" s="8"/>
      <c r="U458" s="8"/>
      <c r="V458" s="6">
        <f t="shared" si="92"/>
        <v>100</v>
      </c>
      <c r="W458" s="8"/>
      <c r="X458" s="8"/>
      <c r="Y458" s="8"/>
      <c r="Z458" s="6">
        <f t="shared" si="93"/>
        <v>100</v>
      </c>
      <c r="AA458" s="19"/>
      <c r="AB458" s="19"/>
      <c r="AC458" s="19"/>
      <c r="AD458" s="6">
        <f t="shared" si="94"/>
        <v>100</v>
      </c>
      <c r="AE458" s="19"/>
      <c r="AF458" s="19"/>
      <c r="AG458" s="19"/>
      <c r="AH458" s="6">
        <f t="shared" si="95"/>
        <v>100</v>
      </c>
      <c r="AI458" s="19"/>
      <c r="AJ458" s="19"/>
      <c r="AK458" s="19"/>
      <c r="AL458" s="6">
        <f t="shared" si="96"/>
        <v>100</v>
      </c>
      <c r="AM458" s="19"/>
      <c r="AN458" s="19"/>
      <c r="AO458" s="19"/>
      <c r="AP458" s="6">
        <f t="shared" si="97"/>
        <v>100</v>
      </c>
      <c r="AQ458" s="19"/>
      <c r="AR458" s="19"/>
      <c r="AS458" s="19"/>
      <c r="AT458" s="6">
        <f t="shared" si="98"/>
        <v>100</v>
      </c>
    </row>
    <row r="459" spans="1:46">
      <c r="A459" s="4">
        <v>46273</v>
      </c>
      <c r="B459" s="257"/>
      <c r="C459" s="7"/>
      <c r="D459" s="7"/>
      <c r="E459" s="7"/>
      <c r="F459" s="6">
        <f t="shared" si="88"/>
        <v>100</v>
      </c>
      <c r="G459" s="8"/>
      <c r="H459" s="8"/>
      <c r="I459" s="8"/>
      <c r="J459" s="6">
        <f t="shared" si="89"/>
        <v>100</v>
      </c>
      <c r="K459" s="19"/>
      <c r="L459" s="19"/>
      <c r="M459" s="19"/>
      <c r="N459" s="6">
        <f t="shared" si="90"/>
        <v>100</v>
      </c>
      <c r="O459" s="19"/>
      <c r="P459" s="19"/>
      <c r="Q459" s="19"/>
      <c r="R459" s="6">
        <f t="shared" si="91"/>
        <v>100</v>
      </c>
      <c r="S459" s="8"/>
      <c r="T459" s="8"/>
      <c r="U459" s="8"/>
      <c r="V459" s="6">
        <f t="shared" si="92"/>
        <v>100</v>
      </c>
      <c r="W459" s="8"/>
      <c r="X459" s="8"/>
      <c r="Y459" s="8"/>
      <c r="Z459" s="6">
        <f t="shared" si="93"/>
        <v>100</v>
      </c>
      <c r="AA459" s="19"/>
      <c r="AB459" s="19"/>
      <c r="AC459" s="19"/>
      <c r="AD459" s="6">
        <f t="shared" si="94"/>
        <v>100</v>
      </c>
      <c r="AE459" s="19"/>
      <c r="AF459" s="19"/>
      <c r="AG459" s="19"/>
      <c r="AH459" s="6">
        <f t="shared" si="95"/>
        <v>100</v>
      </c>
      <c r="AI459" s="19"/>
      <c r="AJ459" s="19"/>
      <c r="AK459" s="19"/>
      <c r="AL459" s="6">
        <f t="shared" si="96"/>
        <v>100</v>
      </c>
      <c r="AM459" s="19"/>
      <c r="AN459" s="19"/>
      <c r="AO459" s="19"/>
      <c r="AP459" s="6">
        <f t="shared" si="97"/>
        <v>100</v>
      </c>
      <c r="AQ459" s="19"/>
      <c r="AR459" s="19"/>
      <c r="AS459" s="19"/>
      <c r="AT459" s="6">
        <f t="shared" si="98"/>
        <v>100</v>
      </c>
    </row>
    <row r="460" spans="1:46">
      <c r="A460" s="4">
        <v>46274</v>
      </c>
      <c r="B460" s="257"/>
      <c r="C460" s="7"/>
      <c r="D460" s="7"/>
      <c r="E460" s="7"/>
      <c r="F460" s="6">
        <f t="shared" si="88"/>
        <v>100</v>
      </c>
      <c r="G460" s="8"/>
      <c r="H460" s="8"/>
      <c r="I460" s="8"/>
      <c r="J460" s="6">
        <f t="shared" si="89"/>
        <v>100</v>
      </c>
      <c r="K460" s="19"/>
      <c r="L460" s="19"/>
      <c r="M460" s="19"/>
      <c r="N460" s="6">
        <f t="shared" si="90"/>
        <v>100</v>
      </c>
      <c r="O460" s="19"/>
      <c r="P460" s="19"/>
      <c r="Q460" s="19"/>
      <c r="R460" s="6">
        <f t="shared" si="91"/>
        <v>100</v>
      </c>
      <c r="S460" s="8"/>
      <c r="T460" s="8"/>
      <c r="U460" s="8"/>
      <c r="V460" s="6">
        <f t="shared" si="92"/>
        <v>100</v>
      </c>
      <c r="W460" s="8"/>
      <c r="X460" s="8"/>
      <c r="Y460" s="8"/>
      <c r="Z460" s="6">
        <f t="shared" si="93"/>
        <v>100</v>
      </c>
      <c r="AA460" s="19"/>
      <c r="AB460" s="19"/>
      <c r="AC460" s="19"/>
      <c r="AD460" s="6">
        <f t="shared" si="94"/>
        <v>100</v>
      </c>
      <c r="AE460" s="19"/>
      <c r="AF460" s="19"/>
      <c r="AG460" s="19"/>
      <c r="AH460" s="6">
        <f t="shared" si="95"/>
        <v>100</v>
      </c>
      <c r="AI460" s="19"/>
      <c r="AJ460" s="19"/>
      <c r="AK460" s="19"/>
      <c r="AL460" s="6">
        <f t="shared" si="96"/>
        <v>100</v>
      </c>
      <c r="AM460" s="19"/>
      <c r="AN460" s="19"/>
      <c r="AO460" s="19"/>
      <c r="AP460" s="6">
        <f t="shared" si="97"/>
        <v>100</v>
      </c>
      <c r="AQ460" s="19"/>
      <c r="AR460" s="19"/>
      <c r="AS460" s="19"/>
      <c r="AT460" s="6">
        <f t="shared" si="98"/>
        <v>100</v>
      </c>
    </row>
    <row r="461" spans="1:46">
      <c r="A461" s="4">
        <v>46275</v>
      </c>
      <c r="B461" s="257"/>
      <c r="C461" s="7"/>
      <c r="D461" s="7"/>
      <c r="E461" s="7"/>
      <c r="F461" s="6">
        <f t="shared" si="88"/>
        <v>100</v>
      </c>
      <c r="G461" s="8"/>
      <c r="H461" s="8"/>
      <c r="I461" s="8"/>
      <c r="J461" s="6">
        <f t="shared" si="89"/>
        <v>100</v>
      </c>
      <c r="K461" s="19"/>
      <c r="L461" s="19"/>
      <c r="M461" s="19"/>
      <c r="N461" s="6">
        <f t="shared" si="90"/>
        <v>100</v>
      </c>
      <c r="O461" s="19"/>
      <c r="P461" s="19"/>
      <c r="Q461" s="19"/>
      <c r="R461" s="6">
        <f t="shared" si="91"/>
        <v>100</v>
      </c>
      <c r="S461" s="8"/>
      <c r="T461" s="8"/>
      <c r="U461" s="8"/>
      <c r="V461" s="6">
        <f t="shared" si="92"/>
        <v>100</v>
      </c>
      <c r="W461" s="8"/>
      <c r="X461" s="8"/>
      <c r="Y461" s="8"/>
      <c r="Z461" s="6">
        <f t="shared" si="93"/>
        <v>100</v>
      </c>
      <c r="AA461" s="19"/>
      <c r="AB461" s="19"/>
      <c r="AC461" s="19"/>
      <c r="AD461" s="6">
        <f t="shared" si="94"/>
        <v>100</v>
      </c>
      <c r="AE461" s="19"/>
      <c r="AF461" s="19"/>
      <c r="AG461" s="19"/>
      <c r="AH461" s="6">
        <f t="shared" si="95"/>
        <v>100</v>
      </c>
      <c r="AI461" s="19"/>
      <c r="AJ461" s="19"/>
      <c r="AK461" s="19"/>
      <c r="AL461" s="6">
        <f t="shared" si="96"/>
        <v>100</v>
      </c>
      <c r="AM461" s="19"/>
      <c r="AN461" s="19"/>
      <c r="AO461" s="19"/>
      <c r="AP461" s="6">
        <f t="shared" si="97"/>
        <v>100</v>
      </c>
      <c r="AQ461" s="19"/>
      <c r="AR461" s="19"/>
      <c r="AS461" s="19"/>
      <c r="AT461" s="6">
        <f t="shared" si="98"/>
        <v>100</v>
      </c>
    </row>
    <row r="462" spans="1:46">
      <c r="A462" s="4">
        <v>46276</v>
      </c>
      <c r="B462" s="257"/>
      <c r="C462" s="7"/>
      <c r="D462" s="7"/>
      <c r="E462" s="7"/>
      <c r="F462" s="6">
        <f t="shared" si="88"/>
        <v>100</v>
      </c>
      <c r="G462" s="8"/>
      <c r="H462" s="8"/>
      <c r="I462" s="8"/>
      <c r="J462" s="6">
        <f t="shared" si="89"/>
        <v>100</v>
      </c>
      <c r="K462" s="19"/>
      <c r="L462" s="19"/>
      <c r="M462" s="19"/>
      <c r="N462" s="6">
        <f t="shared" si="90"/>
        <v>100</v>
      </c>
      <c r="O462" s="19"/>
      <c r="P462" s="19"/>
      <c r="Q462" s="19"/>
      <c r="R462" s="6">
        <f t="shared" si="91"/>
        <v>100</v>
      </c>
      <c r="S462" s="8"/>
      <c r="T462" s="8"/>
      <c r="U462" s="8"/>
      <c r="V462" s="6">
        <f t="shared" si="92"/>
        <v>100</v>
      </c>
      <c r="W462" s="8"/>
      <c r="X462" s="8"/>
      <c r="Y462" s="8"/>
      <c r="Z462" s="6">
        <f t="shared" si="93"/>
        <v>100</v>
      </c>
      <c r="AA462" s="19"/>
      <c r="AB462" s="19"/>
      <c r="AC462" s="19"/>
      <c r="AD462" s="6">
        <f t="shared" si="94"/>
        <v>100</v>
      </c>
      <c r="AE462" s="19"/>
      <c r="AF462" s="19"/>
      <c r="AG462" s="19"/>
      <c r="AH462" s="6">
        <f t="shared" si="95"/>
        <v>100</v>
      </c>
      <c r="AI462" s="19"/>
      <c r="AJ462" s="19"/>
      <c r="AK462" s="19"/>
      <c r="AL462" s="6">
        <f t="shared" si="96"/>
        <v>100</v>
      </c>
      <c r="AM462" s="19"/>
      <c r="AN462" s="19"/>
      <c r="AO462" s="19"/>
      <c r="AP462" s="6">
        <f t="shared" si="97"/>
        <v>100</v>
      </c>
      <c r="AQ462" s="19"/>
      <c r="AR462" s="19"/>
      <c r="AS462" s="19"/>
      <c r="AT462" s="6">
        <f t="shared" si="98"/>
        <v>100</v>
      </c>
    </row>
    <row r="463" spans="1:46">
      <c r="A463" s="4">
        <v>46277</v>
      </c>
      <c r="B463" s="257"/>
      <c r="C463" s="7"/>
      <c r="D463" s="7"/>
      <c r="E463" s="7"/>
      <c r="F463" s="6">
        <f t="shared" si="88"/>
        <v>100</v>
      </c>
      <c r="G463" s="8"/>
      <c r="H463" s="8"/>
      <c r="I463" s="8"/>
      <c r="J463" s="6">
        <f t="shared" si="89"/>
        <v>100</v>
      </c>
      <c r="K463" s="19"/>
      <c r="L463" s="19"/>
      <c r="M463" s="19"/>
      <c r="N463" s="6">
        <f t="shared" si="90"/>
        <v>100</v>
      </c>
      <c r="O463" s="19"/>
      <c r="P463" s="19"/>
      <c r="Q463" s="19"/>
      <c r="R463" s="6">
        <f t="shared" si="91"/>
        <v>100</v>
      </c>
      <c r="S463" s="8"/>
      <c r="T463" s="8"/>
      <c r="U463" s="8"/>
      <c r="V463" s="6">
        <f t="shared" si="92"/>
        <v>100</v>
      </c>
      <c r="W463" s="8"/>
      <c r="X463" s="8"/>
      <c r="Y463" s="8"/>
      <c r="Z463" s="6">
        <f t="shared" si="93"/>
        <v>100</v>
      </c>
      <c r="AA463" s="19"/>
      <c r="AB463" s="19"/>
      <c r="AC463" s="19"/>
      <c r="AD463" s="6">
        <f t="shared" si="94"/>
        <v>100</v>
      </c>
      <c r="AE463" s="19"/>
      <c r="AF463" s="19"/>
      <c r="AG463" s="19"/>
      <c r="AH463" s="6">
        <f t="shared" si="95"/>
        <v>100</v>
      </c>
      <c r="AI463" s="19"/>
      <c r="AJ463" s="19"/>
      <c r="AK463" s="19"/>
      <c r="AL463" s="6">
        <f t="shared" si="96"/>
        <v>100</v>
      </c>
      <c r="AM463" s="19"/>
      <c r="AN463" s="19"/>
      <c r="AO463" s="19"/>
      <c r="AP463" s="6">
        <f t="shared" si="97"/>
        <v>100</v>
      </c>
      <c r="AQ463" s="19"/>
      <c r="AR463" s="19"/>
      <c r="AS463" s="19"/>
      <c r="AT463" s="6">
        <f t="shared" si="98"/>
        <v>100</v>
      </c>
    </row>
    <row r="464" spans="1:46">
      <c r="A464" s="4">
        <v>46278</v>
      </c>
      <c r="B464" s="257"/>
      <c r="C464" s="7"/>
      <c r="D464" s="7"/>
      <c r="E464" s="7"/>
      <c r="F464" s="6">
        <f t="shared" si="88"/>
        <v>100</v>
      </c>
      <c r="G464" s="8"/>
      <c r="H464" s="8"/>
      <c r="I464" s="8"/>
      <c r="J464" s="6">
        <f t="shared" si="89"/>
        <v>100</v>
      </c>
      <c r="K464" s="19"/>
      <c r="L464" s="19"/>
      <c r="M464" s="19"/>
      <c r="N464" s="6">
        <f t="shared" si="90"/>
        <v>100</v>
      </c>
      <c r="O464" s="19"/>
      <c r="P464" s="19"/>
      <c r="Q464" s="19"/>
      <c r="R464" s="6">
        <f t="shared" si="91"/>
        <v>100</v>
      </c>
      <c r="S464" s="8"/>
      <c r="T464" s="8"/>
      <c r="U464" s="8"/>
      <c r="V464" s="6">
        <f t="shared" si="92"/>
        <v>100</v>
      </c>
      <c r="W464" s="8"/>
      <c r="X464" s="8"/>
      <c r="Y464" s="8"/>
      <c r="Z464" s="6">
        <f t="shared" si="93"/>
        <v>100</v>
      </c>
      <c r="AA464" s="19"/>
      <c r="AB464" s="19"/>
      <c r="AC464" s="19"/>
      <c r="AD464" s="6">
        <f t="shared" si="94"/>
        <v>100</v>
      </c>
      <c r="AE464" s="19"/>
      <c r="AF464" s="19"/>
      <c r="AG464" s="19"/>
      <c r="AH464" s="6">
        <f t="shared" si="95"/>
        <v>100</v>
      </c>
      <c r="AI464" s="19"/>
      <c r="AJ464" s="19"/>
      <c r="AK464" s="19"/>
      <c r="AL464" s="6">
        <f t="shared" si="96"/>
        <v>100</v>
      </c>
      <c r="AM464" s="19"/>
      <c r="AN464" s="19"/>
      <c r="AO464" s="19"/>
      <c r="AP464" s="6">
        <f t="shared" si="97"/>
        <v>100</v>
      </c>
      <c r="AQ464" s="19"/>
      <c r="AR464" s="19"/>
      <c r="AS464" s="19"/>
      <c r="AT464" s="6">
        <f t="shared" si="98"/>
        <v>100</v>
      </c>
    </row>
    <row r="465" spans="1:46">
      <c r="A465" s="4">
        <v>46279</v>
      </c>
      <c r="B465" s="257"/>
      <c r="C465" s="7"/>
      <c r="D465" s="7"/>
      <c r="E465" s="7"/>
      <c r="F465" s="6">
        <f t="shared" ref="F465:F528" si="99">100-SUM(C465:E465)</f>
        <v>100</v>
      </c>
      <c r="G465" s="8"/>
      <c r="H465" s="8"/>
      <c r="I465" s="8"/>
      <c r="J465" s="6">
        <f t="shared" ref="J465:J528" si="100">100-SUM(G465:I465)</f>
        <v>100</v>
      </c>
      <c r="K465" s="19"/>
      <c r="L465" s="19"/>
      <c r="M465" s="19"/>
      <c r="N465" s="6">
        <f t="shared" ref="N465:N528" si="101">100-SUM(K465:M465)</f>
        <v>100</v>
      </c>
      <c r="O465" s="19"/>
      <c r="P465" s="19"/>
      <c r="Q465" s="19"/>
      <c r="R465" s="6">
        <f t="shared" ref="R465:R528" si="102">100-SUM(O465:Q465)</f>
        <v>100</v>
      </c>
      <c r="S465" s="8"/>
      <c r="T465" s="8"/>
      <c r="U465" s="8"/>
      <c r="V465" s="6">
        <f t="shared" ref="V465:V528" si="103">100-SUM(S465:U465)</f>
        <v>100</v>
      </c>
      <c r="W465" s="8"/>
      <c r="X465" s="8"/>
      <c r="Y465" s="8"/>
      <c r="Z465" s="6">
        <f t="shared" ref="Z465:Z528" si="104">100-SUM(W465:Y465)</f>
        <v>100</v>
      </c>
      <c r="AA465" s="19"/>
      <c r="AB465" s="19"/>
      <c r="AC465" s="19"/>
      <c r="AD465" s="6">
        <f t="shared" ref="AD465:AD528" si="105">100-SUM(AA465:AC465)</f>
        <v>100</v>
      </c>
      <c r="AE465" s="19"/>
      <c r="AF465" s="19"/>
      <c r="AG465" s="19"/>
      <c r="AH465" s="6">
        <f t="shared" ref="AH465:AH528" si="106">100-SUM(AE465:AG465)</f>
        <v>100</v>
      </c>
      <c r="AI465" s="19"/>
      <c r="AJ465" s="19"/>
      <c r="AK465" s="19"/>
      <c r="AL465" s="6">
        <f t="shared" ref="AL465:AL528" si="107">100-SUM(AI465:AK465)</f>
        <v>100</v>
      </c>
      <c r="AM465" s="19"/>
      <c r="AN465" s="19"/>
      <c r="AO465" s="19"/>
      <c r="AP465" s="6">
        <f t="shared" ref="AP465:AP528" si="108">100-SUM(AM465:AO465)</f>
        <v>100</v>
      </c>
      <c r="AQ465" s="19"/>
      <c r="AR465" s="19"/>
      <c r="AS465" s="19"/>
      <c r="AT465" s="6">
        <f t="shared" ref="AT465:AT528" si="109">100-SUM(AQ465:AS465)</f>
        <v>100</v>
      </c>
    </row>
    <row r="466" spans="1:46">
      <c r="A466" s="4">
        <v>46280</v>
      </c>
      <c r="B466" s="257"/>
      <c r="C466" s="7"/>
      <c r="D466" s="7"/>
      <c r="E466" s="7"/>
      <c r="F466" s="6">
        <f t="shared" si="99"/>
        <v>100</v>
      </c>
      <c r="G466" s="8"/>
      <c r="H466" s="8"/>
      <c r="I466" s="8"/>
      <c r="J466" s="6">
        <f t="shared" si="100"/>
        <v>100</v>
      </c>
      <c r="K466" s="19"/>
      <c r="L466" s="19"/>
      <c r="M466" s="19"/>
      <c r="N466" s="6">
        <f t="shared" si="101"/>
        <v>100</v>
      </c>
      <c r="O466" s="19"/>
      <c r="P466" s="19"/>
      <c r="Q466" s="19"/>
      <c r="R466" s="6">
        <f t="shared" si="102"/>
        <v>100</v>
      </c>
      <c r="S466" s="8"/>
      <c r="T466" s="8"/>
      <c r="U466" s="8"/>
      <c r="V466" s="6">
        <f t="shared" si="103"/>
        <v>100</v>
      </c>
      <c r="W466" s="8"/>
      <c r="X466" s="8"/>
      <c r="Y466" s="8"/>
      <c r="Z466" s="6">
        <f t="shared" si="104"/>
        <v>100</v>
      </c>
      <c r="AA466" s="19"/>
      <c r="AB466" s="19"/>
      <c r="AC466" s="19"/>
      <c r="AD466" s="6">
        <f t="shared" si="105"/>
        <v>100</v>
      </c>
      <c r="AE466" s="19"/>
      <c r="AF466" s="19"/>
      <c r="AG466" s="19"/>
      <c r="AH466" s="6">
        <f t="shared" si="106"/>
        <v>100</v>
      </c>
      <c r="AI466" s="19"/>
      <c r="AJ466" s="19"/>
      <c r="AK466" s="19"/>
      <c r="AL466" s="6">
        <f t="shared" si="107"/>
        <v>100</v>
      </c>
      <c r="AM466" s="19"/>
      <c r="AN466" s="19"/>
      <c r="AO466" s="19"/>
      <c r="AP466" s="6">
        <f t="shared" si="108"/>
        <v>100</v>
      </c>
      <c r="AQ466" s="19"/>
      <c r="AR466" s="19"/>
      <c r="AS466" s="19"/>
      <c r="AT466" s="6">
        <f t="shared" si="109"/>
        <v>100</v>
      </c>
    </row>
    <row r="467" spans="1:46">
      <c r="A467" s="4">
        <v>46281</v>
      </c>
      <c r="B467" s="257"/>
      <c r="C467" s="7"/>
      <c r="D467" s="7"/>
      <c r="E467" s="7"/>
      <c r="F467" s="6">
        <f t="shared" si="99"/>
        <v>100</v>
      </c>
      <c r="G467" s="8"/>
      <c r="H467" s="8"/>
      <c r="I467" s="8"/>
      <c r="J467" s="6">
        <f t="shared" si="100"/>
        <v>100</v>
      </c>
      <c r="K467" s="19"/>
      <c r="L467" s="19"/>
      <c r="M467" s="19"/>
      <c r="N467" s="6">
        <f t="shared" si="101"/>
        <v>100</v>
      </c>
      <c r="O467" s="19"/>
      <c r="P467" s="19"/>
      <c r="Q467" s="19"/>
      <c r="R467" s="6">
        <f t="shared" si="102"/>
        <v>100</v>
      </c>
      <c r="S467" s="8"/>
      <c r="T467" s="8"/>
      <c r="U467" s="8"/>
      <c r="V467" s="6">
        <f t="shared" si="103"/>
        <v>100</v>
      </c>
      <c r="W467" s="8"/>
      <c r="X467" s="8"/>
      <c r="Y467" s="8"/>
      <c r="Z467" s="6">
        <f t="shared" si="104"/>
        <v>100</v>
      </c>
      <c r="AA467" s="19"/>
      <c r="AB467" s="19"/>
      <c r="AC467" s="19"/>
      <c r="AD467" s="6">
        <f t="shared" si="105"/>
        <v>100</v>
      </c>
      <c r="AE467" s="19"/>
      <c r="AF467" s="19"/>
      <c r="AG467" s="19"/>
      <c r="AH467" s="6">
        <f t="shared" si="106"/>
        <v>100</v>
      </c>
      <c r="AI467" s="19"/>
      <c r="AJ467" s="19"/>
      <c r="AK467" s="19"/>
      <c r="AL467" s="6">
        <f t="shared" si="107"/>
        <v>100</v>
      </c>
      <c r="AM467" s="19"/>
      <c r="AN467" s="19"/>
      <c r="AO467" s="19"/>
      <c r="AP467" s="6">
        <f t="shared" si="108"/>
        <v>100</v>
      </c>
      <c r="AQ467" s="19"/>
      <c r="AR467" s="19"/>
      <c r="AS467" s="19"/>
      <c r="AT467" s="6">
        <f t="shared" si="109"/>
        <v>100</v>
      </c>
    </row>
    <row r="468" spans="1:46">
      <c r="A468" s="70">
        <v>46282</v>
      </c>
      <c r="B468" s="257"/>
      <c r="C468" s="7"/>
      <c r="D468" s="7"/>
      <c r="E468" s="7"/>
      <c r="F468" s="6">
        <f t="shared" si="99"/>
        <v>100</v>
      </c>
      <c r="G468" s="8"/>
      <c r="H468" s="8"/>
      <c r="I468" s="8"/>
      <c r="J468" s="6">
        <f t="shared" si="100"/>
        <v>100</v>
      </c>
      <c r="K468" s="19"/>
      <c r="L468" s="19"/>
      <c r="M468" s="19"/>
      <c r="N468" s="6">
        <f t="shared" si="101"/>
        <v>100</v>
      </c>
      <c r="O468" s="19"/>
      <c r="P468" s="19"/>
      <c r="Q468" s="19"/>
      <c r="R468" s="6">
        <f t="shared" si="102"/>
        <v>100</v>
      </c>
      <c r="S468" s="8"/>
      <c r="T468" s="8"/>
      <c r="U468" s="8"/>
      <c r="V468" s="6">
        <f t="shared" si="103"/>
        <v>100</v>
      </c>
      <c r="W468" s="8"/>
      <c r="X468" s="8"/>
      <c r="Y468" s="8"/>
      <c r="Z468" s="6">
        <f t="shared" si="104"/>
        <v>100</v>
      </c>
      <c r="AA468" s="19"/>
      <c r="AB468" s="19"/>
      <c r="AC468" s="19"/>
      <c r="AD468" s="6">
        <f t="shared" si="105"/>
        <v>100</v>
      </c>
      <c r="AE468" s="19"/>
      <c r="AF468" s="19"/>
      <c r="AG468" s="19"/>
      <c r="AH468" s="6">
        <f t="shared" si="106"/>
        <v>100</v>
      </c>
      <c r="AI468" s="19"/>
      <c r="AJ468" s="19"/>
      <c r="AK468" s="19"/>
      <c r="AL468" s="6">
        <f t="shared" si="107"/>
        <v>100</v>
      </c>
      <c r="AM468" s="19"/>
      <c r="AN468" s="19"/>
      <c r="AO468" s="19"/>
      <c r="AP468" s="6">
        <f t="shared" si="108"/>
        <v>100</v>
      </c>
      <c r="AQ468" s="19"/>
      <c r="AR468" s="19"/>
      <c r="AS468" s="19"/>
      <c r="AT468" s="6">
        <f t="shared" si="109"/>
        <v>100</v>
      </c>
    </row>
    <row r="469" spans="1:46">
      <c r="A469" s="4">
        <v>46283</v>
      </c>
      <c r="B469" s="257"/>
      <c r="C469" s="7"/>
      <c r="D469" s="7"/>
      <c r="E469" s="7"/>
      <c r="F469" s="6">
        <f t="shared" si="99"/>
        <v>100</v>
      </c>
      <c r="G469" s="8"/>
      <c r="H469" s="8"/>
      <c r="I469" s="8"/>
      <c r="J469" s="6">
        <f t="shared" si="100"/>
        <v>100</v>
      </c>
      <c r="K469" s="19"/>
      <c r="L469" s="19"/>
      <c r="M469" s="19"/>
      <c r="N469" s="6">
        <f t="shared" si="101"/>
        <v>100</v>
      </c>
      <c r="O469" s="19"/>
      <c r="P469" s="19"/>
      <c r="Q469" s="19"/>
      <c r="R469" s="6">
        <f t="shared" si="102"/>
        <v>100</v>
      </c>
      <c r="S469" s="8"/>
      <c r="T469" s="8"/>
      <c r="U469" s="8"/>
      <c r="V469" s="6">
        <f t="shared" si="103"/>
        <v>100</v>
      </c>
      <c r="W469" s="8"/>
      <c r="X469" s="8"/>
      <c r="Y469" s="8"/>
      <c r="Z469" s="6">
        <f t="shared" si="104"/>
        <v>100</v>
      </c>
      <c r="AA469" s="19"/>
      <c r="AB469" s="19"/>
      <c r="AC469" s="19"/>
      <c r="AD469" s="6">
        <f t="shared" si="105"/>
        <v>100</v>
      </c>
      <c r="AE469" s="19"/>
      <c r="AF469" s="19"/>
      <c r="AG469" s="19"/>
      <c r="AH469" s="6">
        <f t="shared" si="106"/>
        <v>100</v>
      </c>
      <c r="AI469" s="19"/>
      <c r="AJ469" s="19"/>
      <c r="AK469" s="19"/>
      <c r="AL469" s="6">
        <f t="shared" si="107"/>
        <v>100</v>
      </c>
      <c r="AM469" s="19"/>
      <c r="AN469" s="19"/>
      <c r="AO469" s="19"/>
      <c r="AP469" s="6">
        <f t="shared" si="108"/>
        <v>100</v>
      </c>
      <c r="AQ469" s="19"/>
      <c r="AR469" s="19"/>
      <c r="AS469" s="19"/>
      <c r="AT469" s="6">
        <f t="shared" si="109"/>
        <v>100</v>
      </c>
    </row>
    <row r="470" spans="1:46">
      <c r="A470" s="4">
        <v>46284</v>
      </c>
      <c r="B470" s="257"/>
      <c r="C470" s="7"/>
      <c r="D470" s="7"/>
      <c r="E470" s="7"/>
      <c r="F470" s="6">
        <f t="shared" si="99"/>
        <v>100</v>
      </c>
      <c r="G470" s="8"/>
      <c r="H470" s="8"/>
      <c r="I470" s="8"/>
      <c r="J470" s="6">
        <f t="shared" si="100"/>
        <v>100</v>
      </c>
      <c r="K470" s="19"/>
      <c r="L470" s="19"/>
      <c r="M470" s="19"/>
      <c r="N470" s="6">
        <f t="shared" si="101"/>
        <v>100</v>
      </c>
      <c r="O470" s="19"/>
      <c r="P470" s="19"/>
      <c r="Q470" s="19"/>
      <c r="R470" s="6">
        <f t="shared" si="102"/>
        <v>100</v>
      </c>
      <c r="S470" s="8"/>
      <c r="T470" s="8"/>
      <c r="U470" s="8"/>
      <c r="V470" s="6">
        <f t="shared" si="103"/>
        <v>100</v>
      </c>
      <c r="W470" s="8"/>
      <c r="X470" s="8"/>
      <c r="Y470" s="8"/>
      <c r="Z470" s="6">
        <f t="shared" si="104"/>
        <v>100</v>
      </c>
      <c r="AA470" s="19"/>
      <c r="AB470" s="19"/>
      <c r="AC470" s="19"/>
      <c r="AD470" s="6">
        <f t="shared" si="105"/>
        <v>100</v>
      </c>
      <c r="AE470" s="19"/>
      <c r="AF470" s="19"/>
      <c r="AG470" s="19"/>
      <c r="AH470" s="6">
        <f t="shared" si="106"/>
        <v>100</v>
      </c>
      <c r="AI470" s="19"/>
      <c r="AJ470" s="19"/>
      <c r="AK470" s="19"/>
      <c r="AL470" s="6">
        <f t="shared" si="107"/>
        <v>100</v>
      </c>
      <c r="AM470" s="19"/>
      <c r="AN470" s="19"/>
      <c r="AO470" s="19"/>
      <c r="AP470" s="6">
        <f t="shared" si="108"/>
        <v>100</v>
      </c>
      <c r="AQ470" s="19"/>
      <c r="AR470" s="19"/>
      <c r="AS470" s="19"/>
      <c r="AT470" s="6">
        <f t="shared" si="109"/>
        <v>100</v>
      </c>
    </row>
    <row r="471" spans="1:46">
      <c r="A471" s="4">
        <v>46285</v>
      </c>
      <c r="B471" s="257"/>
      <c r="C471" s="7"/>
      <c r="D471" s="7"/>
      <c r="E471" s="7"/>
      <c r="F471" s="6">
        <f t="shared" si="99"/>
        <v>100</v>
      </c>
      <c r="G471" s="8"/>
      <c r="H471" s="8"/>
      <c r="I471" s="8"/>
      <c r="J471" s="6">
        <f t="shared" si="100"/>
        <v>100</v>
      </c>
      <c r="K471" s="19"/>
      <c r="L471" s="19"/>
      <c r="M471" s="19"/>
      <c r="N471" s="6">
        <f t="shared" si="101"/>
        <v>100</v>
      </c>
      <c r="O471" s="19"/>
      <c r="P471" s="19"/>
      <c r="Q471" s="19"/>
      <c r="R471" s="6">
        <f t="shared" si="102"/>
        <v>100</v>
      </c>
      <c r="S471" s="8"/>
      <c r="T471" s="8"/>
      <c r="U471" s="8"/>
      <c r="V471" s="6">
        <f t="shared" si="103"/>
        <v>100</v>
      </c>
      <c r="W471" s="8"/>
      <c r="X471" s="8"/>
      <c r="Y471" s="8"/>
      <c r="Z471" s="6">
        <f t="shared" si="104"/>
        <v>100</v>
      </c>
      <c r="AA471" s="19"/>
      <c r="AB471" s="19"/>
      <c r="AC471" s="19"/>
      <c r="AD471" s="6">
        <f t="shared" si="105"/>
        <v>100</v>
      </c>
      <c r="AE471" s="19"/>
      <c r="AF471" s="19"/>
      <c r="AG471" s="19"/>
      <c r="AH471" s="6">
        <f t="shared" si="106"/>
        <v>100</v>
      </c>
      <c r="AI471" s="19"/>
      <c r="AJ471" s="19"/>
      <c r="AK471" s="19"/>
      <c r="AL471" s="6">
        <f t="shared" si="107"/>
        <v>100</v>
      </c>
      <c r="AM471" s="19"/>
      <c r="AN471" s="19"/>
      <c r="AO471" s="19"/>
      <c r="AP471" s="6">
        <f t="shared" si="108"/>
        <v>100</v>
      </c>
      <c r="AQ471" s="19"/>
      <c r="AR471" s="19"/>
      <c r="AS471" s="19"/>
      <c r="AT471" s="6">
        <f t="shared" si="109"/>
        <v>100</v>
      </c>
    </row>
    <row r="472" spans="1:46">
      <c r="A472" s="4">
        <v>46286</v>
      </c>
      <c r="B472" s="257"/>
      <c r="C472" s="7"/>
      <c r="D472" s="7"/>
      <c r="E472" s="7"/>
      <c r="F472" s="6">
        <f t="shared" si="99"/>
        <v>100</v>
      </c>
      <c r="G472" s="8"/>
      <c r="H472" s="8"/>
      <c r="I472" s="8"/>
      <c r="J472" s="6">
        <f t="shared" si="100"/>
        <v>100</v>
      </c>
      <c r="K472" s="19"/>
      <c r="L472" s="19"/>
      <c r="M472" s="19"/>
      <c r="N472" s="6">
        <f t="shared" si="101"/>
        <v>100</v>
      </c>
      <c r="O472" s="19"/>
      <c r="P472" s="19"/>
      <c r="Q472" s="19"/>
      <c r="R472" s="6">
        <f t="shared" si="102"/>
        <v>100</v>
      </c>
      <c r="S472" s="8"/>
      <c r="T472" s="8"/>
      <c r="U472" s="8"/>
      <c r="V472" s="6">
        <f t="shared" si="103"/>
        <v>100</v>
      </c>
      <c r="W472" s="8"/>
      <c r="X472" s="8"/>
      <c r="Y472" s="8"/>
      <c r="Z472" s="6">
        <f t="shared" si="104"/>
        <v>100</v>
      </c>
      <c r="AA472" s="19"/>
      <c r="AB472" s="19"/>
      <c r="AC472" s="19"/>
      <c r="AD472" s="6">
        <f t="shared" si="105"/>
        <v>100</v>
      </c>
      <c r="AE472" s="19"/>
      <c r="AF472" s="19"/>
      <c r="AG472" s="19"/>
      <c r="AH472" s="6">
        <f t="shared" si="106"/>
        <v>100</v>
      </c>
      <c r="AI472" s="19"/>
      <c r="AJ472" s="19"/>
      <c r="AK472" s="19"/>
      <c r="AL472" s="6">
        <f t="shared" si="107"/>
        <v>100</v>
      </c>
      <c r="AM472" s="19"/>
      <c r="AN472" s="19"/>
      <c r="AO472" s="19"/>
      <c r="AP472" s="6">
        <f t="shared" si="108"/>
        <v>100</v>
      </c>
      <c r="AQ472" s="19"/>
      <c r="AR472" s="19"/>
      <c r="AS472" s="19"/>
      <c r="AT472" s="6">
        <f t="shared" si="109"/>
        <v>100</v>
      </c>
    </row>
    <row r="473" spans="1:46">
      <c r="A473" s="4">
        <v>46287</v>
      </c>
      <c r="B473" s="257"/>
      <c r="C473" s="7"/>
      <c r="D473" s="7"/>
      <c r="E473" s="7"/>
      <c r="F473" s="6">
        <f t="shared" si="99"/>
        <v>100</v>
      </c>
      <c r="G473" s="8"/>
      <c r="H473" s="8"/>
      <c r="I473" s="8"/>
      <c r="J473" s="6">
        <f t="shared" si="100"/>
        <v>100</v>
      </c>
      <c r="K473" s="19"/>
      <c r="L473" s="19"/>
      <c r="M473" s="19"/>
      <c r="N473" s="6">
        <f t="shared" si="101"/>
        <v>100</v>
      </c>
      <c r="O473" s="19"/>
      <c r="P473" s="19"/>
      <c r="Q473" s="19"/>
      <c r="R473" s="6">
        <f t="shared" si="102"/>
        <v>100</v>
      </c>
      <c r="S473" s="8"/>
      <c r="T473" s="8"/>
      <c r="U473" s="8"/>
      <c r="V473" s="6">
        <f t="shared" si="103"/>
        <v>100</v>
      </c>
      <c r="W473" s="8"/>
      <c r="X473" s="8"/>
      <c r="Y473" s="8"/>
      <c r="Z473" s="6">
        <f t="shared" si="104"/>
        <v>100</v>
      </c>
      <c r="AA473" s="19"/>
      <c r="AB473" s="19"/>
      <c r="AC473" s="19"/>
      <c r="AD473" s="6">
        <f t="shared" si="105"/>
        <v>100</v>
      </c>
      <c r="AE473" s="19"/>
      <c r="AF473" s="19"/>
      <c r="AG473" s="19"/>
      <c r="AH473" s="6">
        <f t="shared" si="106"/>
        <v>100</v>
      </c>
      <c r="AI473" s="19"/>
      <c r="AJ473" s="19"/>
      <c r="AK473" s="19"/>
      <c r="AL473" s="6">
        <f t="shared" si="107"/>
        <v>100</v>
      </c>
      <c r="AM473" s="19"/>
      <c r="AN473" s="19"/>
      <c r="AO473" s="19"/>
      <c r="AP473" s="6">
        <f t="shared" si="108"/>
        <v>100</v>
      </c>
      <c r="AQ473" s="19"/>
      <c r="AR473" s="19"/>
      <c r="AS473" s="19"/>
      <c r="AT473" s="6">
        <f t="shared" si="109"/>
        <v>100</v>
      </c>
    </row>
    <row r="474" spans="1:46">
      <c r="A474" s="4">
        <v>46288</v>
      </c>
      <c r="B474" s="257"/>
      <c r="C474" s="7"/>
      <c r="D474" s="7"/>
      <c r="E474" s="7"/>
      <c r="F474" s="6">
        <f t="shared" si="99"/>
        <v>100</v>
      </c>
      <c r="G474" s="8"/>
      <c r="H474" s="8"/>
      <c r="I474" s="8"/>
      <c r="J474" s="6">
        <f t="shared" si="100"/>
        <v>100</v>
      </c>
      <c r="K474" s="19"/>
      <c r="L474" s="19"/>
      <c r="M474" s="19"/>
      <c r="N474" s="6">
        <f t="shared" si="101"/>
        <v>100</v>
      </c>
      <c r="O474" s="19"/>
      <c r="P474" s="19"/>
      <c r="Q474" s="19"/>
      <c r="R474" s="6">
        <f t="shared" si="102"/>
        <v>100</v>
      </c>
      <c r="S474" s="8"/>
      <c r="T474" s="8"/>
      <c r="U474" s="8"/>
      <c r="V474" s="6">
        <f t="shared" si="103"/>
        <v>100</v>
      </c>
      <c r="W474" s="8"/>
      <c r="X474" s="8"/>
      <c r="Y474" s="8"/>
      <c r="Z474" s="6">
        <f t="shared" si="104"/>
        <v>100</v>
      </c>
      <c r="AA474" s="19"/>
      <c r="AB474" s="19"/>
      <c r="AC474" s="19"/>
      <c r="AD474" s="6">
        <f t="shared" si="105"/>
        <v>100</v>
      </c>
      <c r="AE474" s="19"/>
      <c r="AF474" s="19"/>
      <c r="AG474" s="19"/>
      <c r="AH474" s="6">
        <f t="shared" si="106"/>
        <v>100</v>
      </c>
      <c r="AI474" s="19"/>
      <c r="AJ474" s="19"/>
      <c r="AK474" s="19"/>
      <c r="AL474" s="6">
        <f t="shared" si="107"/>
        <v>100</v>
      </c>
      <c r="AM474" s="19"/>
      <c r="AN474" s="19"/>
      <c r="AO474" s="19"/>
      <c r="AP474" s="6">
        <f t="shared" si="108"/>
        <v>100</v>
      </c>
      <c r="AQ474" s="19"/>
      <c r="AR474" s="19"/>
      <c r="AS474" s="19"/>
      <c r="AT474" s="6">
        <f t="shared" si="109"/>
        <v>100</v>
      </c>
    </row>
    <row r="475" spans="1:46">
      <c r="A475" s="4">
        <v>46289</v>
      </c>
      <c r="B475" s="257"/>
      <c r="C475" s="7"/>
      <c r="D475" s="7"/>
      <c r="E475" s="7"/>
      <c r="F475" s="6">
        <f t="shared" si="99"/>
        <v>100</v>
      </c>
      <c r="G475" s="8"/>
      <c r="H475" s="8"/>
      <c r="I475" s="8"/>
      <c r="J475" s="6">
        <f t="shared" si="100"/>
        <v>100</v>
      </c>
      <c r="K475" s="19"/>
      <c r="L475" s="19"/>
      <c r="M475" s="19"/>
      <c r="N475" s="6">
        <f t="shared" si="101"/>
        <v>100</v>
      </c>
      <c r="O475" s="19"/>
      <c r="P475" s="19"/>
      <c r="Q475" s="19"/>
      <c r="R475" s="6">
        <f t="shared" si="102"/>
        <v>100</v>
      </c>
      <c r="S475" s="8"/>
      <c r="T475" s="8"/>
      <c r="U475" s="8"/>
      <c r="V475" s="6">
        <f t="shared" si="103"/>
        <v>100</v>
      </c>
      <c r="W475" s="8"/>
      <c r="X475" s="8"/>
      <c r="Y475" s="8"/>
      <c r="Z475" s="6">
        <f t="shared" si="104"/>
        <v>100</v>
      </c>
      <c r="AA475" s="19"/>
      <c r="AB475" s="19"/>
      <c r="AC475" s="19"/>
      <c r="AD475" s="6">
        <f t="shared" si="105"/>
        <v>100</v>
      </c>
      <c r="AE475" s="19"/>
      <c r="AF475" s="19"/>
      <c r="AG475" s="19"/>
      <c r="AH475" s="6">
        <f t="shared" si="106"/>
        <v>100</v>
      </c>
      <c r="AI475" s="19"/>
      <c r="AJ475" s="19"/>
      <c r="AK475" s="19"/>
      <c r="AL475" s="6">
        <f t="shared" si="107"/>
        <v>100</v>
      </c>
      <c r="AM475" s="19"/>
      <c r="AN475" s="19"/>
      <c r="AO475" s="19"/>
      <c r="AP475" s="6">
        <f t="shared" si="108"/>
        <v>100</v>
      </c>
      <c r="AQ475" s="19"/>
      <c r="AR475" s="19"/>
      <c r="AS475" s="19"/>
      <c r="AT475" s="6">
        <f t="shared" si="109"/>
        <v>100</v>
      </c>
    </row>
    <row r="476" spans="1:46">
      <c r="A476" s="4">
        <v>46290</v>
      </c>
      <c r="B476" s="257"/>
      <c r="C476" s="7"/>
      <c r="D476" s="7"/>
      <c r="E476" s="7"/>
      <c r="F476" s="6">
        <f t="shared" si="99"/>
        <v>100</v>
      </c>
      <c r="G476" s="8"/>
      <c r="H476" s="8"/>
      <c r="I476" s="8"/>
      <c r="J476" s="6">
        <f t="shared" si="100"/>
        <v>100</v>
      </c>
      <c r="K476" s="19"/>
      <c r="L476" s="19"/>
      <c r="M476" s="19"/>
      <c r="N476" s="6">
        <f t="shared" si="101"/>
        <v>100</v>
      </c>
      <c r="O476" s="19"/>
      <c r="P476" s="19"/>
      <c r="Q476" s="19"/>
      <c r="R476" s="6">
        <f t="shared" si="102"/>
        <v>100</v>
      </c>
      <c r="S476" s="8"/>
      <c r="T476" s="8"/>
      <c r="U476" s="8"/>
      <c r="V476" s="6">
        <f t="shared" si="103"/>
        <v>100</v>
      </c>
      <c r="W476" s="8"/>
      <c r="X476" s="8"/>
      <c r="Y476" s="8"/>
      <c r="Z476" s="6">
        <f t="shared" si="104"/>
        <v>100</v>
      </c>
      <c r="AA476" s="19"/>
      <c r="AB476" s="19"/>
      <c r="AC476" s="19"/>
      <c r="AD476" s="6">
        <f t="shared" si="105"/>
        <v>100</v>
      </c>
      <c r="AE476" s="19"/>
      <c r="AF476" s="19"/>
      <c r="AG476" s="19"/>
      <c r="AH476" s="6">
        <f t="shared" si="106"/>
        <v>100</v>
      </c>
      <c r="AI476" s="19"/>
      <c r="AJ476" s="19"/>
      <c r="AK476" s="19"/>
      <c r="AL476" s="6">
        <f t="shared" si="107"/>
        <v>100</v>
      </c>
      <c r="AM476" s="19"/>
      <c r="AN476" s="19"/>
      <c r="AO476" s="19"/>
      <c r="AP476" s="6">
        <f t="shared" si="108"/>
        <v>100</v>
      </c>
      <c r="AQ476" s="19"/>
      <c r="AR476" s="19"/>
      <c r="AS476" s="19"/>
      <c r="AT476" s="6">
        <f t="shared" si="109"/>
        <v>100</v>
      </c>
    </row>
    <row r="477" spans="1:46">
      <c r="A477" s="4">
        <v>46291</v>
      </c>
      <c r="B477" s="257"/>
      <c r="C477" s="7"/>
      <c r="D477" s="7"/>
      <c r="E477" s="7"/>
      <c r="F477" s="6">
        <f t="shared" si="99"/>
        <v>100</v>
      </c>
      <c r="G477" s="8"/>
      <c r="H477" s="8"/>
      <c r="I477" s="8"/>
      <c r="J477" s="6">
        <f t="shared" si="100"/>
        <v>100</v>
      </c>
      <c r="K477" s="19"/>
      <c r="L477" s="19"/>
      <c r="M477" s="19"/>
      <c r="N477" s="6">
        <f t="shared" si="101"/>
        <v>100</v>
      </c>
      <c r="O477" s="19"/>
      <c r="P477" s="19"/>
      <c r="Q477" s="19"/>
      <c r="R477" s="6">
        <f t="shared" si="102"/>
        <v>100</v>
      </c>
      <c r="S477" s="8"/>
      <c r="T477" s="8"/>
      <c r="U477" s="8"/>
      <c r="V477" s="6">
        <f t="shared" si="103"/>
        <v>100</v>
      </c>
      <c r="W477" s="8"/>
      <c r="X477" s="8"/>
      <c r="Y477" s="8"/>
      <c r="Z477" s="6">
        <f t="shared" si="104"/>
        <v>100</v>
      </c>
      <c r="AA477" s="19"/>
      <c r="AB477" s="19"/>
      <c r="AC477" s="19"/>
      <c r="AD477" s="6">
        <f t="shared" si="105"/>
        <v>100</v>
      </c>
      <c r="AE477" s="19"/>
      <c r="AF477" s="19"/>
      <c r="AG477" s="19"/>
      <c r="AH477" s="6">
        <f t="shared" si="106"/>
        <v>100</v>
      </c>
      <c r="AI477" s="19"/>
      <c r="AJ477" s="19"/>
      <c r="AK477" s="19"/>
      <c r="AL477" s="6">
        <f t="shared" si="107"/>
        <v>100</v>
      </c>
      <c r="AM477" s="19"/>
      <c r="AN477" s="19"/>
      <c r="AO477" s="19"/>
      <c r="AP477" s="6">
        <f t="shared" si="108"/>
        <v>100</v>
      </c>
      <c r="AQ477" s="19"/>
      <c r="AR477" s="19"/>
      <c r="AS477" s="19"/>
      <c r="AT477" s="6">
        <f t="shared" si="109"/>
        <v>100</v>
      </c>
    </row>
    <row r="478" spans="1:46">
      <c r="A478" s="70">
        <v>46292</v>
      </c>
      <c r="B478" s="257"/>
      <c r="C478" s="7"/>
      <c r="D478" s="7"/>
      <c r="E478" s="7"/>
      <c r="F478" s="6">
        <f t="shared" si="99"/>
        <v>100</v>
      </c>
      <c r="G478" s="8"/>
      <c r="H478" s="8"/>
      <c r="I478" s="8"/>
      <c r="J478" s="6">
        <f t="shared" si="100"/>
        <v>100</v>
      </c>
      <c r="K478" s="19"/>
      <c r="L478" s="19"/>
      <c r="M478" s="19"/>
      <c r="N478" s="6">
        <f t="shared" si="101"/>
        <v>100</v>
      </c>
      <c r="O478" s="19"/>
      <c r="P478" s="19"/>
      <c r="Q478" s="19"/>
      <c r="R478" s="6">
        <f t="shared" si="102"/>
        <v>100</v>
      </c>
      <c r="S478" s="8"/>
      <c r="T478" s="8"/>
      <c r="U478" s="8"/>
      <c r="V478" s="6">
        <f t="shared" si="103"/>
        <v>100</v>
      </c>
      <c r="W478" s="8"/>
      <c r="X478" s="8"/>
      <c r="Y478" s="8"/>
      <c r="Z478" s="6">
        <f t="shared" si="104"/>
        <v>100</v>
      </c>
      <c r="AA478" s="19"/>
      <c r="AB478" s="19"/>
      <c r="AC478" s="19"/>
      <c r="AD478" s="6">
        <f t="shared" si="105"/>
        <v>100</v>
      </c>
      <c r="AE478" s="19"/>
      <c r="AF478" s="19"/>
      <c r="AG478" s="19"/>
      <c r="AH478" s="6">
        <f t="shared" si="106"/>
        <v>100</v>
      </c>
      <c r="AI478" s="19"/>
      <c r="AJ478" s="19"/>
      <c r="AK478" s="19"/>
      <c r="AL478" s="6">
        <f t="shared" si="107"/>
        <v>100</v>
      </c>
      <c r="AM478" s="19"/>
      <c r="AN478" s="19"/>
      <c r="AO478" s="19"/>
      <c r="AP478" s="6">
        <f t="shared" si="108"/>
        <v>100</v>
      </c>
      <c r="AQ478" s="19"/>
      <c r="AR478" s="19"/>
      <c r="AS478" s="19"/>
      <c r="AT478" s="6">
        <f t="shared" si="109"/>
        <v>100</v>
      </c>
    </row>
    <row r="479" spans="1:46">
      <c r="A479" s="4">
        <v>46293</v>
      </c>
      <c r="B479" s="257"/>
      <c r="C479" s="7"/>
      <c r="D479" s="7"/>
      <c r="E479" s="7"/>
      <c r="F479" s="6">
        <f t="shared" si="99"/>
        <v>100</v>
      </c>
      <c r="G479" s="8"/>
      <c r="H479" s="8"/>
      <c r="I479" s="8"/>
      <c r="J479" s="6">
        <f t="shared" si="100"/>
        <v>100</v>
      </c>
      <c r="K479" s="19"/>
      <c r="L479" s="19"/>
      <c r="M479" s="19"/>
      <c r="N479" s="6">
        <f t="shared" si="101"/>
        <v>100</v>
      </c>
      <c r="O479" s="19"/>
      <c r="P479" s="19"/>
      <c r="Q479" s="19"/>
      <c r="R479" s="6">
        <f t="shared" si="102"/>
        <v>100</v>
      </c>
      <c r="S479" s="8"/>
      <c r="T479" s="8"/>
      <c r="U479" s="8"/>
      <c r="V479" s="6">
        <f t="shared" si="103"/>
        <v>100</v>
      </c>
      <c r="W479" s="8"/>
      <c r="X479" s="8"/>
      <c r="Y479" s="8"/>
      <c r="Z479" s="6">
        <f t="shared" si="104"/>
        <v>100</v>
      </c>
      <c r="AA479" s="19"/>
      <c r="AB479" s="19"/>
      <c r="AC479" s="19"/>
      <c r="AD479" s="6">
        <f t="shared" si="105"/>
        <v>100</v>
      </c>
      <c r="AE479" s="19"/>
      <c r="AF479" s="19"/>
      <c r="AG479" s="19"/>
      <c r="AH479" s="6">
        <f t="shared" si="106"/>
        <v>100</v>
      </c>
      <c r="AI479" s="19"/>
      <c r="AJ479" s="19"/>
      <c r="AK479" s="19"/>
      <c r="AL479" s="6">
        <f t="shared" si="107"/>
        <v>100</v>
      </c>
      <c r="AM479" s="19"/>
      <c r="AN479" s="19"/>
      <c r="AO479" s="19"/>
      <c r="AP479" s="6">
        <f t="shared" si="108"/>
        <v>100</v>
      </c>
      <c r="AQ479" s="19"/>
      <c r="AR479" s="19"/>
      <c r="AS479" s="19"/>
      <c r="AT479" s="6">
        <f t="shared" si="109"/>
        <v>100</v>
      </c>
    </row>
    <row r="480" spans="1:46">
      <c r="A480" s="4">
        <v>46294</v>
      </c>
      <c r="B480" s="257"/>
      <c r="C480" s="7"/>
      <c r="D480" s="7"/>
      <c r="E480" s="7"/>
      <c r="F480" s="6">
        <f t="shared" si="99"/>
        <v>100</v>
      </c>
      <c r="G480" s="8"/>
      <c r="H480" s="8"/>
      <c r="I480" s="8"/>
      <c r="J480" s="6">
        <f t="shared" si="100"/>
        <v>100</v>
      </c>
      <c r="K480" s="19"/>
      <c r="L480" s="19"/>
      <c r="M480" s="19"/>
      <c r="N480" s="6">
        <f t="shared" si="101"/>
        <v>100</v>
      </c>
      <c r="O480" s="19"/>
      <c r="P480" s="19"/>
      <c r="Q480" s="19"/>
      <c r="R480" s="6">
        <f t="shared" si="102"/>
        <v>100</v>
      </c>
      <c r="S480" s="8"/>
      <c r="T480" s="8"/>
      <c r="U480" s="8"/>
      <c r="V480" s="6">
        <f t="shared" si="103"/>
        <v>100</v>
      </c>
      <c r="W480" s="8"/>
      <c r="X480" s="8"/>
      <c r="Y480" s="8"/>
      <c r="Z480" s="6">
        <f t="shared" si="104"/>
        <v>100</v>
      </c>
      <c r="AA480" s="19"/>
      <c r="AB480" s="19"/>
      <c r="AC480" s="19"/>
      <c r="AD480" s="6">
        <f t="shared" si="105"/>
        <v>100</v>
      </c>
      <c r="AE480" s="19"/>
      <c r="AF480" s="19"/>
      <c r="AG480" s="19"/>
      <c r="AH480" s="6">
        <f t="shared" si="106"/>
        <v>100</v>
      </c>
      <c r="AI480" s="19"/>
      <c r="AJ480" s="19"/>
      <c r="AK480" s="19"/>
      <c r="AL480" s="6">
        <f t="shared" si="107"/>
        <v>100</v>
      </c>
      <c r="AM480" s="19"/>
      <c r="AN480" s="19"/>
      <c r="AO480" s="19"/>
      <c r="AP480" s="6">
        <f t="shared" si="108"/>
        <v>100</v>
      </c>
      <c r="AQ480" s="19"/>
      <c r="AR480" s="19"/>
      <c r="AS480" s="19"/>
      <c r="AT480" s="6">
        <f t="shared" si="109"/>
        <v>100</v>
      </c>
    </row>
    <row r="481" spans="1:46">
      <c r="A481" s="4">
        <v>46295</v>
      </c>
      <c r="B481" s="257"/>
      <c r="C481" s="7"/>
      <c r="D481" s="7"/>
      <c r="E481" s="7"/>
      <c r="F481" s="6">
        <f t="shared" si="99"/>
        <v>100</v>
      </c>
      <c r="G481" s="8"/>
      <c r="H481" s="8"/>
      <c r="I481" s="8"/>
      <c r="J481" s="6">
        <f t="shared" si="100"/>
        <v>100</v>
      </c>
      <c r="K481" s="19"/>
      <c r="L481" s="19"/>
      <c r="M481" s="19"/>
      <c r="N481" s="6">
        <f t="shared" si="101"/>
        <v>100</v>
      </c>
      <c r="O481" s="19"/>
      <c r="P481" s="19"/>
      <c r="Q481" s="19"/>
      <c r="R481" s="6">
        <f t="shared" si="102"/>
        <v>100</v>
      </c>
      <c r="S481" s="8"/>
      <c r="T481" s="8"/>
      <c r="U481" s="8"/>
      <c r="V481" s="6">
        <f t="shared" si="103"/>
        <v>100</v>
      </c>
      <c r="W481" s="8"/>
      <c r="X481" s="8"/>
      <c r="Y481" s="8"/>
      <c r="Z481" s="6">
        <f t="shared" si="104"/>
        <v>100</v>
      </c>
      <c r="AA481" s="19"/>
      <c r="AB481" s="19"/>
      <c r="AC481" s="19"/>
      <c r="AD481" s="6">
        <f t="shared" si="105"/>
        <v>100</v>
      </c>
      <c r="AE481" s="19"/>
      <c r="AF481" s="19"/>
      <c r="AG481" s="19"/>
      <c r="AH481" s="6">
        <f t="shared" si="106"/>
        <v>100</v>
      </c>
      <c r="AI481" s="19"/>
      <c r="AJ481" s="19"/>
      <c r="AK481" s="19"/>
      <c r="AL481" s="6">
        <f t="shared" si="107"/>
        <v>100</v>
      </c>
      <c r="AM481" s="19"/>
      <c r="AN481" s="19"/>
      <c r="AO481" s="19"/>
      <c r="AP481" s="6">
        <f t="shared" si="108"/>
        <v>100</v>
      </c>
      <c r="AQ481" s="19"/>
      <c r="AR481" s="19"/>
      <c r="AS481" s="19"/>
      <c r="AT481" s="6">
        <f t="shared" si="109"/>
        <v>100</v>
      </c>
    </row>
    <row r="482" spans="1:46">
      <c r="A482" s="4">
        <v>46296</v>
      </c>
      <c r="B482" s="257"/>
      <c r="C482" s="7"/>
      <c r="D482" s="7"/>
      <c r="E482" s="7"/>
      <c r="F482" s="6">
        <f t="shared" si="99"/>
        <v>100</v>
      </c>
      <c r="G482" s="8"/>
      <c r="H482" s="8"/>
      <c r="I482" s="8"/>
      <c r="J482" s="6">
        <f t="shared" si="100"/>
        <v>100</v>
      </c>
      <c r="K482" s="19"/>
      <c r="L482" s="19"/>
      <c r="M482" s="19"/>
      <c r="N482" s="6">
        <f t="shared" si="101"/>
        <v>100</v>
      </c>
      <c r="O482" s="19"/>
      <c r="P482" s="19"/>
      <c r="Q482" s="19"/>
      <c r="R482" s="6">
        <f t="shared" si="102"/>
        <v>100</v>
      </c>
      <c r="S482" s="8"/>
      <c r="T482" s="8"/>
      <c r="U482" s="8"/>
      <c r="V482" s="6">
        <f t="shared" si="103"/>
        <v>100</v>
      </c>
      <c r="W482" s="8"/>
      <c r="X482" s="8"/>
      <c r="Y482" s="8"/>
      <c r="Z482" s="6">
        <f t="shared" si="104"/>
        <v>100</v>
      </c>
      <c r="AA482" s="19"/>
      <c r="AB482" s="19"/>
      <c r="AC482" s="19"/>
      <c r="AD482" s="6">
        <f t="shared" si="105"/>
        <v>100</v>
      </c>
      <c r="AE482" s="19"/>
      <c r="AF482" s="19"/>
      <c r="AG482" s="19"/>
      <c r="AH482" s="6">
        <f t="shared" si="106"/>
        <v>100</v>
      </c>
      <c r="AI482" s="19"/>
      <c r="AJ482" s="19"/>
      <c r="AK482" s="19"/>
      <c r="AL482" s="6">
        <f t="shared" si="107"/>
        <v>100</v>
      </c>
      <c r="AM482" s="19"/>
      <c r="AN482" s="19"/>
      <c r="AO482" s="19"/>
      <c r="AP482" s="6">
        <f t="shared" si="108"/>
        <v>100</v>
      </c>
      <c r="AQ482" s="19"/>
      <c r="AR482" s="19"/>
      <c r="AS482" s="19"/>
      <c r="AT482" s="6">
        <f t="shared" si="109"/>
        <v>100</v>
      </c>
    </row>
    <row r="483" spans="1:46">
      <c r="A483" s="4">
        <v>46297</v>
      </c>
      <c r="B483" s="257"/>
      <c r="C483" s="7"/>
      <c r="D483" s="7"/>
      <c r="E483" s="7"/>
      <c r="F483" s="6">
        <f t="shared" si="99"/>
        <v>100</v>
      </c>
      <c r="G483" s="8"/>
      <c r="H483" s="8"/>
      <c r="I483" s="8"/>
      <c r="J483" s="6">
        <f t="shared" si="100"/>
        <v>100</v>
      </c>
      <c r="K483" s="19"/>
      <c r="L483" s="19"/>
      <c r="M483" s="19"/>
      <c r="N483" s="6">
        <f t="shared" si="101"/>
        <v>100</v>
      </c>
      <c r="O483" s="19"/>
      <c r="P483" s="19"/>
      <c r="Q483" s="19"/>
      <c r="R483" s="6">
        <f t="shared" si="102"/>
        <v>100</v>
      </c>
      <c r="S483" s="8"/>
      <c r="T483" s="8"/>
      <c r="U483" s="8"/>
      <c r="V483" s="6">
        <f t="shared" si="103"/>
        <v>100</v>
      </c>
      <c r="W483" s="8"/>
      <c r="X483" s="8"/>
      <c r="Y483" s="8"/>
      <c r="Z483" s="6">
        <f t="shared" si="104"/>
        <v>100</v>
      </c>
      <c r="AA483" s="19"/>
      <c r="AB483" s="19"/>
      <c r="AC483" s="19"/>
      <c r="AD483" s="6">
        <f t="shared" si="105"/>
        <v>100</v>
      </c>
      <c r="AE483" s="19"/>
      <c r="AF483" s="19"/>
      <c r="AG483" s="19"/>
      <c r="AH483" s="6">
        <f t="shared" si="106"/>
        <v>100</v>
      </c>
      <c r="AI483" s="19"/>
      <c r="AJ483" s="19"/>
      <c r="AK483" s="19"/>
      <c r="AL483" s="6">
        <f t="shared" si="107"/>
        <v>100</v>
      </c>
      <c r="AM483" s="19"/>
      <c r="AN483" s="19"/>
      <c r="AO483" s="19"/>
      <c r="AP483" s="6">
        <f t="shared" si="108"/>
        <v>100</v>
      </c>
      <c r="AQ483" s="19"/>
      <c r="AR483" s="19"/>
      <c r="AS483" s="19"/>
      <c r="AT483" s="6">
        <f t="shared" si="109"/>
        <v>100</v>
      </c>
    </row>
    <row r="484" spans="1:46">
      <c r="A484" s="4">
        <v>46298</v>
      </c>
      <c r="B484" s="257"/>
      <c r="C484" s="7"/>
      <c r="D484" s="7"/>
      <c r="E484" s="7"/>
      <c r="F484" s="6">
        <f t="shared" si="99"/>
        <v>100</v>
      </c>
      <c r="G484" s="8"/>
      <c r="H484" s="8"/>
      <c r="I484" s="8"/>
      <c r="J484" s="6">
        <f t="shared" si="100"/>
        <v>100</v>
      </c>
      <c r="K484" s="19"/>
      <c r="L484" s="19"/>
      <c r="M484" s="19"/>
      <c r="N484" s="6">
        <f t="shared" si="101"/>
        <v>100</v>
      </c>
      <c r="O484" s="19"/>
      <c r="P484" s="19"/>
      <c r="Q484" s="19"/>
      <c r="R484" s="6">
        <f t="shared" si="102"/>
        <v>100</v>
      </c>
      <c r="S484" s="8"/>
      <c r="T484" s="8"/>
      <c r="U484" s="8"/>
      <c r="V484" s="6">
        <f t="shared" si="103"/>
        <v>100</v>
      </c>
      <c r="W484" s="8"/>
      <c r="X484" s="8"/>
      <c r="Y484" s="8"/>
      <c r="Z484" s="6">
        <f t="shared" si="104"/>
        <v>100</v>
      </c>
      <c r="AA484" s="19"/>
      <c r="AB484" s="19"/>
      <c r="AC484" s="19"/>
      <c r="AD484" s="6">
        <f t="shared" si="105"/>
        <v>100</v>
      </c>
      <c r="AE484" s="19"/>
      <c r="AF484" s="19"/>
      <c r="AG484" s="19"/>
      <c r="AH484" s="6">
        <f t="shared" si="106"/>
        <v>100</v>
      </c>
      <c r="AI484" s="19"/>
      <c r="AJ484" s="19"/>
      <c r="AK484" s="19"/>
      <c r="AL484" s="6">
        <f t="shared" si="107"/>
        <v>100</v>
      </c>
      <c r="AM484" s="19"/>
      <c r="AN484" s="19"/>
      <c r="AO484" s="19"/>
      <c r="AP484" s="6">
        <f t="shared" si="108"/>
        <v>100</v>
      </c>
      <c r="AQ484" s="19"/>
      <c r="AR484" s="19"/>
      <c r="AS484" s="19"/>
      <c r="AT484" s="6">
        <f t="shared" si="109"/>
        <v>100</v>
      </c>
    </row>
    <row r="485" spans="1:46">
      <c r="A485" s="4">
        <v>46299</v>
      </c>
      <c r="B485" s="257"/>
      <c r="C485" s="7"/>
      <c r="D485" s="7"/>
      <c r="E485" s="7"/>
      <c r="F485" s="6">
        <f t="shared" si="99"/>
        <v>100</v>
      </c>
      <c r="G485" s="8"/>
      <c r="H485" s="8"/>
      <c r="I485" s="8"/>
      <c r="J485" s="6">
        <f t="shared" si="100"/>
        <v>100</v>
      </c>
      <c r="K485" s="19"/>
      <c r="L485" s="19"/>
      <c r="M485" s="19"/>
      <c r="N485" s="6">
        <f t="shared" si="101"/>
        <v>100</v>
      </c>
      <c r="O485" s="19"/>
      <c r="P485" s="19"/>
      <c r="Q485" s="19"/>
      <c r="R485" s="6">
        <f t="shared" si="102"/>
        <v>100</v>
      </c>
      <c r="S485" s="8"/>
      <c r="T485" s="8"/>
      <c r="U485" s="8"/>
      <c r="V485" s="6">
        <f t="shared" si="103"/>
        <v>100</v>
      </c>
      <c r="W485" s="8"/>
      <c r="X485" s="8"/>
      <c r="Y485" s="8"/>
      <c r="Z485" s="6">
        <f t="shared" si="104"/>
        <v>100</v>
      </c>
      <c r="AA485" s="19"/>
      <c r="AB485" s="19"/>
      <c r="AC485" s="19"/>
      <c r="AD485" s="6">
        <f t="shared" si="105"/>
        <v>100</v>
      </c>
      <c r="AE485" s="19"/>
      <c r="AF485" s="19"/>
      <c r="AG485" s="19"/>
      <c r="AH485" s="6">
        <f t="shared" si="106"/>
        <v>100</v>
      </c>
      <c r="AI485" s="19"/>
      <c r="AJ485" s="19"/>
      <c r="AK485" s="19"/>
      <c r="AL485" s="6">
        <f t="shared" si="107"/>
        <v>100</v>
      </c>
      <c r="AM485" s="19"/>
      <c r="AN485" s="19"/>
      <c r="AO485" s="19"/>
      <c r="AP485" s="6">
        <f t="shared" si="108"/>
        <v>100</v>
      </c>
      <c r="AQ485" s="19"/>
      <c r="AR485" s="19"/>
      <c r="AS485" s="19"/>
      <c r="AT485" s="6">
        <f t="shared" si="109"/>
        <v>100</v>
      </c>
    </row>
    <row r="486" spans="1:46">
      <c r="A486" s="4">
        <v>46300</v>
      </c>
      <c r="B486" s="257"/>
      <c r="C486" s="7"/>
      <c r="D486" s="7"/>
      <c r="E486" s="7"/>
      <c r="F486" s="6">
        <f t="shared" si="99"/>
        <v>100</v>
      </c>
      <c r="G486" s="8"/>
      <c r="H486" s="8"/>
      <c r="I486" s="8"/>
      <c r="J486" s="6">
        <f t="shared" si="100"/>
        <v>100</v>
      </c>
      <c r="K486" s="19"/>
      <c r="L486" s="19"/>
      <c r="M486" s="19"/>
      <c r="N486" s="6">
        <f t="shared" si="101"/>
        <v>100</v>
      </c>
      <c r="O486" s="19"/>
      <c r="P486" s="19"/>
      <c r="Q486" s="19"/>
      <c r="R486" s="6">
        <f t="shared" si="102"/>
        <v>100</v>
      </c>
      <c r="S486" s="8"/>
      <c r="T486" s="8"/>
      <c r="U486" s="8"/>
      <c r="V486" s="6">
        <f t="shared" si="103"/>
        <v>100</v>
      </c>
      <c r="W486" s="8"/>
      <c r="X486" s="8"/>
      <c r="Y486" s="8"/>
      <c r="Z486" s="6">
        <f t="shared" si="104"/>
        <v>100</v>
      </c>
      <c r="AA486" s="19"/>
      <c r="AB486" s="19"/>
      <c r="AC486" s="19"/>
      <c r="AD486" s="6">
        <f t="shared" si="105"/>
        <v>100</v>
      </c>
      <c r="AE486" s="19"/>
      <c r="AF486" s="19"/>
      <c r="AG486" s="19"/>
      <c r="AH486" s="6">
        <f t="shared" si="106"/>
        <v>100</v>
      </c>
      <c r="AI486" s="19"/>
      <c r="AJ486" s="19"/>
      <c r="AK486" s="19"/>
      <c r="AL486" s="6">
        <f t="shared" si="107"/>
        <v>100</v>
      </c>
      <c r="AM486" s="19"/>
      <c r="AN486" s="19"/>
      <c r="AO486" s="19"/>
      <c r="AP486" s="6">
        <f t="shared" si="108"/>
        <v>100</v>
      </c>
      <c r="AQ486" s="19"/>
      <c r="AR486" s="19"/>
      <c r="AS486" s="19"/>
      <c r="AT486" s="6">
        <f t="shared" si="109"/>
        <v>100</v>
      </c>
    </row>
    <row r="487" spans="1:46">
      <c r="A487" s="4">
        <v>46301</v>
      </c>
      <c r="B487" s="257"/>
      <c r="C487" s="7"/>
      <c r="D487" s="7"/>
      <c r="E487" s="7"/>
      <c r="F487" s="6">
        <f t="shared" si="99"/>
        <v>100</v>
      </c>
      <c r="G487" s="8"/>
      <c r="H487" s="8"/>
      <c r="I487" s="8"/>
      <c r="J487" s="6">
        <f t="shared" si="100"/>
        <v>100</v>
      </c>
      <c r="K487" s="19"/>
      <c r="L487" s="19"/>
      <c r="M487" s="19"/>
      <c r="N487" s="6">
        <f t="shared" si="101"/>
        <v>100</v>
      </c>
      <c r="O487" s="19"/>
      <c r="P487" s="19"/>
      <c r="Q487" s="19"/>
      <c r="R487" s="6">
        <f t="shared" si="102"/>
        <v>100</v>
      </c>
      <c r="S487" s="8"/>
      <c r="T487" s="8"/>
      <c r="U487" s="8"/>
      <c r="V487" s="6">
        <f t="shared" si="103"/>
        <v>100</v>
      </c>
      <c r="W487" s="8"/>
      <c r="X487" s="8"/>
      <c r="Y487" s="8"/>
      <c r="Z487" s="6">
        <f t="shared" si="104"/>
        <v>100</v>
      </c>
      <c r="AA487" s="19"/>
      <c r="AB487" s="19"/>
      <c r="AC487" s="19"/>
      <c r="AD487" s="6">
        <f t="shared" si="105"/>
        <v>100</v>
      </c>
      <c r="AE487" s="19"/>
      <c r="AF487" s="19"/>
      <c r="AG487" s="19"/>
      <c r="AH487" s="6">
        <f t="shared" si="106"/>
        <v>100</v>
      </c>
      <c r="AI487" s="19"/>
      <c r="AJ487" s="19"/>
      <c r="AK487" s="19"/>
      <c r="AL487" s="6">
        <f t="shared" si="107"/>
        <v>100</v>
      </c>
      <c r="AM487" s="19"/>
      <c r="AN487" s="19"/>
      <c r="AO487" s="19"/>
      <c r="AP487" s="6">
        <f t="shared" si="108"/>
        <v>100</v>
      </c>
      <c r="AQ487" s="19"/>
      <c r="AR487" s="19"/>
      <c r="AS487" s="19"/>
      <c r="AT487" s="6">
        <f t="shared" si="109"/>
        <v>100</v>
      </c>
    </row>
    <row r="488" spans="1:46">
      <c r="A488" s="70">
        <v>46302</v>
      </c>
      <c r="B488" s="257"/>
      <c r="C488" s="7"/>
      <c r="D488" s="7"/>
      <c r="E488" s="7"/>
      <c r="F488" s="6">
        <f t="shared" si="99"/>
        <v>100</v>
      </c>
      <c r="G488" s="8"/>
      <c r="H488" s="8"/>
      <c r="I488" s="8"/>
      <c r="J488" s="6">
        <f t="shared" si="100"/>
        <v>100</v>
      </c>
      <c r="K488" s="19"/>
      <c r="L488" s="19"/>
      <c r="M488" s="19"/>
      <c r="N488" s="6">
        <f t="shared" si="101"/>
        <v>100</v>
      </c>
      <c r="O488" s="19"/>
      <c r="P488" s="19"/>
      <c r="Q488" s="19"/>
      <c r="R488" s="6">
        <f t="shared" si="102"/>
        <v>100</v>
      </c>
      <c r="S488" s="8"/>
      <c r="T488" s="8"/>
      <c r="U488" s="8"/>
      <c r="V488" s="6">
        <f t="shared" si="103"/>
        <v>100</v>
      </c>
      <c r="W488" s="8"/>
      <c r="X488" s="8"/>
      <c r="Y488" s="8"/>
      <c r="Z488" s="6">
        <f t="shared" si="104"/>
        <v>100</v>
      </c>
      <c r="AA488" s="19"/>
      <c r="AB488" s="19"/>
      <c r="AC488" s="19"/>
      <c r="AD488" s="6">
        <f t="shared" si="105"/>
        <v>100</v>
      </c>
      <c r="AE488" s="19"/>
      <c r="AF488" s="19"/>
      <c r="AG488" s="19"/>
      <c r="AH488" s="6">
        <f t="shared" si="106"/>
        <v>100</v>
      </c>
      <c r="AI488" s="19"/>
      <c r="AJ488" s="19"/>
      <c r="AK488" s="19"/>
      <c r="AL488" s="6">
        <f t="shared" si="107"/>
        <v>100</v>
      </c>
      <c r="AM488" s="19"/>
      <c r="AN488" s="19"/>
      <c r="AO488" s="19"/>
      <c r="AP488" s="6">
        <f t="shared" si="108"/>
        <v>100</v>
      </c>
      <c r="AQ488" s="19"/>
      <c r="AR488" s="19"/>
      <c r="AS488" s="19"/>
      <c r="AT488" s="6">
        <f t="shared" si="109"/>
        <v>100</v>
      </c>
    </row>
    <row r="489" spans="1:46">
      <c r="A489" s="4">
        <v>46303</v>
      </c>
      <c r="B489" s="257"/>
      <c r="C489" s="7"/>
      <c r="D489" s="7"/>
      <c r="E489" s="7"/>
      <c r="F489" s="6">
        <f t="shared" si="99"/>
        <v>100</v>
      </c>
      <c r="G489" s="8"/>
      <c r="H489" s="8"/>
      <c r="I489" s="8"/>
      <c r="J489" s="6">
        <f t="shared" si="100"/>
        <v>100</v>
      </c>
      <c r="K489" s="19"/>
      <c r="L489" s="19"/>
      <c r="M489" s="19"/>
      <c r="N489" s="6">
        <f t="shared" si="101"/>
        <v>100</v>
      </c>
      <c r="O489" s="19"/>
      <c r="P489" s="19"/>
      <c r="Q489" s="19"/>
      <c r="R489" s="6">
        <f t="shared" si="102"/>
        <v>100</v>
      </c>
      <c r="S489" s="8"/>
      <c r="T489" s="8"/>
      <c r="U489" s="8"/>
      <c r="V489" s="6">
        <f t="shared" si="103"/>
        <v>100</v>
      </c>
      <c r="W489" s="8"/>
      <c r="X489" s="8"/>
      <c r="Y489" s="8"/>
      <c r="Z489" s="6">
        <f t="shared" si="104"/>
        <v>100</v>
      </c>
      <c r="AA489" s="19"/>
      <c r="AB489" s="19"/>
      <c r="AC489" s="19"/>
      <c r="AD489" s="6">
        <f t="shared" si="105"/>
        <v>100</v>
      </c>
      <c r="AE489" s="19"/>
      <c r="AF489" s="19"/>
      <c r="AG489" s="19"/>
      <c r="AH489" s="6">
        <f t="shared" si="106"/>
        <v>100</v>
      </c>
      <c r="AI489" s="19"/>
      <c r="AJ489" s="19"/>
      <c r="AK489" s="19"/>
      <c r="AL489" s="6">
        <f t="shared" si="107"/>
        <v>100</v>
      </c>
      <c r="AM489" s="19"/>
      <c r="AN489" s="19"/>
      <c r="AO489" s="19"/>
      <c r="AP489" s="6">
        <f t="shared" si="108"/>
        <v>100</v>
      </c>
      <c r="AQ489" s="19"/>
      <c r="AR489" s="19"/>
      <c r="AS489" s="19"/>
      <c r="AT489" s="6">
        <f t="shared" si="109"/>
        <v>100</v>
      </c>
    </row>
    <row r="490" spans="1:46">
      <c r="A490" s="4">
        <v>46304</v>
      </c>
      <c r="B490" s="257"/>
      <c r="C490" s="7"/>
      <c r="D490" s="7"/>
      <c r="E490" s="7"/>
      <c r="F490" s="6">
        <f t="shared" si="99"/>
        <v>100</v>
      </c>
      <c r="G490" s="8"/>
      <c r="H490" s="8"/>
      <c r="I490" s="8"/>
      <c r="J490" s="6">
        <f t="shared" si="100"/>
        <v>100</v>
      </c>
      <c r="K490" s="19"/>
      <c r="L490" s="19"/>
      <c r="M490" s="19"/>
      <c r="N490" s="6">
        <f t="shared" si="101"/>
        <v>100</v>
      </c>
      <c r="O490" s="19"/>
      <c r="P490" s="19"/>
      <c r="Q490" s="19"/>
      <c r="R490" s="6">
        <f t="shared" si="102"/>
        <v>100</v>
      </c>
      <c r="S490" s="8"/>
      <c r="T490" s="8"/>
      <c r="U490" s="8"/>
      <c r="V490" s="6">
        <f t="shared" si="103"/>
        <v>100</v>
      </c>
      <c r="W490" s="8"/>
      <c r="X490" s="8"/>
      <c r="Y490" s="8"/>
      <c r="Z490" s="6">
        <f t="shared" si="104"/>
        <v>100</v>
      </c>
      <c r="AA490" s="19"/>
      <c r="AB490" s="19"/>
      <c r="AC490" s="19"/>
      <c r="AD490" s="6">
        <f t="shared" si="105"/>
        <v>100</v>
      </c>
      <c r="AE490" s="19"/>
      <c r="AF490" s="19"/>
      <c r="AG490" s="19"/>
      <c r="AH490" s="6">
        <f t="shared" si="106"/>
        <v>100</v>
      </c>
      <c r="AI490" s="19"/>
      <c r="AJ490" s="19"/>
      <c r="AK490" s="19"/>
      <c r="AL490" s="6">
        <f t="shared" si="107"/>
        <v>100</v>
      </c>
      <c r="AM490" s="19"/>
      <c r="AN490" s="19"/>
      <c r="AO490" s="19"/>
      <c r="AP490" s="6">
        <f t="shared" si="108"/>
        <v>100</v>
      </c>
      <c r="AQ490" s="19"/>
      <c r="AR490" s="19"/>
      <c r="AS490" s="19"/>
      <c r="AT490" s="6">
        <f t="shared" si="109"/>
        <v>100</v>
      </c>
    </row>
    <row r="491" spans="1:46">
      <c r="A491" s="4">
        <v>46305</v>
      </c>
      <c r="B491" s="257"/>
      <c r="C491" s="7"/>
      <c r="D491" s="7"/>
      <c r="E491" s="7"/>
      <c r="F491" s="6">
        <f t="shared" si="99"/>
        <v>100</v>
      </c>
      <c r="G491" s="8"/>
      <c r="H491" s="8"/>
      <c r="I491" s="8"/>
      <c r="J491" s="6">
        <f t="shared" si="100"/>
        <v>100</v>
      </c>
      <c r="K491" s="19"/>
      <c r="L491" s="19"/>
      <c r="M491" s="19"/>
      <c r="N491" s="6">
        <f t="shared" si="101"/>
        <v>100</v>
      </c>
      <c r="O491" s="19"/>
      <c r="P491" s="19"/>
      <c r="Q491" s="19"/>
      <c r="R491" s="6">
        <f t="shared" si="102"/>
        <v>100</v>
      </c>
      <c r="S491" s="8"/>
      <c r="T491" s="8"/>
      <c r="U491" s="8"/>
      <c r="V491" s="6">
        <f t="shared" si="103"/>
        <v>100</v>
      </c>
      <c r="W491" s="8"/>
      <c r="X491" s="8"/>
      <c r="Y491" s="8"/>
      <c r="Z491" s="6">
        <f t="shared" si="104"/>
        <v>100</v>
      </c>
      <c r="AA491" s="19"/>
      <c r="AB491" s="19"/>
      <c r="AC491" s="19"/>
      <c r="AD491" s="6">
        <f t="shared" si="105"/>
        <v>100</v>
      </c>
      <c r="AE491" s="19"/>
      <c r="AF491" s="19"/>
      <c r="AG491" s="19"/>
      <c r="AH491" s="6">
        <f t="shared" si="106"/>
        <v>100</v>
      </c>
      <c r="AI491" s="19"/>
      <c r="AJ491" s="19"/>
      <c r="AK491" s="19"/>
      <c r="AL491" s="6">
        <f t="shared" si="107"/>
        <v>100</v>
      </c>
      <c r="AM491" s="19"/>
      <c r="AN491" s="19"/>
      <c r="AO491" s="19"/>
      <c r="AP491" s="6">
        <f t="shared" si="108"/>
        <v>100</v>
      </c>
      <c r="AQ491" s="19"/>
      <c r="AR491" s="19"/>
      <c r="AS491" s="19"/>
      <c r="AT491" s="6">
        <f t="shared" si="109"/>
        <v>100</v>
      </c>
    </row>
    <row r="492" spans="1:46">
      <c r="A492" s="4">
        <v>46306</v>
      </c>
      <c r="B492" s="257"/>
      <c r="C492" s="7"/>
      <c r="D492" s="7"/>
      <c r="E492" s="7"/>
      <c r="F492" s="6">
        <f t="shared" si="99"/>
        <v>100</v>
      </c>
      <c r="G492" s="8"/>
      <c r="H492" s="8"/>
      <c r="I492" s="8"/>
      <c r="J492" s="6">
        <f t="shared" si="100"/>
        <v>100</v>
      </c>
      <c r="K492" s="19"/>
      <c r="L492" s="19"/>
      <c r="M492" s="19"/>
      <c r="N492" s="6">
        <f t="shared" si="101"/>
        <v>100</v>
      </c>
      <c r="O492" s="19"/>
      <c r="P492" s="19"/>
      <c r="Q492" s="19"/>
      <c r="R492" s="6">
        <f t="shared" si="102"/>
        <v>100</v>
      </c>
      <c r="S492" s="8"/>
      <c r="T492" s="8"/>
      <c r="U492" s="8"/>
      <c r="V492" s="6">
        <f t="shared" si="103"/>
        <v>100</v>
      </c>
      <c r="W492" s="8"/>
      <c r="X492" s="8"/>
      <c r="Y492" s="8"/>
      <c r="Z492" s="6">
        <f t="shared" si="104"/>
        <v>100</v>
      </c>
      <c r="AA492" s="19"/>
      <c r="AB492" s="19"/>
      <c r="AC492" s="19"/>
      <c r="AD492" s="6">
        <f t="shared" si="105"/>
        <v>100</v>
      </c>
      <c r="AE492" s="19"/>
      <c r="AF492" s="19"/>
      <c r="AG492" s="19"/>
      <c r="AH492" s="6">
        <f t="shared" si="106"/>
        <v>100</v>
      </c>
      <c r="AI492" s="19"/>
      <c r="AJ492" s="19"/>
      <c r="AK492" s="19"/>
      <c r="AL492" s="6">
        <f t="shared" si="107"/>
        <v>100</v>
      </c>
      <c r="AM492" s="19"/>
      <c r="AN492" s="19"/>
      <c r="AO492" s="19"/>
      <c r="AP492" s="6">
        <f t="shared" si="108"/>
        <v>100</v>
      </c>
      <c r="AQ492" s="19"/>
      <c r="AR492" s="19"/>
      <c r="AS492" s="19"/>
      <c r="AT492" s="6">
        <f t="shared" si="109"/>
        <v>100</v>
      </c>
    </row>
    <row r="493" spans="1:46">
      <c r="A493" s="4">
        <v>46307</v>
      </c>
      <c r="B493" s="257"/>
      <c r="C493" s="7"/>
      <c r="D493" s="7"/>
      <c r="E493" s="7"/>
      <c r="F493" s="6">
        <f t="shared" si="99"/>
        <v>100</v>
      </c>
      <c r="G493" s="8"/>
      <c r="H493" s="8"/>
      <c r="I493" s="8"/>
      <c r="J493" s="6">
        <f t="shared" si="100"/>
        <v>100</v>
      </c>
      <c r="K493" s="19"/>
      <c r="L493" s="19"/>
      <c r="M493" s="19"/>
      <c r="N493" s="6">
        <f t="shared" si="101"/>
        <v>100</v>
      </c>
      <c r="O493" s="19"/>
      <c r="P493" s="19"/>
      <c r="Q493" s="19"/>
      <c r="R493" s="6">
        <f t="shared" si="102"/>
        <v>100</v>
      </c>
      <c r="S493" s="8"/>
      <c r="T493" s="8"/>
      <c r="U493" s="8"/>
      <c r="V493" s="6">
        <f t="shared" si="103"/>
        <v>100</v>
      </c>
      <c r="W493" s="8"/>
      <c r="X493" s="8"/>
      <c r="Y493" s="8"/>
      <c r="Z493" s="6">
        <f t="shared" si="104"/>
        <v>100</v>
      </c>
      <c r="AA493" s="19"/>
      <c r="AB493" s="19"/>
      <c r="AC493" s="19"/>
      <c r="AD493" s="6">
        <f t="shared" si="105"/>
        <v>100</v>
      </c>
      <c r="AE493" s="19"/>
      <c r="AF493" s="19"/>
      <c r="AG493" s="19"/>
      <c r="AH493" s="6">
        <f t="shared" si="106"/>
        <v>100</v>
      </c>
      <c r="AI493" s="19"/>
      <c r="AJ493" s="19"/>
      <c r="AK493" s="19"/>
      <c r="AL493" s="6">
        <f t="shared" si="107"/>
        <v>100</v>
      </c>
      <c r="AM493" s="19"/>
      <c r="AN493" s="19"/>
      <c r="AO493" s="19"/>
      <c r="AP493" s="6">
        <f t="shared" si="108"/>
        <v>100</v>
      </c>
      <c r="AQ493" s="19"/>
      <c r="AR493" s="19"/>
      <c r="AS493" s="19"/>
      <c r="AT493" s="6">
        <f t="shared" si="109"/>
        <v>100</v>
      </c>
    </row>
    <row r="494" spans="1:46">
      <c r="A494" s="4">
        <v>46308</v>
      </c>
      <c r="B494" s="257"/>
      <c r="C494" s="7"/>
      <c r="D494" s="7"/>
      <c r="E494" s="7"/>
      <c r="F494" s="6">
        <f t="shared" si="99"/>
        <v>100</v>
      </c>
      <c r="G494" s="8"/>
      <c r="H494" s="8"/>
      <c r="I494" s="8"/>
      <c r="J494" s="6">
        <f t="shared" si="100"/>
        <v>100</v>
      </c>
      <c r="K494" s="19"/>
      <c r="L494" s="19"/>
      <c r="M494" s="19"/>
      <c r="N494" s="6">
        <f t="shared" si="101"/>
        <v>100</v>
      </c>
      <c r="O494" s="19"/>
      <c r="P494" s="19"/>
      <c r="Q494" s="19"/>
      <c r="R494" s="6">
        <f t="shared" si="102"/>
        <v>100</v>
      </c>
      <c r="S494" s="8"/>
      <c r="T494" s="8"/>
      <c r="U494" s="8"/>
      <c r="V494" s="6">
        <f t="shared" si="103"/>
        <v>100</v>
      </c>
      <c r="W494" s="8"/>
      <c r="X494" s="8"/>
      <c r="Y494" s="8"/>
      <c r="Z494" s="6">
        <f t="shared" si="104"/>
        <v>100</v>
      </c>
      <c r="AA494" s="19"/>
      <c r="AB494" s="19"/>
      <c r="AC494" s="19"/>
      <c r="AD494" s="6">
        <f t="shared" si="105"/>
        <v>100</v>
      </c>
      <c r="AE494" s="19"/>
      <c r="AF494" s="19"/>
      <c r="AG494" s="19"/>
      <c r="AH494" s="6">
        <f t="shared" si="106"/>
        <v>100</v>
      </c>
      <c r="AI494" s="19"/>
      <c r="AJ494" s="19"/>
      <c r="AK494" s="19"/>
      <c r="AL494" s="6">
        <f t="shared" si="107"/>
        <v>100</v>
      </c>
      <c r="AM494" s="19"/>
      <c r="AN494" s="19"/>
      <c r="AO494" s="19"/>
      <c r="AP494" s="6">
        <f t="shared" si="108"/>
        <v>100</v>
      </c>
      <c r="AQ494" s="19"/>
      <c r="AR494" s="19"/>
      <c r="AS494" s="19"/>
      <c r="AT494" s="6">
        <f t="shared" si="109"/>
        <v>100</v>
      </c>
    </row>
    <row r="495" spans="1:46">
      <c r="A495" s="4">
        <v>46309</v>
      </c>
      <c r="B495" s="257"/>
      <c r="C495" s="7"/>
      <c r="D495" s="7"/>
      <c r="E495" s="7"/>
      <c r="F495" s="6">
        <f t="shared" si="99"/>
        <v>100</v>
      </c>
      <c r="G495" s="8"/>
      <c r="H495" s="8"/>
      <c r="I495" s="8"/>
      <c r="J495" s="6">
        <f t="shared" si="100"/>
        <v>100</v>
      </c>
      <c r="K495" s="19"/>
      <c r="L495" s="19"/>
      <c r="M495" s="19"/>
      <c r="N495" s="6">
        <f t="shared" si="101"/>
        <v>100</v>
      </c>
      <c r="O495" s="19"/>
      <c r="P495" s="19"/>
      <c r="Q495" s="19"/>
      <c r="R495" s="6">
        <f t="shared" si="102"/>
        <v>100</v>
      </c>
      <c r="S495" s="8"/>
      <c r="T495" s="8"/>
      <c r="U495" s="8"/>
      <c r="V495" s="6">
        <f t="shared" si="103"/>
        <v>100</v>
      </c>
      <c r="W495" s="8"/>
      <c r="X495" s="8"/>
      <c r="Y495" s="8"/>
      <c r="Z495" s="6">
        <f t="shared" si="104"/>
        <v>100</v>
      </c>
      <c r="AA495" s="19"/>
      <c r="AB495" s="19"/>
      <c r="AC495" s="19"/>
      <c r="AD495" s="6">
        <f t="shared" si="105"/>
        <v>100</v>
      </c>
      <c r="AE495" s="19"/>
      <c r="AF495" s="19"/>
      <c r="AG495" s="19"/>
      <c r="AH495" s="6">
        <f t="shared" si="106"/>
        <v>100</v>
      </c>
      <c r="AI495" s="19"/>
      <c r="AJ495" s="19"/>
      <c r="AK495" s="19"/>
      <c r="AL495" s="6">
        <f t="shared" si="107"/>
        <v>100</v>
      </c>
      <c r="AM495" s="19"/>
      <c r="AN495" s="19"/>
      <c r="AO495" s="19"/>
      <c r="AP495" s="6">
        <f t="shared" si="108"/>
        <v>100</v>
      </c>
      <c r="AQ495" s="19"/>
      <c r="AR495" s="19"/>
      <c r="AS495" s="19"/>
      <c r="AT495" s="6">
        <f t="shared" si="109"/>
        <v>100</v>
      </c>
    </row>
    <row r="496" spans="1:46">
      <c r="A496" s="4">
        <v>46310</v>
      </c>
      <c r="B496" s="257"/>
      <c r="C496" s="7"/>
      <c r="D496" s="7"/>
      <c r="E496" s="7"/>
      <c r="F496" s="6">
        <f t="shared" si="99"/>
        <v>100</v>
      </c>
      <c r="G496" s="8"/>
      <c r="H496" s="8"/>
      <c r="I496" s="8"/>
      <c r="J496" s="6">
        <f t="shared" si="100"/>
        <v>100</v>
      </c>
      <c r="K496" s="19"/>
      <c r="L496" s="19"/>
      <c r="M496" s="19"/>
      <c r="N496" s="6">
        <f t="shared" si="101"/>
        <v>100</v>
      </c>
      <c r="O496" s="19"/>
      <c r="P496" s="19"/>
      <c r="Q496" s="19"/>
      <c r="R496" s="6">
        <f t="shared" si="102"/>
        <v>100</v>
      </c>
      <c r="S496" s="8"/>
      <c r="T496" s="8"/>
      <c r="U496" s="8"/>
      <c r="V496" s="6">
        <f t="shared" si="103"/>
        <v>100</v>
      </c>
      <c r="W496" s="8"/>
      <c r="X496" s="8"/>
      <c r="Y496" s="8"/>
      <c r="Z496" s="6">
        <f t="shared" si="104"/>
        <v>100</v>
      </c>
      <c r="AA496" s="19"/>
      <c r="AB496" s="19"/>
      <c r="AC496" s="19"/>
      <c r="AD496" s="6">
        <f t="shared" si="105"/>
        <v>100</v>
      </c>
      <c r="AE496" s="19"/>
      <c r="AF496" s="19"/>
      <c r="AG496" s="19"/>
      <c r="AH496" s="6">
        <f t="shared" si="106"/>
        <v>100</v>
      </c>
      <c r="AI496" s="19"/>
      <c r="AJ496" s="19"/>
      <c r="AK496" s="19"/>
      <c r="AL496" s="6">
        <f t="shared" si="107"/>
        <v>100</v>
      </c>
      <c r="AM496" s="19"/>
      <c r="AN496" s="19"/>
      <c r="AO496" s="19"/>
      <c r="AP496" s="6">
        <f t="shared" si="108"/>
        <v>100</v>
      </c>
      <c r="AQ496" s="19"/>
      <c r="AR496" s="19"/>
      <c r="AS496" s="19"/>
      <c r="AT496" s="6">
        <f t="shared" si="109"/>
        <v>100</v>
      </c>
    </row>
    <row r="497" spans="1:46">
      <c r="A497" s="4">
        <v>46311</v>
      </c>
      <c r="B497" s="257"/>
      <c r="C497" s="7"/>
      <c r="D497" s="7"/>
      <c r="E497" s="7"/>
      <c r="F497" s="6">
        <f t="shared" si="99"/>
        <v>100</v>
      </c>
      <c r="G497" s="8"/>
      <c r="H497" s="8"/>
      <c r="I497" s="8"/>
      <c r="J497" s="6">
        <f t="shared" si="100"/>
        <v>100</v>
      </c>
      <c r="K497" s="19"/>
      <c r="L497" s="19"/>
      <c r="M497" s="19"/>
      <c r="N497" s="6">
        <f t="shared" si="101"/>
        <v>100</v>
      </c>
      <c r="O497" s="19"/>
      <c r="P497" s="19"/>
      <c r="Q497" s="19"/>
      <c r="R497" s="6">
        <f t="shared" si="102"/>
        <v>100</v>
      </c>
      <c r="S497" s="8"/>
      <c r="T497" s="8"/>
      <c r="U497" s="8"/>
      <c r="V497" s="6">
        <f t="shared" si="103"/>
        <v>100</v>
      </c>
      <c r="W497" s="8"/>
      <c r="X497" s="8"/>
      <c r="Y497" s="8"/>
      <c r="Z497" s="6">
        <f t="shared" si="104"/>
        <v>100</v>
      </c>
      <c r="AA497" s="19"/>
      <c r="AB497" s="19"/>
      <c r="AC497" s="19"/>
      <c r="AD497" s="6">
        <f t="shared" si="105"/>
        <v>100</v>
      </c>
      <c r="AE497" s="19"/>
      <c r="AF497" s="19"/>
      <c r="AG497" s="19"/>
      <c r="AH497" s="6">
        <f t="shared" si="106"/>
        <v>100</v>
      </c>
      <c r="AI497" s="19"/>
      <c r="AJ497" s="19"/>
      <c r="AK497" s="19"/>
      <c r="AL497" s="6">
        <f t="shared" si="107"/>
        <v>100</v>
      </c>
      <c r="AM497" s="19"/>
      <c r="AN497" s="19"/>
      <c r="AO497" s="19"/>
      <c r="AP497" s="6">
        <f t="shared" si="108"/>
        <v>100</v>
      </c>
      <c r="AQ497" s="19"/>
      <c r="AR497" s="19"/>
      <c r="AS497" s="19"/>
      <c r="AT497" s="6">
        <f t="shared" si="109"/>
        <v>100</v>
      </c>
    </row>
    <row r="498" spans="1:46">
      <c r="A498" s="70">
        <v>46312</v>
      </c>
      <c r="B498" s="257"/>
      <c r="C498" s="7"/>
      <c r="D498" s="7"/>
      <c r="E498" s="7"/>
      <c r="F498" s="6">
        <f t="shared" si="99"/>
        <v>100</v>
      </c>
      <c r="G498" s="8"/>
      <c r="H498" s="8"/>
      <c r="I498" s="8"/>
      <c r="J498" s="6">
        <f t="shared" si="100"/>
        <v>100</v>
      </c>
      <c r="K498" s="19"/>
      <c r="L498" s="19"/>
      <c r="M498" s="19"/>
      <c r="N498" s="6">
        <f t="shared" si="101"/>
        <v>100</v>
      </c>
      <c r="O498" s="19"/>
      <c r="P498" s="19"/>
      <c r="Q498" s="19"/>
      <c r="R498" s="6">
        <f t="shared" si="102"/>
        <v>100</v>
      </c>
      <c r="S498" s="8"/>
      <c r="T498" s="8"/>
      <c r="U498" s="8"/>
      <c r="V498" s="6">
        <f t="shared" si="103"/>
        <v>100</v>
      </c>
      <c r="W498" s="8"/>
      <c r="X498" s="8"/>
      <c r="Y498" s="8"/>
      <c r="Z498" s="6">
        <f t="shared" si="104"/>
        <v>100</v>
      </c>
      <c r="AA498" s="19"/>
      <c r="AB498" s="19"/>
      <c r="AC498" s="19"/>
      <c r="AD498" s="6">
        <f t="shared" si="105"/>
        <v>100</v>
      </c>
      <c r="AE498" s="19"/>
      <c r="AF498" s="19"/>
      <c r="AG498" s="19"/>
      <c r="AH498" s="6">
        <f t="shared" si="106"/>
        <v>100</v>
      </c>
      <c r="AI498" s="19"/>
      <c r="AJ498" s="19"/>
      <c r="AK498" s="19"/>
      <c r="AL498" s="6">
        <f t="shared" si="107"/>
        <v>100</v>
      </c>
      <c r="AM498" s="19"/>
      <c r="AN498" s="19"/>
      <c r="AO498" s="19"/>
      <c r="AP498" s="6">
        <f t="shared" si="108"/>
        <v>100</v>
      </c>
      <c r="AQ498" s="19"/>
      <c r="AR498" s="19"/>
      <c r="AS498" s="19"/>
      <c r="AT498" s="6">
        <f t="shared" si="109"/>
        <v>100</v>
      </c>
    </row>
    <row r="499" spans="1:46">
      <c r="A499" s="4">
        <v>46313</v>
      </c>
      <c r="B499" s="257"/>
      <c r="C499" s="7"/>
      <c r="D499" s="7"/>
      <c r="E499" s="7"/>
      <c r="F499" s="6">
        <f t="shared" si="99"/>
        <v>100</v>
      </c>
      <c r="G499" s="8"/>
      <c r="H499" s="8"/>
      <c r="I499" s="8"/>
      <c r="J499" s="6">
        <f t="shared" si="100"/>
        <v>100</v>
      </c>
      <c r="K499" s="19"/>
      <c r="L499" s="19"/>
      <c r="M499" s="19"/>
      <c r="N499" s="6">
        <f t="shared" si="101"/>
        <v>100</v>
      </c>
      <c r="O499" s="19"/>
      <c r="P499" s="19"/>
      <c r="Q499" s="19"/>
      <c r="R499" s="6">
        <f t="shared" si="102"/>
        <v>100</v>
      </c>
      <c r="S499" s="8"/>
      <c r="T499" s="8"/>
      <c r="U499" s="8"/>
      <c r="V499" s="6">
        <f t="shared" si="103"/>
        <v>100</v>
      </c>
      <c r="W499" s="8"/>
      <c r="X499" s="8"/>
      <c r="Y499" s="8"/>
      <c r="Z499" s="6">
        <f t="shared" si="104"/>
        <v>100</v>
      </c>
      <c r="AA499" s="19"/>
      <c r="AB499" s="19"/>
      <c r="AC499" s="19"/>
      <c r="AD499" s="6">
        <f t="shared" si="105"/>
        <v>100</v>
      </c>
      <c r="AE499" s="19"/>
      <c r="AF499" s="19"/>
      <c r="AG499" s="19"/>
      <c r="AH499" s="6">
        <f t="shared" si="106"/>
        <v>100</v>
      </c>
      <c r="AI499" s="19"/>
      <c r="AJ499" s="19"/>
      <c r="AK499" s="19"/>
      <c r="AL499" s="6">
        <f t="shared" si="107"/>
        <v>100</v>
      </c>
      <c r="AM499" s="19"/>
      <c r="AN499" s="19"/>
      <c r="AO499" s="19"/>
      <c r="AP499" s="6">
        <f t="shared" si="108"/>
        <v>100</v>
      </c>
      <c r="AQ499" s="19"/>
      <c r="AR499" s="19"/>
      <c r="AS499" s="19"/>
      <c r="AT499" s="6">
        <f t="shared" si="109"/>
        <v>100</v>
      </c>
    </row>
    <row r="500" spans="1:46">
      <c r="A500" s="4">
        <v>46314</v>
      </c>
      <c r="B500" s="257"/>
      <c r="C500" s="7"/>
      <c r="D500" s="7"/>
      <c r="E500" s="7"/>
      <c r="F500" s="6">
        <f t="shared" si="99"/>
        <v>100</v>
      </c>
      <c r="G500" s="8"/>
      <c r="H500" s="8"/>
      <c r="I500" s="8"/>
      <c r="J500" s="6">
        <f t="shared" si="100"/>
        <v>100</v>
      </c>
      <c r="K500" s="19"/>
      <c r="L500" s="19"/>
      <c r="M500" s="19"/>
      <c r="N500" s="6">
        <f t="shared" si="101"/>
        <v>100</v>
      </c>
      <c r="O500" s="19"/>
      <c r="P500" s="19"/>
      <c r="Q500" s="19"/>
      <c r="R500" s="6">
        <f t="shared" si="102"/>
        <v>100</v>
      </c>
      <c r="S500" s="8"/>
      <c r="T500" s="8"/>
      <c r="U500" s="8"/>
      <c r="V500" s="6">
        <f t="shared" si="103"/>
        <v>100</v>
      </c>
      <c r="W500" s="8"/>
      <c r="X500" s="8"/>
      <c r="Y500" s="8"/>
      <c r="Z500" s="6">
        <f t="shared" si="104"/>
        <v>100</v>
      </c>
      <c r="AA500" s="19"/>
      <c r="AB500" s="19"/>
      <c r="AC500" s="19"/>
      <c r="AD500" s="6">
        <f t="shared" si="105"/>
        <v>100</v>
      </c>
      <c r="AE500" s="19"/>
      <c r="AF500" s="19"/>
      <c r="AG500" s="19"/>
      <c r="AH500" s="6">
        <f t="shared" si="106"/>
        <v>100</v>
      </c>
      <c r="AI500" s="19"/>
      <c r="AJ500" s="19"/>
      <c r="AK500" s="19"/>
      <c r="AL500" s="6">
        <f t="shared" si="107"/>
        <v>100</v>
      </c>
      <c r="AM500" s="19"/>
      <c r="AN500" s="19"/>
      <c r="AO500" s="19"/>
      <c r="AP500" s="6">
        <f t="shared" si="108"/>
        <v>100</v>
      </c>
      <c r="AQ500" s="19"/>
      <c r="AR500" s="19"/>
      <c r="AS500" s="19"/>
      <c r="AT500" s="6">
        <f t="shared" si="109"/>
        <v>100</v>
      </c>
    </row>
    <row r="501" spans="1:46">
      <c r="A501" s="4">
        <v>46315</v>
      </c>
      <c r="B501" s="257"/>
      <c r="C501" s="7"/>
      <c r="D501" s="7"/>
      <c r="E501" s="7"/>
      <c r="F501" s="6">
        <f t="shared" si="99"/>
        <v>100</v>
      </c>
      <c r="G501" s="8"/>
      <c r="H501" s="8"/>
      <c r="I501" s="8"/>
      <c r="J501" s="6">
        <f t="shared" si="100"/>
        <v>100</v>
      </c>
      <c r="K501" s="19"/>
      <c r="L501" s="19"/>
      <c r="M501" s="19"/>
      <c r="N501" s="6">
        <f t="shared" si="101"/>
        <v>100</v>
      </c>
      <c r="O501" s="19"/>
      <c r="P501" s="19"/>
      <c r="Q501" s="19"/>
      <c r="R501" s="6">
        <f t="shared" si="102"/>
        <v>100</v>
      </c>
      <c r="S501" s="8"/>
      <c r="T501" s="8"/>
      <c r="U501" s="8"/>
      <c r="V501" s="6">
        <f t="shared" si="103"/>
        <v>100</v>
      </c>
      <c r="W501" s="8"/>
      <c r="X501" s="8"/>
      <c r="Y501" s="8"/>
      <c r="Z501" s="6">
        <f t="shared" si="104"/>
        <v>100</v>
      </c>
      <c r="AA501" s="19"/>
      <c r="AB501" s="19"/>
      <c r="AC501" s="19"/>
      <c r="AD501" s="6">
        <f t="shared" si="105"/>
        <v>100</v>
      </c>
      <c r="AE501" s="19"/>
      <c r="AF501" s="19"/>
      <c r="AG501" s="19"/>
      <c r="AH501" s="6">
        <f t="shared" si="106"/>
        <v>100</v>
      </c>
      <c r="AI501" s="19"/>
      <c r="AJ501" s="19"/>
      <c r="AK501" s="19"/>
      <c r="AL501" s="6">
        <f t="shared" si="107"/>
        <v>100</v>
      </c>
      <c r="AM501" s="19"/>
      <c r="AN501" s="19"/>
      <c r="AO501" s="19"/>
      <c r="AP501" s="6">
        <f t="shared" si="108"/>
        <v>100</v>
      </c>
      <c r="AQ501" s="19"/>
      <c r="AR501" s="19"/>
      <c r="AS501" s="19"/>
      <c r="AT501" s="6">
        <f t="shared" si="109"/>
        <v>100</v>
      </c>
    </row>
    <row r="502" spans="1:46">
      <c r="A502" s="4">
        <v>46316</v>
      </c>
      <c r="B502" s="257"/>
      <c r="C502" s="7"/>
      <c r="D502" s="7"/>
      <c r="E502" s="7"/>
      <c r="F502" s="6">
        <f t="shared" si="99"/>
        <v>100</v>
      </c>
      <c r="G502" s="8"/>
      <c r="H502" s="8"/>
      <c r="I502" s="8"/>
      <c r="J502" s="6">
        <f t="shared" si="100"/>
        <v>100</v>
      </c>
      <c r="K502" s="19"/>
      <c r="L502" s="19"/>
      <c r="M502" s="19"/>
      <c r="N502" s="6">
        <f t="shared" si="101"/>
        <v>100</v>
      </c>
      <c r="O502" s="19"/>
      <c r="P502" s="19"/>
      <c r="Q502" s="19"/>
      <c r="R502" s="6">
        <f t="shared" si="102"/>
        <v>100</v>
      </c>
      <c r="S502" s="8"/>
      <c r="T502" s="8"/>
      <c r="U502" s="8"/>
      <c r="V502" s="6">
        <f t="shared" si="103"/>
        <v>100</v>
      </c>
      <c r="W502" s="8"/>
      <c r="X502" s="8"/>
      <c r="Y502" s="8"/>
      <c r="Z502" s="6">
        <f t="shared" si="104"/>
        <v>100</v>
      </c>
      <c r="AA502" s="19"/>
      <c r="AB502" s="19"/>
      <c r="AC502" s="19"/>
      <c r="AD502" s="6">
        <f t="shared" si="105"/>
        <v>100</v>
      </c>
      <c r="AE502" s="19"/>
      <c r="AF502" s="19"/>
      <c r="AG502" s="19"/>
      <c r="AH502" s="6">
        <f t="shared" si="106"/>
        <v>100</v>
      </c>
      <c r="AI502" s="19"/>
      <c r="AJ502" s="19"/>
      <c r="AK502" s="19"/>
      <c r="AL502" s="6">
        <f t="shared" si="107"/>
        <v>100</v>
      </c>
      <c r="AM502" s="19"/>
      <c r="AN502" s="19"/>
      <c r="AO502" s="19"/>
      <c r="AP502" s="6">
        <f t="shared" si="108"/>
        <v>100</v>
      </c>
      <c r="AQ502" s="19"/>
      <c r="AR502" s="19"/>
      <c r="AS502" s="19"/>
      <c r="AT502" s="6">
        <f t="shared" si="109"/>
        <v>100</v>
      </c>
    </row>
    <row r="503" spans="1:46">
      <c r="A503" s="4">
        <v>46317</v>
      </c>
      <c r="B503" s="257"/>
      <c r="C503" s="7"/>
      <c r="D503" s="7"/>
      <c r="E503" s="7"/>
      <c r="F503" s="6">
        <f t="shared" si="99"/>
        <v>100</v>
      </c>
      <c r="G503" s="8"/>
      <c r="H503" s="8"/>
      <c r="I503" s="8"/>
      <c r="J503" s="6">
        <f t="shared" si="100"/>
        <v>100</v>
      </c>
      <c r="K503" s="19"/>
      <c r="L503" s="19"/>
      <c r="M503" s="19"/>
      <c r="N503" s="6">
        <f t="shared" si="101"/>
        <v>100</v>
      </c>
      <c r="O503" s="19"/>
      <c r="P503" s="19"/>
      <c r="Q503" s="19"/>
      <c r="R503" s="6">
        <f t="shared" si="102"/>
        <v>100</v>
      </c>
      <c r="S503" s="8"/>
      <c r="T503" s="8"/>
      <c r="U503" s="8"/>
      <c r="V503" s="6">
        <f t="shared" si="103"/>
        <v>100</v>
      </c>
      <c r="W503" s="8"/>
      <c r="X503" s="8"/>
      <c r="Y503" s="8"/>
      <c r="Z503" s="6">
        <f t="shared" si="104"/>
        <v>100</v>
      </c>
      <c r="AA503" s="19"/>
      <c r="AB503" s="19"/>
      <c r="AC503" s="19"/>
      <c r="AD503" s="6">
        <f t="shared" si="105"/>
        <v>100</v>
      </c>
      <c r="AE503" s="19"/>
      <c r="AF503" s="19"/>
      <c r="AG503" s="19"/>
      <c r="AH503" s="6">
        <f t="shared" si="106"/>
        <v>100</v>
      </c>
      <c r="AI503" s="19"/>
      <c r="AJ503" s="19"/>
      <c r="AK503" s="19"/>
      <c r="AL503" s="6">
        <f t="shared" si="107"/>
        <v>100</v>
      </c>
      <c r="AM503" s="19"/>
      <c r="AN503" s="19"/>
      <c r="AO503" s="19"/>
      <c r="AP503" s="6">
        <f t="shared" si="108"/>
        <v>100</v>
      </c>
      <c r="AQ503" s="19"/>
      <c r="AR503" s="19"/>
      <c r="AS503" s="19"/>
      <c r="AT503" s="6">
        <f t="shared" si="109"/>
        <v>100</v>
      </c>
    </row>
    <row r="504" spans="1:46">
      <c r="A504" s="4">
        <v>46318</v>
      </c>
      <c r="B504" s="257"/>
      <c r="C504" s="7"/>
      <c r="D504" s="7"/>
      <c r="E504" s="7"/>
      <c r="F504" s="6">
        <f t="shared" si="99"/>
        <v>100</v>
      </c>
      <c r="G504" s="8"/>
      <c r="H504" s="8"/>
      <c r="I504" s="8"/>
      <c r="J504" s="6">
        <f t="shared" si="100"/>
        <v>100</v>
      </c>
      <c r="K504" s="19"/>
      <c r="L504" s="19"/>
      <c r="M504" s="19"/>
      <c r="N504" s="6">
        <f t="shared" si="101"/>
        <v>100</v>
      </c>
      <c r="O504" s="19"/>
      <c r="P504" s="19"/>
      <c r="Q504" s="19"/>
      <c r="R504" s="6">
        <f t="shared" si="102"/>
        <v>100</v>
      </c>
      <c r="S504" s="8"/>
      <c r="T504" s="8"/>
      <c r="U504" s="8"/>
      <c r="V504" s="6">
        <f t="shared" si="103"/>
        <v>100</v>
      </c>
      <c r="W504" s="8"/>
      <c r="X504" s="8"/>
      <c r="Y504" s="8"/>
      <c r="Z504" s="6">
        <f t="shared" si="104"/>
        <v>100</v>
      </c>
      <c r="AA504" s="19"/>
      <c r="AB504" s="19"/>
      <c r="AC504" s="19"/>
      <c r="AD504" s="6">
        <f t="shared" si="105"/>
        <v>100</v>
      </c>
      <c r="AE504" s="19"/>
      <c r="AF504" s="19"/>
      <c r="AG504" s="19"/>
      <c r="AH504" s="6">
        <f t="shared" si="106"/>
        <v>100</v>
      </c>
      <c r="AI504" s="19"/>
      <c r="AJ504" s="19"/>
      <c r="AK504" s="19"/>
      <c r="AL504" s="6">
        <f t="shared" si="107"/>
        <v>100</v>
      </c>
      <c r="AM504" s="19"/>
      <c r="AN504" s="19"/>
      <c r="AO504" s="19"/>
      <c r="AP504" s="6">
        <f t="shared" si="108"/>
        <v>100</v>
      </c>
      <c r="AQ504" s="19"/>
      <c r="AR504" s="19"/>
      <c r="AS504" s="19"/>
      <c r="AT504" s="6">
        <f t="shared" si="109"/>
        <v>100</v>
      </c>
    </row>
    <row r="505" spans="1:46">
      <c r="A505" s="4">
        <v>46319</v>
      </c>
      <c r="B505" s="257"/>
      <c r="C505" s="7"/>
      <c r="D505" s="7"/>
      <c r="E505" s="7"/>
      <c r="F505" s="6">
        <f t="shared" si="99"/>
        <v>100</v>
      </c>
      <c r="G505" s="8"/>
      <c r="H505" s="8"/>
      <c r="I505" s="8"/>
      <c r="J505" s="6">
        <f t="shared" si="100"/>
        <v>100</v>
      </c>
      <c r="K505" s="19"/>
      <c r="L505" s="19"/>
      <c r="M505" s="19"/>
      <c r="N505" s="6">
        <f t="shared" si="101"/>
        <v>100</v>
      </c>
      <c r="O505" s="19"/>
      <c r="P505" s="19"/>
      <c r="Q505" s="19"/>
      <c r="R505" s="6">
        <f t="shared" si="102"/>
        <v>100</v>
      </c>
      <c r="S505" s="8"/>
      <c r="T505" s="8"/>
      <c r="U505" s="8"/>
      <c r="V505" s="6">
        <f t="shared" si="103"/>
        <v>100</v>
      </c>
      <c r="W505" s="8"/>
      <c r="X505" s="8"/>
      <c r="Y505" s="8"/>
      <c r="Z505" s="6">
        <f t="shared" si="104"/>
        <v>100</v>
      </c>
      <c r="AA505" s="19"/>
      <c r="AB505" s="19"/>
      <c r="AC505" s="19"/>
      <c r="AD505" s="6">
        <f t="shared" si="105"/>
        <v>100</v>
      </c>
      <c r="AE505" s="19"/>
      <c r="AF505" s="19"/>
      <c r="AG505" s="19"/>
      <c r="AH505" s="6">
        <f t="shared" si="106"/>
        <v>100</v>
      </c>
      <c r="AI505" s="19"/>
      <c r="AJ505" s="19"/>
      <c r="AK505" s="19"/>
      <c r="AL505" s="6">
        <f t="shared" si="107"/>
        <v>100</v>
      </c>
      <c r="AM505" s="19"/>
      <c r="AN505" s="19"/>
      <c r="AO505" s="19"/>
      <c r="AP505" s="6">
        <f t="shared" si="108"/>
        <v>100</v>
      </c>
      <c r="AQ505" s="19"/>
      <c r="AR505" s="19"/>
      <c r="AS505" s="19"/>
      <c r="AT505" s="6">
        <f t="shared" si="109"/>
        <v>100</v>
      </c>
    </row>
    <row r="506" spans="1:46">
      <c r="A506" s="4">
        <v>46320</v>
      </c>
      <c r="B506" s="257"/>
      <c r="C506" s="7"/>
      <c r="D506" s="7"/>
      <c r="E506" s="7"/>
      <c r="F506" s="6">
        <f t="shared" si="99"/>
        <v>100</v>
      </c>
      <c r="G506" s="8"/>
      <c r="H506" s="8"/>
      <c r="I506" s="8"/>
      <c r="J506" s="6">
        <f t="shared" si="100"/>
        <v>100</v>
      </c>
      <c r="K506" s="19"/>
      <c r="L506" s="19"/>
      <c r="M506" s="19"/>
      <c r="N506" s="6">
        <f t="shared" si="101"/>
        <v>100</v>
      </c>
      <c r="O506" s="19"/>
      <c r="P506" s="19"/>
      <c r="Q506" s="19"/>
      <c r="R506" s="6">
        <f t="shared" si="102"/>
        <v>100</v>
      </c>
      <c r="S506" s="8"/>
      <c r="T506" s="8"/>
      <c r="U506" s="8"/>
      <c r="V506" s="6">
        <f t="shared" si="103"/>
        <v>100</v>
      </c>
      <c r="W506" s="8"/>
      <c r="X506" s="8"/>
      <c r="Y506" s="8"/>
      <c r="Z506" s="6">
        <f t="shared" si="104"/>
        <v>100</v>
      </c>
      <c r="AA506" s="19"/>
      <c r="AB506" s="19"/>
      <c r="AC506" s="19"/>
      <c r="AD506" s="6">
        <f t="shared" si="105"/>
        <v>100</v>
      </c>
      <c r="AE506" s="19"/>
      <c r="AF506" s="19"/>
      <c r="AG506" s="19"/>
      <c r="AH506" s="6">
        <f t="shared" si="106"/>
        <v>100</v>
      </c>
      <c r="AI506" s="19"/>
      <c r="AJ506" s="19"/>
      <c r="AK506" s="19"/>
      <c r="AL506" s="6">
        <f t="shared" si="107"/>
        <v>100</v>
      </c>
      <c r="AM506" s="19"/>
      <c r="AN506" s="19"/>
      <c r="AO506" s="19"/>
      <c r="AP506" s="6">
        <f t="shared" si="108"/>
        <v>100</v>
      </c>
      <c r="AQ506" s="19"/>
      <c r="AR506" s="19"/>
      <c r="AS506" s="19"/>
      <c r="AT506" s="6">
        <f t="shared" si="109"/>
        <v>100</v>
      </c>
    </row>
    <row r="507" spans="1:46">
      <c r="A507" s="4">
        <v>46321</v>
      </c>
      <c r="B507" s="257"/>
      <c r="C507" s="7"/>
      <c r="D507" s="7"/>
      <c r="E507" s="7"/>
      <c r="F507" s="6">
        <f t="shared" si="99"/>
        <v>100</v>
      </c>
      <c r="G507" s="8"/>
      <c r="H507" s="8"/>
      <c r="I507" s="8"/>
      <c r="J507" s="6">
        <f t="shared" si="100"/>
        <v>100</v>
      </c>
      <c r="K507" s="19"/>
      <c r="L507" s="19"/>
      <c r="M507" s="19"/>
      <c r="N507" s="6">
        <f t="shared" si="101"/>
        <v>100</v>
      </c>
      <c r="O507" s="19"/>
      <c r="P507" s="19"/>
      <c r="Q507" s="19"/>
      <c r="R507" s="6">
        <f t="shared" si="102"/>
        <v>100</v>
      </c>
      <c r="S507" s="8"/>
      <c r="T507" s="8"/>
      <c r="U507" s="8"/>
      <c r="V507" s="6">
        <f t="shared" si="103"/>
        <v>100</v>
      </c>
      <c r="W507" s="8"/>
      <c r="X507" s="8"/>
      <c r="Y507" s="8"/>
      <c r="Z507" s="6">
        <f t="shared" si="104"/>
        <v>100</v>
      </c>
      <c r="AA507" s="19"/>
      <c r="AB507" s="19"/>
      <c r="AC507" s="19"/>
      <c r="AD507" s="6">
        <f t="shared" si="105"/>
        <v>100</v>
      </c>
      <c r="AE507" s="19"/>
      <c r="AF507" s="19"/>
      <c r="AG507" s="19"/>
      <c r="AH507" s="6">
        <f t="shared" si="106"/>
        <v>100</v>
      </c>
      <c r="AI507" s="19"/>
      <c r="AJ507" s="19"/>
      <c r="AK507" s="19"/>
      <c r="AL507" s="6">
        <f t="shared" si="107"/>
        <v>100</v>
      </c>
      <c r="AM507" s="19"/>
      <c r="AN507" s="19"/>
      <c r="AO507" s="19"/>
      <c r="AP507" s="6">
        <f t="shared" si="108"/>
        <v>100</v>
      </c>
      <c r="AQ507" s="19"/>
      <c r="AR507" s="19"/>
      <c r="AS507" s="19"/>
      <c r="AT507" s="6">
        <f t="shared" si="109"/>
        <v>100</v>
      </c>
    </row>
    <row r="508" spans="1:46">
      <c r="A508" s="70">
        <v>46322</v>
      </c>
      <c r="B508" s="257"/>
      <c r="C508" s="7"/>
      <c r="D508" s="7"/>
      <c r="E508" s="7"/>
      <c r="F508" s="6">
        <f t="shared" si="99"/>
        <v>100</v>
      </c>
      <c r="G508" s="8"/>
      <c r="H508" s="8"/>
      <c r="I508" s="8"/>
      <c r="J508" s="6">
        <f t="shared" si="100"/>
        <v>100</v>
      </c>
      <c r="K508" s="19"/>
      <c r="L508" s="19"/>
      <c r="M508" s="19"/>
      <c r="N508" s="6">
        <f t="shared" si="101"/>
        <v>100</v>
      </c>
      <c r="O508" s="19"/>
      <c r="P508" s="19"/>
      <c r="Q508" s="19"/>
      <c r="R508" s="6">
        <f t="shared" si="102"/>
        <v>100</v>
      </c>
      <c r="S508" s="8"/>
      <c r="T508" s="8"/>
      <c r="U508" s="8"/>
      <c r="V508" s="6">
        <f t="shared" si="103"/>
        <v>100</v>
      </c>
      <c r="W508" s="8"/>
      <c r="X508" s="8"/>
      <c r="Y508" s="8"/>
      <c r="Z508" s="6">
        <f t="shared" si="104"/>
        <v>100</v>
      </c>
      <c r="AA508" s="19"/>
      <c r="AB508" s="19"/>
      <c r="AC508" s="19"/>
      <c r="AD508" s="6">
        <f t="shared" si="105"/>
        <v>100</v>
      </c>
      <c r="AE508" s="19"/>
      <c r="AF508" s="19"/>
      <c r="AG508" s="19"/>
      <c r="AH508" s="6">
        <f t="shared" si="106"/>
        <v>100</v>
      </c>
      <c r="AI508" s="19"/>
      <c r="AJ508" s="19"/>
      <c r="AK508" s="19"/>
      <c r="AL508" s="6">
        <f t="shared" si="107"/>
        <v>100</v>
      </c>
      <c r="AM508" s="19"/>
      <c r="AN508" s="19"/>
      <c r="AO508" s="19"/>
      <c r="AP508" s="6">
        <f t="shared" si="108"/>
        <v>100</v>
      </c>
      <c r="AQ508" s="19"/>
      <c r="AR508" s="19"/>
      <c r="AS508" s="19"/>
      <c r="AT508" s="6">
        <f t="shared" si="109"/>
        <v>100</v>
      </c>
    </row>
    <row r="509" spans="1:46">
      <c r="A509" s="4">
        <v>46323</v>
      </c>
      <c r="B509" s="257"/>
      <c r="C509" s="7"/>
      <c r="D509" s="7"/>
      <c r="E509" s="7"/>
      <c r="F509" s="6">
        <f t="shared" si="99"/>
        <v>100</v>
      </c>
      <c r="G509" s="8"/>
      <c r="H509" s="8"/>
      <c r="I509" s="8"/>
      <c r="J509" s="6">
        <f t="shared" si="100"/>
        <v>100</v>
      </c>
      <c r="K509" s="19"/>
      <c r="L509" s="19"/>
      <c r="M509" s="19"/>
      <c r="N509" s="6">
        <f t="shared" si="101"/>
        <v>100</v>
      </c>
      <c r="O509" s="19"/>
      <c r="P509" s="19"/>
      <c r="Q509" s="19"/>
      <c r="R509" s="6">
        <f t="shared" si="102"/>
        <v>100</v>
      </c>
      <c r="S509" s="8"/>
      <c r="T509" s="8"/>
      <c r="U509" s="8"/>
      <c r="V509" s="6">
        <f t="shared" si="103"/>
        <v>100</v>
      </c>
      <c r="W509" s="8"/>
      <c r="X509" s="8"/>
      <c r="Y509" s="8"/>
      <c r="Z509" s="6">
        <f t="shared" si="104"/>
        <v>100</v>
      </c>
      <c r="AA509" s="19"/>
      <c r="AB509" s="19"/>
      <c r="AC509" s="19"/>
      <c r="AD509" s="6">
        <f t="shared" si="105"/>
        <v>100</v>
      </c>
      <c r="AE509" s="19"/>
      <c r="AF509" s="19"/>
      <c r="AG509" s="19"/>
      <c r="AH509" s="6">
        <f t="shared" si="106"/>
        <v>100</v>
      </c>
      <c r="AI509" s="19"/>
      <c r="AJ509" s="19"/>
      <c r="AK509" s="19"/>
      <c r="AL509" s="6">
        <f t="shared" si="107"/>
        <v>100</v>
      </c>
      <c r="AM509" s="19"/>
      <c r="AN509" s="19"/>
      <c r="AO509" s="19"/>
      <c r="AP509" s="6">
        <f t="shared" si="108"/>
        <v>100</v>
      </c>
      <c r="AQ509" s="19"/>
      <c r="AR509" s="19"/>
      <c r="AS509" s="19"/>
      <c r="AT509" s="6">
        <f t="shared" si="109"/>
        <v>100</v>
      </c>
    </row>
    <row r="510" spans="1:46">
      <c r="A510" s="4">
        <v>46324</v>
      </c>
      <c r="B510" s="257"/>
      <c r="C510" s="7"/>
      <c r="D510" s="7"/>
      <c r="E510" s="7"/>
      <c r="F510" s="6">
        <f t="shared" si="99"/>
        <v>100</v>
      </c>
      <c r="G510" s="8"/>
      <c r="H510" s="8"/>
      <c r="I510" s="8"/>
      <c r="J510" s="6">
        <f t="shared" si="100"/>
        <v>100</v>
      </c>
      <c r="K510" s="19"/>
      <c r="L510" s="19"/>
      <c r="M510" s="19"/>
      <c r="N510" s="6">
        <f t="shared" si="101"/>
        <v>100</v>
      </c>
      <c r="O510" s="19"/>
      <c r="P510" s="19"/>
      <c r="Q510" s="19"/>
      <c r="R510" s="6">
        <f t="shared" si="102"/>
        <v>100</v>
      </c>
      <c r="S510" s="8"/>
      <c r="T510" s="8"/>
      <c r="U510" s="8"/>
      <c r="V510" s="6">
        <f t="shared" si="103"/>
        <v>100</v>
      </c>
      <c r="W510" s="8"/>
      <c r="X510" s="8"/>
      <c r="Y510" s="8"/>
      <c r="Z510" s="6">
        <f t="shared" si="104"/>
        <v>100</v>
      </c>
      <c r="AA510" s="19"/>
      <c r="AB510" s="19"/>
      <c r="AC510" s="19"/>
      <c r="AD510" s="6">
        <f t="shared" si="105"/>
        <v>100</v>
      </c>
      <c r="AE510" s="19"/>
      <c r="AF510" s="19"/>
      <c r="AG510" s="19"/>
      <c r="AH510" s="6">
        <f t="shared" si="106"/>
        <v>100</v>
      </c>
      <c r="AI510" s="19"/>
      <c r="AJ510" s="19"/>
      <c r="AK510" s="19"/>
      <c r="AL510" s="6">
        <f t="shared" si="107"/>
        <v>100</v>
      </c>
      <c r="AM510" s="19"/>
      <c r="AN510" s="19"/>
      <c r="AO510" s="19"/>
      <c r="AP510" s="6">
        <f t="shared" si="108"/>
        <v>100</v>
      </c>
      <c r="AQ510" s="19"/>
      <c r="AR510" s="19"/>
      <c r="AS510" s="19"/>
      <c r="AT510" s="6">
        <f t="shared" si="109"/>
        <v>100</v>
      </c>
    </row>
    <row r="511" spans="1:46">
      <c r="A511" s="4">
        <v>46325</v>
      </c>
      <c r="B511" s="257"/>
      <c r="C511" s="7"/>
      <c r="D511" s="7"/>
      <c r="E511" s="7"/>
      <c r="F511" s="6">
        <f t="shared" si="99"/>
        <v>100</v>
      </c>
      <c r="G511" s="8"/>
      <c r="H511" s="8"/>
      <c r="I511" s="8"/>
      <c r="J511" s="6">
        <f t="shared" si="100"/>
        <v>100</v>
      </c>
      <c r="K511" s="19"/>
      <c r="L511" s="19"/>
      <c r="M511" s="19"/>
      <c r="N511" s="6">
        <f t="shared" si="101"/>
        <v>100</v>
      </c>
      <c r="O511" s="19"/>
      <c r="P511" s="19"/>
      <c r="Q511" s="19"/>
      <c r="R511" s="6">
        <f t="shared" si="102"/>
        <v>100</v>
      </c>
      <c r="S511" s="8"/>
      <c r="T511" s="8"/>
      <c r="U511" s="8"/>
      <c r="V511" s="6">
        <f t="shared" si="103"/>
        <v>100</v>
      </c>
      <c r="W511" s="8"/>
      <c r="X511" s="8"/>
      <c r="Y511" s="8"/>
      <c r="Z511" s="6">
        <f t="shared" si="104"/>
        <v>100</v>
      </c>
      <c r="AA511" s="19"/>
      <c r="AB511" s="19"/>
      <c r="AC511" s="19"/>
      <c r="AD511" s="6">
        <f t="shared" si="105"/>
        <v>100</v>
      </c>
      <c r="AE511" s="19"/>
      <c r="AF511" s="19"/>
      <c r="AG511" s="19"/>
      <c r="AH511" s="6">
        <f t="shared" si="106"/>
        <v>100</v>
      </c>
      <c r="AI511" s="19"/>
      <c r="AJ511" s="19"/>
      <c r="AK511" s="19"/>
      <c r="AL511" s="6">
        <f t="shared" si="107"/>
        <v>100</v>
      </c>
      <c r="AM511" s="19"/>
      <c r="AN511" s="19"/>
      <c r="AO511" s="19"/>
      <c r="AP511" s="6">
        <f t="shared" si="108"/>
        <v>100</v>
      </c>
      <c r="AQ511" s="19"/>
      <c r="AR511" s="19"/>
      <c r="AS511" s="19"/>
      <c r="AT511" s="6">
        <f t="shared" si="109"/>
        <v>100</v>
      </c>
    </row>
    <row r="512" spans="1:46">
      <c r="A512" s="4">
        <v>46326</v>
      </c>
      <c r="B512" s="257"/>
      <c r="C512" s="7"/>
      <c r="D512" s="7"/>
      <c r="E512" s="7"/>
      <c r="F512" s="6">
        <f t="shared" si="99"/>
        <v>100</v>
      </c>
      <c r="G512" s="8"/>
      <c r="H512" s="8"/>
      <c r="I512" s="8"/>
      <c r="J512" s="6">
        <f t="shared" si="100"/>
        <v>100</v>
      </c>
      <c r="K512" s="19"/>
      <c r="L512" s="19"/>
      <c r="M512" s="19"/>
      <c r="N512" s="6">
        <f t="shared" si="101"/>
        <v>100</v>
      </c>
      <c r="O512" s="19"/>
      <c r="P512" s="19"/>
      <c r="Q512" s="19"/>
      <c r="R512" s="6">
        <f t="shared" si="102"/>
        <v>100</v>
      </c>
      <c r="S512" s="8"/>
      <c r="T512" s="8"/>
      <c r="U512" s="8"/>
      <c r="V512" s="6">
        <f t="shared" si="103"/>
        <v>100</v>
      </c>
      <c r="W512" s="8"/>
      <c r="X512" s="8"/>
      <c r="Y512" s="8"/>
      <c r="Z512" s="6">
        <f t="shared" si="104"/>
        <v>100</v>
      </c>
      <c r="AA512" s="19"/>
      <c r="AB512" s="19"/>
      <c r="AC512" s="19"/>
      <c r="AD512" s="6">
        <f t="shared" si="105"/>
        <v>100</v>
      </c>
      <c r="AE512" s="19"/>
      <c r="AF512" s="19"/>
      <c r="AG512" s="19"/>
      <c r="AH512" s="6">
        <f t="shared" si="106"/>
        <v>100</v>
      </c>
      <c r="AI512" s="19"/>
      <c r="AJ512" s="19"/>
      <c r="AK512" s="19"/>
      <c r="AL512" s="6">
        <f t="shared" si="107"/>
        <v>100</v>
      </c>
      <c r="AM512" s="19"/>
      <c r="AN512" s="19"/>
      <c r="AO512" s="19"/>
      <c r="AP512" s="6">
        <f t="shared" si="108"/>
        <v>100</v>
      </c>
      <c r="AQ512" s="19"/>
      <c r="AR512" s="19"/>
      <c r="AS512" s="19"/>
      <c r="AT512" s="6">
        <f t="shared" si="109"/>
        <v>100</v>
      </c>
    </row>
    <row r="513" spans="1:46">
      <c r="A513" s="4">
        <v>46327</v>
      </c>
      <c r="B513" s="257"/>
      <c r="C513" s="7"/>
      <c r="D513" s="7"/>
      <c r="E513" s="7"/>
      <c r="F513" s="6">
        <f t="shared" si="99"/>
        <v>100</v>
      </c>
      <c r="G513" s="8"/>
      <c r="H513" s="8"/>
      <c r="I513" s="8"/>
      <c r="J513" s="6">
        <f t="shared" si="100"/>
        <v>100</v>
      </c>
      <c r="K513" s="19"/>
      <c r="L513" s="19"/>
      <c r="M513" s="19"/>
      <c r="N513" s="6">
        <f t="shared" si="101"/>
        <v>100</v>
      </c>
      <c r="O513" s="19"/>
      <c r="P513" s="19"/>
      <c r="Q513" s="19"/>
      <c r="R513" s="6">
        <f t="shared" si="102"/>
        <v>100</v>
      </c>
      <c r="S513" s="8"/>
      <c r="T513" s="8"/>
      <c r="U513" s="8"/>
      <c r="V513" s="6">
        <f t="shared" si="103"/>
        <v>100</v>
      </c>
      <c r="W513" s="8"/>
      <c r="X513" s="8"/>
      <c r="Y513" s="8"/>
      <c r="Z513" s="6">
        <f t="shared" si="104"/>
        <v>100</v>
      </c>
      <c r="AA513" s="19"/>
      <c r="AB513" s="19"/>
      <c r="AC513" s="19"/>
      <c r="AD513" s="6">
        <f t="shared" si="105"/>
        <v>100</v>
      </c>
      <c r="AE513" s="19"/>
      <c r="AF513" s="19"/>
      <c r="AG513" s="19"/>
      <c r="AH513" s="6">
        <f t="shared" si="106"/>
        <v>100</v>
      </c>
      <c r="AI513" s="19"/>
      <c r="AJ513" s="19"/>
      <c r="AK513" s="19"/>
      <c r="AL513" s="6">
        <f t="shared" si="107"/>
        <v>100</v>
      </c>
      <c r="AM513" s="19"/>
      <c r="AN513" s="19"/>
      <c r="AO513" s="19"/>
      <c r="AP513" s="6">
        <f t="shared" si="108"/>
        <v>100</v>
      </c>
      <c r="AQ513" s="19"/>
      <c r="AR513" s="19"/>
      <c r="AS513" s="19"/>
      <c r="AT513" s="6">
        <f t="shared" si="109"/>
        <v>100</v>
      </c>
    </row>
    <row r="514" spans="1:46">
      <c r="A514" s="4">
        <v>46328</v>
      </c>
      <c r="B514" s="257"/>
      <c r="C514" s="7"/>
      <c r="D514" s="7"/>
      <c r="E514" s="7"/>
      <c r="F514" s="6">
        <f t="shared" si="99"/>
        <v>100</v>
      </c>
      <c r="G514" s="8"/>
      <c r="H514" s="8"/>
      <c r="I514" s="8"/>
      <c r="J514" s="6">
        <f t="shared" si="100"/>
        <v>100</v>
      </c>
      <c r="K514" s="19"/>
      <c r="L514" s="19"/>
      <c r="M514" s="19"/>
      <c r="N514" s="6">
        <f t="shared" si="101"/>
        <v>100</v>
      </c>
      <c r="O514" s="19"/>
      <c r="P514" s="19"/>
      <c r="Q514" s="19"/>
      <c r="R514" s="6">
        <f t="shared" si="102"/>
        <v>100</v>
      </c>
      <c r="S514" s="8"/>
      <c r="T514" s="8"/>
      <c r="U514" s="8"/>
      <c r="V514" s="6">
        <f t="shared" si="103"/>
        <v>100</v>
      </c>
      <c r="W514" s="8"/>
      <c r="X514" s="8"/>
      <c r="Y514" s="8"/>
      <c r="Z514" s="6">
        <f t="shared" si="104"/>
        <v>100</v>
      </c>
      <c r="AA514" s="19"/>
      <c r="AB514" s="19"/>
      <c r="AC514" s="19"/>
      <c r="AD514" s="6">
        <f t="shared" si="105"/>
        <v>100</v>
      </c>
      <c r="AE514" s="19"/>
      <c r="AF514" s="19"/>
      <c r="AG514" s="19"/>
      <c r="AH514" s="6">
        <f t="shared" si="106"/>
        <v>100</v>
      </c>
      <c r="AI514" s="19"/>
      <c r="AJ514" s="19"/>
      <c r="AK514" s="19"/>
      <c r="AL514" s="6">
        <f t="shared" si="107"/>
        <v>100</v>
      </c>
      <c r="AM514" s="19"/>
      <c r="AN514" s="19"/>
      <c r="AO514" s="19"/>
      <c r="AP514" s="6">
        <f t="shared" si="108"/>
        <v>100</v>
      </c>
      <c r="AQ514" s="19"/>
      <c r="AR514" s="19"/>
      <c r="AS514" s="19"/>
      <c r="AT514" s="6">
        <f t="shared" si="109"/>
        <v>100</v>
      </c>
    </row>
    <row r="515" spans="1:46">
      <c r="A515" s="4">
        <v>46329</v>
      </c>
      <c r="B515" s="257"/>
      <c r="C515" s="7"/>
      <c r="D515" s="7"/>
      <c r="E515" s="7"/>
      <c r="F515" s="6">
        <f t="shared" si="99"/>
        <v>100</v>
      </c>
      <c r="G515" s="8"/>
      <c r="H515" s="8"/>
      <c r="I515" s="8"/>
      <c r="J515" s="6">
        <f t="shared" si="100"/>
        <v>100</v>
      </c>
      <c r="K515" s="19"/>
      <c r="L515" s="19"/>
      <c r="M515" s="19"/>
      <c r="N515" s="6">
        <f t="shared" si="101"/>
        <v>100</v>
      </c>
      <c r="O515" s="19"/>
      <c r="P515" s="19"/>
      <c r="Q515" s="19"/>
      <c r="R515" s="6">
        <f t="shared" si="102"/>
        <v>100</v>
      </c>
      <c r="S515" s="8"/>
      <c r="T515" s="8"/>
      <c r="U515" s="8"/>
      <c r="V515" s="6">
        <f t="shared" si="103"/>
        <v>100</v>
      </c>
      <c r="W515" s="8"/>
      <c r="X515" s="8"/>
      <c r="Y515" s="8"/>
      <c r="Z515" s="6">
        <f t="shared" si="104"/>
        <v>100</v>
      </c>
      <c r="AA515" s="19"/>
      <c r="AB515" s="19"/>
      <c r="AC515" s="19"/>
      <c r="AD515" s="6">
        <f t="shared" si="105"/>
        <v>100</v>
      </c>
      <c r="AE515" s="19"/>
      <c r="AF515" s="19"/>
      <c r="AG515" s="19"/>
      <c r="AH515" s="6">
        <f t="shared" si="106"/>
        <v>100</v>
      </c>
      <c r="AI515" s="19"/>
      <c r="AJ515" s="19"/>
      <c r="AK515" s="19"/>
      <c r="AL515" s="6">
        <f t="shared" si="107"/>
        <v>100</v>
      </c>
      <c r="AM515" s="19"/>
      <c r="AN515" s="19"/>
      <c r="AO515" s="19"/>
      <c r="AP515" s="6">
        <f t="shared" si="108"/>
        <v>100</v>
      </c>
      <c r="AQ515" s="19"/>
      <c r="AR515" s="19"/>
      <c r="AS515" s="19"/>
      <c r="AT515" s="6">
        <f t="shared" si="109"/>
        <v>100</v>
      </c>
    </row>
    <row r="516" spans="1:46">
      <c r="A516" s="4">
        <v>46330</v>
      </c>
      <c r="B516" s="257"/>
      <c r="C516" s="7"/>
      <c r="D516" s="7"/>
      <c r="E516" s="7"/>
      <c r="F516" s="6">
        <f t="shared" si="99"/>
        <v>100</v>
      </c>
      <c r="G516" s="8"/>
      <c r="H516" s="8"/>
      <c r="I516" s="8"/>
      <c r="J516" s="6">
        <f t="shared" si="100"/>
        <v>100</v>
      </c>
      <c r="K516" s="19"/>
      <c r="L516" s="19"/>
      <c r="M516" s="19"/>
      <c r="N516" s="6">
        <f t="shared" si="101"/>
        <v>100</v>
      </c>
      <c r="O516" s="19"/>
      <c r="P516" s="19"/>
      <c r="Q516" s="19"/>
      <c r="R516" s="6">
        <f t="shared" si="102"/>
        <v>100</v>
      </c>
      <c r="S516" s="8"/>
      <c r="T516" s="8"/>
      <c r="U516" s="8"/>
      <c r="V516" s="6">
        <f t="shared" si="103"/>
        <v>100</v>
      </c>
      <c r="W516" s="8"/>
      <c r="X516" s="8"/>
      <c r="Y516" s="8"/>
      <c r="Z516" s="6">
        <f t="shared" si="104"/>
        <v>100</v>
      </c>
      <c r="AA516" s="19"/>
      <c r="AB516" s="19"/>
      <c r="AC516" s="19"/>
      <c r="AD516" s="6">
        <f t="shared" si="105"/>
        <v>100</v>
      </c>
      <c r="AE516" s="19"/>
      <c r="AF516" s="19"/>
      <c r="AG516" s="19"/>
      <c r="AH516" s="6">
        <f t="shared" si="106"/>
        <v>100</v>
      </c>
      <c r="AI516" s="19"/>
      <c r="AJ516" s="19"/>
      <c r="AK516" s="19"/>
      <c r="AL516" s="6">
        <f t="shared" si="107"/>
        <v>100</v>
      </c>
      <c r="AM516" s="19"/>
      <c r="AN516" s="19"/>
      <c r="AO516" s="19"/>
      <c r="AP516" s="6">
        <f t="shared" si="108"/>
        <v>100</v>
      </c>
      <c r="AQ516" s="19"/>
      <c r="AR516" s="19"/>
      <c r="AS516" s="19"/>
      <c r="AT516" s="6">
        <f t="shared" si="109"/>
        <v>100</v>
      </c>
    </row>
    <row r="517" spans="1:46">
      <c r="A517" s="4">
        <v>46331</v>
      </c>
      <c r="B517" s="257"/>
      <c r="C517" s="7"/>
      <c r="D517" s="7"/>
      <c r="E517" s="7"/>
      <c r="F517" s="6">
        <f t="shared" si="99"/>
        <v>100</v>
      </c>
      <c r="G517" s="8"/>
      <c r="H517" s="8"/>
      <c r="I517" s="8"/>
      <c r="J517" s="6">
        <f t="shared" si="100"/>
        <v>100</v>
      </c>
      <c r="K517" s="19"/>
      <c r="L517" s="19"/>
      <c r="M517" s="19"/>
      <c r="N517" s="6">
        <f t="shared" si="101"/>
        <v>100</v>
      </c>
      <c r="O517" s="19"/>
      <c r="P517" s="19"/>
      <c r="Q517" s="19"/>
      <c r="R517" s="6">
        <f t="shared" si="102"/>
        <v>100</v>
      </c>
      <c r="S517" s="8"/>
      <c r="T517" s="8"/>
      <c r="U517" s="8"/>
      <c r="V517" s="6">
        <f t="shared" si="103"/>
        <v>100</v>
      </c>
      <c r="W517" s="8"/>
      <c r="X517" s="8"/>
      <c r="Y517" s="8"/>
      <c r="Z517" s="6">
        <f t="shared" si="104"/>
        <v>100</v>
      </c>
      <c r="AA517" s="19"/>
      <c r="AB517" s="19"/>
      <c r="AC517" s="19"/>
      <c r="AD517" s="6">
        <f t="shared" si="105"/>
        <v>100</v>
      </c>
      <c r="AE517" s="19"/>
      <c r="AF517" s="19"/>
      <c r="AG517" s="19"/>
      <c r="AH517" s="6">
        <f t="shared" si="106"/>
        <v>100</v>
      </c>
      <c r="AI517" s="19"/>
      <c r="AJ517" s="19"/>
      <c r="AK517" s="19"/>
      <c r="AL517" s="6">
        <f t="shared" si="107"/>
        <v>100</v>
      </c>
      <c r="AM517" s="19"/>
      <c r="AN517" s="19"/>
      <c r="AO517" s="19"/>
      <c r="AP517" s="6">
        <f t="shared" si="108"/>
        <v>100</v>
      </c>
      <c r="AQ517" s="19"/>
      <c r="AR517" s="19"/>
      <c r="AS517" s="19"/>
      <c r="AT517" s="6">
        <f t="shared" si="109"/>
        <v>100</v>
      </c>
    </row>
    <row r="518" spans="1:46">
      <c r="A518" s="70">
        <v>46332</v>
      </c>
      <c r="B518" s="257"/>
      <c r="C518" s="7"/>
      <c r="D518" s="7"/>
      <c r="E518" s="7"/>
      <c r="F518" s="6">
        <f t="shared" si="99"/>
        <v>100</v>
      </c>
      <c r="G518" s="8"/>
      <c r="H518" s="8"/>
      <c r="I518" s="8"/>
      <c r="J518" s="6">
        <f t="shared" si="100"/>
        <v>100</v>
      </c>
      <c r="K518" s="19"/>
      <c r="L518" s="19"/>
      <c r="M518" s="19"/>
      <c r="N518" s="6">
        <f t="shared" si="101"/>
        <v>100</v>
      </c>
      <c r="O518" s="19"/>
      <c r="P518" s="19"/>
      <c r="Q518" s="19"/>
      <c r="R518" s="6">
        <f t="shared" si="102"/>
        <v>100</v>
      </c>
      <c r="S518" s="8"/>
      <c r="T518" s="8"/>
      <c r="U518" s="8"/>
      <c r="V518" s="6">
        <f t="shared" si="103"/>
        <v>100</v>
      </c>
      <c r="W518" s="8"/>
      <c r="X518" s="8"/>
      <c r="Y518" s="8"/>
      <c r="Z518" s="6">
        <f t="shared" si="104"/>
        <v>100</v>
      </c>
      <c r="AA518" s="19"/>
      <c r="AB518" s="19"/>
      <c r="AC518" s="19"/>
      <c r="AD518" s="6">
        <f t="shared" si="105"/>
        <v>100</v>
      </c>
      <c r="AE518" s="19"/>
      <c r="AF518" s="19"/>
      <c r="AG518" s="19"/>
      <c r="AH518" s="6">
        <f t="shared" si="106"/>
        <v>100</v>
      </c>
      <c r="AI518" s="19"/>
      <c r="AJ518" s="19"/>
      <c r="AK518" s="19"/>
      <c r="AL518" s="6">
        <f t="shared" si="107"/>
        <v>100</v>
      </c>
      <c r="AM518" s="19"/>
      <c r="AN518" s="19"/>
      <c r="AO518" s="19"/>
      <c r="AP518" s="6">
        <f t="shared" si="108"/>
        <v>100</v>
      </c>
      <c r="AQ518" s="19"/>
      <c r="AR518" s="19"/>
      <c r="AS518" s="19"/>
      <c r="AT518" s="6">
        <f t="shared" si="109"/>
        <v>100</v>
      </c>
    </row>
    <row r="519" spans="1:46">
      <c r="A519" s="4">
        <v>46333</v>
      </c>
      <c r="B519" s="257"/>
      <c r="C519" s="7"/>
      <c r="D519" s="7"/>
      <c r="E519" s="7"/>
      <c r="F519" s="6">
        <f t="shared" si="99"/>
        <v>100</v>
      </c>
      <c r="G519" s="8"/>
      <c r="H519" s="8"/>
      <c r="I519" s="8"/>
      <c r="J519" s="6">
        <f t="shared" si="100"/>
        <v>100</v>
      </c>
      <c r="K519" s="19"/>
      <c r="L519" s="19"/>
      <c r="M519" s="19"/>
      <c r="N519" s="6">
        <f t="shared" si="101"/>
        <v>100</v>
      </c>
      <c r="O519" s="19"/>
      <c r="P519" s="19"/>
      <c r="Q519" s="19"/>
      <c r="R519" s="6">
        <f t="shared" si="102"/>
        <v>100</v>
      </c>
      <c r="S519" s="8"/>
      <c r="T519" s="8"/>
      <c r="U519" s="8"/>
      <c r="V519" s="6">
        <f t="shared" si="103"/>
        <v>100</v>
      </c>
      <c r="W519" s="8"/>
      <c r="X519" s="8"/>
      <c r="Y519" s="8"/>
      <c r="Z519" s="6">
        <f t="shared" si="104"/>
        <v>100</v>
      </c>
      <c r="AA519" s="19"/>
      <c r="AB519" s="19"/>
      <c r="AC519" s="19"/>
      <c r="AD519" s="6">
        <f t="shared" si="105"/>
        <v>100</v>
      </c>
      <c r="AE519" s="19"/>
      <c r="AF519" s="19"/>
      <c r="AG519" s="19"/>
      <c r="AH519" s="6">
        <f t="shared" si="106"/>
        <v>100</v>
      </c>
      <c r="AI519" s="19"/>
      <c r="AJ519" s="19"/>
      <c r="AK519" s="19"/>
      <c r="AL519" s="6">
        <f t="shared" si="107"/>
        <v>100</v>
      </c>
      <c r="AM519" s="19"/>
      <c r="AN519" s="19"/>
      <c r="AO519" s="19"/>
      <c r="AP519" s="6">
        <f t="shared" si="108"/>
        <v>100</v>
      </c>
      <c r="AQ519" s="19"/>
      <c r="AR519" s="19"/>
      <c r="AS519" s="19"/>
      <c r="AT519" s="6">
        <f t="shared" si="109"/>
        <v>100</v>
      </c>
    </row>
    <row r="520" spans="1:46">
      <c r="A520" s="4">
        <v>46334</v>
      </c>
      <c r="B520" s="257"/>
      <c r="C520" s="7"/>
      <c r="D520" s="7"/>
      <c r="E520" s="7"/>
      <c r="F520" s="6">
        <f t="shared" si="99"/>
        <v>100</v>
      </c>
      <c r="G520" s="8"/>
      <c r="H520" s="8"/>
      <c r="I520" s="8"/>
      <c r="J520" s="6">
        <f t="shared" si="100"/>
        <v>100</v>
      </c>
      <c r="K520" s="19"/>
      <c r="L520" s="19"/>
      <c r="M520" s="19"/>
      <c r="N520" s="6">
        <f t="shared" si="101"/>
        <v>100</v>
      </c>
      <c r="O520" s="19"/>
      <c r="P520" s="19"/>
      <c r="Q520" s="19"/>
      <c r="R520" s="6">
        <f t="shared" si="102"/>
        <v>100</v>
      </c>
      <c r="S520" s="8"/>
      <c r="T520" s="8"/>
      <c r="U520" s="8"/>
      <c r="V520" s="6">
        <f t="shared" si="103"/>
        <v>100</v>
      </c>
      <c r="W520" s="8"/>
      <c r="X520" s="8"/>
      <c r="Y520" s="8"/>
      <c r="Z520" s="6">
        <f t="shared" si="104"/>
        <v>100</v>
      </c>
      <c r="AA520" s="19"/>
      <c r="AB520" s="19"/>
      <c r="AC520" s="19"/>
      <c r="AD520" s="6">
        <f t="shared" si="105"/>
        <v>100</v>
      </c>
      <c r="AE520" s="19"/>
      <c r="AF520" s="19"/>
      <c r="AG520" s="19"/>
      <c r="AH520" s="6">
        <f t="shared" si="106"/>
        <v>100</v>
      </c>
      <c r="AI520" s="19"/>
      <c r="AJ520" s="19"/>
      <c r="AK520" s="19"/>
      <c r="AL520" s="6">
        <f t="shared" si="107"/>
        <v>100</v>
      </c>
      <c r="AM520" s="19"/>
      <c r="AN520" s="19"/>
      <c r="AO520" s="19"/>
      <c r="AP520" s="6">
        <f t="shared" si="108"/>
        <v>100</v>
      </c>
      <c r="AQ520" s="19"/>
      <c r="AR520" s="19"/>
      <c r="AS520" s="19"/>
      <c r="AT520" s="6">
        <f t="shared" si="109"/>
        <v>100</v>
      </c>
    </row>
    <row r="521" spans="1:46">
      <c r="A521" s="4">
        <v>46335</v>
      </c>
      <c r="B521" s="257"/>
      <c r="C521" s="7"/>
      <c r="D521" s="7"/>
      <c r="E521" s="7"/>
      <c r="F521" s="6">
        <f t="shared" si="99"/>
        <v>100</v>
      </c>
      <c r="G521" s="8"/>
      <c r="H521" s="8"/>
      <c r="I521" s="8"/>
      <c r="J521" s="6">
        <f t="shared" si="100"/>
        <v>100</v>
      </c>
      <c r="K521" s="19"/>
      <c r="L521" s="19"/>
      <c r="M521" s="19"/>
      <c r="N521" s="6">
        <f t="shared" si="101"/>
        <v>100</v>
      </c>
      <c r="O521" s="19"/>
      <c r="P521" s="19"/>
      <c r="Q521" s="19"/>
      <c r="R521" s="6">
        <f t="shared" si="102"/>
        <v>100</v>
      </c>
      <c r="S521" s="8"/>
      <c r="T521" s="8"/>
      <c r="U521" s="8"/>
      <c r="V521" s="6">
        <f t="shared" si="103"/>
        <v>100</v>
      </c>
      <c r="W521" s="8"/>
      <c r="X521" s="8"/>
      <c r="Y521" s="8"/>
      <c r="Z521" s="6">
        <f t="shared" si="104"/>
        <v>100</v>
      </c>
      <c r="AA521" s="19"/>
      <c r="AB521" s="19"/>
      <c r="AC521" s="19"/>
      <c r="AD521" s="6">
        <f t="shared" si="105"/>
        <v>100</v>
      </c>
      <c r="AE521" s="19"/>
      <c r="AF521" s="19"/>
      <c r="AG521" s="19"/>
      <c r="AH521" s="6">
        <f t="shared" si="106"/>
        <v>100</v>
      </c>
      <c r="AI521" s="19"/>
      <c r="AJ521" s="19"/>
      <c r="AK521" s="19"/>
      <c r="AL521" s="6">
        <f t="shared" si="107"/>
        <v>100</v>
      </c>
      <c r="AM521" s="19"/>
      <c r="AN521" s="19"/>
      <c r="AO521" s="19"/>
      <c r="AP521" s="6">
        <f t="shared" si="108"/>
        <v>100</v>
      </c>
      <c r="AQ521" s="19"/>
      <c r="AR521" s="19"/>
      <c r="AS521" s="19"/>
      <c r="AT521" s="6">
        <f t="shared" si="109"/>
        <v>100</v>
      </c>
    </row>
    <row r="522" spans="1:46">
      <c r="A522" s="4">
        <v>46336</v>
      </c>
      <c r="B522" s="257"/>
      <c r="C522" s="7"/>
      <c r="D522" s="7"/>
      <c r="E522" s="7"/>
      <c r="F522" s="6">
        <f t="shared" si="99"/>
        <v>100</v>
      </c>
      <c r="G522" s="8"/>
      <c r="H522" s="8"/>
      <c r="I522" s="8"/>
      <c r="J522" s="6">
        <f t="shared" si="100"/>
        <v>100</v>
      </c>
      <c r="K522" s="19"/>
      <c r="L522" s="19"/>
      <c r="M522" s="19"/>
      <c r="N522" s="6">
        <f t="shared" si="101"/>
        <v>100</v>
      </c>
      <c r="O522" s="19"/>
      <c r="P522" s="19"/>
      <c r="Q522" s="19"/>
      <c r="R522" s="6">
        <f t="shared" si="102"/>
        <v>100</v>
      </c>
      <c r="S522" s="8"/>
      <c r="T522" s="8"/>
      <c r="U522" s="8"/>
      <c r="V522" s="6">
        <f t="shared" si="103"/>
        <v>100</v>
      </c>
      <c r="W522" s="8"/>
      <c r="X522" s="8"/>
      <c r="Y522" s="8"/>
      <c r="Z522" s="6">
        <f t="shared" si="104"/>
        <v>100</v>
      </c>
      <c r="AA522" s="19"/>
      <c r="AB522" s="19"/>
      <c r="AC522" s="19"/>
      <c r="AD522" s="6">
        <f t="shared" si="105"/>
        <v>100</v>
      </c>
      <c r="AE522" s="19"/>
      <c r="AF522" s="19"/>
      <c r="AG522" s="19"/>
      <c r="AH522" s="6">
        <f t="shared" si="106"/>
        <v>100</v>
      </c>
      <c r="AI522" s="19"/>
      <c r="AJ522" s="19"/>
      <c r="AK522" s="19"/>
      <c r="AL522" s="6">
        <f t="shared" si="107"/>
        <v>100</v>
      </c>
      <c r="AM522" s="19"/>
      <c r="AN522" s="19"/>
      <c r="AO522" s="19"/>
      <c r="AP522" s="6">
        <f t="shared" si="108"/>
        <v>100</v>
      </c>
      <c r="AQ522" s="19"/>
      <c r="AR522" s="19"/>
      <c r="AS522" s="19"/>
      <c r="AT522" s="6">
        <f t="shared" si="109"/>
        <v>100</v>
      </c>
    </row>
    <row r="523" spans="1:46">
      <c r="A523" s="4">
        <v>46337</v>
      </c>
      <c r="B523" s="257"/>
      <c r="C523" s="7"/>
      <c r="D523" s="7"/>
      <c r="E523" s="7"/>
      <c r="F523" s="6">
        <f t="shared" si="99"/>
        <v>100</v>
      </c>
      <c r="G523" s="8"/>
      <c r="H523" s="8"/>
      <c r="I523" s="8"/>
      <c r="J523" s="6">
        <f t="shared" si="100"/>
        <v>100</v>
      </c>
      <c r="K523" s="19"/>
      <c r="L523" s="19"/>
      <c r="M523" s="19"/>
      <c r="N523" s="6">
        <f t="shared" si="101"/>
        <v>100</v>
      </c>
      <c r="O523" s="19"/>
      <c r="P523" s="19"/>
      <c r="Q523" s="19"/>
      <c r="R523" s="6">
        <f t="shared" si="102"/>
        <v>100</v>
      </c>
      <c r="S523" s="8"/>
      <c r="T523" s="8"/>
      <c r="U523" s="8"/>
      <c r="V523" s="6">
        <f t="shared" si="103"/>
        <v>100</v>
      </c>
      <c r="W523" s="8"/>
      <c r="X523" s="8"/>
      <c r="Y523" s="8"/>
      <c r="Z523" s="6">
        <f t="shared" si="104"/>
        <v>100</v>
      </c>
      <c r="AA523" s="19"/>
      <c r="AB523" s="19"/>
      <c r="AC523" s="19"/>
      <c r="AD523" s="6">
        <f t="shared" si="105"/>
        <v>100</v>
      </c>
      <c r="AE523" s="19"/>
      <c r="AF523" s="19"/>
      <c r="AG523" s="19"/>
      <c r="AH523" s="6">
        <f t="shared" si="106"/>
        <v>100</v>
      </c>
      <c r="AI523" s="19"/>
      <c r="AJ523" s="19"/>
      <c r="AK523" s="19"/>
      <c r="AL523" s="6">
        <f t="shared" si="107"/>
        <v>100</v>
      </c>
      <c r="AM523" s="19"/>
      <c r="AN523" s="19"/>
      <c r="AO523" s="19"/>
      <c r="AP523" s="6">
        <f t="shared" si="108"/>
        <v>100</v>
      </c>
      <c r="AQ523" s="19"/>
      <c r="AR523" s="19"/>
      <c r="AS523" s="19"/>
      <c r="AT523" s="6">
        <f t="shared" si="109"/>
        <v>100</v>
      </c>
    </row>
    <row r="524" spans="1:46">
      <c r="A524" s="4">
        <v>46338</v>
      </c>
      <c r="B524" s="257"/>
      <c r="C524" s="7"/>
      <c r="D524" s="7"/>
      <c r="E524" s="7"/>
      <c r="F524" s="6">
        <f t="shared" si="99"/>
        <v>100</v>
      </c>
      <c r="G524" s="8"/>
      <c r="H524" s="8"/>
      <c r="I524" s="8"/>
      <c r="J524" s="6">
        <f t="shared" si="100"/>
        <v>100</v>
      </c>
      <c r="K524" s="19"/>
      <c r="L524" s="19"/>
      <c r="M524" s="19"/>
      <c r="N524" s="6">
        <f t="shared" si="101"/>
        <v>100</v>
      </c>
      <c r="O524" s="19"/>
      <c r="P524" s="19"/>
      <c r="Q524" s="19"/>
      <c r="R524" s="6">
        <f t="shared" si="102"/>
        <v>100</v>
      </c>
      <c r="S524" s="8"/>
      <c r="T524" s="8"/>
      <c r="U524" s="8"/>
      <c r="V524" s="6">
        <f t="shared" si="103"/>
        <v>100</v>
      </c>
      <c r="W524" s="8"/>
      <c r="X524" s="8"/>
      <c r="Y524" s="8"/>
      <c r="Z524" s="6">
        <f t="shared" si="104"/>
        <v>100</v>
      </c>
      <c r="AA524" s="19"/>
      <c r="AB524" s="19"/>
      <c r="AC524" s="19"/>
      <c r="AD524" s="6">
        <f t="shared" si="105"/>
        <v>100</v>
      </c>
      <c r="AE524" s="19"/>
      <c r="AF524" s="19"/>
      <c r="AG524" s="19"/>
      <c r="AH524" s="6">
        <f t="shared" si="106"/>
        <v>100</v>
      </c>
      <c r="AI524" s="19"/>
      <c r="AJ524" s="19"/>
      <c r="AK524" s="19"/>
      <c r="AL524" s="6">
        <f t="shared" si="107"/>
        <v>100</v>
      </c>
      <c r="AM524" s="19"/>
      <c r="AN524" s="19"/>
      <c r="AO524" s="19"/>
      <c r="AP524" s="6">
        <f t="shared" si="108"/>
        <v>100</v>
      </c>
      <c r="AQ524" s="19"/>
      <c r="AR524" s="19"/>
      <c r="AS524" s="19"/>
      <c r="AT524" s="6">
        <f t="shared" si="109"/>
        <v>100</v>
      </c>
    </row>
    <row r="525" spans="1:46">
      <c r="A525" s="4">
        <v>46339</v>
      </c>
      <c r="B525" s="257"/>
      <c r="C525" s="7"/>
      <c r="D525" s="7"/>
      <c r="E525" s="7"/>
      <c r="F525" s="6">
        <f t="shared" si="99"/>
        <v>100</v>
      </c>
      <c r="G525" s="8"/>
      <c r="H525" s="8"/>
      <c r="I525" s="8"/>
      <c r="J525" s="6">
        <f t="shared" si="100"/>
        <v>100</v>
      </c>
      <c r="K525" s="19"/>
      <c r="L525" s="19"/>
      <c r="M525" s="19"/>
      <c r="N525" s="6">
        <f t="shared" si="101"/>
        <v>100</v>
      </c>
      <c r="O525" s="19"/>
      <c r="P525" s="19"/>
      <c r="Q525" s="19"/>
      <c r="R525" s="6">
        <f t="shared" si="102"/>
        <v>100</v>
      </c>
      <c r="S525" s="8"/>
      <c r="T525" s="8"/>
      <c r="U525" s="8"/>
      <c r="V525" s="6">
        <f t="shared" si="103"/>
        <v>100</v>
      </c>
      <c r="W525" s="8"/>
      <c r="X525" s="8"/>
      <c r="Y525" s="8"/>
      <c r="Z525" s="6">
        <f t="shared" si="104"/>
        <v>100</v>
      </c>
      <c r="AA525" s="19"/>
      <c r="AB525" s="19"/>
      <c r="AC525" s="19"/>
      <c r="AD525" s="6">
        <f t="shared" si="105"/>
        <v>100</v>
      </c>
      <c r="AE525" s="19"/>
      <c r="AF525" s="19"/>
      <c r="AG525" s="19"/>
      <c r="AH525" s="6">
        <f t="shared" si="106"/>
        <v>100</v>
      </c>
      <c r="AI525" s="19"/>
      <c r="AJ525" s="19"/>
      <c r="AK525" s="19"/>
      <c r="AL525" s="6">
        <f t="shared" si="107"/>
        <v>100</v>
      </c>
      <c r="AM525" s="19"/>
      <c r="AN525" s="19"/>
      <c r="AO525" s="19"/>
      <c r="AP525" s="6">
        <f t="shared" si="108"/>
        <v>100</v>
      </c>
      <c r="AQ525" s="19"/>
      <c r="AR525" s="19"/>
      <c r="AS525" s="19"/>
      <c r="AT525" s="6">
        <f t="shared" si="109"/>
        <v>100</v>
      </c>
    </row>
    <row r="526" spans="1:46">
      <c r="A526" s="4">
        <v>46340</v>
      </c>
      <c r="B526" s="257"/>
      <c r="C526" s="7"/>
      <c r="D526" s="7"/>
      <c r="E526" s="7"/>
      <c r="F526" s="6">
        <f t="shared" si="99"/>
        <v>100</v>
      </c>
      <c r="G526" s="8"/>
      <c r="H526" s="8"/>
      <c r="I526" s="8"/>
      <c r="J526" s="6">
        <f t="shared" si="100"/>
        <v>100</v>
      </c>
      <c r="K526" s="19"/>
      <c r="L526" s="19"/>
      <c r="M526" s="19"/>
      <c r="N526" s="6">
        <f t="shared" si="101"/>
        <v>100</v>
      </c>
      <c r="O526" s="19"/>
      <c r="P526" s="19"/>
      <c r="Q526" s="19"/>
      <c r="R526" s="6">
        <f t="shared" si="102"/>
        <v>100</v>
      </c>
      <c r="S526" s="8"/>
      <c r="T526" s="8"/>
      <c r="U526" s="8"/>
      <c r="V526" s="6">
        <f t="shared" si="103"/>
        <v>100</v>
      </c>
      <c r="W526" s="8"/>
      <c r="X526" s="8"/>
      <c r="Y526" s="8"/>
      <c r="Z526" s="6">
        <f t="shared" si="104"/>
        <v>100</v>
      </c>
      <c r="AA526" s="19"/>
      <c r="AB526" s="19"/>
      <c r="AC526" s="19"/>
      <c r="AD526" s="6">
        <f t="shared" si="105"/>
        <v>100</v>
      </c>
      <c r="AE526" s="19"/>
      <c r="AF526" s="19"/>
      <c r="AG526" s="19"/>
      <c r="AH526" s="6">
        <f t="shared" si="106"/>
        <v>100</v>
      </c>
      <c r="AI526" s="19"/>
      <c r="AJ526" s="19"/>
      <c r="AK526" s="19"/>
      <c r="AL526" s="6">
        <f t="shared" si="107"/>
        <v>100</v>
      </c>
      <c r="AM526" s="19"/>
      <c r="AN526" s="19"/>
      <c r="AO526" s="19"/>
      <c r="AP526" s="6">
        <f t="shared" si="108"/>
        <v>100</v>
      </c>
      <c r="AQ526" s="19"/>
      <c r="AR526" s="19"/>
      <c r="AS526" s="19"/>
      <c r="AT526" s="6">
        <f t="shared" si="109"/>
        <v>100</v>
      </c>
    </row>
    <row r="527" spans="1:46">
      <c r="A527" s="4">
        <v>46341</v>
      </c>
      <c r="B527" s="257"/>
      <c r="C527" s="7"/>
      <c r="D527" s="7"/>
      <c r="E527" s="7"/>
      <c r="F527" s="6">
        <f t="shared" si="99"/>
        <v>100</v>
      </c>
      <c r="G527" s="8"/>
      <c r="H527" s="8"/>
      <c r="I527" s="8"/>
      <c r="J527" s="6">
        <f t="shared" si="100"/>
        <v>100</v>
      </c>
      <c r="K527" s="19"/>
      <c r="L527" s="19"/>
      <c r="M527" s="19"/>
      <c r="N527" s="6">
        <f t="shared" si="101"/>
        <v>100</v>
      </c>
      <c r="O527" s="19"/>
      <c r="P527" s="19"/>
      <c r="Q527" s="19"/>
      <c r="R527" s="6">
        <f t="shared" si="102"/>
        <v>100</v>
      </c>
      <c r="S527" s="8"/>
      <c r="T527" s="8"/>
      <c r="U527" s="8"/>
      <c r="V527" s="6">
        <f t="shared" si="103"/>
        <v>100</v>
      </c>
      <c r="W527" s="8"/>
      <c r="X527" s="8"/>
      <c r="Y527" s="8"/>
      <c r="Z527" s="6">
        <f t="shared" si="104"/>
        <v>100</v>
      </c>
      <c r="AA527" s="19"/>
      <c r="AB527" s="19"/>
      <c r="AC527" s="19"/>
      <c r="AD527" s="6">
        <f t="shared" si="105"/>
        <v>100</v>
      </c>
      <c r="AE527" s="19"/>
      <c r="AF527" s="19"/>
      <c r="AG527" s="19"/>
      <c r="AH527" s="6">
        <f t="shared" si="106"/>
        <v>100</v>
      </c>
      <c r="AI527" s="19"/>
      <c r="AJ527" s="19"/>
      <c r="AK527" s="19"/>
      <c r="AL527" s="6">
        <f t="shared" si="107"/>
        <v>100</v>
      </c>
      <c r="AM527" s="19"/>
      <c r="AN527" s="19"/>
      <c r="AO527" s="19"/>
      <c r="AP527" s="6">
        <f t="shared" si="108"/>
        <v>100</v>
      </c>
      <c r="AQ527" s="19"/>
      <c r="AR527" s="19"/>
      <c r="AS527" s="19"/>
      <c r="AT527" s="6">
        <f t="shared" si="109"/>
        <v>100</v>
      </c>
    </row>
    <row r="528" spans="1:46">
      <c r="A528" s="70">
        <v>46342</v>
      </c>
      <c r="B528" s="257"/>
      <c r="C528" s="7"/>
      <c r="D528" s="7"/>
      <c r="E528" s="7"/>
      <c r="F528" s="6">
        <f t="shared" si="99"/>
        <v>100</v>
      </c>
      <c r="G528" s="8"/>
      <c r="H528" s="8"/>
      <c r="I528" s="8"/>
      <c r="J528" s="6">
        <f t="shared" si="100"/>
        <v>100</v>
      </c>
      <c r="K528" s="19"/>
      <c r="L528" s="19"/>
      <c r="M528" s="19"/>
      <c r="N528" s="6">
        <f t="shared" si="101"/>
        <v>100</v>
      </c>
      <c r="O528" s="19"/>
      <c r="P528" s="19"/>
      <c r="Q528" s="19"/>
      <c r="R528" s="6">
        <f t="shared" si="102"/>
        <v>100</v>
      </c>
      <c r="S528" s="8"/>
      <c r="T528" s="8"/>
      <c r="U528" s="8"/>
      <c r="V528" s="6">
        <f t="shared" si="103"/>
        <v>100</v>
      </c>
      <c r="W528" s="8"/>
      <c r="X528" s="8"/>
      <c r="Y528" s="8"/>
      <c r="Z528" s="6">
        <f t="shared" si="104"/>
        <v>100</v>
      </c>
      <c r="AA528" s="19"/>
      <c r="AB528" s="19"/>
      <c r="AC528" s="19"/>
      <c r="AD528" s="6">
        <f t="shared" si="105"/>
        <v>100</v>
      </c>
      <c r="AE528" s="19"/>
      <c r="AF528" s="19"/>
      <c r="AG528" s="19"/>
      <c r="AH528" s="6">
        <f t="shared" si="106"/>
        <v>100</v>
      </c>
      <c r="AI528" s="19"/>
      <c r="AJ528" s="19"/>
      <c r="AK528" s="19"/>
      <c r="AL528" s="6">
        <f t="shared" si="107"/>
        <v>100</v>
      </c>
      <c r="AM528" s="19"/>
      <c r="AN528" s="19"/>
      <c r="AO528" s="19"/>
      <c r="AP528" s="6">
        <f t="shared" si="108"/>
        <v>100</v>
      </c>
      <c r="AQ528" s="19"/>
      <c r="AR528" s="19"/>
      <c r="AS528" s="19"/>
      <c r="AT528" s="6">
        <f t="shared" si="109"/>
        <v>100</v>
      </c>
    </row>
    <row r="529" spans="1:46">
      <c r="A529" s="4">
        <v>46343</v>
      </c>
      <c r="B529" s="257"/>
      <c r="C529" s="7"/>
      <c r="D529" s="7"/>
      <c r="E529" s="7"/>
      <c r="F529" s="6">
        <f t="shared" ref="F529:F573" si="110">100-SUM(C529:E529)</f>
        <v>100</v>
      </c>
      <c r="G529" s="8"/>
      <c r="H529" s="8"/>
      <c r="I529" s="8"/>
      <c r="J529" s="6">
        <f t="shared" ref="J529:J573" si="111">100-SUM(G529:I529)</f>
        <v>100</v>
      </c>
      <c r="K529" s="19"/>
      <c r="L529" s="19"/>
      <c r="M529" s="19"/>
      <c r="N529" s="6">
        <f t="shared" ref="N529:N573" si="112">100-SUM(K529:M529)</f>
        <v>100</v>
      </c>
      <c r="O529" s="19"/>
      <c r="P529" s="19"/>
      <c r="Q529" s="19"/>
      <c r="R529" s="6">
        <f t="shared" ref="R529:R573" si="113">100-SUM(O529:Q529)</f>
        <v>100</v>
      </c>
      <c r="S529" s="8"/>
      <c r="T529" s="8"/>
      <c r="U529" s="8"/>
      <c r="V529" s="6">
        <f t="shared" ref="V529:V573" si="114">100-SUM(S529:U529)</f>
        <v>100</v>
      </c>
      <c r="W529" s="8"/>
      <c r="X529" s="8"/>
      <c r="Y529" s="8"/>
      <c r="Z529" s="6">
        <f t="shared" ref="Z529:Z573" si="115">100-SUM(W529:Y529)</f>
        <v>100</v>
      </c>
      <c r="AA529" s="19"/>
      <c r="AB529" s="19"/>
      <c r="AC529" s="19"/>
      <c r="AD529" s="6">
        <f t="shared" ref="AD529:AD573" si="116">100-SUM(AA529:AC529)</f>
        <v>100</v>
      </c>
      <c r="AE529" s="19"/>
      <c r="AF529" s="19"/>
      <c r="AG529" s="19"/>
      <c r="AH529" s="6">
        <f t="shared" ref="AH529:AH573" si="117">100-SUM(AE529:AG529)</f>
        <v>100</v>
      </c>
      <c r="AI529" s="19"/>
      <c r="AJ529" s="19"/>
      <c r="AK529" s="19"/>
      <c r="AL529" s="6">
        <f t="shared" ref="AL529:AL573" si="118">100-SUM(AI529:AK529)</f>
        <v>100</v>
      </c>
      <c r="AM529" s="19"/>
      <c r="AN529" s="19"/>
      <c r="AO529" s="19"/>
      <c r="AP529" s="6">
        <f t="shared" ref="AP529:AP573" si="119">100-SUM(AM529:AO529)</f>
        <v>100</v>
      </c>
      <c r="AQ529" s="19"/>
      <c r="AR529" s="19"/>
      <c r="AS529" s="19"/>
      <c r="AT529" s="6">
        <f t="shared" ref="AT529:AT573" si="120">100-SUM(AQ529:AS529)</f>
        <v>100</v>
      </c>
    </row>
    <row r="530" spans="1:46">
      <c r="A530" s="4">
        <v>46344</v>
      </c>
      <c r="B530" s="257"/>
      <c r="C530" s="7"/>
      <c r="D530" s="7"/>
      <c r="E530" s="7"/>
      <c r="F530" s="6">
        <f t="shared" si="110"/>
        <v>100</v>
      </c>
      <c r="G530" s="8"/>
      <c r="H530" s="8"/>
      <c r="I530" s="8"/>
      <c r="J530" s="6">
        <f t="shared" si="111"/>
        <v>100</v>
      </c>
      <c r="K530" s="19"/>
      <c r="L530" s="19"/>
      <c r="M530" s="19"/>
      <c r="N530" s="6">
        <f t="shared" si="112"/>
        <v>100</v>
      </c>
      <c r="O530" s="19"/>
      <c r="P530" s="19"/>
      <c r="Q530" s="19"/>
      <c r="R530" s="6">
        <f t="shared" si="113"/>
        <v>100</v>
      </c>
      <c r="S530" s="8"/>
      <c r="T530" s="8"/>
      <c r="U530" s="8"/>
      <c r="V530" s="6">
        <f t="shared" si="114"/>
        <v>100</v>
      </c>
      <c r="W530" s="8"/>
      <c r="X530" s="8"/>
      <c r="Y530" s="8"/>
      <c r="Z530" s="6">
        <f t="shared" si="115"/>
        <v>100</v>
      </c>
      <c r="AA530" s="19"/>
      <c r="AB530" s="19"/>
      <c r="AC530" s="19"/>
      <c r="AD530" s="6">
        <f t="shared" si="116"/>
        <v>100</v>
      </c>
      <c r="AE530" s="19"/>
      <c r="AF530" s="19"/>
      <c r="AG530" s="19"/>
      <c r="AH530" s="6">
        <f t="shared" si="117"/>
        <v>100</v>
      </c>
      <c r="AI530" s="19"/>
      <c r="AJ530" s="19"/>
      <c r="AK530" s="19"/>
      <c r="AL530" s="6">
        <f t="shared" si="118"/>
        <v>100</v>
      </c>
      <c r="AM530" s="19"/>
      <c r="AN530" s="19"/>
      <c r="AO530" s="19"/>
      <c r="AP530" s="6">
        <f t="shared" si="119"/>
        <v>100</v>
      </c>
      <c r="AQ530" s="19"/>
      <c r="AR530" s="19"/>
      <c r="AS530" s="19"/>
      <c r="AT530" s="6">
        <f t="shared" si="120"/>
        <v>100</v>
      </c>
    </row>
    <row r="531" spans="1:46">
      <c r="A531" s="4">
        <v>46345</v>
      </c>
      <c r="B531" s="257"/>
      <c r="C531" s="7"/>
      <c r="D531" s="7"/>
      <c r="E531" s="7"/>
      <c r="F531" s="6">
        <f t="shared" si="110"/>
        <v>100</v>
      </c>
      <c r="G531" s="8"/>
      <c r="H531" s="8"/>
      <c r="I531" s="8"/>
      <c r="J531" s="6">
        <f t="shared" si="111"/>
        <v>100</v>
      </c>
      <c r="K531" s="19"/>
      <c r="L531" s="19"/>
      <c r="M531" s="19"/>
      <c r="N531" s="6">
        <f t="shared" si="112"/>
        <v>100</v>
      </c>
      <c r="O531" s="19"/>
      <c r="P531" s="19"/>
      <c r="Q531" s="19"/>
      <c r="R531" s="6">
        <f t="shared" si="113"/>
        <v>100</v>
      </c>
      <c r="S531" s="8"/>
      <c r="T531" s="8"/>
      <c r="U531" s="8"/>
      <c r="V531" s="6">
        <f t="shared" si="114"/>
        <v>100</v>
      </c>
      <c r="W531" s="8"/>
      <c r="X531" s="8"/>
      <c r="Y531" s="8"/>
      <c r="Z531" s="6">
        <f t="shared" si="115"/>
        <v>100</v>
      </c>
      <c r="AA531" s="19"/>
      <c r="AB531" s="19"/>
      <c r="AC531" s="19"/>
      <c r="AD531" s="6">
        <f t="shared" si="116"/>
        <v>100</v>
      </c>
      <c r="AE531" s="19"/>
      <c r="AF531" s="19"/>
      <c r="AG531" s="19"/>
      <c r="AH531" s="6">
        <f t="shared" si="117"/>
        <v>100</v>
      </c>
      <c r="AI531" s="19"/>
      <c r="AJ531" s="19"/>
      <c r="AK531" s="19"/>
      <c r="AL531" s="6">
        <f t="shared" si="118"/>
        <v>100</v>
      </c>
      <c r="AM531" s="19"/>
      <c r="AN531" s="19"/>
      <c r="AO531" s="19"/>
      <c r="AP531" s="6">
        <f t="shared" si="119"/>
        <v>100</v>
      </c>
      <c r="AQ531" s="19"/>
      <c r="AR531" s="19"/>
      <c r="AS531" s="19"/>
      <c r="AT531" s="6">
        <f t="shared" si="120"/>
        <v>100</v>
      </c>
    </row>
    <row r="532" spans="1:46">
      <c r="A532" s="4">
        <v>46346</v>
      </c>
      <c r="B532" s="257"/>
      <c r="C532" s="7"/>
      <c r="D532" s="7"/>
      <c r="E532" s="7"/>
      <c r="F532" s="6">
        <f t="shared" si="110"/>
        <v>100</v>
      </c>
      <c r="G532" s="8"/>
      <c r="H532" s="8"/>
      <c r="I532" s="8"/>
      <c r="J532" s="6">
        <f t="shared" si="111"/>
        <v>100</v>
      </c>
      <c r="K532" s="19"/>
      <c r="L532" s="19"/>
      <c r="M532" s="19"/>
      <c r="N532" s="6">
        <f t="shared" si="112"/>
        <v>100</v>
      </c>
      <c r="O532" s="19"/>
      <c r="P532" s="19"/>
      <c r="Q532" s="19"/>
      <c r="R532" s="6">
        <f t="shared" si="113"/>
        <v>100</v>
      </c>
      <c r="S532" s="8"/>
      <c r="T532" s="8"/>
      <c r="U532" s="8"/>
      <c r="V532" s="6">
        <f t="shared" si="114"/>
        <v>100</v>
      </c>
      <c r="W532" s="8"/>
      <c r="X532" s="8"/>
      <c r="Y532" s="8"/>
      <c r="Z532" s="6">
        <f t="shared" si="115"/>
        <v>100</v>
      </c>
      <c r="AA532" s="19"/>
      <c r="AB532" s="19"/>
      <c r="AC532" s="19"/>
      <c r="AD532" s="6">
        <f t="shared" si="116"/>
        <v>100</v>
      </c>
      <c r="AE532" s="19"/>
      <c r="AF532" s="19"/>
      <c r="AG532" s="19"/>
      <c r="AH532" s="6">
        <f t="shared" si="117"/>
        <v>100</v>
      </c>
      <c r="AI532" s="19"/>
      <c r="AJ532" s="19"/>
      <c r="AK532" s="19"/>
      <c r="AL532" s="6">
        <f t="shared" si="118"/>
        <v>100</v>
      </c>
      <c r="AM532" s="19"/>
      <c r="AN532" s="19"/>
      <c r="AO532" s="19"/>
      <c r="AP532" s="6">
        <f t="shared" si="119"/>
        <v>100</v>
      </c>
      <c r="AQ532" s="19"/>
      <c r="AR532" s="19"/>
      <c r="AS532" s="19"/>
      <c r="AT532" s="6">
        <f t="shared" si="120"/>
        <v>100</v>
      </c>
    </row>
    <row r="533" spans="1:46">
      <c r="A533" s="4">
        <v>46347</v>
      </c>
      <c r="B533" s="257"/>
      <c r="C533" s="7"/>
      <c r="D533" s="7"/>
      <c r="E533" s="7"/>
      <c r="F533" s="6">
        <f t="shared" si="110"/>
        <v>100</v>
      </c>
      <c r="G533" s="8"/>
      <c r="H533" s="8"/>
      <c r="I533" s="8"/>
      <c r="J533" s="6">
        <f t="shared" si="111"/>
        <v>100</v>
      </c>
      <c r="K533" s="19"/>
      <c r="L533" s="19"/>
      <c r="M533" s="19"/>
      <c r="N533" s="6">
        <f t="shared" si="112"/>
        <v>100</v>
      </c>
      <c r="O533" s="19"/>
      <c r="P533" s="19"/>
      <c r="Q533" s="19"/>
      <c r="R533" s="6">
        <f t="shared" si="113"/>
        <v>100</v>
      </c>
      <c r="S533" s="8"/>
      <c r="T533" s="8"/>
      <c r="U533" s="8"/>
      <c r="V533" s="6">
        <f t="shared" si="114"/>
        <v>100</v>
      </c>
      <c r="W533" s="8"/>
      <c r="X533" s="8"/>
      <c r="Y533" s="8"/>
      <c r="Z533" s="6">
        <f t="shared" si="115"/>
        <v>100</v>
      </c>
      <c r="AA533" s="19"/>
      <c r="AB533" s="19"/>
      <c r="AC533" s="19"/>
      <c r="AD533" s="6">
        <f t="shared" si="116"/>
        <v>100</v>
      </c>
      <c r="AE533" s="19"/>
      <c r="AF533" s="19"/>
      <c r="AG533" s="19"/>
      <c r="AH533" s="6">
        <f t="shared" si="117"/>
        <v>100</v>
      </c>
      <c r="AI533" s="19"/>
      <c r="AJ533" s="19"/>
      <c r="AK533" s="19"/>
      <c r="AL533" s="6">
        <f t="shared" si="118"/>
        <v>100</v>
      </c>
      <c r="AM533" s="19"/>
      <c r="AN533" s="19"/>
      <c r="AO533" s="19"/>
      <c r="AP533" s="6">
        <f t="shared" si="119"/>
        <v>100</v>
      </c>
      <c r="AQ533" s="19"/>
      <c r="AR533" s="19"/>
      <c r="AS533" s="19"/>
      <c r="AT533" s="6">
        <f t="shared" si="120"/>
        <v>100</v>
      </c>
    </row>
    <row r="534" spans="1:46">
      <c r="A534" s="4">
        <v>46348</v>
      </c>
      <c r="B534" s="257"/>
      <c r="C534" s="7"/>
      <c r="D534" s="7"/>
      <c r="E534" s="7"/>
      <c r="F534" s="6">
        <f t="shared" si="110"/>
        <v>100</v>
      </c>
      <c r="G534" s="8"/>
      <c r="H534" s="8"/>
      <c r="I534" s="8"/>
      <c r="J534" s="6">
        <f t="shared" si="111"/>
        <v>100</v>
      </c>
      <c r="K534" s="19"/>
      <c r="L534" s="19"/>
      <c r="M534" s="19"/>
      <c r="N534" s="6">
        <f t="shared" si="112"/>
        <v>100</v>
      </c>
      <c r="O534" s="19"/>
      <c r="P534" s="19"/>
      <c r="Q534" s="19"/>
      <c r="R534" s="6">
        <f t="shared" si="113"/>
        <v>100</v>
      </c>
      <c r="S534" s="8"/>
      <c r="T534" s="8"/>
      <c r="U534" s="8"/>
      <c r="V534" s="6">
        <f t="shared" si="114"/>
        <v>100</v>
      </c>
      <c r="W534" s="8"/>
      <c r="X534" s="8"/>
      <c r="Y534" s="8"/>
      <c r="Z534" s="6">
        <f t="shared" si="115"/>
        <v>100</v>
      </c>
      <c r="AA534" s="19"/>
      <c r="AB534" s="19"/>
      <c r="AC534" s="19"/>
      <c r="AD534" s="6">
        <f t="shared" si="116"/>
        <v>100</v>
      </c>
      <c r="AE534" s="19"/>
      <c r="AF534" s="19"/>
      <c r="AG534" s="19"/>
      <c r="AH534" s="6">
        <f t="shared" si="117"/>
        <v>100</v>
      </c>
      <c r="AI534" s="19"/>
      <c r="AJ534" s="19"/>
      <c r="AK534" s="19"/>
      <c r="AL534" s="6">
        <f t="shared" si="118"/>
        <v>100</v>
      </c>
      <c r="AM534" s="19"/>
      <c r="AN534" s="19"/>
      <c r="AO534" s="19"/>
      <c r="AP534" s="6">
        <f t="shared" si="119"/>
        <v>100</v>
      </c>
      <c r="AQ534" s="19"/>
      <c r="AR534" s="19"/>
      <c r="AS534" s="19"/>
      <c r="AT534" s="6">
        <f t="shared" si="120"/>
        <v>100</v>
      </c>
    </row>
    <row r="535" spans="1:46">
      <c r="A535" s="4">
        <v>46349</v>
      </c>
      <c r="B535" s="257"/>
      <c r="C535" s="7"/>
      <c r="D535" s="7"/>
      <c r="E535" s="7"/>
      <c r="F535" s="6">
        <f t="shared" si="110"/>
        <v>100</v>
      </c>
      <c r="G535" s="8"/>
      <c r="H535" s="8"/>
      <c r="I535" s="8"/>
      <c r="J535" s="6">
        <f t="shared" si="111"/>
        <v>100</v>
      </c>
      <c r="K535" s="19"/>
      <c r="L535" s="19"/>
      <c r="M535" s="19"/>
      <c r="N535" s="6">
        <f t="shared" si="112"/>
        <v>100</v>
      </c>
      <c r="O535" s="19"/>
      <c r="P535" s="19"/>
      <c r="Q535" s="19"/>
      <c r="R535" s="6">
        <f t="shared" si="113"/>
        <v>100</v>
      </c>
      <c r="S535" s="8"/>
      <c r="T535" s="8"/>
      <c r="U535" s="8"/>
      <c r="V535" s="6">
        <f t="shared" si="114"/>
        <v>100</v>
      </c>
      <c r="W535" s="8"/>
      <c r="X535" s="8"/>
      <c r="Y535" s="8"/>
      <c r="Z535" s="6">
        <f t="shared" si="115"/>
        <v>100</v>
      </c>
      <c r="AA535" s="19"/>
      <c r="AB535" s="19"/>
      <c r="AC535" s="19"/>
      <c r="AD535" s="6">
        <f t="shared" si="116"/>
        <v>100</v>
      </c>
      <c r="AE535" s="19"/>
      <c r="AF535" s="19"/>
      <c r="AG535" s="19"/>
      <c r="AH535" s="6">
        <f t="shared" si="117"/>
        <v>100</v>
      </c>
      <c r="AI535" s="19"/>
      <c r="AJ535" s="19"/>
      <c r="AK535" s="19"/>
      <c r="AL535" s="6">
        <f t="shared" si="118"/>
        <v>100</v>
      </c>
      <c r="AM535" s="19"/>
      <c r="AN535" s="19"/>
      <c r="AO535" s="19"/>
      <c r="AP535" s="6">
        <f t="shared" si="119"/>
        <v>100</v>
      </c>
      <c r="AQ535" s="19"/>
      <c r="AR535" s="19"/>
      <c r="AS535" s="19"/>
      <c r="AT535" s="6">
        <f t="shared" si="120"/>
        <v>100</v>
      </c>
    </row>
    <row r="536" spans="1:46">
      <c r="A536" s="4">
        <v>46350</v>
      </c>
      <c r="B536" s="257"/>
      <c r="C536" s="7"/>
      <c r="D536" s="7"/>
      <c r="E536" s="7"/>
      <c r="F536" s="6">
        <f t="shared" si="110"/>
        <v>100</v>
      </c>
      <c r="G536" s="8"/>
      <c r="H536" s="8"/>
      <c r="I536" s="8"/>
      <c r="J536" s="6">
        <f t="shared" si="111"/>
        <v>100</v>
      </c>
      <c r="K536" s="19"/>
      <c r="L536" s="19"/>
      <c r="M536" s="19"/>
      <c r="N536" s="6">
        <f t="shared" si="112"/>
        <v>100</v>
      </c>
      <c r="O536" s="19"/>
      <c r="P536" s="19"/>
      <c r="Q536" s="19"/>
      <c r="R536" s="6">
        <f t="shared" si="113"/>
        <v>100</v>
      </c>
      <c r="S536" s="8"/>
      <c r="T536" s="8"/>
      <c r="U536" s="8"/>
      <c r="V536" s="6">
        <f t="shared" si="114"/>
        <v>100</v>
      </c>
      <c r="W536" s="8"/>
      <c r="X536" s="8"/>
      <c r="Y536" s="8"/>
      <c r="Z536" s="6">
        <f t="shared" si="115"/>
        <v>100</v>
      </c>
      <c r="AA536" s="19"/>
      <c r="AB536" s="19"/>
      <c r="AC536" s="19"/>
      <c r="AD536" s="6">
        <f t="shared" si="116"/>
        <v>100</v>
      </c>
      <c r="AE536" s="19"/>
      <c r="AF536" s="19"/>
      <c r="AG536" s="19"/>
      <c r="AH536" s="6">
        <f t="shared" si="117"/>
        <v>100</v>
      </c>
      <c r="AI536" s="19"/>
      <c r="AJ536" s="19"/>
      <c r="AK536" s="19"/>
      <c r="AL536" s="6">
        <f t="shared" si="118"/>
        <v>100</v>
      </c>
      <c r="AM536" s="19"/>
      <c r="AN536" s="19"/>
      <c r="AO536" s="19"/>
      <c r="AP536" s="6">
        <f t="shared" si="119"/>
        <v>100</v>
      </c>
      <c r="AQ536" s="19"/>
      <c r="AR536" s="19"/>
      <c r="AS536" s="19"/>
      <c r="AT536" s="6">
        <f t="shared" si="120"/>
        <v>100</v>
      </c>
    </row>
    <row r="537" spans="1:46">
      <c r="A537" s="4">
        <v>46351</v>
      </c>
      <c r="B537" s="257"/>
      <c r="C537" s="7"/>
      <c r="D537" s="7"/>
      <c r="E537" s="7"/>
      <c r="F537" s="6">
        <f t="shared" si="110"/>
        <v>100</v>
      </c>
      <c r="G537" s="8"/>
      <c r="H537" s="8"/>
      <c r="I537" s="8"/>
      <c r="J537" s="6">
        <f t="shared" si="111"/>
        <v>100</v>
      </c>
      <c r="K537" s="19"/>
      <c r="L537" s="19"/>
      <c r="M537" s="19"/>
      <c r="N537" s="6">
        <f t="shared" si="112"/>
        <v>100</v>
      </c>
      <c r="O537" s="19"/>
      <c r="P537" s="19"/>
      <c r="Q537" s="19"/>
      <c r="R537" s="6">
        <f t="shared" si="113"/>
        <v>100</v>
      </c>
      <c r="S537" s="8"/>
      <c r="T537" s="8"/>
      <c r="U537" s="8"/>
      <c r="V537" s="6">
        <f t="shared" si="114"/>
        <v>100</v>
      </c>
      <c r="W537" s="8"/>
      <c r="X537" s="8"/>
      <c r="Y537" s="8"/>
      <c r="Z537" s="6">
        <f t="shared" si="115"/>
        <v>100</v>
      </c>
      <c r="AA537" s="19"/>
      <c r="AB537" s="19"/>
      <c r="AC537" s="19"/>
      <c r="AD537" s="6">
        <f t="shared" si="116"/>
        <v>100</v>
      </c>
      <c r="AE537" s="19"/>
      <c r="AF537" s="19"/>
      <c r="AG537" s="19"/>
      <c r="AH537" s="6">
        <f t="shared" si="117"/>
        <v>100</v>
      </c>
      <c r="AI537" s="19"/>
      <c r="AJ537" s="19"/>
      <c r="AK537" s="19"/>
      <c r="AL537" s="6">
        <f t="shared" si="118"/>
        <v>100</v>
      </c>
      <c r="AM537" s="19"/>
      <c r="AN537" s="19"/>
      <c r="AO537" s="19"/>
      <c r="AP537" s="6">
        <f t="shared" si="119"/>
        <v>100</v>
      </c>
      <c r="AQ537" s="19"/>
      <c r="AR537" s="19"/>
      <c r="AS537" s="19"/>
      <c r="AT537" s="6">
        <f t="shared" si="120"/>
        <v>100</v>
      </c>
    </row>
    <row r="538" spans="1:46">
      <c r="A538" s="70">
        <v>46352</v>
      </c>
      <c r="B538" s="257"/>
      <c r="C538" s="7"/>
      <c r="D538" s="7"/>
      <c r="E538" s="7"/>
      <c r="F538" s="6">
        <f t="shared" si="110"/>
        <v>100</v>
      </c>
      <c r="G538" s="8"/>
      <c r="H538" s="8"/>
      <c r="I538" s="8"/>
      <c r="J538" s="6">
        <f t="shared" si="111"/>
        <v>100</v>
      </c>
      <c r="K538" s="19"/>
      <c r="L538" s="19"/>
      <c r="M538" s="19"/>
      <c r="N538" s="6">
        <f t="shared" si="112"/>
        <v>100</v>
      </c>
      <c r="O538" s="19"/>
      <c r="P538" s="19"/>
      <c r="Q538" s="19"/>
      <c r="R538" s="6">
        <f t="shared" si="113"/>
        <v>100</v>
      </c>
      <c r="S538" s="8"/>
      <c r="T538" s="8"/>
      <c r="U538" s="8"/>
      <c r="V538" s="6">
        <f t="shared" si="114"/>
        <v>100</v>
      </c>
      <c r="W538" s="8"/>
      <c r="X538" s="8"/>
      <c r="Y538" s="8"/>
      <c r="Z538" s="6">
        <f t="shared" si="115"/>
        <v>100</v>
      </c>
      <c r="AA538" s="19"/>
      <c r="AB538" s="19"/>
      <c r="AC538" s="19"/>
      <c r="AD538" s="6">
        <f t="shared" si="116"/>
        <v>100</v>
      </c>
      <c r="AE538" s="19"/>
      <c r="AF538" s="19"/>
      <c r="AG538" s="19"/>
      <c r="AH538" s="6">
        <f t="shared" si="117"/>
        <v>100</v>
      </c>
      <c r="AI538" s="19"/>
      <c r="AJ538" s="19"/>
      <c r="AK538" s="19"/>
      <c r="AL538" s="6">
        <f t="shared" si="118"/>
        <v>100</v>
      </c>
      <c r="AM538" s="19"/>
      <c r="AN538" s="19"/>
      <c r="AO538" s="19"/>
      <c r="AP538" s="6">
        <f t="shared" si="119"/>
        <v>100</v>
      </c>
      <c r="AQ538" s="19"/>
      <c r="AR538" s="19"/>
      <c r="AS538" s="19"/>
      <c r="AT538" s="6">
        <f t="shared" si="120"/>
        <v>100</v>
      </c>
    </row>
    <row r="539" spans="1:46">
      <c r="A539" s="4">
        <v>46353</v>
      </c>
      <c r="B539" s="257"/>
      <c r="C539" s="7"/>
      <c r="D539" s="7"/>
      <c r="E539" s="7"/>
      <c r="F539" s="6">
        <f t="shared" si="110"/>
        <v>100</v>
      </c>
      <c r="G539" s="8"/>
      <c r="H539" s="8"/>
      <c r="I539" s="8"/>
      <c r="J539" s="6">
        <f t="shared" si="111"/>
        <v>100</v>
      </c>
      <c r="K539" s="19"/>
      <c r="L539" s="19"/>
      <c r="M539" s="19"/>
      <c r="N539" s="6">
        <f t="shared" si="112"/>
        <v>100</v>
      </c>
      <c r="O539" s="19"/>
      <c r="P539" s="19"/>
      <c r="Q539" s="19"/>
      <c r="R539" s="6">
        <f t="shared" si="113"/>
        <v>100</v>
      </c>
      <c r="S539" s="8"/>
      <c r="T539" s="8"/>
      <c r="U539" s="8"/>
      <c r="V539" s="6">
        <f t="shared" si="114"/>
        <v>100</v>
      </c>
      <c r="W539" s="8"/>
      <c r="X539" s="8"/>
      <c r="Y539" s="8"/>
      <c r="Z539" s="6">
        <f t="shared" si="115"/>
        <v>100</v>
      </c>
      <c r="AA539" s="19"/>
      <c r="AB539" s="19"/>
      <c r="AC539" s="19"/>
      <c r="AD539" s="6">
        <f t="shared" si="116"/>
        <v>100</v>
      </c>
      <c r="AE539" s="19"/>
      <c r="AF539" s="19"/>
      <c r="AG539" s="19"/>
      <c r="AH539" s="6">
        <f t="shared" si="117"/>
        <v>100</v>
      </c>
      <c r="AI539" s="19"/>
      <c r="AJ539" s="19"/>
      <c r="AK539" s="19"/>
      <c r="AL539" s="6">
        <f t="shared" si="118"/>
        <v>100</v>
      </c>
      <c r="AM539" s="19"/>
      <c r="AN539" s="19"/>
      <c r="AO539" s="19"/>
      <c r="AP539" s="6">
        <f t="shared" si="119"/>
        <v>100</v>
      </c>
      <c r="AQ539" s="19"/>
      <c r="AR539" s="19"/>
      <c r="AS539" s="19"/>
      <c r="AT539" s="6">
        <f t="shared" si="120"/>
        <v>100</v>
      </c>
    </row>
    <row r="540" spans="1:46">
      <c r="A540" s="4">
        <v>46354</v>
      </c>
      <c r="B540" s="257"/>
      <c r="C540" s="7"/>
      <c r="D540" s="7"/>
      <c r="E540" s="7"/>
      <c r="F540" s="6">
        <f t="shared" si="110"/>
        <v>100</v>
      </c>
      <c r="G540" s="8"/>
      <c r="H540" s="8"/>
      <c r="I540" s="8"/>
      <c r="J540" s="6">
        <f t="shared" si="111"/>
        <v>100</v>
      </c>
      <c r="K540" s="19"/>
      <c r="L540" s="19"/>
      <c r="M540" s="19"/>
      <c r="N540" s="6">
        <f t="shared" si="112"/>
        <v>100</v>
      </c>
      <c r="O540" s="19"/>
      <c r="P540" s="19"/>
      <c r="Q540" s="19"/>
      <c r="R540" s="6">
        <f t="shared" si="113"/>
        <v>100</v>
      </c>
      <c r="S540" s="8"/>
      <c r="T540" s="8"/>
      <c r="U540" s="8"/>
      <c r="V540" s="6">
        <f t="shared" si="114"/>
        <v>100</v>
      </c>
      <c r="W540" s="8"/>
      <c r="X540" s="8"/>
      <c r="Y540" s="8"/>
      <c r="Z540" s="6">
        <f t="shared" si="115"/>
        <v>100</v>
      </c>
      <c r="AA540" s="19"/>
      <c r="AB540" s="19"/>
      <c r="AC540" s="19"/>
      <c r="AD540" s="6">
        <f t="shared" si="116"/>
        <v>100</v>
      </c>
      <c r="AE540" s="19"/>
      <c r="AF540" s="19"/>
      <c r="AG540" s="19"/>
      <c r="AH540" s="6">
        <f t="shared" si="117"/>
        <v>100</v>
      </c>
      <c r="AI540" s="19"/>
      <c r="AJ540" s="19"/>
      <c r="AK540" s="19"/>
      <c r="AL540" s="6">
        <f t="shared" si="118"/>
        <v>100</v>
      </c>
      <c r="AM540" s="19"/>
      <c r="AN540" s="19"/>
      <c r="AO540" s="19"/>
      <c r="AP540" s="6">
        <f t="shared" si="119"/>
        <v>100</v>
      </c>
      <c r="AQ540" s="19"/>
      <c r="AR540" s="19"/>
      <c r="AS540" s="19"/>
      <c r="AT540" s="6">
        <f t="shared" si="120"/>
        <v>100</v>
      </c>
    </row>
    <row r="541" spans="1:46">
      <c r="A541" s="4">
        <v>46355</v>
      </c>
      <c r="B541" s="257"/>
      <c r="C541" s="7"/>
      <c r="D541" s="7"/>
      <c r="E541" s="7"/>
      <c r="F541" s="6">
        <f t="shared" si="110"/>
        <v>100</v>
      </c>
      <c r="G541" s="8"/>
      <c r="H541" s="8"/>
      <c r="I541" s="8"/>
      <c r="J541" s="6">
        <f t="shared" si="111"/>
        <v>100</v>
      </c>
      <c r="K541" s="19"/>
      <c r="L541" s="19"/>
      <c r="M541" s="19"/>
      <c r="N541" s="6">
        <f t="shared" si="112"/>
        <v>100</v>
      </c>
      <c r="O541" s="19"/>
      <c r="P541" s="19"/>
      <c r="Q541" s="19"/>
      <c r="R541" s="6">
        <f t="shared" si="113"/>
        <v>100</v>
      </c>
      <c r="S541" s="8"/>
      <c r="T541" s="8"/>
      <c r="U541" s="8"/>
      <c r="V541" s="6">
        <f t="shared" si="114"/>
        <v>100</v>
      </c>
      <c r="W541" s="8"/>
      <c r="X541" s="8"/>
      <c r="Y541" s="8"/>
      <c r="Z541" s="6">
        <f t="shared" si="115"/>
        <v>100</v>
      </c>
      <c r="AA541" s="19"/>
      <c r="AB541" s="19"/>
      <c r="AC541" s="19"/>
      <c r="AD541" s="6">
        <f t="shared" si="116"/>
        <v>100</v>
      </c>
      <c r="AE541" s="19"/>
      <c r="AF541" s="19"/>
      <c r="AG541" s="19"/>
      <c r="AH541" s="6">
        <f t="shared" si="117"/>
        <v>100</v>
      </c>
      <c r="AI541" s="19"/>
      <c r="AJ541" s="19"/>
      <c r="AK541" s="19"/>
      <c r="AL541" s="6">
        <f t="shared" si="118"/>
        <v>100</v>
      </c>
      <c r="AM541" s="19"/>
      <c r="AN541" s="19"/>
      <c r="AO541" s="19"/>
      <c r="AP541" s="6">
        <f t="shared" si="119"/>
        <v>100</v>
      </c>
      <c r="AQ541" s="19"/>
      <c r="AR541" s="19"/>
      <c r="AS541" s="19"/>
      <c r="AT541" s="6">
        <f t="shared" si="120"/>
        <v>100</v>
      </c>
    </row>
    <row r="542" spans="1:46">
      <c r="A542" s="4">
        <v>46356</v>
      </c>
      <c r="B542" s="257"/>
      <c r="C542" s="7"/>
      <c r="D542" s="7"/>
      <c r="E542" s="7"/>
      <c r="F542" s="6">
        <f t="shared" si="110"/>
        <v>100</v>
      </c>
      <c r="G542" s="8"/>
      <c r="H542" s="8"/>
      <c r="I542" s="8"/>
      <c r="J542" s="6">
        <f t="shared" si="111"/>
        <v>100</v>
      </c>
      <c r="K542" s="19"/>
      <c r="L542" s="19"/>
      <c r="M542" s="19"/>
      <c r="N542" s="6">
        <f t="shared" si="112"/>
        <v>100</v>
      </c>
      <c r="O542" s="19"/>
      <c r="P542" s="19"/>
      <c r="Q542" s="19"/>
      <c r="R542" s="6">
        <f t="shared" si="113"/>
        <v>100</v>
      </c>
      <c r="S542" s="8"/>
      <c r="T542" s="8"/>
      <c r="U542" s="8"/>
      <c r="V542" s="6">
        <f t="shared" si="114"/>
        <v>100</v>
      </c>
      <c r="W542" s="8"/>
      <c r="X542" s="8"/>
      <c r="Y542" s="8"/>
      <c r="Z542" s="6">
        <f t="shared" si="115"/>
        <v>100</v>
      </c>
      <c r="AA542" s="19"/>
      <c r="AB542" s="19"/>
      <c r="AC542" s="19"/>
      <c r="AD542" s="6">
        <f t="shared" si="116"/>
        <v>100</v>
      </c>
      <c r="AE542" s="19"/>
      <c r="AF542" s="19"/>
      <c r="AG542" s="19"/>
      <c r="AH542" s="6">
        <f t="shared" si="117"/>
        <v>100</v>
      </c>
      <c r="AI542" s="19"/>
      <c r="AJ542" s="19"/>
      <c r="AK542" s="19"/>
      <c r="AL542" s="6">
        <f t="shared" si="118"/>
        <v>100</v>
      </c>
      <c r="AM542" s="19"/>
      <c r="AN542" s="19"/>
      <c r="AO542" s="19"/>
      <c r="AP542" s="6">
        <f t="shared" si="119"/>
        <v>100</v>
      </c>
      <c r="AQ542" s="19"/>
      <c r="AR542" s="19"/>
      <c r="AS542" s="19"/>
      <c r="AT542" s="6">
        <f t="shared" si="120"/>
        <v>100</v>
      </c>
    </row>
    <row r="543" spans="1:46">
      <c r="A543" s="4">
        <v>46357</v>
      </c>
      <c r="B543" s="257"/>
      <c r="C543" s="7"/>
      <c r="D543" s="7"/>
      <c r="E543" s="7"/>
      <c r="F543" s="6">
        <f t="shared" si="110"/>
        <v>100</v>
      </c>
      <c r="G543" s="8"/>
      <c r="H543" s="8"/>
      <c r="I543" s="8"/>
      <c r="J543" s="6">
        <f t="shared" si="111"/>
        <v>100</v>
      </c>
      <c r="K543" s="19"/>
      <c r="L543" s="19"/>
      <c r="M543" s="19"/>
      <c r="N543" s="6">
        <f t="shared" si="112"/>
        <v>100</v>
      </c>
      <c r="O543" s="19"/>
      <c r="P543" s="19"/>
      <c r="Q543" s="19"/>
      <c r="R543" s="6">
        <f t="shared" si="113"/>
        <v>100</v>
      </c>
      <c r="S543" s="8"/>
      <c r="T543" s="8"/>
      <c r="U543" s="8"/>
      <c r="V543" s="6">
        <f t="shared" si="114"/>
        <v>100</v>
      </c>
      <c r="W543" s="8"/>
      <c r="X543" s="8"/>
      <c r="Y543" s="8"/>
      <c r="Z543" s="6">
        <f t="shared" si="115"/>
        <v>100</v>
      </c>
      <c r="AA543" s="19"/>
      <c r="AB543" s="19"/>
      <c r="AC543" s="19"/>
      <c r="AD543" s="6">
        <f t="shared" si="116"/>
        <v>100</v>
      </c>
      <c r="AE543" s="19"/>
      <c r="AF543" s="19"/>
      <c r="AG543" s="19"/>
      <c r="AH543" s="6">
        <f t="shared" si="117"/>
        <v>100</v>
      </c>
      <c r="AI543" s="19"/>
      <c r="AJ543" s="19"/>
      <c r="AK543" s="19"/>
      <c r="AL543" s="6">
        <f t="shared" si="118"/>
        <v>100</v>
      </c>
      <c r="AM543" s="19"/>
      <c r="AN543" s="19"/>
      <c r="AO543" s="19"/>
      <c r="AP543" s="6">
        <f t="shared" si="119"/>
        <v>100</v>
      </c>
      <c r="AQ543" s="19"/>
      <c r="AR543" s="19"/>
      <c r="AS543" s="19"/>
      <c r="AT543" s="6">
        <f t="shared" si="120"/>
        <v>100</v>
      </c>
    </row>
    <row r="544" spans="1:46">
      <c r="A544" s="4">
        <v>46358</v>
      </c>
      <c r="B544" s="257"/>
      <c r="C544" s="7"/>
      <c r="D544" s="7"/>
      <c r="E544" s="7"/>
      <c r="F544" s="6">
        <f t="shared" si="110"/>
        <v>100</v>
      </c>
      <c r="G544" s="8"/>
      <c r="H544" s="8"/>
      <c r="I544" s="8"/>
      <c r="J544" s="6">
        <f t="shared" si="111"/>
        <v>100</v>
      </c>
      <c r="K544" s="19"/>
      <c r="L544" s="19"/>
      <c r="M544" s="19"/>
      <c r="N544" s="6">
        <f t="shared" si="112"/>
        <v>100</v>
      </c>
      <c r="O544" s="19"/>
      <c r="P544" s="19"/>
      <c r="Q544" s="19"/>
      <c r="R544" s="6">
        <f t="shared" si="113"/>
        <v>100</v>
      </c>
      <c r="S544" s="8"/>
      <c r="T544" s="8"/>
      <c r="U544" s="8"/>
      <c r="V544" s="6">
        <f t="shared" si="114"/>
        <v>100</v>
      </c>
      <c r="W544" s="8"/>
      <c r="X544" s="8"/>
      <c r="Y544" s="8"/>
      <c r="Z544" s="6">
        <f t="shared" si="115"/>
        <v>100</v>
      </c>
      <c r="AA544" s="19"/>
      <c r="AB544" s="19"/>
      <c r="AC544" s="19"/>
      <c r="AD544" s="6">
        <f t="shared" si="116"/>
        <v>100</v>
      </c>
      <c r="AE544" s="19"/>
      <c r="AF544" s="19"/>
      <c r="AG544" s="19"/>
      <c r="AH544" s="6">
        <f t="shared" si="117"/>
        <v>100</v>
      </c>
      <c r="AI544" s="19"/>
      <c r="AJ544" s="19"/>
      <c r="AK544" s="19"/>
      <c r="AL544" s="6">
        <f t="shared" si="118"/>
        <v>100</v>
      </c>
      <c r="AM544" s="19"/>
      <c r="AN544" s="19"/>
      <c r="AO544" s="19"/>
      <c r="AP544" s="6">
        <f t="shared" si="119"/>
        <v>100</v>
      </c>
      <c r="AQ544" s="19"/>
      <c r="AR544" s="19"/>
      <c r="AS544" s="19"/>
      <c r="AT544" s="6">
        <f t="shared" si="120"/>
        <v>100</v>
      </c>
    </row>
    <row r="545" spans="1:46">
      <c r="A545" s="4">
        <v>46359</v>
      </c>
      <c r="B545" s="257"/>
      <c r="C545" s="7"/>
      <c r="D545" s="7"/>
      <c r="E545" s="7"/>
      <c r="F545" s="6">
        <f t="shared" si="110"/>
        <v>100</v>
      </c>
      <c r="G545" s="8"/>
      <c r="H545" s="8"/>
      <c r="I545" s="8"/>
      <c r="J545" s="6">
        <f t="shared" si="111"/>
        <v>100</v>
      </c>
      <c r="K545" s="19"/>
      <c r="L545" s="19"/>
      <c r="M545" s="19"/>
      <c r="N545" s="6">
        <f t="shared" si="112"/>
        <v>100</v>
      </c>
      <c r="O545" s="19"/>
      <c r="P545" s="19"/>
      <c r="Q545" s="19"/>
      <c r="R545" s="6">
        <f t="shared" si="113"/>
        <v>100</v>
      </c>
      <c r="S545" s="8"/>
      <c r="T545" s="8"/>
      <c r="U545" s="8"/>
      <c r="V545" s="6">
        <f t="shared" si="114"/>
        <v>100</v>
      </c>
      <c r="W545" s="8"/>
      <c r="X545" s="8"/>
      <c r="Y545" s="8"/>
      <c r="Z545" s="6">
        <f t="shared" si="115"/>
        <v>100</v>
      </c>
      <c r="AA545" s="19"/>
      <c r="AB545" s="19"/>
      <c r="AC545" s="19"/>
      <c r="AD545" s="6">
        <f t="shared" si="116"/>
        <v>100</v>
      </c>
      <c r="AE545" s="19"/>
      <c r="AF545" s="19"/>
      <c r="AG545" s="19"/>
      <c r="AH545" s="6">
        <f t="shared" si="117"/>
        <v>100</v>
      </c>
      <c r="AI545" s="19"/>
      <c r="AJ545" s="19"/>
      <c r="AK545" s="19"/>
      <c r="AL545" s="6">
        <f t="shared" si="118"/>
        <v>100</v>
      </c>
      <c r="AM545" s="19"/>
      <c r="AN545" s="19"/>
      <c r="AO545" s="19"/>
      <c r="AP545" s="6">
        <f t="shared" si="119"/>
        <v>100</v>
      </c>
      <c r="AQ545" s="19"/>
      <c r="AR545" s="19"/>
      <c r="AS545" s="19"/>
      <c r="AT545" s="6">
        <f t="shared" si="120"/>
        <v>100</v>
      </c>
    </row>
    <row r="546" spans="1:46">
      <c r="A546" s="4">
        <v>46360</v>
      </c>
      <c r="B546" s="257"/>
      <c r="C546" s="7"/>
      <c r="D546" s="7"/>
      <c r="E546" s="7"/>
      <c r="F546" s="6">
        <f t="shared" si="110"/>
        <v>100</v>
      </c>
      <c r="G546" s="8"/>
      <c r="H546" s="8"/>
      <c r="I546" s="8"/>
      <c r="J546" s="6">
        <f t="shared" si="111"/>
        <v>100</v>
      </c>
      <c r="K546" s="19"/>
      <c r="L546" s="19"/>
      <c r="M546" s="19"/>
      <c r="N546" s="6">
        <f t="shared" si="112"/>
        <v>100</v>
      </c>
      <c r="O546" s="19"/>
      <c r="P546" s="19"/>
      <c r="Q546" s="19"/>
      <c r="R546" s="6">
        <f t="shared" si="113"/>
        <v>100</v>
      </c>
      <c r="S546" s="8"/>
      <c r="T546" s="8"/>
      <c r="U546" s="8"/>
      <c r="V546" s="6">
        <f t="shared" si="114"/>
        <v>100</v>
      </c>
      <c r="W546" s="8"/>
      <c r="X546" s="8"/>
      <c r="Y546" s="8"/>
      <c r="Z546" s="6">
        <f t="shared" si="115"/>
        <v>100</v>
      </c>
      <c r="AA546" s="19"/>
      <c r="AB546" s="19"/>
      <c r="AC546" s="19"/>
      <c r="AD546" s="6">
        <f t="shared" si="116"/>
        <v>100</v>
      </c>
      <c r="AE546" s="19"/>
      <c r="AF546" s="19"/>
      <c r="AG546" s="19"/>
      <c r="AH546" s="6">
        <f t="shared" si="117"/>
        <v>100</v>
      </c>
      <c r="AI546" s="19"/>
      <c r="AJ546" s="19"/>
      <c r="AK546" s="19"/>
      <c r="AL546" s="6">
        <f t="shared" si="118"/>
        <v>100</v>
      </c>
      <c r="AM546" s="19"/>
      <c r="AN546" s="19"/>
      <c r="AO546" s="19"/>
      <c r="AP546" s="6">
        <f t="shared" si="119"/>
        <v>100</v>
      </c>
      <c r="AQ546" s="19"/>
      <c r="AR546" s="19"/>
      <c r="AS546" s="19"/>
      <c r="AT546" s="6">
        <f t="shared" si="120"/>
        <v>100</v>
      </c>
    </row>
    <row r="547" spans="1:46">
      <c r="A547" s="4">
        <v>46361</v>
      </c>
      <c r="B547" s="257"/>
      <c r="C547" s="7"/>
      <c r="D547" s="7"/>
      <c r="E547" s="7"/>
      <c r="F547" s="6">
        <f t="shared" si="110"/>
        <v>100</v>
      </c>
      <c r="G547" s="8"/>
      <c r="H547" s="8"/>
      <c r="I547" s="8"/>
      <c r="J547" s="6">
        <f t="shared" si="111"/>
        <v>100</v>
      </c>
      <c r="K547" s="19"/>
      <c r="L547" s="19"/>
      <c r="M547" s="19"/>
      <c r="N547" s="6">
        <f t="shared" si="112"/>
        <v>100</v>
      </c>
      <c r="O547" s="19"/>
      <c r="P547" s="19"/>
      <c r="Q547" s="19"/>
      <c r="R547" s="6">
        <f t="shared" si="113"/>
        <v>100</v>
      </c>
      <c r="S547" s="8"/>
      <c r="T547" s="8"/>
      <c r="U547" s="8"/>
      <c r="V547" s="6">
        <f t="shared" si="114"/>
        <v>100</v>
      </c>
      <c r="W547" s="8"/>
      <c r="X547" s="8"/>
      <c r="Y547" s="8"/>
      <c r="Z547" s="6">
        <f t="shared" si="115"/>
        <v>100</v>
      </c>
      <c r="AA547" s="19"/>
      <c r="AB547" s="19"/>
      <c r="AC547" s="19"/>
      <c r="AD547" s="6">
        <f t="shared" si="116"/>
        <v>100</v>
      </c>
      <c r="AE547" s="19"/>
      <c r="AF547" s="19"/>
      <c r="AG547" s="19"/>
      <c r="AH547" s="6">
        <f t="shared" si="117"/>
        <v>100</v>
      </c>
      <c r="AI547" s="19"/>
      <c r="AJ547" s="19"/>
      <c r="AK547" s="19"/>
      <c r="AL547" s="6">
        <f t="shared" si="118"/>
        <v>100</v>
      </c>
      <c r="AM547" s="19"/>
      <c r="AN547" s="19"/>
      <c r="AO547" s="19"/>
      <c r="AP547" s="6">
        <f t="shared" si="119"/>
        <v>100</v>
      </c>
      <c r="AQ547" s="19"/>
      <c r="AR547" s="19"/>
      <c r="AS547" s="19"/>
      <c r="AT547" s="6">
        <f t="shared" si="120"/>
        <v>100</v>
      </c>
    </row>
    <row r="548" spans="1:46">
      <c r="A548" s="70">
        <v>46362</v>
      </c>
      <c r="B548" s="257"/>
      <c r="C548" s="7"/>
      <c r="D548" s="7"/>
      <c r="E548" s="7"/>
      <c r="F548" s="6">
        <f t="shared" si="110"/>
        <v>100</v>
      </c>
      <c r="G548" s="8"/>
      <c r="H548" s="8"/>
      <c r="I548" s="8"/>
      <c r="J548" s="6">
        <f t="shared" si="111"/>
        <v>100</v>
      </c>
      <c r="K548" s="19"/>
      <c r="L548" s="19"/>
      <c r="M548" s="19"/>
      <c r="N548" s="6">
        <f t="shared" si="112"/>
        <v>100</v>
      </c>
      <c r="O548" s="19"/>
      <c r="P548" s="19"/>
      <c r="Q548" s="19"/>
      <c r="R548" s="6">
        <f t="shared" si="113"/>
        <v>100</v>
      </c>
      <c r="S548" s="8"/>
      <c r="T548" s="8"/>
      <c r="U548" s="8"/>
      <c r="V548" s="6">
        <f t="shared" si="114"/>
        <v>100</v>
      </c>
      <c r="W548" s="8"/>
      <c r="X548" s="8"/>
      <c r="Y548" s="8"/>
      <c r="Z548" s="6">
        <f t="shared" si="115"/>
        <v>100</v>
      </c>
      <c r="AA548" s="19"/>
      <c r="AB548" s="19"/>
      <c r="AC548" s="19"/>
      <c r="AD548" s="6">
        <f t="shared" si="116"/>
        <v>100</v>
      </c>
      <c r="AE548" s="19"/>
      <c r="AF548" s="19"/>
      <c r="AG548" s="19"/>
      <c r="AH548" s="6">
        <f t="shared" si="117"/>
        <v>100</v>
      </c>
      <c r="AI548" s="19"/>
      <c r="AJ548" s="19"/>
      <c r="AK548" s="19"/>
      <c r="AL548" s="6">
        <f t="shared" si="118"/>
        <v>100</v>
      </c>
      <c r="AM548" s="19"/>
      <c r="AN548" s="19"/>
      <c r="AO548" s="19"/>
      <c r="AP548" s="6">
        <f t="shared" si="119"/>
        <v>100</v>
      </c>
      <c r="AQ548" s="19"/>
      <c r="AR548" s="19"/>
      <c r="AS548" s="19"/>
      <c r="AT548" s="6">
        <f t="shared" si="120"/>
        <v>100</v>
      </c>
    </row>
    <row r="549" spans="1:46">
      <c r="A549" s="4">
        <v>46363</v>
      </c>
      <c r="B549" s="257"/>
      <c r="C549" s="7"/>
      <c r="D549" s="7"/>
      <c r="E549" s="7"/>
      <c r="F549" s="6">
        <f t="shared" si="110"/>
        <v>100</v>
      </c>
      <c r="G549" s="8"/>
      <c r="H549" s="8"/>
      <c r="I549" s="8"/>
      <c r="J549" s="6">
        <f t="shared" si="111"/>
        <v>100</v>
      </c>
      <c r="K549" s="19"/>
      <c r="L549" s="19"/>
      <c r="M549" s="19"/>
      <c r="N549" s="6">
        <f t="shared" si="112"/>
        <v>100</v>
      </c>
      <c r="O549" s="19"/>
      <c r="P549" s="19"/>
      <c r="Q549" s="19"/>
      <c r="R549" s="6">
        <f t="shared" si="113"/>
        <v>100</v>
      </c>
      <c r="S549" s="8"/>
      <c r="T549" s="8"/>
      <c r="U549" s="8"/>
      <c r="V549" s="6">
        <f t="shared" si="114"/>
        <v>100</v>
      </c>
      <c r="W549" s="8"/>
      <c r="X549" s="8"/>
      <c r="Y549" s="8"/>
      <c r="Z549" s="6">
        <f t="shared" si="115"/>
        <v>100</v>
      </c>
      <c r="AA549" s="19"/>
      <c r="AB549" s="19"/>
      <c r="AC549" s="19"/>
      <c r="AD549" s="6">
        <f t="shared" si="116"/>
        <v>100</v>
      </c>
      <c r="AE549" s="19"/>
      <c r="AF549" s="19"/>
      <c r="AG549" s="19"/>
      <c r="AH549" s="6">
        <f t="shared" si="117"/>
        <v>100</v>
      </c>
      <c r="AI549" s="19"/>
      <c r="AJ549" s="19"/>
      <c r="AK549" s="19"/>
      <c r="AL549" s="6">
        <f t="shared" si="118"/>
        <v>100</v>
      </c>
      <c r="AM549" s="19"/>
      <c r="AN549" s="19"/>
      <c r="AO549" s="19"/>
      <c r="AP549" s="6">
        <f t="shared" si="119"/>
        <v>100</v>
      </c>
      <c r="AQ549" s="19"/>
      <c r="AR549" s="19"/>
      <c r="AS549" s="19"/>
      <c r="AT549" s="6">
        <f t="shared" si="120"/>
        <v>100</v>
      </c>
    </row>
    <row r="550" spans="1:46">
      <c r="A550" s="4">
        <v>46364</v>
      </c>
      <c r="B550" s="257"/>
      <c r="C550" s="7"/>
      <c r="D550" s="7"/>
      <c r="E550" s="7"/>
      <c r="F550" s="6">
        <f t="shared" si="110"/>
        <v>100</v>
      </c>
      <c r="G550" s="8"/>
      <c r="H550" s="8"/>
      <c r="I550" s="8"/>
      <c r="J550" s="6">
        <f t="shared" si="111"/>
        <v>100</v>
      </c>
      <c r="K550" s="19"/>
      <c r="L550" s="19"/>
      <c r="M550" s="19"/>
      <c r="N550" s="6">
        <f t="shared" si="112"/>
        <v>100</v>
      </c>
      <c r="O550" s="19"/>
      <c r="P550" s="19"/>
      <c r="Q550" s="19"/>
      <c r="R550" s="6">
        <f t="shared" si="113"/>
        <v>100</v>
      </c>
      <c r="S550" s="8"/>
      <c r="T550" s="8"/>
      <c r="U550" s="8"/>
      <c r="V550" s="6">
        <f t="shared" si="114"/>
        <v>100</v>
      </c>
      <c r="W550" s="8"/>
      <c r="X550" s="8"/>
      <c r="Y550" s="8"/>
      <c r="Z550" s="6">
        <f t="shared" si="115"/>
        <v>100</v>
      </c>
      <c r="AA550" s="19"/>
      <c r="AB550" s="19"/>
      <c r="AC550" s="19"/>
      <c r="AD550" s="6">
        <f t="shared" si="116"/>
        <v>100</v>
      </c>
      <c r="AE550" s="19"/>
      <c r="AF550" s="19"/>
      <c r="AG550" s="19"/>
      <c r="AH550" s="6">
        <f t="shared" si="117"/>
        <v>100</v>
      </c>
      <c r="AI550" s="19"/>
      <c r="AJ550" s="19"/>
      <c r="AK550" s="19"/>
      <c r="AL550" s="6">
        <f t="shared" si="118"/>
        <v>100</v>
      </c>
      <c r="AM550" s="19"/>
      <c r="AN550" s="19"/>
      <c r="AO550" s="19"/>
      <c r="AP550" s="6">
        <f t="shared" si="119"/>
        <v>100</v>
      </c>
      <c r="AQ550" s="19"/>
      <c r="AR550" s="19"/>
      <c r="AS550" s="19"/>
      <c r="AT550" s="6">
        <f t="shared" si="120"/>
        <v>100</v>
      </c>
    </row>
    <row r="551" spans="1:46">
      <c r="A551" s="4">
        <v>46365</v>
      </c>
      <c r="B551" s="257"/>
      <c r="C551" s="7"/>
      <c r="D551" s="7"/>
      <c r="E551" s="7"/>
      <c r="F551" s="6">
        <f t="shared" si="110"/>
        <v>100</v>
      </c>
      <c r="G551" s="8"/>
      <c r="H551" s="8"/>
      <c r="I551" s="8"/>
      <c r="J551" s="6">
        <f t="shared" si="111"/>
        <v>100</v>
      </c>
      <c r="K551" s="19"/>
      <c r="L551" s="19"/>
      <c r="M551" s="19"/>
      <c r="N551" s="6">
        <f t="shared" si="112"/>
        <v>100</v>
      </c>
      <c r="O551" s="19"/>
      <c r="P551" s="19"/>
      <c r="Q551" s="19"/>
      <c r="R551" s="6">
        <f t="shared" si="113"/>
        <v>100</v>
      </c>
      <c r="S551" s="8"/>
      <c r="T551" s="8"/>
      <c r="U551" s="8"/>
      <c r="V551" s="6">
        <f t="shared" si="114"/>
        <v>100</v>
      </c>
      <c r="W551" s="8"/>
      <c r="X551" s="8"/>
      <c r="Y551" s="8"/>
      <c r="Z551" s="6">
        <f t="shared" si="115"/>
        <v>100</v>
      </c>
      <c r="AA551" s="19"/>
      <c r="AB551" s="19"/>
      <c r="AC551" s="19"/>
      <c r="AD551" s="6">
        <f t="shared" si="116"/>
        <v>100</v>
      </c>
      <c r="AE551" s="19"/>
      <c r="AF551" s="19"/>
      <c r="AG551" s="19"/>
      <c r="AH551" s="6">
        <f t="shared" si="117"/>
        <v>100</v>
      </c>
      <c r="AI551" s="19"/>
      <c r="AJ551" s="19"/>
      <c r="AK551" s="19"/>
      <c r="AL551" s="6">
        <f t="shared" si="118"/>
        <v>100</v>
      </c>
      <c r="AM551" s="19"/>
      <c r="AN551" s="19"/>
      <c r="AO551" s="19"/>
      <c r="AP551" s="6">
        <f t="shared" si="119"/>
        <v>100</v>
      </c>
      <c r="AQ551" s="19"/>
      <c r="AR551" s="19"/>
      <c r="AS551" s="19"/>
      <c r="AT551" s="6">
        <f t="shared" si="120"/>
        <v>100</v>
      </c>
    </row>
    <row r="552" spans="1:46">
      <c r="A552" s="4">
        <v>46366</v>
      </c>
      <c r="B552" s="257"/>
      <c r="C552" s="7"/>
      <c r="D552" s="7"/>
      <c r="E552" s="7"/>
      <c r="F552" s="6">
        <f t="shared" si="110"/>
        <v>100</v>
      </c>
      <c r="G552" s="8"/>
      <c r="H552" s="8"/>
      <c r="I552" s="8"/>
      <c r="J552" s="6">
        <f t="shared" si="111"/>
        <v>100</v>
      </c>
      <c r="K552" s="19"/>
      <c r="L552" s="19"/>
      <c r="M552" s="19"/>
      <c r="N552" s="6">
        <f t="shared" si="112"/>
        <v>100</v>
      </c>
      <c r="O552" s="19"/>
      <c r="P552" s="19"/>
      <c r="Q552" s="19"/>
      <c r="R552" s="6">
        <f t="shared" si="113"/>
        <v>100</v>
      </c>
      <c r="S552" s="8"/>
      <c r="T552" s="8"/>
      <c r="U552" s="8"/>
      <c r="V552" s="6">
        <f t="shared" si="114"/>
        <v>100</v>
      </c>
      <c r="W552" s="8"/>
      <c r="X552" s="8"/>
      <c r="Y552" s="8"/>
      <c r="Z552" s="6">
        <f t="shared" si="115"/>
        <v>100</v>
      </c>
      <c r="AA552" s="19"/>
      <c r="AB552" s="19"/>
      <c r="AC552" s="19"/>
      <c r="AD552" s="6">
        <f t="shared" si="116"/>
        <v>100</v>
      </c>
      <c r="AE552" s="19"/>
      <c r="AF552" s="19"/>
      <c r="AG552" s="19"/>
      <c r="AH552" s="6">
        <f t="shared" si="117"/>
        <v>100</v>
      </c>
      <c r="AI552" s="19"/>
      <c r="AJ552" s="19"/>
      <c r="AK552" s="19"/>
      <c r="AL552" s="6">
        <f t="shared" si="118"/>
        <v>100</v>
      </c>
      <c r="AM552" s="19"/>
      <c r="AN552" s="19"/>
      <c r="AO552" s="19"/>
      <c r="AP552" s="6">
        <f t="shared" si="119"/>
        <v>100</v>
      </c>
      <c r="AQ552" s="19"/>
      <c r="AR552" s="19"/>
      <c r="AS552" s="19"/>
      <c r="AT552" s="6">
        <f t="shared" si="120"/>
        <v>100</v>
      </c>
    </row>
    <row r="553" spans="1:46">
      <c r="A553" s="4">
        <v>46367</v>
      </c>
      <c r="B553" s="257"/>
      <c r="C553" s="7"/>
      <c r="D553" s="7"/>
      <c r="E553" s="7"/>
      <c r="F553" s="6">
        <f t="shared" si="110"/>
        <v>100</v>
      </c>
      <c r="G553" s="8"/>
      <c r="H553" s="8"/>
      <c r="I553" s="8"/>
      <c r="J553" s="6">
        <f t="shared" si="111"/>
        <v>100</v>
      </c>
      <c r="K553" s="19"/>
      <c r="L553" s="19"/>
      <c r="M553" s="19"/>
      <c r="N553" s="6">
        <f t="shared" si="112"/>
        <v>100</v>
      </c>
      <c r="O553" s="19"/>
      <c r="P553" s="19"/>
      <c r="Q553" s="19"/>
      <c r="R553" s="6">
        <f t="shared" si="113"/>
        <v>100</v>
      </c>
      <c r="S553" s="8"/>
      <c r="T553" s="8"/>
      <c r="U553" s="8"/>
      <c r="V553" s="6">
        <f t="shared" si="114"/>
        <v>100</v>
      </c>
      <c r="W553" s="8"/>
      <c r="X553" s="8"/>
      <c r="Y553" s="8"/>
      <c r="Z553" s="6">
        <f t="shared" si="115"/>
        <v>100</v>
      </c>
      <c r="AA553" s="19"/>
      <c r="AB553" s="19"/>
      <c r="AC553" s="19"/>
      <c r="AD553" s="6">
        <f t="shared" si="116"/>
        <v>100</v>
      </c>
      <c r="AE553" s="19"/>
      <c r="AF553" s="19"/>
      <c r="AG553" s="19"/>
      <c r="AH553" s="6">
        <f t="shared" si="117"/>
        <v>100</v>
      </c>
      <c r="AI553" s="19"/>
      <c r="AJ553" s="19"/>
      <c r="AK553" s="19"/>
      <c r="AL553" s="6">
        <f t="shared" si="118"/>
        <v>100</v>
      </c>
      <c r="AM553" s="19"/>
      <c r="AN553" s="19"/>
      <c r="AO553" s="19"/>
      <c r="AP553" s="6">
        <f t="shared" si="119"/>
        <v>100</v>
      </c>
      <c r="AQ553" s="19"/>
      <c r="AR553" s="19"/>
      <c r="AS553" s="19"/>
      <c r="AT553" s="6">
        <f t="shared" si="120"/>
        <v>100</v>
      </c>
    </row>
    <row r="554" spans="1:46">
      <c r="A554" s="4">
        <v>46368</v>
      </c>
      <c r="B554" s="257"/>
      <c r="C554" s="7"/>
      <c r="D554" s="7"/>
      <c r="E554" s="7"/>
      <c r="F554" s="6">
        <f t="shared" si="110"/>
        <v>100</v>
      </c>
      <c r="G554" s="8"/>
      <c r="H554" s="8"/>
      <c r="I554" s="8"/>
      <c r="J554" s="6">
        <f t="shared" si="111"/>
        <v>100</v>
      </c>
      <c r="K554" s="19"/>
      <c r="L554" s="19"/>
      <c r="M554" s="19"/>
      <c r="N554" s="6">
        <f t="shared" si="112"/>
        <v>100</v>
      </c>
      <c r="O554" s="19"/>
      <c r="P554" s="19"/>
      <c r="Q554" s="19"/>
      <c r="R554" s="6">
        <f t="shared" si="113"/>
        <v>100</v>
      </c>
      <c r="S554" s="8"/>
      <c r="T554" s="8"/>
      <c r="U554" s="8"/>
      <c r="V554" s="6">
        <f t="shared" si="114"/>
        <v>100</v>
      </c>
      <c r="W554" s="8"/>
      <c r="X554" s="8"/>
      <c r="Y554" s="8"/>
      <c r="Z554" s="6">
        <f t="shared" si="115"/>
        <v>100</v>
      </c>
      <c r="AA554" s="19"/>
      <c r="AB554" s="19"/>
      <c r="AC554" s="19"/>
      <c r="AD554" s="6">
        <f t="shared" si="116"/>
        <v>100</v>
      </c>
      <c r="AE554" s="19"/>
      <c r="AF554" s="19"/>
      <c r="AG554" s="19"/>
      <c r="AH554" s="6">
        <f t="shared" si="117"/>
        <v>100</v>
      </c>
      <c r="AI554" s="19"/>
      <c r="AJ554" s="19"/>
      <c r="AK554" s="19"/>
      <c r="AL554" s="6">
        <f t="shared" si="118"/>
        <v>100</v>
      </c>
      <c r="AM554" s="19"/>
      <c r="AN554" s="19"/>
      <c r="AO554" s="19"/>
      <c r="AP554" s="6">
        <f t="shared" si="119"/>
        <v>100</v>
      </c>
      <c r="AQ554" s="19"/>
      <c r="AR554" s="19"/>
      <c r="AS554" s="19"/>
      <c r="AT554" s="6">
        <f t="shared" si="120"/>
        <v>100</v>
      </c>
    </row>
    <row r="555" spans="1:46">
      <c r="A555" s="4">
        <v>46369</v>
      </c>
      <c r="B555" s="257"/>
      <c r="C555" s="7"/>
      <c r="D555" s="7"/>
      <c r="E555" s="7"/>
      <c r="F555" s="6">
        <f t="shared" si="110"/>
        <v>100</v>
      </c>
      <c r="G555" s="8"/>
      <c r="H555" s="8"/>
      <c r="I555" s="8"/>
      <c r="J555" s="6">
        <f t="shared" si="111"/>
        <v>100</v>
      </c>
      <c r="K555" s="19"/>
      <c r="L555" s="19"/>
      <c r="M555" s="19"/>
      <c r="N555" s="6">
        <f t="shared" si="112"/>
        <v>100</v>
      </c>
      <c r="O555" s="19"/>
      <c r="P555" s="19"/>
      <c r="Q555" s="19"/>
      <c r="R555" s="6">
        <f t="shared" si="113"/>
        <v>100</v>
      </c>
      <c r="S555" s="8"/>
      <c r="T555" s="8"/>
      <c r="U555" s="8"/>
      <c r="V555" s="6">
        <f t="shared" si="114"/>
        <v>100</v>
      </c>
      <c r="W555" s="8"/>
      <c r="X555" s="8"/>
      <c r="Y555" s="8"/>
      <c r="Z555" s="6">
        <f t="shared" si="115"/>
        <v>100</v>
      </c>
      <c r="AA555" s="19"/>
      <c r="AB555" s="19"/>
      <c r="AC555" s="19"/>
      <c r="AD555" s="6">
        <f t="shared" si="116"/>
        <v>100</v>
      </c>
      <c r="AE555" s="19"/>
      <c r="AF555" s="19"/>
      <c r="AG555" s="19"/>
      <c r="AH555" s="6">
        <f t="shared" si="117"/>
        <v>100</v>
      </c>
      <c r="AI555" s="19"/>
      <c r="AJ555" s="19"/>
      <c r="AK555" s="19"/>
      <c r="AL555" s="6">
        <f t="shared" si="118"/>
        <v>100</v>
      </c>
      <c r="AM555" s="19"/>
      <c r="AN555" s="19"/>
      <c r="AO555" s="19"/>
      <c r="AP555" s="6">
        <f t="shared" si="119"/>
        <v>100</v>
      </c>
      <c r="AQ555" s="19"/>
      <c r="AR555" s="19"/>
      <c r="AS555" s="19"/>
      <c r="AT555" s="6">
        <f t="shared" si="120"/>
        <v>100</v>
      </c>
    </row>
    <row r="556" spans="1:46">
      <c r="A556" s="4">
        <v>46370</v>
      </c>
      <c r="B556" s="257"/>
      <c r="C556" s="7"/>
      <c r="D556" s="7"/>
      <c r="E556" s="7"/>
      <c r="F556" s="6">
        <f t="shared" si="110"/>
        <v>100</v>
      </c>
      <c r="G556" s="8"/>
      <c r="H556" s="8"/>
      <c r="I556" s="8"/>
      <c r="J556" s="6">
        <f t="shared" si="111"/>
        <v>100</v>
      </c>
      <c r="K556" s="19"/>
      <c r="L556" s="19"/>
      <c r="M556" s="19"/>
      <c r="N556" s="6">
        <f t="shared" si="112"/>
        <v>100</v>
      </c>
      <c r="O556" s="19"/>
      <c r="P556" s="19"/>
      <c r="Q556" s="19"/>
      <c r="R556" s="6">
        <f t="shared" si="113"/>
        <v>100</v>
      </c>
      <c r="S556" s="8"/>
      <c r="T556" s="8"/>
      <c r="U556" s="8"/>
      <c r="V556" s="6">
        <f t="shared" si="114"/>
        <v>100</v>
      </c>
      <c r="W556" s="8"/>
      <c r="X556" s="8"/>
      <c r="Y556" s="8"/>
      <c r="Z556" s="6">
        <f t="shared" si="115"/>
        <v>100</v>
      </c>
      <c r="AA556" s="19"/>
      <c r="AB556" s="19"/>
      <c r="AC556" s="19"/>
      <c r="AD556" s="6">
        <f t="shared" si="116"/>
        <v>100</v>
      </c>
      <c r="AE556" s="19"/>
      <c r="AF556" s="19"/>
      <c r="AG556" s="19"/>
      <c r="AH556" s="6">
        <f t="shared" si="117"/>
        <v>100</v>
      </c>
      <c r="AI556" s="19"/>
      <c r="AJ556" s="19"/>
      <c r="AK556" s="19"/>
      <c r="AL556" s="6">
        <f t="shared" si="118"/>
        <v>100</v>
      </c>
      <c r="AM556" s="19"/>
      <c r="AN556" s="19"/>
      <c r="AO556" s="19"/>
      <c r="AP556" s="6">
        <f t="shared" si="119"/>
        <v>100</v>
      </c>
      <c r="AQ556" s="19"/>
      <c r="AR556" s="19"/>
      <c r="AS556" s="19"/>
      <c r="AT556" s="6">
        <f t="shared" si="120"/>
        <v>100</v>
      </c>
    </row>
    <row r="557" spans="1:46">
      <c r="A557" s="4">
        <v>46371</v>
      </c>
      <c r="B557" s="257"/>
      <c r="C557" s="7"/>
      <c r="D557" s="7"/>
      <c r="E557" s="7"/>
      <c r="F557" s="6">
        <f t="shared" si="110"/>
        <v>100</v>
      </c>
      <c r="G557" s="8"/>
      <c r="H557" s="8"/>
      <c r="I557" s="8"/>
      <c r="J557" s="6">
        <f t="shared" si="111"/>
        <v>100</v>
      </c>
      <c r="K557" s="19"/>
      <c r="L557" s="19"/>
      <c r="M557" s="19"/>
      <c r="N557" s="6">
        <f t="shared" si="112"/>
        <v>100</v>
      </c>
      <c r="O557" s="19"/>
      <c r="P557" s="19"/>
      <c r="Q557" s="19"/>
      <c r="R557" s="6">
        <f t="shared" si="113"/>
        <v>100</v>
      </c>
      <c r="S557" s="8"/>
      <c r="T557" s="8"/>
      <c r="U557" s="8"/>
      <c r="V557" s="6">
        <f t="shared" si="114"/>
        <v>100</v>
      </c>
      <c r="W557" s="8"/>
      <c r="X557" s="8"/>
      <c r="Y557" s="8"/>
      <c r="Z557" s="6">
        <f t="shared" si="115"/>
        <v>100</v>
      </c>
      <c r="AA557" s="19"/>
      <c r="AB557" s="19"/>
      <c r="AC557" s="19"/>
      <c r="AD557" s="6">
        <f t="shared" si="116"/>
        <v>100</v>
      </c>
      <c r="AE557" s="19"/>
      <c r="AF557" s="19"/>
      <c r="AG557" s="19"/>
      <c r="AH557" s="6">
        <f t="shared" si="117"/>
        <v>100</v>
      </c>
      <c r="AI557" s="19"/>
      <c r="AJ557" s="19"/>
      <c r="AK557" s="19"/>
      <c r="AL557" s="6">
        <f t="shared" si="118"/>
        <v>100</v>
      </c>
      <c r="AM557" s="19"/>
      <c r="AN557" s="19"/>
      <c r="AO557" s="19"/>
      <c r="AP557" s="6">
        <f t="shared" si="119"/>
        <v>100</v>
      </c>
      <c r="AQ557" s="19"/>
      <c r="AR557" s="19"/>
      <c r="AS557" s="19"/>
      <c r="AT557" s="6">
        <f t="shared" si="120"/>
        <v>100</v>
      </c>
    </row>
    <row r="558" spans="1:46">
      <c r="A558" s="70">
        <v>46372</v>
      </c>
      <c r="B558" s="257"/>
      <c r="C558" s="7"/>
      <c r="D558" s="7"/>
      <c r="E558" s="7"/>
      <c r="F558" s="6">
        <f t="shared" si="110"/>
        <v>100</v>
      </c>
      <c r="G558" s="8"/>
      <c r="H558" s="8"/>
      <c r="I558" s="8"/>
      <c r="J558" s="6">
        <f t="shared" si="111"/>
        <v>100</v>
      </c>
      <c r="K558" s="19"/>
      <c r="L558" s="19"/>
      <c r="M558" s="19"/>
      <c r="N558" s="6">
        <f t="shared" si="112"/>
        <v>100</v>
      </c>
      <c r="O558" s="19"/>
      <c r="P558" s="19"/>
      <c r="Q558" s="19"/>
      <c r="R558" s="6">
        <f t="shared" si="113"/>
        <v>100</v>
      </c>
      <c r="S558" s="8"/>
      <c r="T558" s="8"/>
      <c r="U558" s="8"/>
      <c r="V558" s="6">
        <f t="shared" si="114"/>
        <v>100</v>
      </c>
      <c r="W558" s="8"/>
      <c r="X558" s="8"/>
      <c r="Y558" s="8"/>
      <c r="Z558" s="6">
        <f t="shared" si="115"/>
        <v>100</v>
      </c>
      <c r="AA558" s="19"/>
      <c r="AB558" s="19"/>
      <c r="AC558" s="19"/>
      <c r="AD558" s="6">
        <f t="shared" si="116"/>
        <v>100</v>
      </c>
      <c r="AE558" s="19"/>
      <c r="AF558" s="19"/>
      <c r="AG558" s="19"/>
      <c r="AH558" s="6">
        <f t="shared" si="117"/>
        <v>100</v>
      </c>
      <c r="AI558" s="19"/>
      <c r="AJ558" s="19"/>
      <c r="AK558" s="19"/>
      <c r="AL558" s="6">
        <f t="shared" si="118"/>
        <v>100</v>
      </c>
      <c r="AM558" s="19"/>
      <c r="AN558" s="19"/>
      <c r="AO558" s="19"/>
      <c r="AP558" s="6">
        <f t="shared" si="119"/>
        <v>100</v>
      </c>
      <c r="AQ558" s="19"/>
      <c r="AR558" s="19"/>
      <c r="AS558" s="19"/>
      <c r="AT558" s="6">
        <f t="shared" si="120"/>
        <v>100</v>
      </c>
    </row>
    <row r="559" spans="1:46">
      <c r="A559" s="4">
        <v>46373</v>
      </c>
      <c r="B559" s="257"/>
      <c r="C559" s="7"/>
      <c r="D559" s="7"/>
      <c r="E559" s="7"/>
      <c r="F559" s="6">
        <f t="shared" si="110"/>
        <v>100</v>
      </c>
      <c r="G559" s="8"/>
      <c r="H559" s="8"/>
      <c r="I559" s="8"/>
      <c r="J559" s="6">
        <f t="shared" si="111"/>
        <v>100</v>
      </c>
      <c r="K559" s="19"/>
      <c r="L559" s="19"/>
      <c r="M559" s="19"/>
      <c r="N559" s="6">
        <f t="shared" si="112"/>
        <v>100</v>
      </c>
      <c r="O559" s="19"/>
      <c r="P559" s="19"/>
      <c r="Q559" s="19"/>
      <c r="R559" s="6">
        <f t="shared" si="113"/>
        <v>100</v>
      </c>
      <c r="S559" s="8"/>
      <c r="T559" s="8"/>
      <c r="U559" s="8"/>
      <c r="V559" s="6">
        <f t="shared" si="114"/>
        <v>100</v>
      </c>
      <c r="W559" s="8"/>
      <c r="X559" s="8"/>
      <c r="Y559" s="8"/>
      <c r="Z559" s="6">
        <f t="shared" si="115"/>
        <v>100</v>
      </c>
      <c r="AA559" s="19"/>
      <c r="AB559" s="19"/>
      <c r="AC559" s="19"/>
      <c r="AD559" s="6">
        <f t="shared" si="116"/>
        <v>100</v>
      </c>
      <c r="AE559" s="19"/>
      <c r="AF559" s="19"/>
      <c r="AG559" s="19"/>
      <c r="AH559" s="6">
        <f t="shared" si="117"/>
        <v>100</v>
      </c>
      <c r="AI559" s="19"/>
      <c r="AJ559" s="19"/>
      <c r="AK559" s="19"/>
      <c r="AL559" s="6">
        <f t="shared" si="118"/>
        <v>100</v>
      </c>
      <c r="AM559" s="19"/>
      <c r="AN559" s="19"/>
      <c r="AO559" s="19"/>
      <c r="AP559" s="6">
        <f t="shared" si="119"/>
        <v>100</v>
      </c>
      <c r="AQ559" s="19"/>
      <c r="AR559" s="19"/>
      <c r="AS559" s="19"/>
      <c r="AT559" s="6">
        <f t="shared" si="120"/>
        <v>100</v>
      </c>
    </row>
    <row r="560" spans="1:46">
      <c r="A560" s="4">
        <v>46374</v>
      </c>
      <c r="B560" s="257"/>
      <c r="C560" s="7"/>
      <c r="D560" s="7"/>
      <c r="E560" s="7"/>
      <c r="F560" s="6">
        <f t="shared" si="110"/>
        <v>100</v>
      </c>
      <c r="G560" s="8"/>
      <c r="H560" s="8"/>
      <c r="I560" s="8"/>
      <c r="J560" s="6">
        <f t="shared" si="111"/>
        <v>100</v>
      </c>
      <c r="K560" s="19"/>
      <c r="L560" s="19"/>
      <c r="M560" s="19"/>
      <c r="N560" s="6">
        <f t="shared" si="112"/>
        <v>100</v>
      </c>
      <c r="O560" s="19"/>
      <c r="P560" s="19"/>
      <c r="Q560" s="19"/>
      <c r="R560" s="6">
        <f t="shared" si="113"/>
        <v>100</v>
      </c>
      <c r="S560" s="8"/>
      <c r="T560" s="8"/>
      <c r="U560" s="8"/>
      <c r="V560" s="6">
        <f t="shared" si="114"/>
        <v>100</v>
      </c>
      <c r="W560" s="8"/>
      <c r="X560" s="8"/>
      <c r="Y560" s="8"/>
      <c r="Z560" s="6">
        <f t="shared" si="115"/>
        <v>100</v>
      </c>
      <c r="AA560" s="19"/>
      <c r="AB560" s="19"/>
      <c r="AC560" s="19"/>
      <c r="AD560" s="6">
        <f t="shared" si="116"/>
        <v>100</v>
      </c>
      <c r="AE560" s="19"/>
      <c r="AF560" s="19"/>
      <c r="AG560" s="19"/>
      <c r="AH560" s="6">
        <f t="shared" si="117"/>
        <v>100</v>
      </c>
      <c r="AI560" s="19"/>
      <c r="AJ560" s="19"/>
      <c r="AK560" s="19"/>
      <c r="AL560" s="6">
        <f t="shared" si="118"/>
        <v>100</v>
      </c>
      <c r="AM560" s="19"/>
      <c r="AN560" s="19"/>
      <c r="AO560" s="19"/>
      <c r="AP560" s="6">
        <f t="shared" si="119"/>
        <v>100</v>
      </c>
      <c r="AQ560" s="19"/>
      <c r="AR560" s="19"/>
      <c r="AS560" s="19"/>
      <c r="AT560" s="6">
        <f t="shared" si="120"/>
        <v>100</v>
      </c>
    </row>
    <row r="561" spans="1:46">
      <c r="A561" s="4">
        <v>46375</v>
      </c>
      <c r="B561" s="257"/>
      <c r="C561" s="7"/>
      <c r="D561" s="7"/>
      <c r="E561" s="7"/>
      <c r="F561" s="6">
        <f t="shared" si="110"/>
        <v>100</v>
      </c>
      <c r="G561" s="8"/>
      <c r="H561" s="8"/>
      <c r="I561" s="8"/>
      <c r="J561" s="6">
        <f t="shared" si="111"/>
        <v>100</v>
      </c>
      <c r="K561" s="19"/>
      <c r="L561" s="19"/>
      <c r="M561" s="19"/>
      <c r="N561" s="6">
        <f t="shared" si="112"/>
        <v>100</v>
      </c>
      <c r="O561" s="19"/>
      <c r="P561" s="19"/>
      <c r="Q561" s="19"/>
      <c r="R561" s="6">
        <f t="shared" si="113"/>
        <v>100</v>
      </c>
      <c r="S561" s="8"/>
      <c r="T561" s="8"/>
      <c r="U561" s="8"/>
      <c r="V561" s="6">
        <f t="shared" si="114"/>
        <v>100</v>
      </c>
      <c r="W561" s="8"/>
      <c r="X561" s="8"/>
      <c r="Y561" s="8"/>
      <c r="Z561" s="6">
        <f t="shared" si="115"/>
        <v>100</v>
      </c>
      <c r="AA561" s="19"/>
      <c r="AB561" s="19"/>
      <c r="AC561" s="19"/>
      <c r="AD561" s="6">
        <f t="shared" si="116"/>
        <v>100</v>
      </c>
      <c r="AE561" s="19"/>
      <c r="AF561" s="19"/>
      <c r="AG561" s="19"/>
      <c r="AH561" s="6">
        <f t="shared" si="117"/>
        <v>100</v>
      </c>
      <c r="AI561" s="19"/>
      <c r="AJ561" s="19"/>
      <c r="AK561" s="19"/>
      <c r="AL561" s="6">
        <f t="shared" si="118"/>
        <v>100</v>
      </c>
      <c r="AM561" s="19"/>
      <c r="AN561" s="19"/>
      <c r="AO561" s="19"/>
      <c r="AP561" s="6">
        <f t="shared" si="119"/>
        <v>100</v>
      </c>
      <c r="AQ561" s="19"/>
      <c r="AR561" s="19"/>
      <c r="AS561" s="19"/>
      <c r="AT561" s="6">
        <f t="shared" si="120"/>
        <v>100</v>
      </c>
    </row>
    <row r="562" spans="1:46">
      <c r="A562" s="4">
        <v>46376</v>
      </c>
      <c r="B562" s="257"/>
      <c r="C562" s="7"/>
      <c r="D562" s="7"/>
      <c r="E562" s="7"/>
      <c r="F562" s="6">
        <f t="shared" si="110"/>
        <v>100</v>
      </c>
      <c r="G562" s="8"/>
      <c r="H562" s="8"/>
      <c r="I562" s="8"/>
      <c r="J562" s="6">
        <f t="shared" si="111"/>
        <v>100</v>
      </c>
      <c r="K562" s="19"/>
      <c r="L562" s="19"/>
      <c r="M562" s="19"/>
      <c r="N562" s="6">
        <f t="shared" si="112"/>
        <v>100</v>
      </c>
      <c r="O562" s="19"/>
      <c r="P562" s="19"/>
      <c r="Q562" s="19"/>
      <c r="R562" s="6">
        <f t="shared" si="113"/>
        <v>100</v>
      </c>
      <c r="S562" s="8"/>
      <c r="T562" s="8"/>
      <c r="U562" s="8"/>
      <c r="V562" s="6">
        <f t="shared" si="114"/>
        <v>100</v>
      </c>
      <c r="W562" s="8"/>
      <c r="X562" s="8"/>
      <c r="Y562" s="8"/>
      <c r="Z562" s="6">
        <f t="shared" si="115"/>
        <v>100</v>
      </c>
      <c r="AA562" s="19"/>
      <c r="AB562" s="19"/>
      <c r="AC562" s="19"/>
      <c r="AD562" s="6">
        <f t="shared" si="116"/>
        <v>100</v>
      </c>
      <c r="AE562" s="19"/>
      <c r="AF562" s="19"/>
      <c r="AG562" s="19"/>
      <c r="AH562" s="6">
        <f t="shared" si="117"/>
        <v>100</v>
      </c>
      <c r="AI562" s="19"/>
      <c r="AJ562" s="19"/>
      <c r="AK562" s="19"/>
      <c r="AL562" s="6">
        <f t="shared" si="118"/>
        <v>100</v>
      </c>
      <c r="AM562" s="19"/>
      <c r="AN562" s="19"/>
      <c r="AO562" s="19"/>
      <c r="AP562" s="6">
        <f t="shared" si="119"/>
        <v>100</v>
      </c>
      <c r="AQ562" s="19"/>
      <c r="AR562" s="19"/>
      <c r="AS562" s="19"/>
      <c r="AT562" s="6">
        <f t="shared" si="120"/>
        <v>100</v>
      </c>
    </row>
    <row r="563" spans="1:46">
      <c r="A563" s="4">
        <v>46377</v>
      </c>
      <c r="B563" s="257"/>
      <c r="C563" s="7"/>
      <c r="D563" s="7"/>
      <c r="E563" s="7"/>
      <c r="F563" s="6">
        <f t="shared" si="110"/>
        <v>100</v>
      </c>
      <c r="G563" s="8"/>
      <c r="H563" s="8"/>
      <c r="I563" s="8"/>
      <c r="J563" s="6">
        <f t="shared" si="111"/>
        <v>100</v>
      </c>
      <c r="K563" s="19"/>
      <c r="L563" s="19"/>
      <c r="M563" s="19"/>
      <c r="N563" s="6">
        <f t="shared" si="112"/>
        <v>100</v>
      </c>
      <c r="O563" s="19"/>
      <c r="P563" s="19"/>
      <c r="Q563" s="19"/>
      <c r="R563" s="6">
        <f t="shared" si="113"/>
        <v>100</v>
      </c>
      <c r="S563" s="8"/>
      <c r="T563" s="8"/>
      <c r="U563" s="8"/>
      <c r="V563" s="6">
        <f t="shared" si="114"/>
        <v>100</v>
      </c>
      <c r="W563" s="8"/>
      <c r="X563" s="8"/>
      <c r="Y563" s="8"/>
      <c r="Z563" s="6">
        <f t="shared" si="115"/>
        <v>100</v>
      </c>
      <c r="AA563" s="19"/>
      <c r="AB563" s="19"/>
      <c r="AC563" s="19"/>
      <c r="AD563" s="6">
        <f t="shared" si="116"/>
        <v>100</v>
      </c>
      <c r="AE563" s="19"/>
      <c r="AF563" s="19"/>
      <c r="AG563" s="19"/>
      <c r="AH563" s="6">
        <f t="shared" si="117"/>
        <v>100</v>
      </c>
      <c r="AI563" s="19"/>
      <c r="AJ563" s="19"/>
      <c r="AK563" s="19"/>
      <c r="AL563" s="6">
        <f t="shared" si="118"/>
        <v>100</v>
      </c>
      <c r="AM563" s="19"/>
      <c r="AN563" s="19"/>
      <c r="AO563" s="19"/>
      <c r="AP563" s="6">
        <f t="shared" si="119"/>
        <v>100</v>
      </c>
      <c r="AQ563" s="19"/>
      <c r="AR563" s="19"/>
      <c r="AS563" s="19"/>
      <c r="AT563" s="6">
        <f t="shared" si="120"/>
        <v>100</v>
      </c>
    </row>
    <row r="564" spans="1:46">
      <c r="A564" s="4">
        <v>46378</v>
      </c>
      <c r="B564" s="257"/>
      <c r="C564" s="7"/>
      <c r="D564" s="7"/>
      <c r="E564" s="7"/>
      <c r="F564" s="6">
        <f t="shared" si="110"/>
        <v>100</v>
      </c>
      <c r="G564" s="8"/>
      <c r="H564" s="8"/>
      <c r="I564" s="8"/>
      <c r="J564" s="6">
        <f t="shared" si="111"/>
        <v>100</v>
      </c>
      <c r="K564" s="19"/>
      <c r="L564" s="19"/>
      <c r="M564" s="19"/>
      <c r="N564" s="6">
        <f t="shared" si="112"/>
        <v>100</v>
      </c>
      <c r="O564" s="19"/>
      <c r="P564" s="19"/>
      <c r="Q564" s="19"/>
      <c r="R564" s="6">
        <f t="shared" si="113"/>
        <v>100</v>
      </c>
      <c r="S564" s="8"/>
      <c r="T564" s="8"/>
      <c r="U564" s="8"/>
      <c r="V564" s="6">
        <f t="shared" si="114"/>
        <v>100</v>
      </c>
      <c r="W564" s="8"/>
      <c r="X564" s="8"/>
      <c r="Y564" s="8"/>
      <c r="Z564" s="6">
        <f t="shared" si="115"/>
        <v>100</v>
      </c>
      <c r="AA564" s="19"/>
      <c r="AB564" s="19"/>
      <c r="AC564" s="19"/>
      <c r="AD564" s="6">
        <f t="shared" si="116"/>
        <v>100</v>
      </c>
      <c r="AE564" s="19"/>
      <c r="AF564" s="19"/>
      <c r="AG564" s="19"/>
      <c r="AH564" s="6">
        <f t="shared" si="117"/>
        <v>100</v>
      </c>
      <c r="AI564" s="19"/>
      <c r="AJ564" s="19"/>
      <c r="AK564" s="19"/>
      <c r="AL564" s="6">
        <f t="shared" si="118"/>
        <v>100</v>
      </c>
      <c r="AM564" s="19"/>
      <c r="AN564" s="19"/>
      <c r="AO564" s="19"/>
      <c r="AP564" s="6">
        <f t="shared" si="119"/>
        <v>100</v>
      </c>
      <c r="AQ564" s="19"/>
      <c r="AR564" s="19"/>
      <c r="AS564" s="19"/>
      <c r="AT564" s="6">
        <f t="shared" si="120"/>
        <v>100</v>
      </c>
    </row>
    <row r="565" spans="1:46">
      <c r="A565" s="4">
        <v>46379</v>
      </c>
      <c r="B565" s="257"/>
      <c r="C565" s="7"/>
      <c r="D565" s="7"/>
      <c r="E565" s="7"/>
      <c r="F565" s="6">
        <f t="shared" si="110"/>
        <v>100</v>
      </c>
      <c r="G565" s="8"/>
      <c r="H565" s="8"/>
      <c r="I565" s="8"/>
      <c r="J565" s="6">
        <f t="shared" si="111"/>
        <v>100</v>
      </c>
      <c r="K565" s="19"/>
      <c r="L565" s="19"/>
      <c r="M565" s="19"/>
      <c r="N565" s="6">
        <f t="shared" si="112"/>
        <v>100</v>
      </c>
      <c r="O565" s="19"/>
      <c r="P565" s="19"/>
      <c r="Q565" s="19"/>
      <c r="R565" s="6">
        <f t="shared" si="113"/>
        <v>100</v>
      </c>
      <c r="S565" s="8"/>
      <c r="T565" s="8"/>
      <c r="U565" s="8"/>
      <c r="V565" s="6">
        <f t="shared" si="114"/>
        <v>100</v>
      </c>
      <c r="W565" s="8"/>
      <c r="X565" s="8"/>
      <c r="Y565" s="8"/>
      <c r="Z565" s="6">
        <f t="shared" si="115"/>
        <v>100</v>
      </c>
      <c r="AA565" s="19"/>
      <c r="AB565" s="19"/>
      <c r="AC565" s="19"/>
      <c r="AD565" s="6">
        <f t="shared" si="116"/>
        <v>100</v>
      </c>
      <c r="AE565" s="19"/>
      <c r="AF565" s="19"/>
      <c r="AG565" s="19"/>
      <c r="AH565" s="6">
        <f t="shared" si="117"/>
        <v>100</v>
      </c>
      <c r="AI565" s="19"/>
      <c r="AJ565" s="19"/>
      <c r="AK565" s="19"/>
      <c r="AL565" s="6">
        <f t="shared" si="118"/>
        <v>100</v>
      </c>
      <c r="AM565" s="19"/>
      <c r="AN565" s="19"/>
      <c r="AO565" s="19"/>
      <c r="AP565" s="6">
        <f t="shared" si="119"/>
        <v>100</v>
      </c>
      <c r="AQ565" s="19"/>
      <c r="AR565" s="19"/>
      <c r="AS565" s="19"/>
      <c r="AT565" s="6">
        <f t="shared" si="120"/>
        <v>100</v>
      </c>
    </row>
    <row r="566" spans="1:46">
      <c r="A566" s="4">
        <v>46380</v>
      </c>
      <c r="B566" s="257"/>
      <c r="C566" s="7"/>
      <c r="D566" s="7"/>
      <c r="E566" s="7"/>
      <c r="F566" s="6">
        <f t="shared" si="110"/>
        <v>100</v>
      </c>
      <c r="G566" s="8"/>
      <c r="H566" s="8"/>
      <c r="I566" s="8"/>
      <c r="J566" s="6">
        <f t="shared" si="111"/>
        <v>100</v>
      </c>
      <c r="K566" s="19"/>
      <c r="L566" s="19"/>
      <c r="M566" s="19"/>
      <c r="N566" s="6">
        <f t="shared" si="112"/>
        <v>100</v>
      </c>
      <c r="O566" s="19"/>
      <c r="P566" s="19"/>
      <c r="Q566" s="19"/>
      <c r="R566" s="6">
        <f t="shared" si="113"/>
        <v>100</v>
      </c>
      <c r="S566" s="8"/>
      <c r="T566" s="8"/>
      <c r="U566" s="8"/>
      <c r="V566" s="6">
        <f t="shared" si="114"/>
        <v>100</v>
      </c>
      <c r="W566" s="8"/>
      <c r="X566" s="8"/>
      <c r="Y566" s="8"/>
      <c r="Z566" s="6">
        <f t="shared" si="115"/>
        <v>100</v>
      </c>
      <c r="AA566" s="19"/>
      <c r="AB566" s="19"/>
      <c r="AC566" s="19"/>
      <c r="AD566" s="6">
        <f t="shared" si="116"/>
        <v>100</v>
      </c>
      <c r="AE566" s="19"/>
      <c r="AF566" s="19"/>
      <c r="AG566" s="19"/>
      <c r="AH566" s="6">
        <f t="shared" si="117"/>
        <v>100</v>
      </c>
      <c r="AI566" s="19"/>
      <c r="AJ566" s="19"/>
      <c r="AK566" s="19"/>
      <c r="AL566" s="6">
        <f t="shared" si="118"/>
        <v>100</v>
      </c>
      <c r="AM566" s="19"/>
      <c r="AN566" s="19"/>
      <c r="AO566" s="19"/>
      <c r="AP566" s="6">
        <f t="shared" si="119"/>
        <v>100</v>
      </c>
      <c r="AQ566" s="19"/>
      <c r="AR566" s="19"/>
      <c r="AS566" s="19"/>
      <c r="AT566" s="6">
        <f t="shared" si="120"/>
        <v>100</v>
      </c>
    </row>
    <row r="567" spans="1:46">
      <c r="A567" s="4">
        <v>46381</v>
      </c>
      <c r="B567" s="257"/>
      <c r="C567" s="7"/>
      <c r="D567" s="7"/>
      <c r="E567" s="7"/>
      <c r="F567" s="6">
        <f t="shared" si="110"/>
        <v>100</v>
      </c>
      <c r="G567" s="8"/>
      <c r="H567" s="8"/>
      <c r="I567" s="8"/>
      <c r="J567" s="6">
        <f t="shared" si="111"/>
        <v>100</v>
      </c>
      <c r="K567" s="19"/>
      <c r="L567" s="19"/>
      <c r="M567" s="19"/>
      <c r="N567" s="6">
        <f t="shared" si="112"/>
        <v>100</v>
      </c>
      <c r="O567" s="19"/>
      <c r="P567" s="19"/>
      <c r="Q567" s="19"/>
      <c r="R567" s="6">
        <f t="shared" si="113"/>
        <v>100</v>
      </c>
      <c r="S567" s="8"/>
      <c r="T567" s="8"/>
      <c r="U567" s="8"/>
      <c r="V567" s="6">
        <f t="shared" si="114"/>
        <v>100</v>
      </c>
      <c r="W567" s="8"/>
      <c r="X567" s="8"/>
      <c r="Y567" s="8"/>
      <c r="Z567" s="6">
        <f t="shared" si="115"/>
        <v>100</v>
      </c>
      <c r="AA567" s="19"/>
      <c r="AB567" s="19"/>
      <c r="AC567" s="19"/>
      <c r="AD567" s="6">
        <f t="shared" si="116"/>
        <v>100</v>
      </c>
      <c r="AE567" s="19"/>
      <c r="AF567" s="19"/>
      <c r="AG567" s="19"/>
      <c r="AH567" s="6">
        <f t="shared" si="117"/>
        <v>100</v>
      </c>
      <c r="AI567" s="19"/>
      <c r="AJ567" s="19"/>
      <c r="AK567" s="19"/>
      <c r="AL567" s="6">
        <f t="shared" si="118"/>
        <v>100</v>
      </c>
      <c r="AM567" s="19"/>
      <c r="AN567" s="19"/>
      <c r="AO567" s="19"/>
      <c r="AP567" s="6">
        <f t="shared" si="119"/>
        <v>100</v>
      </c>
      <c r="AQ567" s="19"/>
      <c r="AR567" s="19"/>
      <c r="AS567" s="19"/>
      <c r="AT567" s="6">
        <f t="shared" si="120"/>
        <v>100</v>
      </c>
    </row>
    <row r="568" spans="1:46">
      <c r="A568" s="70">
        <v>46382</v>
      </c>
      <c r="B568" s="257"/>
      <c r="C568" s="7"/>
      <c r="D568" s="7"/>
      <c r="E568" s="7"/>
      <c r="F568" s="6">
        <f t="shared" si="110"/>
        <v>100</v>
      </c>
      <c r="G568" s="8"/>
      <c r="H568" s="8"/>
      <c r="I568" s="8"/>
      <c r="J568" s="6">
        <f t="shared" si="111"/>
        <v>100</v>
      </c>
      <c r="K568" s="19"/>
      <c r="L568" s="19"/>
      <c r="M568" s="19"/>
      <c r="N568" s="6">
        <f t="shared" si="112"/>
        <v>100</v>
      </c>
      <c r="O568" s="19"/>
      <c r="P568" s="19"/>
      <c r="Q568" s="19"/>
      <c r="R568" s="6">
        <f t="shared" si="113"/>
        <v>100</v>
      </c>
      <c r="S568" s="8"/>
      <c r="T568" s="8"/>
      <c r="U568" s="8"/>
      <c r="V568" s="6">
        <f t="shared" si="114"/>
        <v>100</v>
      </c>
      <c r="W568" s="8"/>
      <c r="X568" s="8"/>
      <c r="Y568" s="8"/>
      <c r="Z568" s="6">
        <f t="shared" si="115"/>
        <v>100</v>
      </c>
      <c r="AA568" s="19"/>
      <c r="AB568" s="19"/>
      <c r="AC568" s="19"/>
      <c r="AD568" s="6">
        <f t="shared" si="116"/>
        <v>100</v>
      </c>
      <c r="AE568" s="19"/>
      <c r="AF568" s="19"/>
      <c r="AG568" s="19"/>
      <c r="AH568" s="6">
        <f t="shared" si="117"/>
        <v>100</v>
      </c>
      <c r="AI568" s="19"/>
      <c r="AJ568" s="19"/>
      <c r="AK568" s="19"/>
      <c r="AL568" s="6">
        <f t="shared" si="118"/>
        <v>100</v>
      </c>
      <c r="AM568" s="19"/>
      <c r="AN568" s="19"/>
      <c r="AO568" s="19"/>
      <c r="AP568" s="6">
        <f t="shared" si="119"/>
        <v>100</v>
      </c>
      <c r="AQ568" s="19"/>
      <c r="AR568" s="19"/>
      <c r="AS568" s="19"/>
      <c r="AT568" s="6">
        <f t="shared" si="120"/>
        <v>100</v>
      </c>
    </row>
    <row r="569" spans="1:46">
      <c r="A569" s="4">
        <v>46383</v>
      </c>
      <c r="B569" s="257"/>
      <c r="C569" s="7"/>
      <c r="D569" s="7"/>
      <c r="E569" s="7"/>
      <c r="F569" s="6">
        <f t="shared" si="110"/>
        <v>100</v>
      </c>
      <c r="G569" s="8"/>
      <c r="H569" s="8"/>
      <c r="I569" s="8"/>
      <c r="J569" s="6">
        <f t="shared" si="111"/>
        <v>100</v>
      </c>
      <c r="K569" s="19"/>
      <c r="L569" s="19"/>
      <c r="M569" s="19"/>
      <c r="N569" s="6">
        <f t="shared" si="112"/>
        <v>100</v>
      </c>
      <c r="O569" s="19"/>
      <c r="P569" s="19"/>
      <c r="Q569" s="19"/>
      <c r="R569" s="6">
        <f t="shared" si="113"/>
        <v>100</v>
      </c>
      <c r="S569" s="8"/>
      <c r="T569" s="8"/>
      <c r="U569" s="8"/>
      <c r="V569" s="6">
        <f t="shared" si="114"/>
        <v>100</v>
      </c>
      <c r="W569" s="8"/>
      <c r="X569" s="8"/>
      <c r="Y569" s="8"/>
      <c r="Z569" s="6">
        <f t="shared" si="115"/>
        <v>100</v>
      </c>
      <c r="AA569" s="19"/>
      <c r="AB569" s="19"/>
      <c r="AC569" s="19"/>
      <c r="AD569" s="6">
        <f t="shared" si="116"/>
        <v>100</v>
      </c>
      <c r="AE569" s="19"/>
      <c r="AF569" s="19"/>
      <c r="AG569" s="19"/>
      <c r="AH569" s="6">
        <f t="shared" si="117"/>
        <v>100</v>
      </c>
      <c r="AI569" s="19"/>
      <c r="AJ569" s="19"/>
      <c r="AK569" s="19"/>
      <c r="AL569" s="6">
        <f t="shared" si="118"/>
        <v>100</v>
      </c>
      <c r="AM569" s="19"/>
      <c r="AN569" s="19"/>
      <c r="AO569" s="19"/>
      <c r="AP569" s="6">
        <f t="shared" si="119"/>
        <v>100</v>
      </c>
      <c r="AQ569" s="19"/>
      <c r="AR569" s="19"/>
      <c r="AS569" s="19"/>
      <c r="AT569" s="6">
        <f t="shared" si="120"/>
        <v>100</v>
      </c>
    </row>
    <row r="570" spans="1:46">
      <c r="A570" s="4">
        <v>46384</v>
      </c>
      <c r="B570" s="257"/>
      <c r="C570" s="7"/>
      <c r="D570" s="7"/>
      <c r="E570" s="7"/>
      <c r="F570" s="6">
        <f t="shared" si="110"/>
        <v>100</v>
      </c>
      <c r="G570" s="8"/>
      <c r="H570" s="8"/>
      <c r="I570" s="8"/>
      <c r="J570" s="6">
        <f t="shared" si="111"/>
        <v>100</v>
      </c>
      <c r="K570" s="19"/>
      <c r="L570" s="19"/>
      <c r="M570" s="19"/>
      <c r="N570" s="6">
        <f t="shared" si="112"/>
        <v>100</v>
      </c>
      <c r="O570" s="19"/>
      <c r="P570" s="19"/>
      <c r="Q570" s="19"/>
      <c r="R570" s="6">
        <f t="shared" si="113"/>
        <v>100</v>
      </c>
      <c r="S570" s="8"/>
      <c r="T570" s="8"/>
      <c r="U570" s="8"/>
      <c r="V570" s="6">
        <f t="shared" si="114"/>
        <v>100</v>
      </c>
      <c r="W570" s="8"/>
      <c r="X570" s="8"/>
      <c r="Y570" s="8"/>
      <c r="Z570" s="6">
        <f t="shared" si="115"/>
        <v>100</v>
      </c>
      <c r="AA570" s="19"/>
      <c r="AB570" s="19"/>
      <c r="AC570" s="19"/>
      <c r="AD570" s="6">
        <f t="shared" si="116"/>
        <v>100</v>
      </c>
      <c r="AE570" s="19"/>
      <c r="AF570" s="19"/>
      <c r="AG570" s="19"/>
      <c r="AH570" s="6">
        <f t="shared" si="117"/>
        <v>100</v>
      </c>
      <c r="AI570" s="19"/>
      <c r="AJ570" s="19"/>
      <c r="AK570" s="19"/>
      <c r="AL570" s="6">
        <f t="shared" si="118"/>
        <v>100</v>
      </c>
      <c r="AM570" s="19"/>
      <c r="AN570" s="19"/>
      <c r="AO570" s="19"/>
      <c r="AP570" s="6">
        <f t="shared" si="119"/>
        <v>100</v>
      </c>
      <c r="AQ570" s="19"/>
      <c r="AR570" s="19"/>
      <c r="AS570" s="19"/>
      <c r="AT570" s="6">
        <f t="shared" si="120"/>
        <v>100</v>
      </c>
    </row>
    <row r="571" spans="1:46">
      <c r="A571" s="4">
        <v>46385</v>
      </c>
      <c r="B571" s="257"/>
      <c r="C571" s="7"/>
      <c r="D571" s="7"/>
      <c r="E571" s="7"/>
      <c r="F571" s="6">
        <f t="shared" si="110"/>
        <v>100</v>
      </c>
      <c r="G571" s="8"/>
      <c r="H571" s="8"/>
      <c r="I571" s="8"/>
      <c r="J571" s="6">
        <f t="shared" si="111"/>
        <v>100</v>
      </c>
      <c r="K571" s="19"/>
      <c r="L571" s="19"/>
      <c r="M571" s="19"/>
      <c r="N571" s="6">
        <f t="shared" si="112"/>
        <v>100</v>
      </c>
      <c r="O571" s="19"/>
      <c r="P571" s="19"/>
      <c r="Q571" s="19"/>
      <c r="R571" s="6">
        <f t="shared" si="113"/>
        <v>100</v>
      </c>
      <c r="S571" s="8"/>
      <c r="T571" s="8"/>
      <c r="U571" s="8"/>
      <c r="V571" s="6">
        <f t="shared" si="114"/>
        <v>100</v>
      </c>
      <c r="W571" s="8"/>
      <c r="X571" s="8"/>
      <c r="Y571" s="8"/>
      <c r="Z571" s="6">
        <f t="shared" si="115"/>
        <v>100</v>
      </c>
      <c r="AA571" s="19"/>
      <c r="AB571" s="19"/>
      <c r="AC571" s="19"/>
      <c r="AD571" s="6">
        <f t="shared" si="116"/>
        <v>100</v>
      </c>
      <c r="AE571" s="19"/>
      <c r="AF571" s="19"/>
      <c r="AG571" s="19"/>
      <c r="AH571" s="6">
        <f t="shared" si="117"/>
        <v>100</v>
      </c>
      <c r="AI571" s="19"/>
      <c r="AJ571" s="19"/>
      <c r="AK571" s="19"/>
      <c r="AL571" s="6">
        <f t="shared" si="118"/>
        <v>100</v>
      </c>
      <c r="AM571" s="19"/>
      <c r="AN571" s="19"/>
      <c r="AO571" s="19"/>
      <c r="AP571" s="6">
        <f t="shared" si="119"/>
        <v>100</v>
      </c>
      <c r="AQ571" s="19"/>
      <c r="AR571" s="19"/>
      <c r="AS571" s="19"/>
      <c r="AT571" s="6">
        <f t="shared" si="120"/>
        <v>100</v>
      </c>
    </row>
    <row r="572" spans="1:46">
      <c r="A572" s="4">
        <v>46386</v>
      </c>
      <c r="B572" s="257"/>
      <c r="C572" s="7"/>
      <c r="D572" s="7"/>
      <c r="E572" s="7"/>
      <c r="F572" s="6">
        <f t="shared" si="110"/>
        <v>100</v>
      </c>
      <c r="G572" s="8"/>
      <c r="H572" s="8"/>
      <c r="I572" s="8"/>
      <c r="J572" s="6">
        <f t="shared" si="111"/>
        <v>100</v>
      </c>
      <c r="K572" s="19"/>
      <c r="L572" s="19"/>
      <c r="M572" s="19"/>
      <c r="N572" s="6">
        <f t="shared" si="112"/>
        <v>100</v>
      </c>
      <c r="O572" s="19"/>
      <c r="P572" s="19"/>
      <c r="Q572" s="19"/>
      <c r="R572" s="6">
        <f t="shared" si="113"/>
        <v>100</v>
      </c>
      <c r="S572" s="8"/>
      <c r="T572" s="8"/>
      <c r="U572" s="8"/>
      <c r="V572" s="6">
        <f t="shared" si="114"/>
        <v>100</v>
      </c>
      <c r="W572" s="8"/>
      <c r="X572" s="8"/>
      <c r="Y572" s="8"/>
      <c r="Z572" s="6">
        <f t="shared" si="115"/>
        <v>100</v>
      </c>
      <c r="AA572" s="19"/>
      <c r="AB572" s="19"/>
      <c r="AC572" s="19"/>
      <c r="AD572" s="6">
        <f t="shared" si="116"/>
        <v>100</v>
      </c>
      <c r="AE572" s="19"/>
      <c r="AF572" s="19"/>
      <c r="AG572" s="19"/>
      <c r="AH572" s="6">
        <f t="shared" si="117"/>
        <v>100</v>
      </c>
      <c r="AI572" s="19"/>
      <c r="AJ572" s="19"/>
      <c r="AK572" s="19"/>
      <c r="AL572" s="6">
        <f t="shared" si="118"/>
        <v>100</v>
      </c>
      <c r="AM572" s="19"/>
      <c r="AN572" s="19"/>
      <c r="AO572" s="19"/>
      <c r="AP572" s="6">
        <f t="shared" si="119"/>
        <v>100</v>
      </c>
      <c r="AQ572" s="19"/>
      <c r="AR572" s="19"/>
      <c r="AS572" s="19"/>
      <c r="AT572" s="6">
        <f t="shared" si="120"/>
        <v>100</v>
      </c>
    </row>
    <row r="573" spans="1:46">
      <c r="A573" s="4">
        <v>46387</v>
      </c>
      <c r="B573" s="257"/>
      <c r="C573" s="7"/>
      <c r="D573" s="7"/>
      <c r="E573" s="7"/>
      <c r="F573" s="6">
        <f t="shared" si="110"/>
        <v>100</v>
      </c>
      <c r="G573" s="8"/>
      <c r="H573" s="8"/>
      <c r="I573" s="8"/>
      <c r="J573" s="6">
        <f t="shared" si="111"/>
        <v>100</v>
      </c>
      <c r="K573" s="19"/>
      <c r="L573" s="19"/>
      <c r="M573" s="19"/>
      <c r="N573" s="6">
        <f t="shared" si="112"/>
        <v>100</v>
      </c>
      <c r="O573" s="19"/>
      <c r="P573" s="19"/>
      <c r="Q573" s="19"/>
      <c r="R573" s="6">
        <f t="shared" si="113"/>
        <v>100</v>
      </c>
      <c r="S573" s="8"/>
      <c r="T573" s="8"/>
      <c r="U573" s="8"/>
      <c r="V573" s="6">
        <f t="shared" si="114"/>
        <v>100</v>
      </c>
      <c r="W573" s="8"/>
      <c r="X573" s="8"/>
      <c r="Y573" s="8"/>
      <c r="Z573" s="6">
        <f t="shared" si="115"/>
        <v>100</v>
      </c>
      <c r="AA573" s="19"/>
      <c r="AB573" s="19"/>
      <c r="AC573" s="19"/>
      <c r="AD573" s="6">
        <f t="shared" si="116"/>
        <v>100</v>
      </c>
      <c r="AE573" s="19"/>
      <c r="AF573" s="19"/>
      <c r="AG573" s="19"/>
      <c r="AH573" s="6">
        <f t="shared" si="117"/>
        <v>100</v>
      </c>
      <c r="AI573" s="19"/>
      <c r="AJ573" s="19"/>
      <c r="AK573" s="19"/>
      <c r="AL573" s="6">
        <f t="shared" si="118"/>
        <v>100</v>
      </c>
      <c r="AM573" s="19"/>
      <c r="AN573" s="19"/>
      <c r="AO573" s="19"/>
      <c r="AP573" s="6">
        <f t="shared" si="119"/>
        <v>100</v>
      </c>
      <c r="AQ573" s="19"/>
      <c r="AR573" s="19"/>
      <c r="AS573" s="19"/>
      <c r="AT573" s="6">
        <f t="shared" si="120"/>
        <v>100</v>
      </c>
    </row>
  </sheetData>
  <mergeCells count="12">
    <mergeCell ref="AE2:AH2"/>
    <mergeCell ref="AI2:AL2"/>
    <mergeCell ref="AM2:AP2"/>
    <mergeCell ref="AQ2:AT2"/>
    <mergeCell ref="A1:AS1"/>
    <mergeCell ref="C2:F2"/>
    <mergeCell ref="G2:J2"/>
    <mergeCell ref="S2:V2"/>
    <mergeCell ref="K2:N2"/>
    <mergeCell ref="O2:R2"/>
    <mergeCell ref="W2:Z2"/>
    <mergeCell ref="AA2:AD2"/>
  </mergeCells>
  <pageMargins left="0.7" right="0.7" top="0.75" bottom="0.75" header="0.3" footer="0.3"/>
  <ignoredErrors>
    <ignoredError sqref="F22:F33 F35:F208 F4:F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7925-F41F-6147-A4A8-90E22D7FA4A7}">
  <sheetPr codeName="Sheet6">
    <tabColor theme="3" tint="0.249977111117893"/>
  </sheetPr>
  <dimension ref="A1:Q685"/>
  <sheetViews>
    <sheetView zoomScaleNormal="100" workbookViewId="0">
      <pane xSplit="1" ySplit="4" topLeftCell="B261" activePane="bottomRight" state="frozen"/>
      <selection pane="bottomRight" activeCell="K262" sqref="K262"/>
      <selection pane="bottomLeft" activeCell="A5" sqref="A5"/>
      <selection pane="topRight" activeCell="B1" sqref="B1"/>
    </sheetView>
  </sheetViews>
  <sheetFormatPr defaultColWidth="11" defaultRowHeight="15.95"/>
  <cols>
    <col min="1" max="1" width="12.5" bestFit="1" customWidth="1"/>
    <col min="2" max="2" width="12.5" customWidth="1"/>
    <col min="3" max="3" width="12.375" customWidth="1"/>
    <col min="4" max="12" width="10.875" customWidth="1"/>
    <col min="13" max="13" width="10.875" style="17" customWidth="1"/>
    <col min="14" max="16" width="10.875" customWidth="1"/>
    <col min="17" max="17" width="29.625" bestFit="1" customWidth="1"/>
  </cols>
  <sheetData>
    <row r="1" spans="1:17" ht="33" customHeight="1">
      <c r="A1" s="286" t="s">
        <v>49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</row>
    <row r="2" spans="1:17" ht="32.1" customHeight="1">
      <c r="A2" s="25"/>
      <c r="B2" s="287" t="s">
        <v>50</v>
      </c>
      <c r="C2" s="288"/>
      <c r="D2" s="288"/>
      <c r="E2" s="288"/>
      <c r="F2" s="289"/>
      <c r="G2" s="287" t="s">
        <v>51</v>
      </c>
      <c r="H2" s="288"/>
      <c r="I2" s="289"/>
      <c r="J2" s="287" t="s">
        <v>52</v>
      </c>
      <c r="K2" s="288"/>
      <c r="L2" s="289"/>
      <c r="M2" s="287" t="s">
        <v>53</v>
      </c>
      <c r="N2" s="289"/>
      <c r="O2" s="287" t="s">
        <v>54</v>
      </c>
      <c r="P2" s="289"/>
      <c r="Q2" s="26" t="s">
        <v>55</v>
      </c>
    </row>
    <row r="3" spans="1:17" ht="21" customHeight="1">
      <c r="A3" s="13" t="s">
        <v>56</v>
      </c>
      <c r="B3" s="15">
        <v>0.57999999999999996</v>
      </c>
      <c r="C3" s="15">
        <v>0.37</v>
      </c>
      <c r="D3" s="13">
        <v>3.11</v>
      </c>
      <c r="E3" s="13">
        <v>0.52</v>
      </c>
      <c r="F3" s="37">
        <v>1.899</v>
      </c>
      <c r="G3" s="15">
        <v>0.78</v>
      </c>
      <c r="H3" s="13">
        <v>2.0099999999999998</v>
      </c>
      <c r="I3" s="13">
        <v>0.52</v>
      </c>
      <c r="J3" s="16">
        <v>0.65400000000000003</v>
      </c>
      <c r="K3" s="13">
        <v>2.41</v>
      </c>
      <c r="L3" s="13">
        <v>0.55000000000000004</v>
      </c>
      <c r="M3" s="14">
        <v>2.38</v>
      </c>
      <c r="N3" s="38">
        <v>1.2889999999999999</v>
      </c>
      <c r="O3" s="14">
        <v>2.29</v>
      </c>
      <c r="P3" s="14">
        <v>2.2799999999999998</v>
      </c>
      <c r="Q3" s="18"/>
    </row>
    <row r="4" spans="1:17" ht="36.950000000000003" customHeight="1">
      <c r="A4" s="27" t="s">
        <v>12</v>
      </c>
      <c r="B4" s="27" t="s">
        <v>57</v>
      </c>
      <c r="C4" s="27" t="s">
        <v>58</v>
      </c>
      <c r="D4" s="28" t="s">
        <v>59</v>
      </c>
      <c r="E4" s="28" t="s">
        <v>60</v>
      </c>
      <c r="F4" s="28" t="s">
        <v>61</v>
      </c>
      <c r="G4" s="29" t="s">
        <v>62</v>
      </c>
      <c r="H4" s="29" t="s">
        <v>59</v>
      </c>
      <c r="I4" s="30" t="s">
        <v>60</v>
      </c>
      <c r="J4" s="30" t="s">
        <v>62</v>
      </c>
      <c r="K4" s="30" t="s">
        <v>59</v>
      </c>
      <c r="L4" s="30" t="s">
        <v>60</v>
      </c>
      <c r="M4" s="28" t="s">
        <v>59</v>
      </c>
      <c r="N4" s="28" t="s">
        <v>60</v>
      </c>
      <c r="O4" s="28" t="s">
        <v>59</v>
      </c>
      <c r="P4" s="28" t="s">
        <v>60</v>
      </c>
      <c r="Q4" s="31"/>
    </row>
    <row r="5" spans="1:17" s="2" customFormat="1">
      <c r="A5" s="185">
        <v>45819</v>
      </c>
      <c r="B5" s="186">
        <f>IFERROR(('Lab Analysis'!E4/('Lab Analysis'!E4+(1.364*'Lab Analysis'!D4))),"0")</f>
        <v>0.56087766525185256</v>
      </c>
      <c r="C5" s="186">
        <f>IFERROR((2*'Lab Analysis'!E4/60)/('Lab Analysis'!C4/17+(2*'Lab Analysis'!E4/60)),"0")</f>
        <v>0.37927754688501542</v>
      </c>
      <c r="D5" s="187">
        <f>IFERROR(((2*('Lab Analysis'!E4/60)+('Lab Analysis'!C4/17))/(('Lab Analysis'!D4/44)+('Lab Analysis'!E4/60))),"0")</f>
        <v>2.957956981176137</v>
      </c>
      <c r="E5" s="187">
        <f>IFERROR((('Lab Analysis'!F4/18)-('Lab Analysis'!E4/60))/(('Lab Analysis'!D4/44)+('Lab Analysis'!E4/60)),"0")</f>
        <v>0.53829996166590532</v>
      </c>
      <c r="F5" s="187">
        <f>IFERROR((('Lab Analysis'!F4/18)/('Lab Analysis'!E4/60)),"0")</f>
        <v>1.9596334054165381</v>
      </c>
      <c r="G5" s="188" t="str">
        <f>IFERROR(('Lab Analysis'!I4/('Lab Analysis'!I4+(1.765*'Lab Analysis'!G4))),"0")</f>
        <v>0</v>
      </c>
      <c r="H5" s="189" t="str">
        <f>IFERROR(((2*('Lab Analysis'!I4/60))+('Lab Analysis'!G4/17))/(('Lab Analysis'!H4/44)+('Lab Analysis'!I4/60)),"0")</f>
        <v>0</v>
      </c>
      <c r="I5" s="189" t="str">
        <f>IFERROR((('Lab Analysis'!J4/18)-('Lab Analysis'!I4/60))/(('Lab Analysis'!H4/44)+('Lab Analysis'!I4/60)),"0")</f>
        <v>0</v>
      </c>
      <c r="J5" s="186" t="str">
        <f>IFERROR(('Lab Analysis'!M4/('Lab Analysis'!M4+(1.765*'Lab Analysis'!K4))),"0")</f>
        <v>0</v>
      </c>
      <c r="K5" s="190" t="str">
        <f>IFERROR(((2*('Lab Analysis'!M4/60))+('Lab Analysis'!K4/17))/(('Lab Analysis'!L4/44)+('Lab Analysis'!M4/60)),"0")</f>
        <v>0</v>
      </c>
      <c r="L5" s="190" t="str">
        <f>IFERROR((('Lab Analysis'!N4/18)-('Lab Analysis'!M4/60))/(('Lab Analysis'!L4/44)+('Lab Analysis'!M4/60)),"0")</f>
        <v>0</v>
      </c>
      <c r="M5" s="187" t="str">
        <f>IFERROR(((2*('Lab Analysis'!U4/60))+('Lab Analysis'!S4/17))/(('Lab Analysis'!T4/44)+('Lab Analysis'!U4/60)),"0")</f>
        <v>0</v>
      </c>
      <c r="N5" s="187" t="str">
        <f>IFERROR((('Lab Analysis'!V4/18)-('Lab Analysis'!U4/60))/(('Lab Analysis'!T4/44)+('Lab Analysis'!U4/60)),"0")</f>
        <v>0</v>
      </c>
      <c r="O5" s="187" t="str">
        <f>IFERROR(((2*('Lab Analysis'!Y4/60)+('Lab Analysis'!W4/17))/(('Lab Analysis'!X4/44)+('Lab Analysis'!Y4/60))),"0")</f>
        <v>0</v>
      </c>
      <c r="P5" s="187" t="str">
        <f>IFERROR((('Lab Analysis'!Z4/18)-('Lab Analysis'!Y4/60))/(('Lab Analysis'!X4/44)+('Lab Analysis'!Y4/60)),"0")</f>
        <v>0</v>
      </c>
      <c r="Q5" s="191"/>
    </row>
    <row r="6" spans="1:17" s="2" customFormat="1">
      <c r="A6" s="185">
        <v>45820</v>
      </c>
      <c r="B6" s="186">
        <f>IFERROR(('Lab Analysis'!E5/('Lab Analysis'!E5+(1.364*'Lab Analysis'!D5))),"0")</f>
        <v>0.55258555979048529</v>
      </c>
      <c r="C6" s="186">
        <f>IFERROR((2*'Lab Analysis'!E5/60)/('Lab Analysis'!C5/17+(2*'Lab Analysis'!E5/60)),"0")</f>
        <v>0.37483146999647377</v>
      </c>
      <c r="D6" s="187">
        <f>IFERROR(((2*('Lab Analysis'!E5/60)+('Lab Analysis'!C5/17))/(('Lab Analysis'!D5/44)+('Lab Analysis'!E5/60))),"0")</f>
        <v>2.9487997864804303</v>
      </c>
      <c r="E6" s="187">
        <f>IFERROR((('Lab Analysis'!F5/18)-('Lab Analysis'!E5/60))/(('Lab Analysis'!D5/44)+('Lab Analysis'!E5/60)),"0")</f>
        <v>0.54722143449811422</v>
      </c>
      <c r="F6" s="187">
        <f>IFERROR((('Lab Analysis'!F5/18)/('Lab Analysis'!E5/60)),"0")</f>
        <v>1.9901745583777559</v>
      </c>
      <c r="G6" s="188">
        <f>IFERROR(('Lab Analysis'!I5/('Lab Analysis'!I5+(1.765*'Lab Analysis'!G5))),"0")</f>
        <v>0.72508935859030077</v>
      </c>
      <c r="H6" s="189">
        <f>IFERROR(((2*('Lab Analysis'!I5/60))+('Lab Analysis'!G5/17))/(('Lab Analysis'!H5/44)+('Lab Analysis'!I5/60)),"0")</f>
        <v>2.124816590522085</v>
      </c>
      <c r="I6" s="189">
        <f>IFERROR((('Lab Analysis'!J5/18)-('Lab Analysis'!I5/60))/(('Lab Analysis'!H5/44)+('Lab Analysis'!I5/60)),"0")</f>
        <v>0.64689988227987805</v>
      </c>
      <c r="J6" s="186">
        <f>IFERROR(('Lab Analysis'!M5/('Lab Analysis'!M5+(1.765*'Lab Analysis'!K5))),"0")</f>
        <v>0.59743829245175306</v>
      </c>
      <c r="K6" s="190">
        <f>IFERROR(((2*('Lab Analysis'!M5/60))+('Lab Analysis'!K5/17))/(('Lab Analysis'!L5/44)+('Lab Analysis'!M5/60)),"0")</f>
        <v>2.3958082903563529</v>
      </c>
      <c r="L6" s="190">
        <f>IFERROR((('Lab Analysis'!N5/18)-('Lab Analysis'!M5/60))/(('Lab Analysis'!L5/44)+('Lab Analysis'!M5/60)),"0")</f>
        <v>0.7861459019995608</v>
      </c>
      <c r="M6" s="187" t="str">
        <f>IFERROR(((2*('Lab Analysis'!U5/60))+('Lab Analysis'!S5/17))/(('Lab Analysis'!T5/44)+('Lab Analysis'!U5/60)),"0")</f>
        <v>0</v>
      </c>
      <c r="N6" s="187" t="str">
        <f>IFERROR((('Lab Analysis'!V5/18)-('Lab Analysis'!U5/60))/(('Lab Analysis'!T5/44)+('Lab Analysis'!U5/60)),"0")</f>
        <v>0</v>
      </c>
      <c r="O6" s="187" t="str">
        <f>IFERROR(((2*('Lab Analysis'!Y5/60)+('Lab Analysis'!W5/17))/(('Lab Analysis'!X5/44)+('Lab Analysis'!Y5/60))),"0")</f>
        <v>0</v>
      </c>
      <c r="P6" s="187" t="str">
        <f>IFERROR((('Lab Analysis'!Z5/18)-('Lab Analysis'!Y5/60))/(('Lab Analysis'!X5/44)+('Lab Analysis'!Y5/60)),"0")</f>
        <v>0</v>
      </c>
      <c r="Q6" s="191"/>
    </row>
    <row r="7" spans="1:17" s="2" customFormat="1">
      <c r="A7" s="185">
        <v>45821</v>
      </c>
      <c r="B7" s="186">
        <f>IFERROR(('Lab Analysis'!E6/('Lab Analysis'!E6+(1.364*'Lab Analysis'!D6))),"0")</f>
        <v>0.54558797968288297</v>
      </c>
      <c r="C7" s="186">
        <f>IFERROR((2*'Lab Analysis'!E6/60)/('Lab Analysis'!C6/17+(2*'Lab Analysis'!E6/60)),"0")</f>
        <v>0.37275637915979432</v>
      </c>
      <c r="D7" s="187">
        <f>IFERROR(((2*('Lab Analysis'!E6/60)+('Lab Analysis'!C6/17))/(('Lab Analysis'!D6/44)+('Lab Analysis'!E6/60))),"0")</f>
        <v>2.9276713319217063</v>
      </c>
      <c r="E7" s="187">
        <f>IFERROR((('Lab Analysis'!F6/18)-('Lab Analysis'!E6/60))/(('Lab Analysis'!D6/44)+('Lab Analysis'!E6/60)),"0")</f>
        <v>0.53910071491283107</v>
      </c>
      <c r="F7" s="187">
        <f>IFERROR((('Lab Analysis'!F6/18)/('Lab Analysis'!E6/60)),"0")</f>
        <v>1.9879898862199752</v>
      </c>
      <c r="G7" s="188" t="str">
        <f>IFERROR(('Lab Analysis'!I6/('Lab Analysis'!I6+(1.765*'Lab Analysis'!G6))),"0")</f>
        <v>0</v>
      </c>
      <c r="H7" s="189" t="str">
        <f>IFERROR(((2*('Lab Analysis'!I6/60))+('Lab Analysis'!G6/17))/(('Lab Analysis'!H6/44)+('Lab Analysis'!I6/60)),"0")</f>
        <v>0</v>
      </c>
      <c r="I7" s="189" t="str">
        <f>IFERROR((('Lab Analysis'!J6/18)-('Lab Analysis'!I6/60))/(('Lab Analysis'!H6/44)+('Lab Analysis'!I6/60)),"0")</f>
        <v>0</v>
      </c>
      <c r="J7" s="186" t="str">
        <f>IFERROR(('Lab Analysis'!M6/('Lab Analysis'!M6+(1.765*'Lab Analysis'!K6))),"0")</f>
        <v>0</v>
      </c>
      <c r="K7" s="190" t="str">
        <f>IFERROR(((2*('Lab Analysis'!M6/60))+('Lab Analysis'!K6/17))/(('Lab Analysis'!L6/44)+('Lab Analysis'!M6/60)),"0")</f>
        <v>0</v>
      </c>
      <c r="L7" s="190" t="str">
        <f>IFERROR((('Lab Analysis'!N6/18)-('Lab Analysis'!M6/60))/(('Lab Analysis'!L6/44)+('Lab Analysis'!M6/60)),"0")</f>
        <v>0</v>
      </c>
      <c r="M7" s="187" t="str">
        <f>IFERROR(((2*('Lab Analysis'!U6/60))+('Lab Analysis'!S6/17))/(('Lab Analysis'!T6/44)+('Lab Analysis'!U6/60)),"0")</f>
        <v>0</v>
      </c>
      <c r="N7" s="187" t="str">
        <f>IFERROR((('Lab Analysis'!V6/18)-('Lab Analysis'!U6/60))/(('Lab Analysis'!T6/44)+('Lab Analysis'!U6/60)),"0")</f>
        <v>0</v>
      </c>
      <c r="O7" s="187" t="str">
        <f>IFERROR(((2*('Lab Analysis'!Y6/60)+('Lab Analysis'!W6/17))/(('Lab Analysis'!X6/44)+('Lab Analysis'!Y6/60))),"0")</f>
        <v>0</v>
      </c>
      <c r="P7" s="187" t="str">
        <f>IFERROR((('Lab Analysis'!Z6/18)-('Lab Analysis'!Y6/60))/(('Lab Analysis'!X6/44)+('Lab Analysis'!Y6/60)),"0")</f>
        <v>0</v>
      </c>
      <c r="Q7" s="191"/>
    </row>
    <row r="8" spans="1:17" s="2" customFormat="1">
      <c r="A8" s="185">
        <v>45822</v>
      </c>
      <c r="B8" s="186" t="str">
        <f>IFERROR(('Lab Analysis'!E7/('Lab Analysis'!E7+(1.364*'Lab Analysis'!D7))),"0")</f>
        <v>0</v>
      </c>
      <c r="C8" s="186" t="str">
        <f>IFERROR((2*'Lab Analysis'!E7/60)/('Lab Analysis'!C7/17+(2*'Lab Analysis'!E7/60)),"0")</f>
        <v>0</v>
      </c>
      <c r="D8" s="187" t="str">
        <f>IFERROR(((2*('Lab Analysis'!E7/60)+('Lab Analysis'!C7/17))/(('Lab Analysis'!D7/44)+('Lab Analysis'!E7/60))),"0")</f>
        <v>0</v>
      </c>
      <c r="E8" s="187" t="str">
        <f>IFERROR((('Lab Analysis'!F7/18)-('Lab Analysis'!E7/60))/(('Lab Analysis'!D7/44)+('Lab Analysis'!E7/60)),"0")</f>
        <v>0</v>
      </c>
      <c r="F8" s="187" t="str">
        <f>IFERROR((('Lab Analysis'!F7/18)/('Lab Analysis'!E7/60)),"0")</f>
        <v>0</v>
      </c>
      <c r="G8" s="188" t="str">
        <f>IFERROR(('Lab Analysis'!I7/('Lab Analysis'!I7+(1.765*'Lab Analysis'!G7))),"0")</f>
        <v>0</v>
      </c>
      <c r="H8" s="189" t="str">
        <f>IFERROR(((2*('Lab Analysis'!I7/60))+('Lab Analysis'!G7/17))/(('Lab Analysis'!H7/44)+('Lab Analysis'!I7/60)),"0")</f>
        <v>0</v>
      </c>
      <c r="I8" s="189" t="str">
        <f>IFERROR((('Lab Analysis'!J7/18)-('Lab Analysis'!I7/60))/(('Lab Analysis'!H7/44)+('Lab Analysis'!I7/60)),"0")</f>
        <v>0</v>
      </c>
      <c r="J8" s="186" t="str">
        <f>IFERROR(('Lab Analysis'!M7/('Lab Analysis'!M7+(1.765*'Lab Analysis'!K7))),"0")</f>
        <v>0</v>
      </c>
      <c r="K8" s="190" t="str">
        <f>IFERROR(((2*('Lab Analysis'!M7/60))+('Lab Analysis'!K7/17))/(('Lab Analysis'!L7/44)+('Lab Analysis'!M7/60)),"0")</f>
        <v>0</v>
      </c>
      <c r="L8" s="190" t="str">
        <f>IFERROR((('Lab Analysis'!N7/18)-('Lab Analysis'!M7/60))/(('Lab Analysis'!L7/44)+('Lab Analysis'!M7/60)),"0")</f>
        <v>0</v>
      </c>
      <c r="M8" s="187" t="str">
        <f>IFERROR(((2*('Lab Analysis'!U7/60))+('Lab Analysis'!S7/17))/(('Lab Analysis'!T7/44)+('Lab Analysis'!U7/60)),"0")</f>
        <v>0</v>
      </c>
      <c r="N8" s="187" t="str">
        <f>IFERROR((('Lab Analysis'!V7/18)-('Lab Analysis'!U7/60))/(('Lab Analysis'!T7/44)+('Lab Analysis'!U7/60)),"0")</f>
        <v>0</v>
      </c>
      <c r="O8" s="187" t="str">
        <f>IFERROR(((2*('Lab Analysis'!Y7/60)+('Lab Analysis'!W7/17))/(('Lab Analysis'!X7/44)+('Lab Analysis'!Y7/60))),"0")</f>
        <v>0</v>
      </c>
      <c r="P8" s="187" t="str">
        <f>IFERROR((('Lab Analysis'!Z7/18)-('Lab Analysis'!Y7/60))/(('Lab Analysis'!X7/44)+('Lab Analysis'!Y7/60)),"0")</f>
        <v>0</v>
      </c>
      <c r="Q8" s="191"/>
    </row>
    <row r="9" spans="1:17" s="2" customFormat="1">
      <c r="A9" s="185">
        <v>45823</v>
      </c>
      <c r="B9" s="186" t="str">
        <f>IFERROR(('Lab Analysis'!E8/('Lab Analysis'!E8+(1.364*'Lab Analysis'!D8))),"0")</f>
        <v>0</v>
      </c>
      <c r="C9" s="186" t="str">
        <f>IFERROR((2*'Lab Analysis'!E8/60)/('Lab Analysis'!C8/17+(2*'Lab Analysis'!E8/60)),"0")</f>
        <v>0</v>
      </c>
      <c r="D9" s="187" t="str">
        <f>IFERROR(((2*('Lab Analysis'!E8/60)+('Lab Analysis'!C8/17))/(('Lab Analysis'!D8/44)+('Lab Analysis'!E8/60))),"0")</f>
        <v>0</v>
      </c>
      <c r="E9" s="187" t="str">
        <f>IFERROR((('Lab Analysis'!F8/18)-('Lab Analysis'!E8/60))/(('Lab Analysis'!D8/44)+('Lab Analysis'!E8/60)),"0")</f>
        <v>0</v>
      </c>
      <c r="F9" s="187" t="str">
        <f>IFERROR((('Lab Analysis'!F8/18)/('Lab Analysis'!E8/60)),"0")</f>
        <v>0</v>
      </c>
      <c r="G9" s="188" t="str">
        <f>IFERROR(('Lab Analysis'!I8/('Lab Analysis'!I8+(1.765*'Lab Analysis'!G8))),"0")</f>
        <v>0</v>
      </c>
      <c r="H9" s="189" t="str">
        <f>IFERROR(((2*('Lab Analysis'!I8/60))+('Lab Analysis'!G8/17))/(('Lab Analysis'!H8/44)+('Lab Analysis'!I8/60)),"0")</f>
        <v>0</v>
      </c>
      <c r="I9" s="189" t="str">
        <f>IFERROR((('Lab Analysis'!J8/18)-('Lab Analysis'!I8/60))/(('Lab Analysis'!H8/44)+('Lab Analysis'!I8/60)),"0")</f>
        <v>0</v>
      </c>
      <c r="J9" s="186" t="str">
        <f>IFERROR(('Lab Analysis'!M8/('Lab Analysis'!M8+(1.765*'Lab Analysis'!K8))),"0")</f>
        <v>0</v>
      </c>
      <c r="K9" s="190" t="str">
        <f>IFERROR(((2*('Lab Analysis'!M8/60))+('Lab Analysis'!K8/17))/(('Lab Analysis'!L8/44)+('Lab Analysis'!M8/60)),"0")</f>
        <v>0</v>
      </c>
      <c r="L9" s="190" t="str">
        <f>IFERROR((('Lab Analysis'!N8/18)-('Lab Analysis'!M8/60))/(('Lab Analysis'!L8/44)+('Lab Analysis'!M8/60)),"0")</f>
        <v>0</v>
      </c>
      <c r="M9" s="187" t="str">
        <f>IFERROR(((2*('Lab Analysis'!U8/60))+('Lab Analysis'!S8/17))/(('Lab Analysis'!T8/44)+('Lab Analysis'!U8/60)),"0")</f>
        <v>0</v>
      </c>
      <c r="N9" s="187" t="str">
        <f>IFERROR((('Lab Analysis'!V8/18)-('Lab Analysis'!U8/60))/(('Lab Analysis'!T8/44)+('Lab Analysis'!U8/60)),"0")</f>
        <v>0</v>
      </c>
      <c r="O9" s="187" t="str">
        <f>IFERROR(((2*('Lab Analysis'!Y8/60)+('Lab Analysis'!W8/17))/(('Lab Analysis'!X8/44)+('Lab Analysis'!Y8/60))),"0")</f>
        <v>0</v>
      </c>
      <c r="P9" s="187" t="str">
        <f>IFERROR((('Lab Analysis'!Z8/18)-('Lab Analysis'!Y8/60))/(('Lab Analysis'!X8/44)+('Lab Analysis'!Y8/60)),"0")</f>
        <v>0</v>
      </c>
      <c r="Q9" s="191"/>
    </row>
    <row r="10" spans="1:17" s="2" customFormat="1">
      <c r="A10" s="185">
        <v>45824</v>
      </c>
      <c r="B10" s="186">
        <f>IFERROR(('Lab Analysis'!E9/('Lab Analysis'!E9+(1.364*'Lab Analysis'!D9))),"0")</f>
        <v>0.53433276137150421</v>
      </c>
      <c r="C10" s="186">
        <f>IFERROR((2*'Lab Analysis'!E9/60)/('Lab Analysis'!C9/17+(2*'Lab Analysis'!E9/60)),"0")</f>
        <v>0.36513393102689617</v>
      </c>
      <c r="D10" s="187">
        <f>IFERROR(((2*('Lab Analysis'!E9/60)+('Lab Analysis'!C9/17))/(('Lab Analysis'!D9/44)+('Lab Analysis'!E9/60))),"0")</f>
        <v>2.9271402016890358</v>
      </c>
      <c r="E10" s="187">
        <f>IFERROR((('Lab Analysis'!F9/18)-('Lab Analysis'!E9/60))/(('Lab Analysis'!D9/44)+('Lab Analysis'!E9/60)),"0")</f>
        <v>0.49311603218047589</v>
      </c>
      <c r="F10" s="187">
        <f>IFERROR((('Lab Analysis'!F9/18)/('Lab Analysis'!E9/60)),"0")</f>
        <v>1.9227486128894578</v>
      </c>
      <c r="G10" s="188">
        <f>IFERROR(('Lab Analysis'!I9/('Lab Analysis'!I9+(1.765*'Lab Analysis'!G9))),"0")</f>
        <v>0.71879041096790641</v>
      </c>
      <c r="H10" s="189">
        <f>IFERROR(((2*('Lab Analysis'!I9/60))+('Lab Analysis'!G9/17))/(('Lab Analysis'!H9/44)+('Lab Analysis'!I9/60)),"0")</f>
        <v>2.1319964134938547</v>
      </c>
      <c r="I10" s="189">
        <f>IFERROR((('Lab Analysis'!J9/18)-('Lab Analysis'!I9/60))/(('Lab Analysis'!H9/44)+('Lab Analysis'!I9/60)),"0")</f>
        <v>0.731392501804492</v>
      </c>
      <c r="J10" s="186">
        <f>IFERROR(('Lab Analysis'!M9/('Lab Analysis'!M9+(1.765*'Lab Analysis'!K9))),"0")</f>
        <v>0.60149280702827235</v>
      </c>
      <c r="K10" s="190">
        <f>IFERROR(((2*('Lab Analysis'!M9/60))+('Lab Analysis'!K9/17))/(('Lab Analysis'!L9/44)+('Lab Analysis'!M9/60)),"0")</f>
        <v>2.3706229926330118</v>
      </c>
      <c r="L10" s="190">
        <f>IFERROR((('Lab Analysis'!N9/18)-('Lab Analysis'!M9/60))/(('Lab Analysis'!L9/44)+('Lab Analysis'!M9/60)),"0")</f>
        <v>0.74656063500525693</v>
      </c>
      <c r="M10" s="187" t="str">
        <f>IFERROR(((2*('Lab Analysis'!U9/60))+('Lab Analysis'!S9/17))/(('Lab Analysis'!T9/44)+('Lab Analysis'!U9/60)),"0")</f>
        <v>0</v>
      </c>
      <c r="N10" s="187" t="str">
        <f>IFERROR((('Lab Analysis'!V9/18)-('Lab Analysis'!U9/60))/(('Lab Analysis'!T9/44)+('Lab Analysis'!U9/60)),"0")</f>
        <v>0</v>
      </c>
      <c r="O10" s="187" t="str">
        <f>IFERROR(((2*('Lab Analysis'!Y9/60)+('Lab Analysis'!W9/17))/(('Lab Analysis'!X9/44)+('Lab Analysis'!Y9/60))),"0")</f>
        <v>0</v>
      </c>
      <c r="P10" s="187" t="str">
        <f>IFERROR((('Lab Analysis'!Z9/18)-('Lab Analysis'!Y9/60))/(('Lab Analysis'!X9/44)+('Lab Analysis'!Y9/60)),"0")</f>
        <v>0</v>
      </c>
      <c r="Q10" s="191"/>
    </row>
    <row r="11" spans="1:17" s="2" customFormat="1">
      <c r="A11" s="185">
        <v>45825</v>
      </c>
      <c r="B11" s="186">
        <f>IFERROR(('Lab Analysis'!E10/('Lab Analysis'!E10+(1.364*'Lab Analysis'!D10))),"0")</f>
        <v>0.54443232690753529</v>
      </c>
      <c r="C11" s="186">
        <f>IFERROR((2*'Lab Analysis'!E10/60)/('Lab Analysis'!C10/17+(2*'Lab Analysis'!E10/60)),"0")</f>
        <v>0.37094348175468234</v>
      </c>
      <c r="D11" s="187">
        <f>IFERROR(((2*('Lab Analysis'!E10/60)+('Lab Analysis'!C10/17))/(('Lab Analysis'!D10/44)+('Lab Analysis'!E10/60))),"0")</f>
        <v>2.9357488905630498</v>
      </c>
      <c r="E11" s="187">
        <f>IFERROR((('Lab Analysis'!F10/18)-('Lab Analysis'!E10/60))/(('Lab Analysis'!D10/44)+('Lab Analysis'!E10/60)),"0")</f>
        <v>0.49582437443520044</v>
      </c>
      <c r="F11" s="187">
        <f>IFERROR((('Lab Analysis'!F10/18)/('Lab Analysis'!E10/60)),"0")</f>
        <v>1.9106074913440363</v>
      </c>
      <c r="G11" s="188" t="str">
        <f>IFERROR(('Lab Analysis'!I10/('Lab Analysis'!I10+(1.765*'Lab Analysis'!G10))),"0")</f>
        <v>0</v>
      </c>
      <c r="H11" s="189" t="str">
        <f>IFERROR(((2*('Lab Analysis'!I10/60))+('Lab Analysis'!G10/17))/(('Lab Analysis'!H10/44)+('Lab Analysis'!I10/60)),"0")</f>
        <v>0</v>
      </c>
      <c r="I11" s="189" t="str">
        <f>IFERROR((('Lab Analysis'!J10/18)-('Lab Analysis'!I10/60))/(('Lab Analysis'!H10/44)+('Lab Analysis'!I10/60)),"0")</f>
        <v>0</v>
      </c>
      <c r="J11" s="186" t="str">
        <f>IFERROR(('Lab Analysis'!M10/('Lab Analysis'!M10+(1.765*'Lab Analysis'!K10))),"0")</f>
        <v>0</v>
      </c>
      <c r="K11" s="190" t="str">
        <f>IFERROR(((2*('Lab Analysis'!M10/60))+('Lab Analysis'!K10/17))/(('Lab Analysis'!L10/44)+('Lab Analysis'!M10/60)),"0")</f>
        <v>0</v>
      </c>
      <c r="L11" s="190" t="str">
        <f>IFERROR((('Lab Analysis'!N10/18)-('Lab Analysis'!M10/60))/(('Lab Analysis'!L10/44)+('Lab Analysis'!M10/60)),"0")</f>
        <v>0</v>
      </c>
      <c r="M11" s="187" t="str">
        <f>IFERROR(((2*('Lab Analysis'!U10/60))+('Lab Analysis'!S10/17))/(('Lab Analysis'!T10/44)+('Lab Analysis'!U10/60)),"0")</f>
        <v>0</v>
      </c>
      <c r="N11" s="187" t="str">
        <f>IFERROR((('Lab Analysis'!V10/18)-('Lab Analysis'!U10/60))/(('Lab Analysis'!T10/44)+('Lab Analysis'!U10/60)),"0")</f>
        <v>0</v>
      </c>
      <c r="O11" s="187" t="str">
        <f>IFERROR(((2*('Lab Analysis'!Y10/60)+('Lab Analysis'!W10/17))/(('Lab Analysis'!X10/44)+('Lab Analysis'!Y10/60))),"0")</f>
        <v>0</v>
      </c>
      <c r="P11" s="187" t="str">
        <f>IFERROR((('Lab Analysis'!Z10/18)-('Lab Analysis'!Y10/60))/(('Lab Analysis'!X10/44)+('Lab Analysis'!Y10/60)),"0")</f>
        <v>0</v>
      </c>
      <c r="Q11" s="191"/>
    </row>
    <row r="12" spans="1:17" s="2" customFormat="1">
      <c r="A12" s="185">
        <v>45826</v>
      </c>
      <c r="B12" s="186">
        <f>IFERROR(('Lab Analysis'!E11/('Lab Analysis'!E11+(1.364*'Lab Analysis'!D11))),"0")</f>
        <v>0.54230195016303318</v>
      </c>
      <c r="C12" s="186">
        <f>IFERROR((2*'Lab Analysis'!E11/60)/('Lab Analysis'!C11/17+(2*'Lab Analysis'!E11/60)),"0")</f>
        <v>0.37674119079951279</v>
      </c>
      <c r="D12" s="187">
        <f>IFERROR(((2*('Lab Analysis'!E11/60)+('Lab Analysis'!C11/17))/(('Lab Analysis'!D11/44)+('Lab Analysis'!E11/60))),"0")</f>
        <v>2.8792611124903469</v>
      </c>
      <c r="E12" s="187">
        <f>IFERROR((('Lab Analysis'!F11/18)-('Lab Analysis'!E11/60))/(('Lab Analysis'!D11/44)+('Lab Analysis'!E11/60)),"0")</f>
        <v>0.54659378195843966</v>
      </c>
      <c r="F12" s="187">
        <f>IFERROR((('Lab Analysis'!F11/18)/('Lab Analysis'!E11/60)),"0")</f>
        <v>2.0077911139187208</v>
      </c>
      <c r="G12" s="188" t="str">
        <f>IFERROR(('Lab Analysis'!I11/('Lab Analysis'!I11+(1.765*'Lab Analysis'!G11))),"0")</f>
        <v>0</v>
      </c>
      <c r="H12" s="189" t="str">
        <f>IFERROR(((2*('Lab Analysis'!I11/60))+('Lab Analysis'!G11/17))/(('Lab Analysis'!H11/44)+('Lab Analysis'!I11/60)),"0")</f>
        <v>0</v>
      </c>
      <c r="I12" s="189" t="str">
        <f>IFERROR((('Lab Analysis'!J11/18)-('Lab Analysis'!I11/60))/(('Lab Analysis'!H11/44)+('Lab Analysis'!I11/60)),"0")</f>
        <v>0</v>
      </c>
      <c r="J12" s="186" t="str">
        <f>IFERROR(('Lab Analysis'!M11/('Lab Analysis'!M11+(1.765*'Lab Analysis'!K11))),"0")</f>
        <v>0</v>
      </c>
      <c r="K12" s="190" t="str">
        <f>IFERROR(((2*('Lab Analysis'!M11/60))+('Lab Analysis'!K11/17))/(('Lab Analysis'!L11/44)+('Lab Analysis'!M11/60)),"0")</f>
        <v>0</v>
      </c>
      <c r="L12" s="190" t="str">
        <f>IFERROR((('Lab Analysis'!N11/18)-('Lab Analysis'!M11/60))/(('Lab Analysis'!L11/44)+('Lab Analysis'!M11/60)),"0")</f>
        <v>0</v>
      </c>
      <c r="M12" s="187" t="str">
        <f>IFERROR(((2*('Lab Analysis'!U11/60))+('Lab Analysis'!S11/17))/(('Lab Analysis'!T11/44)+('Lab Analysis'!U11/60)),"0")</f>
        <v>0</v>
      </c>
      <c r="N12" s="187" t="str">
        <f>IFERROR((('Lab Analysis'!V11/18)-('Lab Analysis'!U11/60))/(('Lab Analysis'!T11/44)+('Lab Analysis'!U11/60)),"0")</f>
        <v>0</v>
      </c>
      <c r="O12" s="187" t="str">
        <f>IFERROR(((2*('Lab Analysis'!Y11/60)+('Lab Analysis'!W11/17))/(('Lab Analysis'!X11/44)+('Lab Analysis'!Y11/60))),"0")</f>
        <v>0</v>
      </c>
      <c r="P12" s="187" t="str">
        <f>IFERROR((('Lab Analysis'!Z11/18)-('Lab Analysis'!Y11/60))/(('Lab Analysis'!X11/44)+('Lab Analysis'!Y11/60)),"0")</f>
        <v>0</v>
      </c>
      <c r="Q12" s="191"/>
    </row>
    <row r="13" spans="1:17" s="2" customFormat="1">
      <c r="A13" s="185">
        <v>45827</v>
      </c>
      <c r="B13" s="186">
        <f>IFERROR(('Lab Analysis'!E12/('Lab Analysis'!E12+(1.364*'Lab Analysis'!D12))),"0")</f>
        <v>0.55009440881690674</v>
      </c>
      <c r="C13" s="186">
        <f>IFERROR((2*'Lab Analysis'!E12/60)/('Lab Analysis'!C12/17+(2*'Lab Analysis'!E12/60)),"0")</f>
        <v>0.35770811606649905</v>
      </c>
      <c r="D13" s="187">
        <f>IFERROR(((2*('Lab Analysis'!E12/60)+('Lab Analysis'!C12/17))/(('Lab Analysis'!D12/44)+('Lab Analysis'!E12/60))),"0")</f>
        <v>3.0760297119722773</v>
      </c>
      <c r="E13" s="187">
        <f>IFERROR((('Lab Analysis'!F12/18)-('Lab Analysis'!E12/60))/(('Lab Analysis'!D12/44)+('Lab Analysis'!E12/60)),"0")</f>
        <v>0.59103183089768041</v>
      </c>
      <c r="F13" s="187">
        <f>IFERROR((('Lab Analysis'!F12/18)/('Lab Analysis'!E12/60)),"0")</f>
        <v>2.074290033473706</v>
      </c>
      <c r="G13" s="188">
        <f>IFERROR(('Lab Analysis'!I12/('Lab Analysis'!I12+(1.765*'Lab Analysis'!G12))),"0")</f>
        <v>0.73781145914329149</v>
      </c>
      <c r="H13" s="189">
        <f>IFERROR(((2*('Lab Analysis'!I12/60))+('Lab Analysis'!G12/17))/(('Lab Analysis'!H12/44)+('Lab Analysis'!I12/60)),"0")</f>
        <v>2.111608751777418</v>
      </c>
      <c r="I13" s="189">
        <f>IFERROR((('Lab Analysis'!J12/18)-('Lab Analysis'!I12/60))/(('Lab Analysis'!H12/44)+('Lab Analysis'!I12/60)),"0")</f>
        <v>0.6668987412275813</v>
      </c>
      <c r="J13" s="186">
        <f>IFERROR(('Lab Analysis'!M12/('Lab Analysis'!M12+(1.765*'Lab Analysis'!K12))),"0")</f>
        <v>0.5987205515163031</v>
      </c>
      <c r="K13" s="190">
        <f>IFERROR(((2*('Lab Analysis'!M12/60))+('Lab Analysis'!K12/17))/(('Lab Analysis'!L12/44)+('Lab Analysis'!M12/60)),"0")</f>
        <v>2.3879875175082699</v>
      </c>
      <c r="L13" s="190">
        <f>IFERROR((('Lab Analysis'!N12/18)-('Lab Analysis'!M12/60))/(('Lab Analysis'!L12/44)+('Lab Analysis'!M12/60)),"0")</f>
        <v>0.60770548358302601</v>
      </c>
      <c r="M13" s="187" t="str">
        <f>IFERROR(((2*('Lab Analysis'!U12/60))+('Lab Analysis'!S12/17))/(('Lab Analysis'!T12/44)+('Lab Analysis'!U12/60)),"0")</f>
        <v>0</v>
      </c>
      <c r="N13" s="187" t="str">
        <f>IFERROR((('Lab Analysis'!V12/18)-('Lab Analysis'!U12/60))/(('Lab Analysis'!T12/44)+('Lab Analysis'!U12/60)),"0")</f>
        <v>0</v>
      </c>
      <c r="O13" s="187" t="str">
        <f>IFERROR(((2*('Lab Analysis'!Y12/60)+('Lab Analysis'!W12/17))/(('Lab Analysis'!X12/44)+('Lab Analysis'!Y12/60))),"0")</f>
        <v>0</v>
      </c>
      <c r="P13" s="187" t="str">
        <f>IFERROR((('Lab Analysis'!Z12/18)-('Lab Analysis'!Y12/60))/(('Lab Analysis'!X12/44)+('Lab Analysis'!Y12/60)),"0")</f>
        <v>0</v>
      </c>
      <c r="Q13" s="191"/>
    </row>
    <row r="14" spans="1:17" s="2" customFormat="1">
      <c r="A14" s="185">
        <v>45828</v>
      </c>
      <c r="B14" s="186">
        <f>IFERROR(('Lab Analysis'!E13/('Lab Analysis'!E13+(1.364*'Lab Analysis'!D13))),"0")</f>
        <v>0.54068077327487263</v>
      </c>
      <c r="C14" s="186">
        <f>IFERROR((2*'Lab Analysis'!E13/60)/('Lab Analysis'!C13/17+(2*'Lab Analysis'!E13/60)),"0")</f>
        <v>0.37010978975987374</v>
      </c>
      <c r="D14" s="187">
        <f>IFERROR(((2*('Lab Analysis'!E13/60)+('Lab Analysis'!C13/17))/(('Lab Analysis'!D13/44)+('Lab Analysis'!E13/60))),"0")</f>
        <v>2.9220896287658884</v>
      </c>
      <c r="E14" s="187">
        <f>IFERROR((('Lab Analysis'!F13/18)-('Lab Analysis'!E13/60))/(('Lab Analysis'!D13/44)+('Lab Analysis'!E13/60)),"0")</f>
        <v>0.52344950039312466</v>
      </c>
      <c r="F14" s="187">
        <f>IFERROR((('Lab Analysis'!F13/18)/('Lab Analysis'!E13/60)),"0")</f>
        <v>1.96801186315009</v>
      </c>
      <c r="G14" s="188" t="str">
        <f>IFERROR(('Lab Analysis'!I13/('Lab Analysis'!I13+(1.765*'Lab Analysis'!G13))),"0")</f>
        <v>0</v>
      </c>
      <c r="H14" s="189" t="str">
        <f>IFERROR(((2*('Lab Analysis'!I13/60))+('Lab Analysis'!G13/17))/(('Lab Analysis'!H13/44)+('Lab Analysis'!I13/60)),"0")</f>
        <v>0</v>
      </c>
      <c r="I14" s="189" t="str">
        <f>IFERROR((('Lab Analysis'!J13/18)-('Lab Analysis'!I13/60))/(('Lab Analysis'!H13/44)+('Lab Analysis'!I13/60)),"0")</f>
        <v>0</v>
      </c>
      <c r="J14" s="186" t="str">
        <f>IFERROR(('Lab Analysis'!M13/('Lab Analysis'!M13+(1.765*'Lab Analysis'!K13))),"0")</f>
        <v>0</v>
      </c>
      <c r="K14" s="190" t="str">
        <f>IFERROR(((2*('Lab Analysis'!M13/60))+('Lab Analysis'!K13/17))/(('Lab Analysis'!L13/44)+('Lab Analysis'!M13/60)),"0")</f>
        <v>0</v>
      </c>
      <c r="L14" s="190" t="str">
        <f>IFERROR((('Lab Analysis'!N13/18)-('Lab Analysis'!M13/60))/(('Lab Analysis'!L13/44)+('Lab Analysis'!M13/60)),"0")</f>
        <v>0</v>
      </c>
      <c r="M14" s="187" t="str">
        <f>IFERROR(((2*('Lab Analysis'!U13/60))+('Lab Analysis'!S13/17))/(('Lab Analysis'!T13/44)+('Lab Analysis'!U13/60)),"0")</f>
        <v>0</v>
      </c>
      <c r="N14" s="187" t="str">
        <f>IFERROR((('Lab Analysis'!V13/18)-('Lab Analysis'!U13/60))/(('Lab Analysis'!T13/44)+('Lab Analysis'!U13/60)),"0")</f>
        <v>0</v>
      </c>
      <c r="O14" s="187" t="str">
        <f>IFERROR(((2*('Lab Analysis'!Y13/60)+('Lab Analysis'!W13/17))/(('Lab Analysis'!X13/44)+('Lab Analysis'!Y13/60))),"0")</f>
        <v>0</v>
      </c>
      <c r="P14" s="187" t="str">
        <f>IFERROR((('Lab Analysis'!Z13/18)-('Lab Analysis'!Y13/60))/(('Lab Analysis'!X13/44)+('Lab Analysis'!Y13/60)),"0")</f>
        <v>0</v>
      </c>
      <c r="Q14" s="191"/>
    </row>
    <row r="15" spans="1:17" s="2" customFormat="1">
      <c r="A15" s="185">
        <v>45829</v>
      </c>
      <c r="B15" s="186" t="str">
        <f>IFERROR(('Lab Analysis'!E14/('Lab Analysis'!E14+(1.364*'Lab Analysis'!D14))),"0")</f>
        <v>0</v>
      </c>
      <c r="C15" s="186" t="str">
        <f>IFERROR((2*'Lab Analysis'!E14/60)/('Lab Analysis'!C14/17+(2*'Lab Analysis'!E14/60)),"0")</f>
        <v>0</v>
      </c>
      <c r="D15" s="187" t="str">
        <f>IFERROR(((2*('Lab Analysis'!E14/60)+('Lab Analysis'!C14/17))/(('Lab Analysis'!D14/44)+('Lab Analysis'!E14/60))),"0")</f>
        <v>0</v>
      </c>
      <c r="E15" s="187" t="str">
        <f>IFERROR((('Lab Analysis'!F14/18)-('Lab Analysis'!E14/60))/(('Lab Analysis'!D14/44)+('Lab Analysis'!E14/60)),"0")</f>
        <v>0</v>
      </c>
      <c r="F15" s="187" t="str">
        <f>IFERROR((('Lab Analysis'!F14/18)/('Lab Analysis'!E14/60)),"0")</f>
        <v>0</v>
      </c>
      <c r="G15" s="188" t="str">
        <f>IFERROR(('Lab Analysis'!I14/('Lab Analysis'!I14+(1.765*'Lab Analysis'!G14))),"0")</f>
        <v>0</v>
      </c>
      <c r="H15" s="189" t="str">
        <f>IFERROR(((2*('Lab Analysis'!I14/60))+('Lab Analysis'!G14/17))/(('Lab Analysis'!H14/44)+('Lab Analysis'!I14/60)),"0")</f>
        <v>0</v>
      </c>
      <c r="I15" s="189" t="str">
        <f>IFERROR((('Lab Analysis'!J14/18)-('Lab Analysis'!I14/60))/(('Lab Analysis'!H14/44)+('Lab Analysis'!I14/60)),"0")</f>
        <v>0</v>
      </c>
      <c r="J15" s="186" t="str">
        <f>IFERROR(('Lab Analysis'!M14/('Lab Analysis'!M14+(1.765*'Lab Analysis'!K14))),"0")</f>
        <v>0</v>
      </c>
      <c r="K15" s="190" t="str">
        <f>IFERROR(((2*('Lab Analysis'!M14/60))+('Lab Analysis'!K14/17))/(('Lab Analysis'!L14/44)+('Lab Analysis'!M14/60)),"0")</f>
        <v>0</v>
      </c>
      <c r="L15" s="190" t="str">
        <f>IFERROR((('Lab Analysis'!N14/18)-('Lab Analysis'!M14/60))/(('Lab Analysis'!L14/44)+('Lab Analysis'!M14/60)),"0")</f>
        <v>0</v>
      </c>
      <c r="M15" s="187" t="str">
        <f>IFERROR(((2*('Lab Analysis'!U14/60))+('Lab Analysis'!S14/17))/(('Lab Analysis'!T14/44)+('Lab Analysis'!U14/60)),"0")</f>
        <v>0</v>
      </c>
      <c r="N15" s="187" t="str">
        <f>IFERROR((('Lab Analysis'!V14/18)-('Lab Analysis'!U14/60))/(('Lab Analysis'!T14/44)+('Lab Analysis'!U14/60)),"0")</f>
        <v>0</v>
      </c>
      <c r="O15" s="187" t="str">
        <f>IFERROR(((2*('Lab Analysis'!Y14/60)+('Lab Analysis'!W14/17))/(('Lab Analysis'!X14/44)+('Lab Analysis'!Y14/60))),"0")</f>
        <v>0</v>
      </c>
      <c r="P15" s="187" t="str">
        <f>IFERROR((('Lab Analysis'!Z14/18)-('Lab Analysis'!Y14/60))/(('Lab Analysis'!X14/44)+('Lab Analysis'!Y14/60)),"0")</f>
        <v>0</v>
      </c>
      <c r="Q15" s="191"/>
    </row>
    <row r="16" spans="1:17" s="2" customFormat="1">
      <c r="A16" s="185">
        <v>45830</v>
      </c>
      <c r="B16" s="186" t="str">
        <f>IFERROR(('Lab Analysis'!E15/('Lab Analysis'!E15+(1.364*'Lab Analysis'!D15))),"0")</f>
        <v>0</v>
      </c>
      <c r="C16" s="186" t="str">
        <f>IFERROR((2*'Lab Analysis'!E15/60)/('Lab Analysis'!C15/17+(2*'Lab Analysis'!E15/60)),"0")</f>
        <v>0</v>
      </c>
      <c r="D16" s="187" t="str">
        <f>IFERROR(((2*('Lab Analysis'!E15/60)+('Lab Analysis'!C15/17))/(('Lab Analysis'!D15/44)+('Lab Analysis'!E15/60))),"0")</f>
        <v>0</v>
      </c>
      <c r="E16" s="187" t="str">
        <f>IFERROR((('Lab Analysis'!F15/18)-('Lab Analysis'!E15/60))/(('Lab Analysis'!D15/44)+('Lab Analysis'!E15/60)),"0")</f>
        <v>0</v>
      </c>
      <c r="F16" s="187" t="str">
        <f>IFERROR((('Lab Analysis'!F15/18)/('Lab Analysis'!E15/60)),"0")</f>
        <v>0</v>
      </c>
      <c r="G16" s="188" t="str">
        <f>IFERROR(('Lab Analysis'!I15/('Lab Analysis'!I15+(1.765*'Lab Analysis'!G15))),"0")</f>
        <v>0</v>
      </c>
      <c r="H16" s="189" t="str">
        <f>IFERROR(((2*('Lab Analysis'!I15/60))+('Lab Analysis'!G15/17))/(('Lab Analysis'!H15/44)+('Lab Analysis'!I15/60)),"0")</f>
        <v>0</v>
      </c>
      <c r="I16" s="189" t="str">
        <f>IFERROR((('Lab Analysis'!J15/18)-('Lab Analysis'!I15/60))/(('Lab Analysis'!H15/44)+('Lab Analysis'!I15/60)),"0")</f>
        <v>0</v>
      </c>
      <c r="J16" s="186" t="str">
        <f>IFERROR(('Lab Analysis'!M15/('Lab Analysis'!M15+(1.765*'Lab Analysis'!K15))),"0")</f>
        <v>0</v>
      </c>
      <c r="K16" s="190" t="str">
        <f>IFERROR(((2*('Lab Analysis'!M15/60))+('Lab Analysis'!K15/17))/(('Lab Analysis'!L15/44)+('Lab Analysis'!M15/60)),"0")</f>
        <v>0</v>
      </c>
      <c r="L16" s="190" t="str">
        <f>IFERROR((('Lab Analysis'!N15/18)-('Lab Analysis'!M15/60))/(('Lab Analysis'!L15/44)+('Lab Analysis'!M15/60)),"0")</f>
        <v>0</v>
      </c>
      <c r="M16" s="187" t="str">
        <f>IFERROR(((2*('Lab Analysis'!U15/60))+('Lab Analysis'!S15/17))/(('Lab Analysis'!T15/44)+('Lab Analysis'!U15/60)),"0")</f>
        <v>0</v>
      </c>
      <c r="N16" s="187" t="str">
        <f>IFERROR((('Lab Analysis'!V15/18)-('Lab Analysis'!U15/60))/(('Lab Analysis'!T15/44)+('Lab Analysis'!U15/60)),"0")</f>
        <v>0</v>
      </c>
      <c r="O16" s="187" t="str">
        <f>IFERROR(((2*('Lab Analysis'!Y15/60)+('Lab Analysis'!W15/17))/(('Lab Analysis'!X15/44)+('Lab Analysis'!Y15/60))),"0")</f>
        <v>0</v>
      </c>
      <c r="P16" s="187" t="str">
        <f>IFERROR((('Lab Analysis'!Z15/18)-('Lab Analysis'!Y15/60))/(('Lab Analysis'!X15/44)+('Lab Analysis'!Y15/60)),"0")</f>
        <v>0</v>
      </c>
      <c r="Q16" s="191"/>
    </row>
    <row r="17" spans="1:17" s="2" customFormat="1">
      <c r="A17" s="185">
        <v>45831</v>
      </c>
      <c r="B17" s="186">
        <f>IFERROR(('Lab Analysis'!E16/('Lab Analysis'!E16+(1.364*'Lab Analysis'!D16))),"0")</f>
        <v>0.53465113671480802</v>
      </c>
      <c r="C17" s="186">
        <f>IFERROR((2*'Lab Analysis'!E16/60)/('Lab Analysis'!C16/17+(2*'Lab Analysis'!E16/60)),"0")</f>
        <v>0.35804896442134182</v>
      </c>
      <c r="D17" s="187">
        <f>IFERROR(((2*('Lab Analysis'!E16/60)+('Lab Analysis'!C16/17))/(('Lab Analysis'!D16/44)+('Lab Analysis'!E16/60))),"0")</f>
        <v>2.9868399401782217</v>
      </c>
      <c r="E17" s="187">
        <f>IFERROR((('Lab Analysis'!F16/18)-('Lab Analysis'!E16/60))/(('Lab Analysis'!D16/44)+('Lab Analysis'!E16/60)),"0")</f>
        <v>0.43283396531360668</v>
      </c>
      <c r="F17" s="187">
        <f>IFERROR((('Lab Analysis'!F16/18)/('Lab Analysis'!E16/60)),"0")</f>
        <v>1.809462915601022</v>
      </c>
      <c r="G17" s="188">
        <f>IFERROR(('Lab Analysis'!I16/('Lab Analysis'!I16+(1.765*'Lab Analysis'!G16))),"0")</f>
        <v>0.73437737905832878</v>
      </c>
      <c r="H17" s="189">
        <f>IFERROR(((2*('Lab Analysis'!I16/60))+('Lab Analysis'!G16/17))/(('Lab Analysis'!H16/44)+('Lab Analysis'!I16/60)),"0")</f>
        <v>2.1064411565843377</v>
      </c>
      <c r="I17" s="189">
        <f>IFERROR((('Lab Analysis'!J16/18)-('Lab Analysis'!I16/60))/(('Lab Analysis'!H16/44)+('Lab Analysis'!I16/60)),"0")</f>
        <v>0.73104011719630357</v>
      </c>
      <c r="J17" s="186">
        <f>IFERROR(('Lab Analysis'!M16/('Lab Analysis'!M16+(1.765*'Lab Analysis'!K16))),"0")</f>
        <v>0.59491954821030613</v>
      </c>
      <c r="K17" s="190">
        <f>IFERROR(((2*('Lab Analysis'!M16/60))+('Lab Analysis'!K16/17))/(('Lab Analysis'!L16/44)+('Lab Analysis'!M16/60)),"0")</f>
        <v>2.3971524367411412</v>
      </c>
      <c r="L17" s="190">
        <f>IFERROR((('Lab Analysis'!N16/18)-('Lab Analysis'!M16/60))/(('Lab Analysis'!L16/44)+('Lab Analysis'!M16/60)),"0")</f>
        <v>0.65730104143801416</v>
      </c>
      <c r="M17" s="187">
        <f>IFERROR(((2*('Lab Analysis'!U16/60))+('Lab Analysis'!S16/17))/(('Lab Analysis'!T16/44)+('Lab Analysis'!U16/60)),"0")</f>
        <v>2.4664982557440154</v>
      </c>
      <c r="N17" s="187">
        <f>IFERROR((('Lab Analysis'!V16/18)-('Lab Analysis'!U16/60))/(('Lab Analysis'!T16/44)+('Lab Analysis'!U16/60)),"0")</f>
        <v>1.4746648488979777</v>
      </c>
      <c r="O17" s="187" t="str">
        <f>IFERROR(((2*('Lab Analysis'!Y16/60)+('Lab Analysis'!W16/17))/(('Lab Analysis'!X16/44)+('Lab Analysis'!Y16/60))),"0")</f>
        <v>0</v>
      </c>
      <c r="P17" s="187" t="str">
        <f>IFERROR((('Lab Analysis'!Z16/18)-('Lab Analysis'!Y16/60))/(('Lab Analysis'!X16/44)+('Lab Analysis'!Y16/60)),"0")</f>
        <v>0</v>
      </c>
      <c r="Q17" s="191"/>
    </row>
    <row r="18" spans="1:17" s="2" customFormat="1">
      <c r="A18" s="185">
        <v>45832</v>
      </c>
      <c r="B18" s="186">
        <f>IFERROR(('Lab Analysis'!E17/('Lab Analysis'!E17+(1.364*'Lab Analysis'!D17))),"0")</f>
        <v>0.54840130715875823</v>
      </c>
      <c r="C18" s="186">
        <f>IFERROR((2*'Lab Analysis'!E17/60)/('Lab Analysis'!C17/17+(2*'Lab Analysis'!E17/60)),"0")</f>
        <v>0.36899026105312216</v>
      </c>
      <c r="D18" s="187">
        <f>IFERROR(((2*('Lab Analysis'!E17/60)+('Lab Analysis'!C17/17))/(('Lab Analysis'!D17/44)+('Lab Analysis'!E17/60))),"0")</f>
        <v>2.9728011676355286</v>
      </c>
      <c r="E18" s="187">
        <f>IFERROR((('Lab Analysis'!F17/18)-('Lab Analysis'!E17/60))/(('Lab Analysis'!D17/44)+('Lab Analysis'!E17/60)),"0")</f>
        <v>0.52064276755304328</v>
      </c>
      <c r="F18" s="187">
        <f>IFERROR((('Lab Analysis'!F17/18)/('Lab Analysis'!E17/60)),"0")</f>
        <v>1.9492684980528361</v>
      </c>
      <c r="G18" s="188" t="str">
        <f>IFERROR(('Lab Analysis'!I17/('Lab Analysis'!I17+(1.765*'Lab Analysis'!G17))),"0")</f>
        <v>0</v>
      </c>
      <c r="H18" s="189" t="str">
        <f>IFERROR(((2*('Lab Analysis'!I17/60))+('Lab Analysis'!G17/17))/(('Lab Analysis'!H17/44)+('Lab Analysis'!I17/60)),"0")</f>
        <v>0</v>
      </c>
      <c r="I18" s="189" t="str">
        <f>IFERROR((('Lab Analysis'!J17/18)-('Lab Analysis'!I17/60))/(('Lab Analysis'!H17/44)+('Lab Analysis'!I17/60)),"0")</f>
        <v>0</v>
      </c>
      <c r="J18" s="186" t="str">
        <f>IFERROR(('Lab Analysis'!M17/('Lab Analysis'!M17+(1.765*'Lab Analysis'!K17))),"0")</f>
        <v>0</v>
      </c>
      <c r="K18" s="190" t="str">
        <f>IFERROR(((2*('Lab Analysis'!M17/60))+('Lab Analysis'!K17/17))/(('Lab Analysis'!L17/44)+('Lab Analysis'!M17/60)),"0")</f>
        <v>0</v>
      </c>
      <c r="L18" s="190" t="str">
        <f>IFERROR((('Lab Analysis'!N17/18)-('Lab Analysis'!M17/60))/(('Lab Analysis'!L17/44)+('Lab Analysis'!M17/60)),"0")</f>
        <v>0</v>
      </c>
      <c r="M18" s="187" t="str">
        <f>IFERROR(((2*('Lab Analysis'!U17/60))+('Lab Analysis'!S17/17))/(('Lab Analysis'!T17/44)+('Lab Analysis'!U17/60)),"0")</f>
        <v>0</v>
      </c>
      <c r="N18" s="187" t="str">
        <f>IFERROR((('Lab Analysis'!V17/18)-('Lab Analysis'!U17/60))/(('Lab Analysis'!T17/44)+('Lab Analysis'!U17/60)),"0")</f>
        <v>0</v>
      </c>
      <c r="O18" s="187" t="str">
        <f>IFERROR(((2*('Lab Analysis'!Y17/60)+('Lab Analysis'!W17/17))/(('Lab Analysis'!X17/44)+('Lab Analysis'!Y17/60))),"0")</f>
        <v>0</v>
      </c>
      <c r="P18" s="187" t="str">
        <f>IFERROR((('Lab Analysis'!Z17/18)-('Lab Analysis'!Y17/60))/(('Lab Analysis'!X17/44)+('Lab Analysis'!Y17/60)),"0")</f>
        <v>0</v>
      </c>
      <c r="Q18" s="191"/>
    </row>
    <row r="19" spans="1:17" s="2" customFormat="1">
      <c r="A19" s="185">
        <v>45833</v>
      </c>
      <c r="B19" s="186">
        <f>IFERROR(('Lab Analysis'!E18/('Lab Analysis'!E18+(1.364*'Lab Analysis'!D18))),"0")</f>
        <v>0.55118004484368321</v>
      </c>
      <c r="C19" s="186">
        <f>IFERROR((2*'Lab Analysis'!E18/60)/('Lab Analysis'!C18/17+(2*'Lab Analysis'!E18/60)),"0")</f>
        <v>0.37213562319715332</v>
      </c>
      <c r="D19" s="187">
        <f>IFERROR(((2*('Lab Analysis'!E18/60)+('Lab Analysis'!C18/17))/(('Lab Analysis'!D18/44)+('Lab Analysis'!E18/60))),"0")</f>
        <v>2.9626080866640265</v>
      </c>
      <c r="E19" s="187">
        <f>IFERROR((('Lab Analysis'!F18/18)-('Lab Analysis'!E18/60))/(('Lab Analysis'!D18/44)+('Lab Analysis'!E18/60)),"0")</f>
        <v>0.64880541139799808</v>
      </c>
      <c r="F19" s="187">
        <f>IFERROR((('Lab Analysis'!F18/18)/('Lab Analysis'!E18/60)),"0")</f>
        <v>2.1769798012183394</v>
      </c>
      <c r="G19" s="188" t="str">
        <f>IFERROR(('Lab Analysis'!I18/('Lab Analysis'!I18+(1.765*'Lab Analysis'!G18))),"0")</f>
        <v>0</v>
      </c>
      <c r="H19" s="189" t="str">
        <f>IFERROR(((2*('Lab Analysis'!I18/60))+('Lab Analysis'!G18/17))/(('Lab Analysis'!H18/44)+('Lab Analysis'!I18/60)),"0")</f>
        <v>0</v>
      </c>
      <c r="I19" s="189" t="str">
        <f>IFERROR((('Lab Analysis'!J18/18)-('Lab Analysis'!I18/60))/(('Lab Analysis'!H18/44)+('Lab Analysis'!I18/60)),"0")</f>
        <v>0</v>
      </c>
      <c r="J19" s="186" t="str">
        <f>IFERROR(('Lab Analysis'!M18/('Lab Analysis'!M18+(1.765*'Lab Analysis'!K18))),"0")</f>
        <v>0</v>
      </c>
      <c r="K19" s="190" t="str">
        <f>IFERROR(((2*('Lab Analysis'!M18/60))+('Lab Analysis'!K18/17))/(('Lab Analysis'!L18/44)+('Lab Analysis'!M18/60)),"0")</f>
        <v>0</v>
      </c>
      <c r="L19" s="190" t="str">
        <f>IFERROR((('Lab Analysis'!N18/18)-('Lab Analysis'!M18/60))/(('Lab Analysis'!L18/44)+('Lab Analysis'!M18/60)),"0")</f>
        <v>0</v>
      </c>
      <c r="M19" s="187" t="str">
        <f>IFERROR(((2*('Lab Analysis'!U18/60))+('Lab Analysis'!S18/17))/(('Lab Analysis'!T18/44)+('Lab Analysis'!U18/60)),"0")</f>
        <v>0</v>
      </c>
      <c r="N19" s="187" t="str">
        <f>IFERROR((('Lab Analysis'!V18/18)-('Lab Analysis'!U18/60))/(('Lab Analysis'!T18/44)+('Lab Analysis'!U18/60)),"0")</f>
        <v>0</v>
      </c>
      <c r="O19" s="187" t="str">
        <f>IFERROR(((2*('Lab Analysis'!Y18/60)+('Lab Analysis'!W18/17))/(('Lab Analysis'!X18/44)+('Lab Analysis'!Y18/60))),"0")</f>
        <v>0</v>
      </c>
      <c r="P19" s="187" t="str">
        <f>IFERROR((('Lab Analysis'!Z18/18)-('Lab Analysis'!Y18/60))/(('Lab Analysis'!X18/44)+('Lab Analysis'!Y18/60)),"0")</f>
        <v>0</v>
      </c>
      <c r="Q19" s="191"/>
    </row>
    <row r="20" spans="1:17" s="2" customFormat="1">
      <c r="A20" s="185">
        <v>45834</v>
      </c>
      <c r="B20" s="186">
        <f>IFERROR(('Lab Analysis'!E19/('Lab Analysis'!E19+(1.364*'Lab Analysis'!D19))),"0")</f>
        <v>0.54441335411447611</v>
      </c>
      <c r="C20" s="186">
        <f>IFERROR((2*'Lab Analysis'!E19/60)/('Lab Analysis'!C19/17+(2*'Lab Analysis'!E19/60)),"0")</f>
        <v>0.36043720942989971</v>
      </c>
      <c r="D20" s="187">
        <f>IFERROR(((2*('Lab Analysis'!E19/60)+('Lab Analysis'!C19/17))/(('Lab Analysis'!D19/44)+('Lab Analysis'!E19/60))),"0")</f>
        <v>3.0212168495553891</v>
      </c>
      <c r="E20" s="187">
        <f>IFERROR((('Lab Analysis'!F19/18)-('Lab Analysis'!E19/60))/(('Lab Analysis'!D19/44)+('Lab Analysis'!E19/60)),"0")</f>
        <v>0.57194998959450571</v>
      </c>
      <c r="F20" s="187">
        <f>IFERROR((('Lab Analysis'!F19/18)/('Lab Analysis'!E19/60)),"0")</f>
        <v>2.0504527813712805</v>
      </c>
      <c r="G20" s="188">
        <f>IFERROR(('Lab Analysis'!I19/('Lab Analysis'!I19+(1.765*'Lab Analysis'!G19))),"0")</f>
        <v>0.73176544389448139</v>
      </c>
      <c r="H20" s="189">
        <f>IFERROR(((2*('Lab Analysis'!I19/60))+('Lab Analysis'!G19/17))/(('Lab Analysis'!H19/44)+('Lab Analysis'!I19/60)),"0")</f>
        <v>2.1298233049952477</v>
      </c>
      <c r="I20" s="189">
        <f>IFERROR((('Lab Analysis'!J19/18)-('Lab Analysis'!I19/60))/(('Lab Analysis'!H19/44)+('Lab Analysis'!I19/60)),"0")</f>
        <v>0.68693428336325579</v>
      </c>
      <c r="J20" s="186">
        <f>IFERROR(('Lab Analysis'!M19/('Lab Analysis'!M19+(1.765*'Lab Analysis'!K19))),"0")</f>
        <v>0.59760350453507005</v>
      </c>
      <c r="K20" s="190">
        <f>IFERROR(((2*('Lab Analysis'!M19/60))+('Lab Analysis'!K19/17))/(('Lab Analysis'!L19/44)+('Lab Analysis'!M19/60)),"0")</f>
        <v>2.3674577732834048</v>
      </c>
      <c r="L20" s="190">
        <f>IFERROR((('Lab Analysis'!N19/18)-('Lab Analysis'!M19/60))/(('Lab Analysis'!L19/44)+('Lab Analysis'!M19/60)),"0")</f>
        <v>0.65241357243626108</v>
      </c>
      <c r="M20" s="187">
        <f>IFERROR(((2*('Lab Analysis'!U19/60))+('Lab Analysis'!S19/17))/(('Lab Analysis'!T19/44)+('Lab Analysis'!U19/60)),"0")</f>
        <v>2.4135609594107081</v>
      </c>
      <c r="N20" s="187">
        <f>IFERROR((('Lab Analysis'!V19/18)-('Lab Analysis'!U19/60))/(('Lab Analysis'!T19/44)+('Lab Analysis'!U19/60)),"0")</f>
        <v>1.5487126849713455</v>
      </c>
      <c r="O20" s="187">
        <f>IFERROR(((2*('Lab Analysis'!Y19/60)+('Lab Analysis'!W19/17))/(('Lab Analysis'!X19/44)+('Lab Analysis'!Y19/60))),"0")</f>
        <v>2.5294811320754715</v>
      </c>
      <c r="P20" s="187">
        <f>IFERROR((('Lab Analysis'!Z19/18)-('Lab Analysis'!Y19/60))/(('Lab Analysis'!X19/44)+('Lab Analysis'!Y19/60)),"0")</f>
        <v>2.3731001048218032</v>
      </c>
      <c r="Q20" s="191"/>
    </row>
    <row r="21" spans="1:17" s="2" customFormat="1">
      <c r="A21" s="185">
        <v>45835</v>
      </c>
      <c r="B21" s="186">
        <f>IFERROR(('Lab Analysis'!E20/('Lab Analysis'!E20+(1.364*'Lab Analysis'!D20))),"0")</f>
        <v>0.54213145991506428</v>
      </c>
      <c r="C21" s="186">
        <f>IFERROR((2*'Lab Analysis'!E20/60)/('Lab Analysis'!C20/17+(2*'Lab Analysis'!E20/60)),"0")</f>
        <v>0.36672629695885506</v>
      </c>
      <c r="D21" s="187">
        <f>IFERROR(((2*('Lab Analysis'!E20/60)+('Lab Analysis'!C20/17))/(('Lab Analysis'!D20/44)+('Lab Analysis'!E20/60))),"0")</f>
        <v>2.9569608078865115</v>
      </c>
      <c r="E21" s="187">
        <f>IFERROR((('Lab Analysis'!F20/18)-('Lab Analysis'!E20/60))/(('Lab Analysis'!D20/44)+('Lab Analysis'!E20/60)),"0")</f>
        <v>0.64035158024097705</v>
      </c>
      <c r="F21" s="187">
        <f>IFERROR((('Lab Analysis'!F20/18)/('Lab Analysis'!E20/60)),"0")</f>
        <v>2.1810298102981034</v>
      </c>
      <c r="G21" s="188" t="str">
        <f>IFERROR(('Lab Analysis'!I20/('Lab Analysis'!I20+(1.765*'Lab Analysis'!G20))),"0")</f>
        <v>0</v>
      </c>
      <c r="H21" s="189" t="str">
        <f>IFERROR(((2*('Lab Analysis'!I20/60))+('Lab Analysis'!G20/17))/(('Lab Analysis'!H20/44)+('Lab Analysis'!I20/60)),"0")</f>
        <v>0</v>
      </c>
      <c r="I21" s="189" t="str">
        <f>IFERROR((('Lab Analysis'!J20/18)-('Lab Analysis'!I20/60))/(('Lab Analysis'!H20/44)+('Lab Analysis'!I20/60)),"0")</f>
        <v>0</v>
      </c>
      <c r="J21" s="186" t="str">
        <f>IFERROR(('Lab Analysis'!M20/('Lab Analysis'!M20+(1.765*'Lab Analysis'!K20))),"0")</f>
        <v>0</v>
      </c>
      <c r="K21" s="190" t="str">
        <f>IFERROR(((2*('Lab Analysis'!M20/60))+('Lab Analysis'!K20/17))/(('Lab Analysis'!L20/44)+('Lab Analysis'!M20/60)),"0")</f>
        <v>0</v>
      </c>
      <c r="L21" s="190" t="str">
        <f>IFERROR((('Lab Analysis'!N20/18)-('Lab Analysis'!M20/60))/(('Lab Analysis'!L20/44)+('Lab Analysis'!M20/60)),"0")</f>
        <v>0</v>
      </c>
      <c r="M21" s="187" t="str">
        <f>IFERROR(((2*('Lab Analysis'!U20/60))+('Lab Analysis'!S20/17))/(('Lab Analysis'!T20/44)+('Lab Analysis'!U20/60)),"0")</f>
        <v>0</v>
      </c>
      <c r="N21" s="187" t="str">
        <f>IFERROR((('Lab Analysis'!V20/18)-('Lab Analysis'!U20/60))/(('Lab Analysis'!T20/44)+('Lab Analysis'!U20/60)),"0")</f>
        <v>0</v>
      </c>
      <c r="O21" s="187" t="str">
        <f>IFERROR(((2*('Lab Analysis'!Y20/60)+('Lab Analysis'!W20/17))/(('Lab Analysis'!X20/44)+('Lab Analysis'!Y20/60))),"0")</f>
        <v>0</v>
      </c>
      <c r="P21" s="187" t="str">
        <f>IFERROR((('Lab Analysis'!Z20/18)-('Lab Analysis'!Y20/60))/(('Lab Analysis'!X20/44)+('Lab Analysis'!Y20/60)),"0")</f>
        <v>0</v>
      </c>
      <c r="Q21" s="191"/>
    </row>
    <row r="22" spans="1:17" s="2" customFormat="1">
      <c r="A22" s="185">
        <v>45836</v>
      </c>
      <c r="B22" s="186" t="str">
        <f>IFERROR(('Lab Analysis'!E22/('Lab Analysis'!E22+(1.364*'Lab Analysis'!D22))),"0")</f>
        <v>0</v>
      </c>
      <c r="C22" s="186" t="str">
        <f>IFERROR((2*'Lab Analysis'!E22/60)/('Lab Analysis'!C22/17+(2*'Lab Analysis'!E22/60)),"0")</f>
        <v>0</v>
      </c>
      <c r="D22" s="187" t="str">
        <f>IFERROR(((2*('Lab Analysis'!E22/60)+('Lab Analysis'!C22/17))/(('Lab Analysis'!D22/44)+('Lab Analysis'!E22/60))),"0")</f>
        <v>0</v>
      </c>
      <c r="E22" s="187" t="str">
        <f>IFERROR((('Lab Analysis'!F22/18)-('Lab Analysis'!E22/60))/(('Lab Analysis'!D22/44)+('Lab Analysis'!E22/60)),"0")</f>
        <v>0</v>
      </c>
      <c r="F22" s="187" t="str">
        <f>IFERROR((('Lab Analysis'!F22/18)/('Lab Analysis'!E22/60)),"0")</f>
        <v>0</v>
      </c>
      <c r="G22" s="188" t="str">
        <f>IFERROR(('Lab Analysis'!I22/('Lab Analysis'!I22+(1.765*'Lab Analysis'!G22))),"0")</f>
        <v>0</v>
      </c>
      <c r="H22" s="189" t="str">
        <f>IFERROR(((2*('Lab Analysis'!I22/60))+('Lab Analysis'!G22/17))/(('Lab Analysis'!H22/44)+('Lab Analysis'!I22/60)),"0")</f>
        <v>0</v>
      </c>
      <c r="I22" s="189" t="str">
        <f>IFERROR((('Lab Analysis'!J22/18)-('Lab Analysis'!I22/60))/(('Lab Analysis'!H22/44)+('Lab Analysis'!I22/60)),"0")</f>
        <v>0</v>
      </c>
      <c r="J22" s="186" t="str">
        <f>IFERROR(('Lab Analysis'!M22/('Lab Analysis'!M22+(1.765*'Lab Analysis'!K22))),"0")</f>
        <v>0</v>
      </c>
      <c r="K22" s="190" t="str">
        <f>IFERROR(((2*('Lab Analysis'!M22/60))+('Lab Analysis'!K22/17))/(('Lab Analysis'!L22/44)+('Lab Analysis'!M22/60)),"0")</f>
        <v>0</v>
      </c>
      <c r="L22" s="190" t="str">
        <f>IFERROR((('Lab Analysis'!N22/18)-('Lab Analysis'!M22/60))/(('Lab Analysis'!L22/44)+('Lab Analysis'!M22/60)),"0")</f>
        <v>0</v>
      </c>
      <c r="M22" s="187" t="str">
        <f>IFERROR(((2*('Lab Analysis'!U22/60))+('Lab Analysis'!S22/17))/(('Lab Analysis'!T22/44)+('Lab Analysis'!U22/60)),"0")</f>
        <v>0</v>
      </c>
      <c r="N22" s="187" t="str">
        <f>IFERROR((('Lab Analysis'!V22/18)-('Lab Analysis'!U22/60))/(('Lab Analysis'!T22/44)+('Lab Analysis'!U22/60)),"0")</f>
        <v>0</v>
      </c>
      <c r="O22" s="187" t="str">
        <f>IFERROR(((2*('Lab Analysis'!Y22/60)+('Lab Analysis'!W22/17))/(('Lab Analysis'!X22/44)+('Lab Analysis'!Y22/60))),"0")</f>
        <v>0</v>
      </c>
      <c r="P22" s="187" t="str">
        <f>IFERROR((('Lab Analysis'!Z22/18)-('Lab Analysis'!Y22/60))/(('Lab Analysis'!X22/44)+('Lab Analysis'!Y22/60)),"0")</f>
        <v>0</v>
      </c>
      <c r="Q22" s="191"/>
    </row>
    <row r="23" spans="1:17" s="2" customFormat="1">
      <c r="A23" s="185">
        <v>45837</v>
      </c>
      <c r="B23" s="186" t="str">
        <f>IFERROR(('Lab Analysis'!E23/('Lab Analysis'!E23+(1.364*'Lab Analysis'!D23))),"0")</f>
        <v>0</v>
      </c>
      <c r="C23" s="186" t="str">
        <f>IFERROR((2*'Lab Analysis'!E23/60)/('Lab Analysis'!C23/17+(2*'Lab Analysis'!E23/60)),"0")</f>
        <v>0</v>
      </c>
      <c r="D23" s="187" t="str">
        <f>IFERROR(((2*('Lab Analysis'!E23/60)+('Lab Analysis'!C23/17))/(('Lab Analysis'!D23/44)+('Lab Analysis'!E23/60))),"0")</f>
        <v>0</v>
      </c>
      <c r="E23" s="187" t="str">
        <f>IFERROR((('Lab Analysis'!F23/18)-('Lab Analysis'!E23/60))/(('Lab Analysis'!D23/44)+('Lab Analysis'!E23/60)),"0")</f>
        <v>0</v>
      </c>
      <c r="F23" s="187" t="str">
        <f>IFERROR((('Lab Analysis'!F23/18)/('Lab Analysis'!E23/60)),"0")</f>
        <v>0</v>
      </c>
      <c r="G23" s="188" t="str">
        <f>IFERROR(('Lab Analysis'!I23/('Lab Analysis'!I23+(1.765*'Lab Analysis'!G23))),"0")</f>
        <v>0</v>
      </c>
      <c r="H23" s="189" t="str">
        <f>IFERROR(((2*('Lab Analysis'!I23/60))+('Lab Analysis'!G23/17))/(('Lab Analysis'!H23/44)+('Lab Analysis'!I23/60)),"0")</f>
        <v>0</v>
      </c>
      <c r="I23" s="189" t="str">
        <f>IFERROR((('Lab Analysis'!J23/18)-('Lab Analysis'!I23/60))/(('Lab Analysis'!H23/44)+('Lab Analysis'!I23/60)),"0")</f>
        <v>0</v>
      </c>
      <c r="J23" s="186" t="str">
        <f>IFERROR(('Lab Analysis'!M23/('Lab Analysis'!M23+(1.765*'Lab Analysis'!K23))),"0")</f>
        <v>0</v>
      </c>
      <c r="K23" s="190" t="str">
        <f>IFERROR(((2*('Lab Analysis'!M23/60))+('Lab Analysis'!K23/17))/(('Lab Analysis'!L23/44)+('Lab Analysis'!M23/60)),"0")</f>
        <v>0</v>
      </c>
      <c r="L23" s="190" t="str">
        <f>IFERROR((('Lab Analysis'!N23/18)-('Lab Analysis'!M23/60))/(('Lab Analysis'!L23/44)+('Lab Analysis'!M23/60)),"0")</f>
        <v>0</v>
      </c>
      <c r="M23" s="187" t="str">
        <f>IFERROR(((2*('Lab Analysis'!U23/60))+('Lab Analysis'!S23/17))/(('Lab Analysis'!T23/44)+('Lab Analysis'!U23/60)),"0")</f>
        <v>0</v>
      </c>
      <c r="N23" s="187" t="str">
        <f>IFERROR((('Lab Analysis'!V23/18)-('Lab Analysis'!U23/60))/(('Lab Analysis'!T23/44)+('Lab Analysis'!U23/60)),"0")</f>
        <v>0</v>
      </c>
      <c r="O23" s="187" t="str">
        <f>IFERROR(((2*('Lab Analysis'!Y23/60)+('Lab Analysis'!W23/17))/(('Lab Analysis'!X23/44)+('Lab Analysis'!Y23/60))),"0")</f>
        <v>0</v>
      </c>
      <c r="P23" s="187" t="str">
        <f>IFERROR((('Lab Analysis'!Z23/18)-('Lab Analysis'!Y23/60))/(('Lab Analysis'!X23/44)+('Lab Analysis'!Y23/60)),"0")</f>
        <v>0</v>
      </c>
      <c r="Q23" s="191"/>
    </row>
    <row r="24" spans="1:17" s="2" customFormat="1">
      <c r="A24" s="185">
        <v>45838</v>
      </c>
      <c r="B24" s="186">
        <f>IFERROR(('Lab Analysis'!E24/('Lab Analysis'!E24+(1.364*'Lab Analysis'!D24))),"0")</f>
        <v>0.54045372975916994</v>
      </c>
      <c r="C24" s="186">
        <f>IFERROR((2*'Lab Analysis'!E24/60)/('Lab Analysis'!C24/17+(2*'Lab Analysis'!E24/60)),"0")</f>
        <v>0.3608836960546345</v>
      </c>
      <c r="D24" s="187">
        <f>IFERROR(((2*('Lab Analysis'!E24/60)+('Lab Analysis'!C24/17))/(('Lab Analysis'!D24/44)+('Lab Analysis'!E24/60))),"0")</f>
        <v>2.9955354392018685</v>
      </c>
      <c r="E24" s="187">
        <f>IFERROR((('Lab Analysis'!F24/18)-('Lab Analysis'!E24/60))/(('Lab Analysis'!D24/44)+('Lab Analysis'!E24/60)),"0")</f>
        <v>0.5459903289633784</v>
      </c>
      <c r="F24" s="187">
        <f>IFERROR((('Lab Analysis'!F24/18)/('Lab Analysis'!E24/60)),"0")</f>
        <v>2.0101205857019799</v>
      </c>
      <c r="G24" s="188">
        <f>IFERROR(('Lab Analysis'!I24/('Lab Analysis'!I24+(1.765*'Lab Analysis'!G24))),"0")</f>
        <v>0.7354099755992326</v>
      </c>
      <c r="H24" s="189">
        <f>IFERROR(((2*('Lab Analysis'!I24/60))+('Lab Analysis'!G24/17))/(('Lab Analysis'!H24/44)+('Lab Analysis'!I24/60)),"0")</f>
        <v>2.1121513515131909</v>
      </c>
      <c r="I24" s="189">
        <f>IFERROR((('Lab Analysis'!J24/18)-('Lab Analysis'!I24/60))/(('Lab Analysis'!H24/44)+('Lab Analysis'!I24/60)),"0")</f>
        <v>0.74485241791438672</v>
      </c>
      <c r="J24" s="186">
        <f>IFERROR(('Lab Analysis'!M24/('Lab Analysis'!M24+(1.765*'Lab Analysis'!K24))),"0")</f>
        <v>0.59991586709143963</v>
      </c>
      <c r="K24" s="190">
        <f>IFERROR(((2*('Lab Analysis'!M24/60))+('Lab Analysis'!K24/17))/(('Lab Analysis'!L24/44)+('Lab Analysis'!M24/60)),"0")</f>
        <v>2.3845230641230541</v>
      </c>
      <c r="L24" s="190">
        <f>IFERROR((('Lab Analysis'!N24/18)-('Lab Analysis'!M24/60))/(('Lab Analysis'!L24/44)+('Lab Analysis'!M24/60)),"0")</f>
        <v>0.62808765229513619</v>
      </c>
      <c r="M24" s="187">
        <f>IFERROR(((2*('Lab Analysis'!U24/60))+('Lab Analysis'!S24/17))/(('Lab Analysis'!T24/44)+('Lab Analysis'!U24/60)),"0")</f>
        <v>2.3714640785891823</v>
      </c>
      <c r="N24" s="187">
        <f>IFERROR((('Lab Analysis'!V24/18)-('Lab Analysis'!U24/60))/(('Lab Analysis'!T24/44)+('Lab Analysis'!U24/60)),"0")</f>
        <v>1.4638385870780239</v>
      </c>
      <c r="O24" s="187">
        <f>IFERROR(((2*('Lab Analysis'!Y24/60)+('Lab Analysis'!W24/17))/(('Lab Analysis'!X24/44)+('Lab Analysis'!Y24/60))),"0")</f>
        <v>2.5622918978912317</v>
      </c>
      <c r="P24" s="187">
        <f>IFERROR((('Lab Analysis'!Z24/18)-('Lab Analysis'!Y24/60))/(('Lab Analysis'!X24/44)+('Lab Analysis'!Y24/60)),"0")</f>
        <v>2.3421121593291403</v>
      </c>
      <c r="Q24" s="191"/>
    </row>
    <row r="25" spans="1:17" s="2" customFormat="1">
      <c r="A25" s="185">
        <v>45839</v>
      </c>
      <c r="B25" s="186">
        <f>IFERROR(('Lab Analysis'!E25/('Lab Analysis'!E25+(1.364*'Lab Analysis'!D25))),"0")</f>
        <v>0.54482551962733927</v>
      </c>
      <c r="C25" s="186">
        <f>IFERROR((2*'Lab Analysis'!E25/60)/('Lab Analysis'!C25/17+(2*'Lab Analysis'!E25/60)),"0")</f>
        <v>0.37096097356273605</v>
      </c>
      <c r="D25" s="187">
        <f>IFERROR(((2*('Lab Analysis'!E25/60)+('Lab Analysis'!C25/17))/(('Lab Analysis'!D25/44)+('Lab Analysis'!E25/60))),"0")</f>
        <v>2.9377302719134808</v>
      </c>
      <c r="E25" s="187">
        <f>IFERROR((('Lab Analysis'!F25/18)-('Lab Analysis'!E25/60))/(('Lab Analysis'!D25/44)+('Lab Analysis'!E25/60)),"0")</f>
        <v>0.6025244105739459</v>
      </c>
      <c r="F25" s="187">
        <f>IFERROR((('Lab Analysis'!F25/18)/('Lab Analysis'!E25/60)),"0")</f>
        <v>2.1057692307692304</v>
      </c>
      <c r="G25" s="188" t="str">
        <f>IFERROR(('Lab Analysis'!I25/('Lab Analysis'!I25+(1.765*'Lab Analysis'!G25))),"0")</f>
        <v>0</v>
      </c>
      <c r="H25" s="189" t="str">
        <f>IFERROR(((2*('Lab Analysis'!I25/60))+('Lab Analysis'!G25/17))/(('Lab Analysis'!H25/44)+('Lab Analysis'!I25/60)),"0")</f>
        <v>0</v>
      </c>
      <c r="I25" s="189" t="str">
        <f>IFERROR((('Lab Analysis'!J25/18)-('Lab Analysis'!I25/60))/(('Lab Analysis'!H25/44)+('Lab Analysis'!I25/60)),"0")</f>
        <v>0</v>
      </c>
      <c r="J25" s="186" t="str">
        <f>IFERROR(('Lab Analysis'!M25/('Lab Analysis'!M25+(1.765*'Lab Analysis'!K25))),"0")</f>
        <v>0</v>
      </c>
      <c r="K25" s="190" t="str">
        <f>IFERROR(((2*('Lab Analysis'!M25/60))+('Lab Analysis'!K25/17))/(('Lab Analysis'!L25/44)+('Lab Analysis'!M25/60)),"0")</f>
        <v>0</v>
      </c>
      <c r="L25" s="190" t="str">
        <f>IFERROR((('Lab Analysis'!N25/18)-('Lab Analysis'!M25/60))/(('Lab Analysis'!L25/44)+('Lab Analysis'!M25/60)),"0")</f>
        <v>0</v>
      </c>
      <c r="M25" s="187" t="str">
        <f>IFERROR(((2*('Lab Analysis'!U25/60))+('Lab Analysis'!S25/17))/(('Lab Analysis'!T25/44)+('Lab Analysis'!U25/60)),"0")</f>
        <v>0</v>
      </c>
      <c r="N25" s="187" t="str">
        <f>IFERROR((('Lab Analysis'!V25/18)-('Lab Analysis'!U25/60))/(('Lab Analysis'!T25/44)+('Lab Analysis'!U25/60)),"0")</f>
        <v>0</v>
      </c>
      <c r="O25" s="187" t="str">
        <f>IFERROR(((2*('Lab Analysis'!Y25/60)+('Lab Analysis'!W25/17))/(('Lab Analysis'!X25/44)+('Lab Analysis'!Y25/60))),"0")</f>
        <v>0</v>
      </c>
      <c r="P25" s="187" t="str">
        <f>IFERROR((('Lab Analysis'!Z25/18)-('Lab Analysis'!Y25/60))/(('Lab Analysis'!X25/44)+('Lab Analysis'!Y25/60)),"0")</f>
        <v>0</v>
      </c>
      <c r="Q25" s="191"/>
    </row>
    <row r="26" spans="1:17" s="2" customFormat="1">
      <c r="A26" s="185">
        <v>45840</v>
      </c>
      <c r="B26" s="186">
        <f>IFERROR(('Lab Analysis'!E26/('Lab Analysis'!E26+(1.364*'Lab Analysis'!D26))),"0")</f>
        <v>0.53854982099727644</v>
      </c>
      <c r="C26" s="186">
        <f>IFERROR((2*'Lab Analysis'!E26/60)/('Lab Analysis'!C26/17+(2*'Lab Analysis'!E26/60)),"0")</f>
        <v>0.37321937321937326</v>
      </c>
      <c r="D26" s="187">
        <f>IFERROR(((2*('Lab Analysis'!E26/60)+('Lab Analysis'!C26/17))/(('Lab Analysis'!D26/44)+('Lab Analysis'!E26/60))),"0")</f>
        <v>2.8863243470541509</v>
      </c>
      <c r="E26" s="187">
        <f>IFERROR((('Lab Analysis'!F26/18)-('Lab Analysis'!E26/60))/(('Lab Analysis'!D26/44)+('Lab Analysis'!E26/60)),"0")</f>
        <v>0.54010081660411047</v>
      </c>
      <c r="F26" s="187">
        <f>IFERROR((('Lab Analysis'!F26/18)/('Lab Analysis'!E26/60)),"0")</f>
        <v>2.0027565733672601</v>
      </c>
      <c r="G26" s="188" t="str">
        <f>IFERROR(('Lab Analysis'!I26/('Lab Analysis'!I26+(1.765*'Lab Analysis'!G26))),"0")</f>
        <v>0</v>
      </c>
      <c r="H26" s="189" t="str">
        <f>IFERROR(((2*('Lab Analysis'!I26/60))+('Lab Analysis'!G26/17))/(('Lab Analysis'!H26/44)+('Lab Analysis'!I26/60)),"0")</f>
        <v>0</v>
      </c>
      <c r="I26" s="189" t="str">
        <f>IFERROR((('Lab Analysis'!J26/18)-('Lab Analysis'!I26/60))/(('Lab Analysis'!H26/44)+('Lab Analysis'!I26/60)),"0")</f>
        <v>0</v>
      </c>
      <c r="J26" s="186" t="str">
        <f>IFERROR(('Lab Analysis'!M26/('Lab Analysis'!M26+(1.765*'Lab Analysis'!K26))),"0")</f>
        <v>0</v>
      </c>
      <c r="K26" s="190" t="str">
        <f>IFERROR(((2*('Lab Analysis'!M26/60))+('Lab Analysis'!K26/17))/(('Lab Analysis'!L26/44)+('Lab Analysis'!M26/60)),"0")</f>
        <v>0</v>
      </c>
      <c r="L26" s="190" t="str">
        <f>IFERROR((('Lab Analysis'!N26/18)-('Lab Analysis'!M26/60))/(('Lab Analysis'!L26/44)+('Lab Analysis'!M26/60)),"0")</f>
        <v>0</v>
      </c>
      <c r="M26" s="187" t="str">
        <f>IFERROR(((2*('Lab Analysis'!U26/60))+('Lab Analysis'!S26/17))/(('Lab Analysis'!T26/44)+('Lab Analysis'!U26/60)),"0")</f>
        <v>0</v>
      </c>
      <c r="N26" s="187" t="str">
        <f>IFERROR((('Lab Analysis'!V26/18)-('Lab Analysis'!U26/60))/(('Lab Analysis'!T26/44)+('Lab Analysis'!U26/60)),"0")</f>
        <v>0</v>
      </c>
      <c r="O26" s="187" t="str">
        <f>IFERROR(((2*('Lab Analysis'!Y26/60)+('Lab Analysis'!W26/17))/(('Lab Analysis'!X26/44)+('Lab Analysis'!Y26/60))),"0")</f>
        <v>0</v>
      </c>
      <c r="P26" s="187" t="str">
        <f>IFERROR((('Lab Analysis'!Z26/18)-('Lab Analysis'!Y26/60))/(('Lab Analysis'!X26/44)+('Lab Analysis'!Y26/60)),"0")</f>
        <v>0</v>
      </c>
      <c r="Q26" s="191"/>
    </row>
    <row r="27" spans="1:17" s="2" customFormat="1">
      <c r="A27" s="185">
        <v>45841</v>
      </c>
      <c r="B27" s="186">
        <f>IFERROR(('Lab Analysis'!E27/('Lab Analysis'!E27+(1.364*'Lab Analysis'!D27))),"0")</f>
        <v>0.54157327035036784</v>
      </c>
      <c r="C27" s="186">
        <f>IFERROR((2*'Lab Analysis'!E27/60)/('Lab Analysis'!C27/17+(2*'Lab Analysis'!E27/60)),"0")</f>
        <v>0.36755251627697472</v>
      </c>
      <c r="D27" s="187">
        <f>IFERROR(((2*('Lab Analysis'!E27/60)+('Lab Analysis'!C27/17))/(('Lab Analysis'!D27/44)+('Lab Analysis'!E27/60))),"0")</f>
        <v>2.9472766071830208</v>
      </c>
      <c r="E27" s="187">
        <f>IFERROR((('Lab Analysis'!F27/18)-('Lab Analysis'!E27/60))/(('Lab Analysis'!D27/44)+('Lab Analysis'!E27/60)),"0")</f>
        <v>0.47108499901561601</v>
      </c>
      <c r="F27" s="187">
        <f>IFERROR((('Lab Analysis'!F27/18)/('Lab Analysis'!E27/60)),"0")</f>
        <v>1.8697390572390582</v>
      </c>
      <c r="G27" s="188">
        <f>IFERROR(('Lab Analysis'!I27/('Lab Analysis'!I27+(1.765*'Lab Analysis'!G27))),"0")</f>
        <v>0.74098570734681646</v>
      </c>
      <c r="H27" s="189">
        <f>IFERROR(((2*('Lab Analysis'!I27/60))+('Lab Analysis'!G27/17))/(('Lab Analysis'!H27/44)+('Lab Analysis'!I27/60)),"0")</f>
        <v>2.1039278808778676</v>
      </c>
      <c r="I27" s="189">
        <f>IFERROR((('Lab Analysis'!J27/18)-('Lab Analysis'!I27/60))/(('Lab Analysis'!H27/44)+('Lab Analysis'!I27/60)),"0")</f>
        <v>0.74566531119394608</v>
      </c>
      <c r="J27" s="186">
        <f>IFERROR(('Lab Analysis'!M27/('Lab Analysis'!M27+(1.765*'Lab Analysis'!K27))),"0")</f>
        <v>0.6006114441154522</v>
      </c>
      <c r="K27" s="190">
        <f>IFERROR(((2*('Lab Analysis'!M27/60))+('Lab Analysis'!K27/17))/(('Lab Analysis'!L27/44)+('Lab Analysis'!M27/60)),"0")</f>
        <v>2.3883987711040335</v>
      </c>
      <c r="L27" s="190">
        <f>IFERROR((('Lab Analysis'!N27/18)-('Lab Analysis'!M27/60))/(('Lab Analysis'!L27/44)+('Lab Analysis'!M27/60)),"0")</f>
        <v>0.62380876324335832</v>
      </c>
      <c r="M27" s="187">
        <f>IFERROR(((2*('Lab Analysis'!U27/60))+('Lab Analysis'!S27/17))/(('Lab Analysis'!T27/44)+('Lab Analysis'!U27/60)),"0")</f>
        <v>2.3961777240352142</v>
      </c>
      <c r="N27" s="187">
        <f>IFERROR((('Lab Analysis'!V27/18)-('Lab Analysis'!U27/60))/(('Lab Analysis'!T27/44)+('Lab Analysis'!U27/60)),"0")</f>
        <v>1.4204618255758896</v>
      </c>
      <c r="O27" s="187">
        <f>IFERROR(((2*('Lab Analysis'!Y27/60)+('Lab Analysis'!W27/17))/(('Lab Analysis'!X27/44)+('Lab Analysis'!Y27/60))),"0")</f>
        <v>2.5616464372658365</v>
      </c>
      <c r="P27" s="187">
        <f>IFERROR((('Lab Analysis'!Z27/18)-('Lab Analysis'!Y27/60))/(('Lab Analysis'!X27/44)+('Lab Analysis'!Y27/60)),"0")</f>
        <v>2.3109937057691687</v>
      </c>
      <c r="Q27" s="191"/>
    </row>
    <row r="28" spans="1:17" s="2" customFormat="1">
      <c r="A28" s="185">
        <v>45842</v>
      </c>
      <c r="B28" s="186">
        <f>IFERROR(('Lab Analysis'!E28/('Lab Analysis'!E28+(1.364*'Lab Analysis'!D28))),"0")</f>
        <v>0.55346618368360223</v>
      </c>
      <c r="C28" s="186">
        <f>IFERROR((2*'Lab Analysis'!E28/60)/('Lab Analysis'!C28/17+(2*'Lab Analysis'!E28/60)),"0")</f>
        <v>0.36228077776814932</v>
      </c>
      <c r="D28" s="187">
        <f>IFERROR(((2*('Lab Analysis'!E28/60)+('Lab Analysis'!C28/17))/(('Lab Analysis'!D28/44)+('Lab Analysis'!E28/60))),"0")</f>
        <v>3.055818096299781</v>
      </c>
      <c r="E28" s="187">
        <f>IFERROR((('Lab Analysis'!F28/18)-('Lab Analysis'!E28/60))/(('Lab Analysis'!D28/44)+('Lab Analysis'!E28/60)),"0")</f>
        <v>0.44087493966295233</v>
      </c>
      <c r="F28" s="187">
        <f>IFERROR((('Lab Analysis'!F28/18)/('Lab Analysis'!E28/60)),"0")</f>
        <v>1.7964758627880311</v>
      </c>
      <c r="G28" s="188" t="str">
        <f>IFERROR(('Lab Analysis'!I28/('Lab Analysis'!I28+(1.765*'Lab Analysis'!G28))),"0")</f>
        <v>0</v>
      </c>
      <c r="H28" s="189" t="str">
        <f>IFERROR(((2*('Lab Analysis'!I28/60))+('Lab Analysis'!G28/17))/(('Lab Analysis'!H28/44)+('Lab Analysis'!I28/60)),"0")</f>
        <v>0</v>
      </c>
      <c r="I28" s="189" t="str">
        <f>IFERROR((('Lab Analysis'!J28/18)-('Lab Analysis'!I28/60))/(('Lab Analysis'!H28/44)+('Lab Analysis'!I28/60)),"0")</f>
        <v>0</v>
      </c>
      <c r="J28" s="186" t="str">
        <f>IFERROR(('Lab Analysis'!M28/('Lab Analysis'!M28+(1.765*'Lab Analysis'!K28))),"0")</f>
        <v>0</v>
      </c>
      <c r="K28" s="190" t="str">
        <f>IFERROR(((2*('Lab Analysis'!M28/60))+('Lab Analysis'!K28/17))/(('Lab Analysis'!L28/44)+('Lab Analysis'!M28/60)),"0")</f>
        <v>0</v>
      </c>
      <c r="L28" s="190" t="str">
        <f>IFERROR((('Lab Analysis'!N28/18)-('Lab Analysis'!M28/60))/(('Lab Analysis'!L28/44)+('Lab Analysis'!M28/60)),"0")</f>
        <v>0</v>
      </c>
      <c r="M28" s="187" t="str">
        <f>IFERROR(((2*('Lab Analysis'!U28/60))+('Lab Analysis'!S28/17))/(('Lab Analysis'!T28/44)+('Lab Analysis'!U28/60)),"0")</f>
        <v>0</v>
      </c>
      <c r="N28" s="187" t="str">
        <f>IFERROR((('Lab Analysis'!V28/18)-('Lab Analysis'!U28/60))/(('Lab Analysis'!T28/44)+('Lab Analysis'!U28/60)),"0")</f>
        <v>0</v>
      </c>
      <c r="O28" s="187" t="str">
        <f>IFERROR(((2*('Lab Analysis'!Y28/60)+('Lab Analysis'!W28/17))/(('Lab Analysis'!X28/44)+('Lab Analysis'!Y28/60))),"0")</f>
        <v>0</v>
      </c>
      <c r="P28" s="187" t="str">
        <f>IFERROR((('Lab Analysis'!Z28/18)-('Lab Analysis'!Y28/60))/(('Lab Analysis'!X28/44)+('Lab Analysis'!Y28/60)),"0")</f>
        <v>0</v>
      </c>
      <c r="Q28" s="191"/>
    </row>
    <row r="29" spans="1:17" s="2" customFormat="1">
      <c r="A29" s="185">
        <v>45843</v>
      </c>
      <c r="B29" s="186" t="str">
        <f>IFERROR(('Lab Analysis'!E29/('Lab Analysis'!E29+(1.364*'Lab Analysis'!D29))),"0")</f>
        <v>0</v>
      </c>
      <c r="C29" s="186" t="str">
        <f>IFERROR((2*'Lab Analysis'!E29/60)/('Lab Analysis'!C29/17+(2*'Lab Analysis'!E29/60)),"0")</f>
        <v>0</v>
      </c>
      <c r="D29" s="187" t="str">
        <f>IFERROR(((2*('Lab Analysis'!E29/60)+('Lab Analysis'!C29/17))/(('Lab Analysis'!D29/44)+('Lab Analysis'!E29/60))),"0")</f>
        <v>0</v>
      </c>
      <c r="E29" s="187" t="str">
        <f>IFERROR((('Lab Analysis'!F29/18)-('Lab Analysis'!E29/60))/(('Lab Analysis'!D29/44)+('Lab Analysis'!E29/60)),"0")</f>
        <v>0</v>
      </c>
      <c r="F29" s="187" t="str">
        <f>IFERROR((('Lab Analysis'!F29/18)/('Lab Analysis'!E29/60)),"0")</f>
        <v>0</v>
      </c>
      <c r="G29" s="188" t="str">
        <f>IFERROR(('Lab Analysis'!I29/('Lab Analysis'!I29+(1.765*'Lab Analysis'!G29))),"0")</f>
        <v>0</v>
      </c>
      <c r="H29" s="189" t="str">
        <f>IFERROR(((2*('Lab Analysis'!I29/60))+('Lab Analysis'!G29/17))/(('Lab Analysis'!H29/44)+('Lab Analysis'!I29/60)),"0")</f>
        <v>0</v>
      </c>
      <c r="I29" s="189" t="str">
        <f>IFERROR((('Lab Analysis'!J29/18)-('Lab Analysis'!I29/60))/(('Lab Analysis'!H29/44)+('Lab Analysis'!I29/60)),"0")</f>
        <v>0</v>
      </c>
      <c r="J29" s="186" t="str">
        <f>IFERROR(('Lab Analysis'!M29/('Lab Analysis'!M29+(1.765*'Lab Analysis'!K29))),"0")</f>
        <v>0</v>
      </c>
      <c r="K29" s="190" t="str">
        <f>IFERROR(((2*('Lab Analysis'!M29/60))+('Lab Analysis'!K29/17))/(('Lab Analysis'!L29/44)+('Lab Analysis'!M29/60)),"0")</f>
        <v>0</v>
      </c>
      <c r="L29" s="190" t="str">
        <f>IFERROR((('Lab Analysis'!N29/18)-('Lab Analysis'!M29/60))/(('Lab Analysis'!L29/44)+('Lab Analysis'!M29/60)),"0")</f>
        <v>0</v>
      </c>
      <c r="M29" s="187" t="str">
        <f>IFERROR(((2*('Lab Analysis'!U29/60))+('Lab Analysis'!S29/17))/(('Lab Analysis'!T29/44)+('Lab Analysis'!U29/60)),"0")</f>
        <v>0</v>
      </c>
      <c r="N29" s="187" t="str">
        <f>IFERROR((('Lab Analysis'!V29/18)-('Lab Analysis'!U29/60))/(('Lab Analysis'!T29/44)+('Lab Analysis'!U29/60)),"0")</f>
        <v>0</v>
      </c>
      <c r="O29" s="187" t="str">
        <f>IFERROR(((2*('Lab Analysis'!Y29/60)+('Lab Analysis'!W29/17))/(('Lab Analysis'!X29/44)+('Lab Analysis'!Y29/60))),"0")</f>
        <v>0</v>
      </c>
      <c r="P29" s="187" t="str">
        <f>IFERROR((('Lab Analysis'!Z29/18)-('Lab Analysis'!Y29/60))/(('Lab Analysis'!X29/44)+('Lab Analysis'!Y29/60)),"0")</f>
        <v>0</v>
      </c>
      <c r="Q29" s="191"/>
    </row>
    <row r="30" spans="1:17" s="2" customFormat="1">
      <c r="A30" s="185">
        <v>45844</v>
      </c>
      <c r="B30" s="186" t="str">
        <f>IFERROR(('Lab Analysis'!E30/('Lab Analysis'!E30+(1.364*'Lab Analysis'!D30))),"0")</f>
        <v>0</v>
      </c>
      <c r="C30" s="186" t="str">
        <f>IFERROR((2*'Lab Analysis'!E30/60)/('Lab Analysis'!C30/17+(2*'Lab Analysis'!E30/60)),"0")</f>
        <v>0</v>
      </c>
      <c r="D30" s="187" t="str">
        <f>IFERROR(((2*('Lab Analysis'!E30/60)+('Lab Analysis'!C30/17))/(('Lab Analysis'!D30/44)+('Lab Analysis'!E30/60))),"0")</f>
        <v>0</v>
      </c>
      <c r="E30" s="187" t="str">
        <f>IFERROR((('Lab Analysis'!F30/18)-('Lab Analysis'!E30/60))/(('Lab Analysis'!D30/44)+('Lab Analysis'!E30/60)),"0")</f>
        <v>0</v>
      </c>
      <c r="F30" s="187" t="str">
        <f>IFERROR((('Lab Analysis'!F30/18)/('Lab Analysis'!E30/60)),"0")</f>
        <v>0</v>
      </c>
      <c r="G30" s="188" t="str">
        <f>IFERROR(('Lab Analysis'!I30/('Lab Analysis'!I30+(1.765*'Lab Analysis'!G30))),"0")</f>
        <v>0</v>
      </c>
      <c r="H30" s="189" t="str">
        <f>IFERROR(((2*('Lab Analysis'!I30/60))+('Lab Analysis'!G30/17))/(('Lab Analysis'!H30/44)+('Lab Analysis'!I30/60)),"0")</f>
        <v>0</v>
      </c>
      <c r="I30" s="189" t="str">
        <f>IFERROR((('Lab Analysis'!J30/18)-('Lab Analysis'!I30/60))/(('Lab Analysis'!H30/44)+('Lab Analysis'!I30/60)),"0")</f>
        <v>0</v>
      </c>
      <c r="J30" s="186" t="str">
        <f>IFERROR(('Lab Analysis'!M30/('Lab Analysis'!M30+(1.765*'Lab Analysis'!K30))),"0")</f>
        <v>0</v>
      </c>
      <c r="K30" s="190" t="str">
        <f>IFERROR(((2*('Lab Analysis'!M30/60))+('Lab Analysis'!K30/17))/(('Lab Analysis'!L30/44)+('Lab Analysis'!M30/60)),"0")</f>
        <v>0</v>
      </c>
      <c r="L30" s="190" t="str">
        <f>IFERROR((('Lab Analysis'!N30/18)-('Lab Analysis'!M30/60))/(('Lab Analysis'!L30/44)+('Lab Analysis'!M30/60)),"0")</f>
        <v>0</v>
      </c>
      <c r="M30" s="187" t="str">
        <f>IFERROR(((2*('Lab Analysis'!U30/60))+('Lab Analysis'!S30/17))/(('Lab Analysis'!T30/44)+('Lab Analysis'!U30/60)),"0")</f>
        <v>0</v>
      </c>
      <c r="N30" s="187" t="str">
        <f>IFERROR((('Lab Analysis'!V30/18)-('Lab Analysis'!U30/60))/(('Lab Analysis'!T30/44)+('Lab Analysis'!U30/60)),"0")</f>
        <v>0</v>
      </c>
      <c r="O30" s="187" t="str">
        <f>IFERROR(((2*('Lab Analysis'!Y30/60)+('Lab Analysis'!W30/17))/(('Lab Analysis'!X30/44)+('Lab Analysis'!Y30/60))),"0")</f>
        <v>0</v>
      </c>
      <c r="P30" s="187" t="str">
        <f>IFERROR((('Lab Analysis'!Z30/18)-('Lab Analysis'!Y30/60))/(('Lab Analysis'!X30/44)+('Lab Analysis'!Y30/60)),"0")</f>
        <v>0</v>
      </c>
      <c r="Q30" s="191"/>
    </row>
    <row r="31" spans="1:17" s="2" customFormat="1">
      <c r="A31" s="185">
        <v>45845</v>
      </c>
      <c r="B31" s="186" t="str">
        <f>IFERROR(('Lab Analysis'!E31/('Lab Analysis'!E31+(1.364*'Lab Analysis'!D31))),"0")</f>
        <v>0</v>
      </c>
      <c r="C31" s="186" t="str">
        <f>IFERROR((2*'Lab Analysis'!E31/60)/('Lab Analysis'!C31/17+(2*'Lab Analysis'!E31/60)),"0")</f>
        <v>0</v>
      </c>
      <c r="D31" s="187" t="str">
        <f>IFERROR(((2*('Lab Analysis'!E31/60)+('Lab Analysis'!C31/17))/(('Lab Analysis'!D31/44)+('Lab Analysis'!E31/60))),"0")</f>
        <v>0</v>
      </c>
      <c r="E31" s="187" t="str">
        <f>IFERROR((('Lab Analysis'!F31/18)-('Lab Analysis'!E31/60))/(('Lab Analysis'!D31/44)+('Lab Analysis'!E31/60)),"0")</f>
        <v>0</v>
      </c>
      <c r="F31" s="187" t="str">
        <f>IFERROR((('Lab Analysis'!F31/18)/('Lab Analysis'!E31/60)),"0")</f>
        <v>0</v>
      </c>
      <c r="G31" s="188" t="str">
        <f>IFERROR(('Lab Analysis'!I31/('Lab Analysis'!I31+(1.765*'Lab Analysis'!G31))),"0")</f>
        <v>0</v>
      </c>
      <c r="H31" s="189" t="str">
        <f>IFERROR(((2*('Lab Analysis'!I31/60))+('Lab Analysis'!G31/17))/(('Lab Analysis'!H31/44)+('Lab Analysis'!I31/60)),"0")</f>
        <v>0</v>
      </c>
      <c r="I31" s="189" t="str">
        <f>IFERROR((('Lab Analysis'!J31/18)-('Lab Analysis'!I31/60))/(('Lab Analysis'!H31/44)+('Lab Analysis'!I31/60)),"0")</f>
        <v>0</v>
      </c>
      <c r="J31" s="186" t="str">
        <f>IFERROR(('Lab Analysis'!M31/('Lab Analysis'!M31+(1.765*'Lab Analysis'!K31))),"0")</f>
        <v>0</v>
      </c>
      <c r="K31" s="190" t="str">
        <f>IFERROR(((2*('Lab Analysis'!M31/60))+('Lab Analysis'!K31/17))/(('Lab Analysis'!L31/44)+('Lab Analysis'!M31/60)),"0")</f>
        <v>0</v>
      </c>
      <c r="L31" s="190" t="str">
        <f>IFERROR((('Lab Analysis'!N31/18)-('Lab Analysis'!M31/60))/(('Lab Analysis'!L31/44)+('Lab Analysis'!M31/60)),"0")</f>
        <v>0</v>
      </c>
      <c r="M31" s="187" t="str">
        <f>IFERROR(((2*('Lab Analysis'!U31/60))+('Lab Analysis'!S31/17))/(('Lab Analysis'!T31/44)+('Lab Analysis'!U31/60)),"0")</f>
        <v>0</v>
      </c>
      <c r="N31" s="187" t="str">
        <f>IFERROR((('Lab Analysis'!V31/18)-('Lab Analysis'!U31/60))/(('Lab Analysis'!T31/44)+('Lab Analysis'!U31/60)),"0")</f>
        <v>0</v>
      </c>
      <c r="O31" s="187" t="str">
        <f>IFERROR(((2*('Lab Analysis'!Y31/60)+('Lab Analysis'!W31/17))/(('Lab Analysis'!X31/44)+('Lab Analysis'!Y31/60))),"0")</f>
        <v>0</v>
      </c>
      <c r="P31" s="187" t="str">
        <f>IFERROR((('Lab Analysis'!Z31/18)-('Lab Analysis'!Y31/60))/(('Lab Analysis'!X31/44)+('Lab Analysis'!Y31/60)),"0")</f>
        <v>0</v>
      </c>
      <c r="Q31" s="191"/>
    </row>
    <row r="32" spans="1:17" s="2" customFormat="1">
      <c r="A32" s="24">
        <v>45846</v>
      </c>
      <c r="B32" s="32">
        <f>IFERROR(('Lab Analysis'!E32/('Lab Analysis'!E32+(1.364*'Lab Analysis'!D32))),"0")</f>
        <v>0.53771376758113154</v>
      </c>
      <c r="C32" s="32">
        <f>IFERROR((2*'Lab Analysis'!E32/60)/('Lab Analysis'!C32/17+(2*'Lab Analysis'!E32/60)),"0")</f>
        <v>0.36923013517969011</v>
      </c>
      <c r="D32" s="33">
        <f>IFERROR(((2*('Lab Analysis'!E32/60)+('Lab Analysis'!C32/17))/(('Lab Analysis'!D32/44)+('Lab Analysis'!E32/60))),"0")</f>
        <v>2.9129802484563561</v>
      </c>
      <c r="E32" s="33">
        <f>IFERROR((('Lab Analysis'!F32/18)-('Lab Analysis'!E32/60))/(('Lab Analysis'!D32/44)+('Lab Analysis'!E32/60)),"0")</f>
        <v>0.47360473326427233</v>
      </c>
      <c r="F32" s="33">
        <f>IFERROR((('Lab Analysis'!F32/18)/('Lab Analysis'!E32/60)),"0")</f>
        <v>1.880666244992621</v>
      </c>
      <c r="G32" s="34">
        <f>IFERROR(('Lab Analysis'!I32/('Lab Analysis'!I32+(1.765*'Lab Analysis'!G32))),"0")</f>
        <v>0.72635040281088858</v>
      </c>
      <c r="H32" s="35">
        <f>IFERROR(((2*('Lab Analysis'!I32/60))+('Lab Analysis'!G32/17))/(('Lab Analysis'!H32/44)+('Lab Analysis'!I32/60)),"0")</f>
        <v>2.1195813907350463</v>
      </c>
      <c r="I32" s="35">
        <f>IFERROR((('Lab Analysis'!J32/18)-('Lab Analysis'!I32/60))/(('Lab Analysis'!H32/44)+('Lab Analysis'!I32/60)),"0")</f>
        <v>0.70643620011242314</v>
      </c>
      <c r="J32" s="32" t="str">
        <f>IFERROR(('Lab Analysis'!M32/('Lab Analysis'!M32+(1.765*'Lab Analysis'!K32))),"0")</f>
        <v>0</v>
      </c>
      <c r="K32" s="36" t="str">
        <f>IFERROR(((2*('Lab Analysis'!M32/60))+('Lab Analysis'!K32/17))/(('Lab Analysis'!L32/44)+('Lab Analysis'!M32/60)),"0")</f>
        <v>0</v>
      </c>
      <c r="L32" s="36" t="str">
        <f>IFERROR((('Lab Analysis'!N32/18)-('Lab Analysis'!M32/60))/(('Lab Analysis'!L32/44)+('Lab Analysis'!M32/60)),"0")</f>
        <v>0</v>
      </c>
      <c r="M32" s="33">
        <f>IFERROR(((2*('Lab Analysis'!U32/60))+('Lab Analysis'!S32/17))/(('Lab Analysis'!T32/44)+('Lab Analysis'!U32/60)),"0")</f>
        <v>2.3123006768656649</v>
      </c>
      <c r="N32" s="33">
        <f>IFERROR((('Lab Analysis'!V32/18)-('Lab Analysis'!U32/60))/(('Lab Analysis'!T32/44)+('Lab Analysis'!U32/60)),"0")</f>
        <v>1.3057938177698656</v>
      </c>
      <c r="O32" s="33">
        <f>IFERROR(((2*('Lab Analysis'!Y32/60)+('Lab Analysis'!W32/17))/(('Lab Analysis'!X32/44)+('Lab Analysis'!Y32/60))),"0")</f>
        <v>2.5264184051472025</v>
      </c>
      <c r="P32" s="33">
        <f>IFERROR((('Lab Analysis'!Z32/18)-('Lab Analysis'!Y32/60))/(('Lab Analysis'!X32/44)+('Lab Analysis'!Y32/60)),"0")</f>
        <v>2.3183856502242151</v>
      </c>
      <c r="Q32" s="192" t="s">
        <v>63</v>
      </c>
    </row>
    <row r="33" spans="1:17" s="2" customFormat="1">
      <c r="A33" s="24">
        <v>45847</v>
      </c>
      <c r="B33" s="32">
        <f>IFERROR(('Lab Analysis'!E33/('Lab Analysis'!E33+(1.364*'Lab Analysis'!D33))),"0")</f>
        <v>0.54169958243990513</v>
      </c>
      <c r="C33" s="32">
        <f>IFERROR((2*'Lab Analysis'!E33/60)/('Lab Analysis'!C33/17+(2*'Lab Analysis'!E33/60)),"0")</f>
        <v>0.37539207895947474</v>
      </c>
      <c r="D33" s="33">
        <f>IFERROR(((2*('Lab Analysis'!E33/60)+('Lab Analysis'!C33/17))/(('Lab Analysis'!D33/44)+('Lab Analysis'!E33/60))),"0")</f>
        <v>2.8863996137142416</v>
      </c>
      <c r="E33" s="33">
        <f>IFERROR((('Lab Analysis'!F33/18)-('Lab Analysis'!E33/60))/(('Lab Analysis'!D33/44)+('Lab Analysis'!E33/60)),"0")</f>
        <v>0.52990894910581565</v>
      </c>
      <c r="F33" s="33">
        <f>IFERROR((('Lab Analysis'!F33/18)/('Lab Analysis'!E33/60)),"0")</f>
        <v>1.9781144781144795</v>
      </c>
      <c r="G33" s="34">
        <f>IFERROR(('Lab Analysis'!I33/('Lab Analysis'!I33+(1.765*'Lab Analysis'!G33))),"0")</f>
        <v>0.71747452469319106</v>
      </c>
      <c r="H33" s="35">
        <f>IFERROR(((2*('Lab Analysis'!I33/60))+('Lab Analysis'!G33/17))/(('Lab Analysis'!H33/44)+('Lab Analysis'!I33/60)),"0")</f>
        <v>2.1353985972735319</v>
      </c>
      <c r="I33" s="35">
        <f>IFERROR((('Lab Analysis'!J33/18)-('Lab Analysis'!I33/60))/(('Lab Analysis'!H33/44)+('Lab Analysis'!I33/60)),"0")</f>
        <v>0.73222193894412779</v>
      </c>
      <c r="J33" s="32" t="str">
        <f>IFERROR(('Lab Analysis'!M33/('Lab Analysis'!M33+(1.765*'Lab Analysis'!K33))),"0")</f>
        <v>0</v>
      </c>
      <c r="K33" s="36" t="str">
        <f>IFERROR(((2*('Lab Analysis'!M33/60))+('Lab Analysis'!K33/17))/(('Lab Analysis'!L33/44)+('Lab Analysis'!M33/60)),"0")</f>
        <v>0</v>
      </c>
      <c r="L33" s="36" t="str">
        <f>IFERROR((('Lab Analysis'!N33/18)-('Lab Analysis'!M33/60))/(('Lab Analysis'!L33/44)+('Lab Analysis'!M33/60)),"0")</f>
        <v>0</v>
      </c>
      <c r="M33" s="33">
        <f>IFERROR(((2*('Lab Analysis'!U33/60))+('Lab Analysis'!S33/17))/(('Lab Analysis'!T33/44)+('Lab Analysis'!U33/60)),"0")</f>
        <v>2.3818270205276848</v>
      </c>
      <c r="N33" s="33">
        <f>IFERROR((('Lab Analysis'!V33/18)-('Lab Analysis'!U33/60))/(('Lab Analysis'!T33/44)+('Lab Analysis'!U33/60)),"0")</f>
        <v>1.2827864621536891</v>
      </c>
      <c r="O33" s="33">
        <f>IFERROR(((2*('Lab Analysis'!Y33/60)+('Lab Analysis'!W33/17))/(('Lab Analysis'!X33/44)+('Lab Analysis'!Y33/60))),"0")</f>
        <v>2.5154500007745466</v>
      </c>
      <c r="P33" s="33">
        <f>IFERROR((('Lab Analysis'!Z33/18)-('Lab Analysis'!Y33/60))/(('Lab Analysis'!X33/44)+('Lab Analysis'!Y33/60)),"0")</f>
        <v>2.0770098942853914</v>
      </c>
      <c r="Q33" s="192" t="s">
        <v>64</v>
      </c>
    </row>
    <row r="34" spans="1:17" s="2" customFormat="1">
      <c r="A34" s="185">
        <v>45848</v>
      </c>
      <c r="B34" s="186">
        <f>IFERROR(('Lab Analysis'!E34/('Lab Analysis'!E34+(1.364*'Lab Analysis'!D34))),"0")</f>
        <v>0.54349559266464142</v>
      </c>
      <c r="C34" s="186">
        <f>IFERROR((2*'Lab Analysis'!E34/60)/('Lab Analysis'!C34/17+(2*'Lab Analysis'!E34/60)),"0")</f>
        <v>0.37970553789526523</v>
      </c>
      <c r="D34" s="187">
        <f>IFERROR(((2*('Lab Analysis'!E34/60)+('Lab Analysis'!C34/17))/(('Lab Analysis'!D34/44)+('Lab Analysis'!E34/60))),"0")</f>
        <v>2.863069884410526</v>
      </c>
      <c r="E34" s="187">
        <f>IFERROR((('Lab Analysis'!F34/18)-('Lab Analysis'!E34/60))/(('Lab Analysis'!D34/44)+('Lab Analysis'!E34/60)),"0")</f>
        <v>0.50657783124354128</v>
      </c>
      <c r="F34" s="187">
        <f>IFERROR((('Lab Analysis'!F34/18)/('Lab Analysis'!E34/60)),"0")</f>
        <v>1.9319600499375773</v>
      </c>
      <c r="G34" s="188" t="str">
        <f>IFERROR(('Lab Analysis'!I34/('Lab Analysis'!I34+(1.765*'Lab Analysis'!G34))),"0")</f>
        <v>0</v>
      </c>
      <c r="H34" s="189" t="str">
        <f>IFERROR(((2*('Lab Analysis'!I34/60))+('Lab Analysis'!G34/17))/(('Lab Analysis'!H34/44)+('Lab Analysis'!I34/60)),"0")</f>
        <v>0</v>
      </c>
      <c r="I34" s="189" t="str">
        <f>IFERROR((('Lab Analysis'!J34/18)-('Lab Analysis'!I34/60))/(('Lab Analysis'!H34/44)+('Lab Analysis'!I34/60)),"0")</f>
        <v>0</v>
      </c>
      <c r="J34" s="186" t="str">
        <f>IFERROR(('Lab Analysis'!M34/('Lab Analysis'!M34+(1.765*'Lab Analysis'!K34))),"0")</f>
        <v>0</v>
      </c>
      <c r="K34" s="190" t="str">
        <f>IFERROR(((2*('Lab Analysis'!M34/60))+('Lab Analysis'!K34/17))/(('Lab Analysis'!L34/44)+('Lab Analysis'!M34/60)),"0")</f>
        <v>0</v>
      </c>
      <c r="L34" s="190" t="str">
        <f>IFERROR((('Lab Analysis'!N34/18)-('Lab Analysis'!M34/60))/(('Lab Analysis'!L34/44)+('Lab Analysis'!M34/60)),"0")</f>
        <v>0</v>
      </c>
      <c r="M34" s="187" t="str">
        <f>IFERROR(((2*('Lab Analysis'!U34/60))+('Lab Analysis'!S34/17))/(('Lab Analysis'!T34/44)+('Lab Analysis'!U34/60)),"0")</f>
        <v>0</v>
      </c>
      <c r="N34" s="187" t="str">
        <f>IFERROR((('Lab Analysis'!V34/18)-('Lab Analysis'!U34/60))/(('Lab Analysis'!T34/44)+('Lab Analysis'!U34/60)),"0")</f>
        <v>0</v>
      </c>
      <c r="O34" s="187" t="str">
        <f>IFERROR(((2*('Lab Analysis'!Y34/60)+('Lab Analysis'!W34/17))/(('Lab Analysis'!X34/44)+('Lab Analysis'!Y34/60))),"0")</f>
        <v>0</v>
      </c>
      <c r="P34" s="187" t="str">
        <f>IFERROR((('Lab Analysis'!Z34/18)-('Lab Analysis'!Y34/60))/(('Lab Analysis'!X34/44)+('Lab Analysis'!Y34/60)),"0")</f>
        <v>0</v>
      </c>
      <c r="Q34" s="191"/>
    </row>
    <row r="35" spans="1:17" s="2" customFormat="1">
      <c r="A35" s="185">
        <v>45849</v>
      </c>
      <c r="B35" s="186" t="str">
        <f>IFERROR(('Lab Analysis'!E35/('Lab Analysis'!E35+(1.364*'Lab Analysis'!D35))),"0")</f>
        <v>0</v>
      </c>
      <c r="C35" s="186" t="str">
        <f>IFERROR((2*'Lab Analysis'!E35/60)/('Lab Analysis'!C35/17+(2*'Lab Analysis'!E35/60)),"0")</f>
        <v>0</v>
      </c>
      <c r="D35" s="187" t="str">
        <f>IFERROR(((2*('Lab Analysis'!E35/60)+('Lab Analysis'!C35/17))/(('Lab Analysis'!D35/44)+('Lab Analysis'!E35/60))),"0")</f>
        <v>0</v>
      </c>
      <c r="E35" s="187" t="str">
        <f>IFERROR((('Lab Analysis'!F35/18)-('Lab Analysis'!E35/60))/(('Lab Analysis'!D35/44)+('Lab Analysis'!E35/60)),"0")</f>
        <v>0</v>
      </c>
      <c r="F35" s="187" t="str">
        <f>IFERROR((('Lab Analysis'!F35/18)/('Lab Analysis'!E35/60)),"0")</f>
        <v>0</v>
      </c>
      <c r="G35" s="188" t="str">
        <f>IFERROR(('Lab Analysis'!I35/('Lab Analysis'!I35+(1.765*'Lab Analysis'!G35))),"0")</f>
        <v>0</v>
      </c>
      <c r="H35" s="189" t="str">
        <f>IFERROR(((2*('Lab Analysis'!I35/60))+('Lab Analysis'!G35/17))/(('Lab Analysis'!H35/44)+('Lab Analysis'!I35/60)),"0")</f>
        <v>0</v>
      </c>
      <c r="I35" s="189" t="str">
        <f>IFERROR((('Lab Analysis'!J35/18)-('Lab Analysis'!I35/60))/(('Lab Analysis'!H35/44)+('Lab Analysis'!I35/60)),"0")</f>
        <v>0</v>
      </c>
      <c r="J35" s="186" t="str">
        <f>IFERROR(('Lab Analysis'!M35/('Lab Analysis'!M35+(1.765*'Lab Analysis'!K35))),"0")</f>
        <v>0</v>
      </c>
      <c r="K35" s="190" t="str">
        <f>IFERROR(((2*('Lab Analysis'!M35/60))+('Lab Analysis'!K35/17))/(('Lab Analysis'!L35/44)+('Lab Analysis'!M35/60)),"0")</f>
        <v>0</v>
      </c>
      <c r="L35" s="190" t="str">
        <f>IFERROR((('Lab Analysis'!N35/18)-('Lab Analysis'!M35/60))/(('Lab Analysis'!L35/44)+('Lab Analysis'!M35/60)),"0")</f>
        <v>0</v>
      </c>
      <c r="M35" s="187" t="str">
        <f>IFERROR(((2*('Lab Analysis'!U35/60))+('Lab Analysis'!S35/17))/(('Lab Analysis'!T35/44)+('Lab Analysis'!U35/60)),"0")</f>
        <v>0</v>
      </c>
      <c r="N35" s="187" t="str">
        <f>IFERROR((('Lab Analysis'!V35/18)-('Lab Analysis'!U35/60))/(('Lab Analysis'!T35/44)+('Lab Analysis'!U35/60)),"0")</f>
        <v>0</v>
      </c>
      <c r="O35" s="187" t="str">
        <f>IFERROR(((2*('Lab Analysis'!Y35/60)+('Lab Analysis'!W35/17))/(('Lab Analysis'!X35/44)+('Lab Analysis'!Y35/60))),"0")</f>
        <v>0</v>
      </c>
      <c r="P35" s="187" t="str">
        <f>IFERROR((('Lab Analysis'!Z35/18)-('Lab Analysis'!Y35/60))/(('Lab Analysis'!X35/44)+('Lab Analysis'!Y35/60)),"0")</f>
        <v>0</v>
      </c>
      <c r="Q35" s="191"/>
    </row>
    <row r="36" spans="1:17" s="2" customFormat="1">
      <c r="A36" s="185">
        <v>45850</v>
      </c>
      <c r="B36" s="186" t="str">
        <f>IFERROR(('Lab Analysis'!E36/('Lab Analysis'!E36+(1.364*'Lab Analysis'!D36))),"0")</f>
        <v>0</v>
      </c>
      <c r="C36" s="186" t="str">
        <f>IFERROR((2*'Lab Analysis'!E36/60)/('Lab Analysis'!C36/17+(2*'Lab Analysis'!E36/60)),"0")</f>
        <v>0</v>
      </c>
      <c r="D36" s="187" t="str">
        <f>IFERROR(((2*('Lab Analysis'!E36/60)+('Lab Analysis'!C36/17))/(('Lab Analysis'!D36/44)+('Lab Analysis'!E36/60))),"0")</f>
        <v>0</v>
      </c>
      <c r="E36" s="187" t="str">
        <f>IFERROR((('Lab Analysis'!F36/18)-('Lab Analysis'!E36/60))/(('Lab Analysis'!D36/44)+('Lab Analysis'!E36/60)),"0")</f>
        <v>0</v>
      </c>
      <c r="F36" s="187" t="str">
        <f>IFERROR((('Lab Analysis'!F36/18)/('Lab Analysis'!E36/60)),"0")</f>
        <v>0</v>
      </c>
      <c r="G36" s="188" t="str">
        <f>IFERROR(('Lab Analysis'!I36/('Lab Analysis'!I36+(1.765*'Lab Analysis'!G36))),"0")</f>
        <v>0</v>
      </c>
      <c r="H36" s="189" t="str">
        <f>IFERROR(((2*('Lab Analysis'!I36/60))+('Lab Analysis'!G36/17))/(('Lab Analysis'!H36/44)+('Lab Analysis'!I36/60)),"0")</f>
        <v>0</v>
      </c>
      <c r="I36" s="189" t="str">
        <f>IFERROR((('Lab Analysis'!J36/18)-('Lab Analysis'!I36/60))/(('Lab Analysis'!H36/44)+('Lab Analysis'!I36/60)),"0")</f>
        <v>0</v>
      </c>
      <c r="J36" s="186" t="str">
        <f>IFERROR(('Lab Analysis'!M36/('Lab Analysis'!M36+(1.765*'Lab Analysis'!K36))),"0")</f>
        <v>0</v>
      </c>
      <c r="K36" s="190" t="str">
        <f>IFERROR(((2*('Lab Analysis'!M36/60))+('Lab Analysis'!K36/17))/(('Lab Analysis'!L36/44)+('Lab Analysis'!M36/60)),"0")</f>
        <v>0</v>
      </c>
      <c r="L36" s="190" t="str">
        <f>IFERROR((('Lab Analysis'!N36/18)-('Lab Analysis'!M36/60))/(('Lab Analysis'!L36/44)+('Lab Analysis'!M36/60)),"0")</f>
        <v>0</v>
      </c>
      <c r="M36" s="187" t="str">
        <f>IFERROR(((2*('Lab Analysis'!U36/60))+('Lab Analysis'!S36/17))/(('Lab Analysis'!T36/44)+('Lab Analysis'!U36/60)),"0")</f>
        <v>0</v>
      </c>
      <c r="N36" s="187" t="str">
        <f>IFERROR((('Lab Analysis'!V36/18)-('Lab Analysis'!U36/60))/(('Lab Analysis'!T36/44)+('Lab Analysis'!U36/60)),"0")</f>
        <v>0</v>
      </c>
      <c r="O36" s="187" t="str">
        <f>IFERROR(((2*('Lab Analysis'!Y36/60)+('Lab Analysis'!W36/17))/(('Lab Analysis'!X36/44)+('Lab Analysis'!Y36/60))),"0")</f>
        <v>0</v>
      </c>
      <c r="P36" s="187" t="str">
        <f>IFERROR((('Lab Analysis'!Z36/18)-('Lab Analysis'!Y36/60))/(('Lab Analysis'!X36/44)+('Lab Analysis'!Y36/60)),"0")</f>
        <v>0</v>
      </c>
      <c r="Q36" s="191"/>
    </row>
    <row r="37" spans="1:17" s="2" customFormat="1">
      <c r="A37" s="185">
        <v>45851</v>
      </c>
      <c r="B37" s="186" t="str">
        <f>IFERROR(('Lab Analysis'!E37/('Lab Analysis'!E37+(1.364*'Lab Analysis'!D37))),"0")</f>
        <v>0</v>
      </c>
      <c r="C37" s="186" t="str">
        <f>IFERROR((2*'Lab Analysis'!E37/60)/('Lab Analysis'!C37/17+(2*'Lab Analysis'!E37/60)),"0")</f>
        <v>0</v>
      </c>
      <c r="D37" s="187" t="str">
        <f>IFERROR(((2*('Lab Analysis'!E37/60)+('Lab Analysis'!C37/17))/(('Lab Analysis'!D37/44)+('Lab Analysis'!E37/60))),"0")</f>
        <v>0</v>
      </c>
      <c r="E37" s="187" t="str">
        <f>IFERROR((('Lab Analysis'!F37/18)-('Lab Analysis'!E37/60))/(('Lab Analysis'!D37/44)+('Lab Analysis'!E37/60)),"0")</f>
        <v>0</v>
      </c>
      <c r="F37" s="187" t="str">
        <f>IFERROR((('Lab Analysis'!F37/18)/('Lab Analysis'!E37/60)),"0")</f>
        <v>0</v>
      </c>
      <c r="G37" s="188" t="str">
        <f>IFERROR(('Lab Analysis'!I37/('Lab Analysis'!I37+(1.765*'Lab Analysis'!G37))),"0")</f>
        <v>0</v>
      </c>
      <c r="H37" s="189" t="str">
        <f>IFERROR(((2*('Lab Analysis'!I37/60))+('Lab Analysis'!G37/17))/(('Lab Analysis'!H37/44)+('Lab Analysis'!I37/60)),"0")</f>
        <v>0</v>
      </c>
      <c r="I37" s="189" t="str">
        <f>IFERROR((('Lab Analysis'!J37/18)-('Lab Analysis'!I37/60))/(('Lab Analysis'!H37/44)+('Lab Analysis'!I37/60)),"0")</f>
        <v>0</v>
      </c>
      <c r="J37" s="186" t="str">
        <f>IFERROR(('Lab Analysis'!M37/('Lab Analysis'!M37+(1.765*'Lab Analysis'!K37))),"0")</f>
        <v>0</v>
      </c>
      <c r="K37" s="190" t="str">
        <f>IFERROR(((2*('Lab Analysis'!M37/60))+('Lab Analysis'!K37/17))/(('Lab Analysis'!L37/44)+('Lab Analysis'!M37/60)),"0")</f>
        <v>0</v>
      </c>
      <c r="L37" s="190" t="str">
        <f>IFERROR((('Lab Analysis'!N37/18)-('Lab Analysis'!M37/60))/(('Lab Analysis'!L37/44)+('Lab Analysis'!M37/60)),"0")</f>
        <v>0</v>
      </c>
      <c r="M37" s="187" t="str">
        <f>IFERROR(((2*('Lab Analysis'!U37/60))+('Lab Analysis'!S37/17))/(('Lab Analysis'!T37/44)+('Lab Analysis'!U37/60)),"0")</f>
        <v>0</v>
      </c>
      <c r="N37" s="187" t="str">
        <f>IFERROR((('Lab Analysis'!V37/18)-('Lab Analysis'!U37/60))/(('Lab Analysis'!T37/44)+('Lab Analysis'!U37/60)),"0")</f>
        <v>0</v>
      </c>
      <c r="O37" s="187" t="str">
        <f>IFERROR(((2*('Lab Analysis'!Y37/60)+('Lab Analysis'!W37/17))/(('Lab Analysis'!X37/44)+('Lab Analysis'!Y37/60))),"0")</f>
        <v>0</v>
      </c>
      <c r="P37" s="187" t="str">
        <f>IFERROR((('Lab Analysis'!Z37/18)-('Lab Analysis'!Y37/60))/(('Lab Analysis'!X37/44)+('Lab Analysis'!Y37/60)),"0")</f>
        <v>0</v>
      </c>
      <c r="Q37" s="191"/>
    </row>
    <row r="38" spans="1:17" s="2" customFormat="1">
      <c r="A38" s="185">
        <v>45852</v>
      </c>
      <c r="B38" s="186" t="str">
        <f>IFERROR(('Lab Analysis'!E38/('Lab Analysis'!E38+(1.364*'Lab Analysis'!D38))),"0")</f>
        <v>0</v>
      </c>
      <c r="C38" s="186" t="str">
        <f>IFERROR((2*'Lab Analysis'!E38/60)/('Lab Analysis'!C38/17+(2*'Lab Analysis'!E38/60)),"0")</f>
        <v>0</v>
      </c>
      <c r="D38" s="187" t="str">
        <f>IFERROR(((2*('Lab Analysis'!E38/60)+('Lab Analysis'!C38/17))/(('Lab Analysis'!D38/44)+('Lab Analysis'!E38/60))),"0")</f>
        <v>0</v>
      </c>
      <c r="E38" s="187" t="str">
        <f>IFERROR((('Lab Analysis'!F38/18)-('Lab Analysis'!E38/60))/(('Lab Analysis'!D38/44)+('Lab Analysis'!E38/60)),"0")</f>
        <v>0</v>
      </c>
      <c r="F38" s="187" t="str">
        <f>IFERROR((('Lab Analysis'!F38/18)/('Lab Analysis'!E38/60)),"0")</f>
        <v>0</v>
      </c>
      <c r="G38" s="188" t="str">
        <f>IFERROR(('Lab Analysis'!I38/('Lab Analysis'!I38+(1.765*'Lab Analysis'!G38))),"0")</f>
        <v>0</v>
      </c>
      <c r="H38" s="189" t="str">
        <f>IFERROR(((2*('Lab Analysis'!I38/60))+('Lab Analysis'!G38/17))/(('Lab Analysis'!H38/44)+('Lab Analysis'!I38/60)),"0")</f>
        <v>0</v>
      </c>
      <c r="I38" s="189" t="str">
        <f>IFERROR((('Lab Analysis'!J38/18)-('Lab Analysis'!I38/60))/(('Lab Analysis'!H38/44)+('Lab Analysis'!I38/60)),"0")</f>
        <v>0</v>
      </c>
      <c r="J38" s="186" t="str">
        <f>IFERROR(('Lab Analysis'!M38/('Lab Analysis'!M38+(1.765*'Lab Analysis'!K38))),"0")</f>
        <v>0</v>
      </c>
      <c r="K38" s="190" t="str">
        <f>IFERROR(((2*('Lab Analysis'!M38/60))+('Lab Analysis'!K38/17))/(('Lab Analysis'!L38/44)+('Lab Analysis'!M38/60)),"0")</f>
        <v>0</v>
      </c>
      <c r="L38" s="190" t="str">
        <f>IFERROR((('Lab Analysis'!N38/18)-('Lab Analysis'!M38/60))/(('Lab Analysis'!L38/44)+('Lab Analysis'!M38/60)),"0")</f>
        <v>0</v>
      </c>
      <c r="M38" s="187" t="str">
        <f>IFERROR(((2*('Lab Analysis'!U38/60))+('Lab Analysis'!S38/17))/(('Lab Analysis'!T38/44)+('Lab Analysis'!U38/60)),"0")</f>
        <v>0</v>
      </c>
      <c r="N38" s="187" t="str">
        <f>IFERROR((('Lab Analysis'!V38/18)-('Lab Analysis'!U38/60))/(('Lab Analysis'!T38/44)+('Lab Analysis'!U38/60)),"0")</f>
        <v>0</v>
      </c>
      <c r="O38" s="187" t="str">
        <f>IFERROR(((2*('Lab Analysis'!Y38/60)+('Lab Analysis'!W38/17))/(('Lab Analysis'!X38/44)+('Lab Analysis'!Y38/60))),"0")</f>
        <v>0</v>
      </c>
      <c r="P38" s="187" t="str">
        <f>IFERROR((('Lab Analysis'!Z38/18)-('Lab Analysis'!Y38/60))/(('Lab Analysis'!X38/44)+('Lab Analysis'!Y38/60)),"0")</f>
        <v>0</v>
      </c>
      <c r="Q38" s="191"/>
    </row>
    <row r="39" spans="1:17" s="2" customFormat="1">
      <c r="A39" s="185">
        <v>45853</v>
      </c>
      <c r="B39" s="186" t="str">
        <f>IFERROR(('Lab Analysis'!E39/('Lab Analysis'!E39+(1.364*'Lab Analysis'!D39))),"0")</f>
        <v>0</v>
      </c>
      <c r="C39" s="186" t="str">
        <f>IFERROR((2*'Lab Analysis'!E39/60)/('Lab Analysis'!C39/17+(2*'Lab Analysis'!E39/60)),"0")</f>
        <v>0</v>
      </c>
      <c r="D39" s="187" t="str">
        <f>IFERROR(((2*('Lab Analysis'!E39/60)+('Lab Analysis'!C39/17))/(('Lab Analysis'!D39/44)+('Lab Analysis'!E39/60))),"0")</f>
        <v>0</v>
      </c>
      <c r="E39" s="187" t="str">
        <f>IFERROR((('Lab Analysis'!F39/18)-('Lab Analysis'!E39/60))/(('Lab Analysis'!D39/44)+('Lab Analysis'!E39/60)),"0")</f>
        <v>0</v>
      </c>
      <c r="F39" s="187" t="str">
        <f>IFERROR((('Lab Analysis'!F39/18)/('Lab Analysis'!E39/60)),"0")</f>
        <v>0</v>
      </c>
      <c r="G39" s="188" t="str">
        <f>IFERROR(('Lab Analysis'!I39/('Lab Analysis'!I39+(1.765*'Lab Analysis'!G39))),"0")</f>
        <v>0</v>
      </c>
      <c r="H39" s="189" t="str">
        <f>IFERROR(((2*('Lab Analysis'!I39/60))+('Lab Analysis'!G39/17))/(('Lab Analysis'!H39/44)+('Lab Analysis'!I39/60)),"0")</f>
        <v>0</v>
      </c>
      <c r="I39" s="189" t="str">
        <f>IFERROR((('Lab Analysis'!J39/18)-('Lab Analysis'!I39/60))/(('Lab Analysis'!H39/44)+('Lab Analysis'!I39/60)),"0")</f>
        <v>0</v>
      </c>
      <c r="J39" s="186" t="str">
        <f>IFERROR(('Lab Analysis'!M39/('Lab Analysis'!M39+(1.765*'Lab Analysis'!K39))),"0")</f>
        <v>0</v>
      </c>
      <c r="K39" s="190" t="str">
        <f>IFERROR(((2*('Lab Analysis'!M39/60))+('Lab Analysis'!K39/17))/(('Lab Analysis'!L39/44)+('Lab Analysis'!M39/60)),"0")</f>
        <v>0</v>
      </c>
      <c r="L39" s="190" t="str">
        <f>IFERROR((('Lab Analysis'!N39/18)-('Lab Analysis'!M39/60))/(('Lab Analysis'!L39/44)+('Lab Analysis'!M39/60)),"0")</f>
        <v>0</v>
      </c>
      <c r="M39" s="187" t="str">
        <f>IFERROR(((2*('Lab Analysis'!U39/60))+('Lab Analysis'!S39/17))/(('Lab Analysis'!T39/44)+('Lab Analysis'!U39/60)),"0")</f>
        <v>0</v>
      </c>
      <c r="N39" s="187" t="str">
        <f>IFERROR((('Lab Analysis'!V39/18)-('Lab Analysis'!U39/60))/(('Lab Analysis'!T39/44)+('Lab Analysis'!U39/60)),"0")</f>
        <v>0</v>
      </c>
      <c r="O39" s="187" t="str">
        <f>IFERROR(((2*('Lab Analysis'!Y39/60)+('Lab Analysis'!W39/17))/(('Lab Analysis'!X39/44)+('Lab Analysis'!Y39/60))),"0")</f>
        <v>0</v>
      </c>
      <c r="P39" s="187" t="str">
        <f>IFERROR((('Lab Analysis'!Z39/18)-('Lab Analysis'!Y39/60))/(('Lab Analysis'!X39/44)+('Lab Analysis'!Y39/60)),"0")</f>
        <v>0</v>
      </c>
      <c r="Q39" s="191"/>
    </row>
    <row r="40" spans="1:17" s="2" customFormat="1">
      <c r="A40" s="185">
        <v>45854</v>
      </c>
      <c r="B40" s="186" t="str">
        <f>IFERROR(('Lab Analysis'!E40/('Lab Analysis'!E40+(1.364*'Lab Analysis'!D40))),"0")</f>
        <v>0</v>
      </c>
      <c r="C40" s="186" t="str">
        <f>IFERROR((2*'Lab Analysis'!E40/60)/('Lab Analysis'!C40/17+(2*'Lab Analysis'!E40/60)),"0")</f>
        <v>0</v>
      </c>
      <c r="D40" s="187" t="str">
        <f>IFERROR(((2*('Lab Analysis'!E40/60)+('Lab Analysis'!C40/17))/(('Lab Analysis'!D40/44)+('Lab Analysis'!E40/60))),"0")</f>
        <v>0</v>
      </c>
      <c r="E40" s="187" t="str">
        <f>IFERROR((('Lab Analysis'!F40/18)-('Lab Analysis'!E40/60))/(('Lab Analysis'!D40/44)+('Lab Analysis'!E40/60)),"0")</f>
        <v>0</v>
      </c>
      <c r="F40" s="187" t="str">
        <f>IFERROR((('Lab Analysis'!F40/18)/('Lab Analysis'!E40/60)),"0")</f>
        <v>0</v>
      </c>
      <c r="G40" s="188" t="str">
        <f>IFERROR(('Lab Analysis'!I40/('Lab Analysis'!I40+(1.765*'Lab Analysis'!G40))),"0")</f>
        <v>0</v>
      </c>
      <c r="H40" s="189" t="str">
        <f>IFERROR(((2*('Lab Analysis'!I40/60))+('Lab Analysis'!G40/17))/(('Lab Analysis'!H40/44)+('Lab Analysis'!I40/60)),"0")</f>
        <v>0</v>
      </c>
      <c r="I40" s="189" t="str">
        <f>IFERROR((('Lab Analysis'!J40/18)-('Lab Analysis'!I40/60))/(('Lab Analysis'!H40/44)+('Lab Analysis'!I40/60)),"0")</f>
        <v>0</v>
      </c>
      <c r="J40" s="186" t="str">
        <f>IFERROR(('Lab Analysis'!M40/('Lab Analysis'!M40+(1.765*'Lab Analysis'!K40))),"0")</f>
        <v>0</v>
      </c>
      <c r="K40" s="190" t="str">
        <f>IFERROR(((2*('Lab Analysis'!M40/60))+('Lab Analysis'!K40/17))/(('Lab Analysis'!L40/44)+('Lab Analysis'!M40/60)),"0")</f>
        <v>0</v>
      </c>
      <c r="L40" s="190" t="str">
        <f>IFERROR((('Lab Analysis'!N40/18)-('Lab Analysis'!M40/60))/(('Lab Analysis'!L40/44)+('Lab Analysis'!M40/60)),"0")</f>
        <v>0</v>
      </c>
      <c r="M40" s="187" t="str">
        <f>IFERROR(((2*('Lab Analysis'!U40/60))+('Lab Analysis'!S40/17))/(('Lab Analysis'!T40/44)+('Lab Analysis'!U40/60)),"0")</f>
        <v>0</v>
      </c>
      <c r="N40" s="187" t="str">
        <f>IFERROR((('Lab Analysis'!V40/18)-('Lab Analysis'!U40/60))/(('Lab Analysis'!T40/44)+('Lab Analysis'!U40/60)),"0")</f>
        <v>0</v>
      </c>
      <c r="O40" s="187" t="str">
        <f>IFERROR(((2*('Lab Analysis'!Y40/60)+('Lab Analysis'!W40/17))/(('Lab Analysis'!X40/44)+('Lab Analysis'!Y40/60))),"0")</f>
        <v>0</v>
      </c>
      <c r="P40" s="187" t="str">
        <f>IFERROR((('Lab Analysis'!Z40/18)-('Lab Analysis'!Y40/60))/(('Lab Analysis'!X40/44)+('Lab Analysis'!Y40/60)),"0")</f>
        <v>0</v>
      </c>
      <c r="Q40" s="191"/>
    </row>
    <row r="41" spans="1:17" s="2" customFormat="1">
      <c r="A41" s="185">
        <v>45855</v>
      </c>
      <c r="B41" s="186">
        <f>IFERROR(('Lab Analysis'!E41/('Lab Analysis'!E41+(1.364*'Lab Analysis'!D41))),"0")</f>
        <v>0.56027708756450167</v>
      </c>
      <c r="C41" s="186">
        <f>IFERROR((2*'Lab Analysis'!E41/60)/('Lab Analysis'!C41/17+(2*'Lab Analysis'!E41/60)),"0")</f>
        <v>0.37343461301580788</v>
      </c>
      <c r="D41" s="187">
        <f>IFERROR(((2*('Lab Analysis'!E41/60)+('Lab Analysis'!C41/17))/(('Lab Analysis'!D41/44)+('Lab Analysis'!E41/60))),"0")</f>
        <v>3.0010221655908254</v>
      </c>
      <c r="E41" s="187">
        <f>IFERROR((('Lab Analysis'!F41/18)-('Lab Analysis'!E41/60))/(('Lab Analysis'!D41/44)+('Lab Analysis'!E41/60)),"0")</f>
        <v>0.53997725409294073</v>
      </c>
      <c r="F41" s="187">
        <f>IFERROR((('Lab Analysis'!F41/18)/('Lab Analysis'!E41/60)),"0")</f>
        <v>1.9636552440290755</v>
      </c>
      <c r="G41" s="188">
        <f>IFERROR(('Lab Analysis'!I41/('Lab Analysis'!I41+(1.765*'Lab Analysis'!G41))),"0")</f>
        <v>0.73360903941924926</v>
      </c>
      <c r="H41" s="189">
        <f>IFERROR(((2*('Lab Analysis'!I41/60))+('Lab Analysis'!G41/17))/(('Lab Analysis'!H41/44)+('Lab Analysis'!I41/60)),"0")</f>
        <v>2.1056513562827304</v>
      </c>
      <c r="I41" s="189">
        <f>IFERROR((('Lab Analysis'!J41/18)-('Lab Analysis'!I41/60))/(('Lab Analysis'!H41/44)+('Lab Analysis'!I41/60)),"0")</f>
        <v>0.69465965559999632</v>
      </c>
      <c r="J41" s="186">
        <f>IFERROR(('Lab Analysis'!M41/('Lab Analysis'!M41+(1.765*'Lab Analysis'!K41))),"0")</f>
        <v>0.60120094072140118</v>
      </c>
      <c r="K41" s="190">
        <f>IFERROR(((2*('Lab Analysis'!M41/60))+('Lab Analysis'!K41/17))/(('Lab Analysis'!L41/44)+('Lab Analysis'!M41/60)),"0")</f>
        <v>2.3975161203516677</v>
      </c>
      <c r="L41" s="190">
        <f>IFERROR((('Lab Analysis'!N41/18)-('Lab Analysis'!M41/60))/(('Lab Analysis'!L41/44)+('Lab Analysis'!M41/60)),"0")</f>
        <v>0.5993977647808213</v>
      </c>
      <c r="M41" s="187">
        <f>IFERROR(((2*('Lab Analysis'!U41/60))+('Lab Analysis'!S41/17))/(('Lab Analysis'!T41/44)+('Lab Analysis'!U41/60)),"0")</f>
        <v>2.3247058823529412</v>
      </c>
      <c r="N41" s="187">
        <f>IFERROR((('Lab Analysis'!V41/18)-('Lab Analysis'!U41/60))/(('Lab Analysis'!T41/44)+('Lab Analysis'!U41/60)),"0")</f>
        <v>1.2859259259259261</v>
      </c>
      <c r="O41" s="187">
        <f>IFERROR(((2*('Lab Analysis'!Y41/60)+('Lab Analysis'!W41/17))/(('Lab Analysis'!X41/44)+('Lab Analysis'!Y41/60))),"0")</f>
        <v>2.4763562518131708</v>
      </c>
      <c r="P41" s="187">
        <f>IFERROR((('Lab Analysis'!Z41/18)-('Lab Analysis'!Y41/60))/(('Lab Analysis'!X41/44)+('Lab Analysis'!Y41/60)),"0")</f>
        <v>2.308287399671213</v>
      </c>
      <c r="Q41" s="191" t="s">
        <v>65</v>
      </c>
    </row>
    <row r="42" spans="1:17" s="2" customFormat="1">
      <c r="A42" s="185">
        <v>45856</v>
      </c>
      <c r="B42" s="186">
        <f>IFERROR(('Lab Analysis'!E42/('Lab Analysis'!E42+(1.364*'Lab Analysis'!D42))),"0")</f>
        <v>0.55244231053249027</v>
      </c>
      <c r="C42" s="186">
        <f>IFERROR((2*'Lab Analysis'!E42/60)/('Lab Analysis'!C42/17+(2*'Lab Analysis'!E42/60)),"0")</f>
        <v>0.37357978163276617</v>
      </c>
      <c r="D42" s="187">
        <f>IFERROR(((2*('Lab Analysis'!E42/60)+('Lab Analysis'!C42/17))/(('Lab Analysis'!D42/44)+('Lab Analysis'!E42/60))),"0")</f>
        <v>2.9579129346189958</v>
      </c>
      <c r="E42" s="187">
        <f>IFERROR((('Lab Analysis'!F42/18)-('Lab Analysis'!E42/60))/(('Lab Analysis'!D42/44)+('Lab Analysis'!E42/60)),"0")</f>
        <v>0.56806857528924903</v>
      </c>
      <c r="F42" s="187">
        <f>IFERROR((('Lab Analysis'!F42/18)/('Lab Analysis'!E42/60)),"0")</f>
        <v>2.0281630937368638</v>
      </c>
      <c r="G42" s="188" t="str">
        <f>IFERROR(('Lab Analysis'!I42/('Lab Analysis'!I42+(1.765*'Lab Analysis'!G42))),"0")</f>
        <v>0</v>
      </c>
      <c r="H42" s="189" t="str">
        <f>IFERROR(((2*('Lab Analysis'!I42/60))+('Lab Analysis'!G42/17))/(('Lab Analysis'!H42/44)+('Lab Analysis'!I42/60)),"0")</f>
        <v>0</v>
      </c>
      <c r="I42" s="189" t="str">
        <f>IFERROR((('Lab Analysis'!J42/18)-('Lab Analysis'!I42/60))/(('Lab Analysis'!H42/44)+('Lab Analysis'!I42/60)),"0")</f>
        <v>0</v>
      </c>
      <c r="J42" s="186" t="str">
        <f>IFERROR(('Lab Analysis'!M42/('Lab Analysis'!M42+(1.765*'Lab Analysis'!K42))),"0")</f>
        <v>0</v>
      </c>
      <c r="K42" s="190" t="str">
        <f>IFERROR(((2*('Lab Analysis'!M42/60))+('Lab Analysis'!K42/17))/(('Lab Analysis'!L42/44)+('Lab Analysis'!M42/60)),"0")</f>
        <v>0</v>
      </c>
      <c r="L42" s="190" t="str">
        <f>IFERROR((('Lab Analysis'!N42/18)-('Lab Analysis'!M42/60))/(('Lab Analysis'!L42/44)+('Lab Analysis'!M42/60)),"0")</f>
        <v>0</v>
      </c>
      <c r="M42" s="187">
        <f>IFERROR(((2*('Lab Analysis'!U42/60))+('Lab Analysis'!S42/17))/(('Lab Analysis'!T42/44)+('Lab Analysis'!U42/60)),"0")</f>
        <v>2.3621969322117762</v>
      </c>
      <c r="N42" s="187">
        <f>IFERROR((('Lab Analysis'!V42/18)-('Lab Analysis'!U42/60))/(('Lab Analysis'!T42/44)+('Lab Analysis'!U42/60)),"0")</f>
        <v>1.3722029798229698</v>
      </c>
      <c r="O42" s="187">
        <f>IFERROR(((2*('Lab Analysis'!Y42/60)+('Lab Analysis'!W42/17))/(('Lab Analysis'!X42/44)+('Lab Analysis'!Y42/60))),"0")</f>
        <v>2.559776243335373</v>
      </c>
      <c r="P42" s="187">
        <f>IFERROR((('Lab Analysis'!Z42/18)-('Lab Analysis'!Y42/60))/(('Lab Analysis'!X42/44)+('Lab Analysis'!Y42/60)),"0")</f>
        <v>2.4023113752682841</v>
      </c>
      <c r="Q42" s="191"/>
    </row>
    <row r="43" spans="1:17" s="2" customFormat="1">
      <c r="A43" s="185">
        <v>45857</v>
      </c>
      <c r="B43" s="186" t="str">
        <f>IFERROR(('Lab Analysis'!E43/('Lab Analysis'!E43+(1.364*'Lab Analysis'!D43))),"0")</f>
        <v>0</v>
      </c>
      <c r="C43" s="186" t="str">
        <f>IFERROR((2*'Lab Analysis'!E43/60)/('Lab Analysis'!C43/17+(2*'Lab Analysis'!E43/60)),"0")</f>
        <v>0</v>
      </c>
      <c r="D43" s="187" t="str">
        <f>IFERROR(((2*('Lab Analysis'!E43/60)+('Lab Analysis'!C43/17))/(('Lab Analysis'!D43/44)+('Lab Analysis'!E43/60))),"0")</f>
        <v>0</v>
      </c>
      <c r="E43" s="187" t="str">
        <f>IFERROR((('Lab Analysis'!F43/18)-('Lab Analysis'!E43/60))/(('Lab Analysis'!D43/44)+('Lab Analysis'!E43/60)),"0")</f>
        <v>0</v>
      </c>
      <c r="F43" s="187" t="str">
        <f>IFERROR((('Lab Analysis'!F43/18)/('Lab Analysis'!E43/60)),"0")</f>
        <v>0</v>
      </c>
      <c r="G43" s="188" t="str">
        <f>IFERROR(('Lab Analysis'!I43/('Lab Analysis'!I43+(1.765*'Lab Analysis'!G43))),"0")</f>
        <v>0</v>
      </c>
      <c r="H43" s="189" t="str">
        <f>IFERROR(((2*('Lab Analysis'!I43/60))+('Lab Analysis'!G43/17))/(('Lab Analysis'!H43/44)+('Lab Analysis'!I43/60)),"0")</f>
        <v>0</v>
      </c>
      <c r="I43" s="189" t="str">
        <f>IFERROR((('Lab Analysis'!J43/18)-('Lab Analysis'!I43/60))/(('Lab Analysis'!H43/44)+('Lab Analysis'!I43/60)),"0")</f>
        <v>0</v>
      </c>
      <c r="J43" s="186" t="str">
        <f>IFERROR(('Lab Analysis'!M43/('Lab Analysis'!M43+(1.765*'Lab Analysis'!K43))),"0")</f>
        <v>0</v>
      </c>
      <c r="K43" s="190" t="str">
        <f>IFERROR(((2*('Lab Analysis'!M43/60))+('Lab Analysis'!K43/17))/(('Lab Analysis'!L43/44)+('Lab Analysis'!M43/60)),"0")</f>
        <v>0</v>
      </c>
      <c r="L43" s="190" t="str">
        <f>IFERROR((('Lab Analysis'!N43/18)-('Lab Analysis'!M43/60))/(('Lab Analysis'!L43/44)+('Lab Analysis'!M43/60)),"0")</f>
        <v>0</v>
      </c>
      <c r="M43" s="187" t="str">
        <f>IFERROR(((2*('Lab Analysis'!U43/60))+('Lab Analysis'!S43/17))/(('Lab Analysis'!T43/44)+('Lab Analysis'!U43/60)),"0")</f>
        <v>0</v>
      </c>
      <c r="N43" s="187" t="str">
        <f>IFERROR((('Lab Analysis'!V43/18)-('Lab Analysis'!U43/60))/(('Lab Analysis'!T43/44)+('Lab Analysis'!U43/60)),"0")</f>
        <v>0</v>
      </c>
      <c r="O43" s="187" t="str">
        <f>IFERROR(((2*('Lab Analysis'!Y43/60)+('Lab Analysis'!W43/17))/(('Lab Analysis'!X43/44)+('Lab Analysis'!Y43/60))),"0")</f>
        <v>0</v>
      </c>
      <c r="P43" s="187" t="str">
        <f>IFERROR((('Lab Analysis'!Z43/18)-('Lab Analysis'!Y43/60))/(('Lab Analysis'!X43/44)+('Lab Analysis'!Y43/60)),"0")</f>
        <v>0</v>
      </c>
      <c r="Q43" s="191"/>
    </row>
    <row r="44" spans="1:17" s="2" customFormat="1">
      <c r="A44" s="185">
        <v>45858</v>
      </c>
      <c r="B44" s="186" t="str">
        <f>IFERROR(('Lab Analysis'!E44/('Lab Analysis'!E44+(1.364*'Lab Analysis'!D44))),"0")</f>
        <v>0</v>
      </c>
      <c r="C44" s="186" t="str">
        <f>IFERROR((2*'Lab Analysis'!E44/60)/('Lab Analysis'!C44/17+(2*'Lab Analysis'!E44/60)),"0")</f>
        <v>0</v>
      </c>
      <c r="D44" s="187" t="str">
        <f>IFERROR(((2*('Lab Analysis'!E44/60)+('Lab Analysis'!C44/17))/(('Lab Analysis'!D44/44)+('Lab Analysis'!E44/60))),"0")</f>
        <v>0</v>
      </c>
      <c r="E44" s="187" t="str">
        <f>IFERROR((('Lab Analysis'!F44/18)-('Lab Analysis'!E44/60))/(('Lab Analysis'!D44/44)+('Lab Analysis'!E44/60)),"0")</f>
        <v>0</v>
      </c>
      <c r="F44" s="187" t="str">
        <f>IFERROR((('Lab Analysis'!F44/18)/('Lab Analysis'!E44/60)),"0")</f>
        <v>0</v>
      </c>
      <c r="G44" s="188" t="str">
        <f>IFERROR(('Lab Analysis'!I44/('Lab Analysis'!I44+(1.765*'Lab Analysis'!G44))),"0")</f>
        <v>0</v>
      </c>
      <c r="H44" s="189" t="str">
        <f>IFERROR(((2*('Lab Analysis'!I44/60))+('Lab Analysis'!G44/17))/(('Lab Analysis'!H44/44)+('Lab Analysis'!I44/60)),"0")</f>
        <v>0</v>
      </c>
      <c r="I44" s="189" t="str">
        <f>IFERROR((('Lab Analysis'!J44/18)-('Lab Analysis'!I44/60))/(('Lab Analysis'!H44/44)+('Lab Analysis'!I44/60)),"0")</f>
        <v>0</v>
      </c>
      <c r="J44" s="186" t="str">
        <f>IFERROR(('Lab Analysis'!M44/('Lab Analysis'!M44+(1.765*'Lab Analysis'!K44))),"0")</f>
        <v>0</v>
      </c>
      <c r="K44" s="190" t="str">
        <f>IFERROR(((2*('Lab Analysis'!M44/60))+('Lab Analysis'!K44/17))/(('Lab Analysis'!L44/44)+('Lab Analysis'!M44/60)),"0")</f>
        <v>0</v>
      </c>
      <c r="L44" s="190" t="str">
        <f>IFERROR((('Lab Analysis'!N44/18)-('Lab Analysis'!M44/60))/(('Lab Analysis'!L44/44)+('Lab Analysis'!M44/60)),"0")</f>
        <v>0</v>
      </c>
      <c r="M44" s="187" t="str">
        <f>IFERROR(((2*('Lab Analysis'!U44/60))+('Lab Analysis'!S44/17))/(('Lab Analysis'!T44/44)+('Lab Analysis'!U44/60)),"0")</f>
        <v>0</v>
      </c>
      <c r="N44" s="187" t="str">
        <f>IFERROR((('Lab Analysis'!V44/18)-('Lab Analysis'!U44/60))/(('Lab Analysis'!T44/44)+('Lab Analysis'!U44/60)),"0")</f>
        <v>0</v>
      </c>
      <c r="O44" s="187" t="str">
        <f>IFERROR(((2*('Lab Analysis'!Y44/60)+('Lab Analysis'!W44/17))/(('Lab Analysis'!X44/44)+('Lab Analysis'!Y44/60))),"0")</f>
        <v>0</v>
      </c>
      <c r="P44" s="187" t="str">
        <f>IFERROR((('Lab Analysis'!Z44/18)-('Lab Analysis'!Y44/60))/(('Lab Analysis'!X44/44)+('Lab Analysis'!Y44/60)),"0")</f>
        <v>0</v>
      </c>
      <c r="Q44" s="191"/>
    </row>
    <row r="45" spans="1:17" s="2" customFormat="1">
      <c r="A45" s="185">
        <v>45859</v>
      </c>
      <c r="B45" s="186">
        <f>IFERROR(('Lab Analysis'!E45/('Lab Analysis'!E45+(1.364*'Lab Analysis'!D45))),"0")</f>
        <v>0.55091670056746489</v>
      </c>
      <c r="C45" s="186">
        <f>IFERROR((2*'Lab Analysis'!E45/60)/('Lab Analysis'!C45/17+(2*'Lab Analysis'!E45/60)),"0")</f>
        <v>0.37526764376787175</v>
      </c>
      <c r="D45" s="187">
        <f>IFERROR(((2*('Lab Analysis'!E45/60)+('Lab Analysis'!C45/17))/(('Lab Analysis'!D45/44)+('Lab Analysis'!E45/60))),"0")</f>
        <v>2.9364784060506932</v>
      </c>
      <c r="E45" s="187">
        <f>IFERROR((('Lab Analysis'!F45/18)-('Lab Analysis'!E45/60))/(('Lab Analysis'!D45/44)+('Lab Analysis'!E45/60)),"0")</f>
        <v>0.52880084422572526</v>
      </c>
      <c r="F45" s="187">
        <f>IFERROR((('Lab Analysis'!F45/18)/('Lab Analysis'!E45/60)),"0")</f>
        <v>1.9597413433458479</v>
      </c>
      <c r="G45" s="188">
        <f>IFERROR(('Lab Analysis'!I45/('Lab Analysis'!I45+(1.765*'Lab Analysis'!G45))),"0")</f>
        <v>0.72573628477728869</v>
      </c>
      <c r="H45" s="189">
        <f>IFERROR(((2*('Lab Analysis'!I45/60))+('Lab Analysis'!G45/17))/(('Lab Analysis'!H45/44)+('Lab Analysis'!I45/60)),"0")</f>
        <v>2.119926663373171</v>
      </c>
      <c r="I45" s="189">
        <f>IFERROR((('Lab Analysis'!J45/18)-('Lab Analysis'!I45/60))/(('Lab Analysis'!H45/44)+('Lab Analysis'!I45/60)),"0")</f>
        <v>0.69433422598600714</v>
      </c>
      <c r="J45" s="186">
        <f>IFERROR(('Lab Analysis'!M45/('Lab Analysis'!M45+(1.765*'Lab Analysis'!K45))),"0")</f>
        <v>0.61456498737403631</v>
      </c>
      <c r="K45" s="190">
        <f>IFERROR(((2*('Lab Analysis'!M45/60))+('Lab Analysis'!K45/17))/(('Lab Analysis'!L45/44)+('Lab Analysis'!M45/60)),"0")</f>
        <v>2.4091514882274545</v>
      </c>
      <c r="L45" s="190">
        <f>IFERROR((('Lab Analysis'!N45/18)-('Lab Analysis'!M45/60))/(('Lab Analysis'!L45/44)+('Lab Analysis'!M45/60)),"0")</f>
        <v>0.70993138851868332</v>
      </c>
      <c r="M45" s="187">
        <f>IFERROR(((2*('Lab Analysis'!U45/60))+('Lab Analysis'!S45/17))/(('Lab Analysis'!T45/44)+('Lab Analysis'!U45/60)),"0")</f>
        <v>2.4230564587644103</v>
      </c>
      <c r="N45" s="187">
        <f>IFERROR((('Lab Analysis'!V45/18)-('Lab Analysis'!U45/60))/(('Lab Analysis'!T45/44)+('Lab Analysis'!U45/60)),"0")</f>
        <v>1.4089335566722501</v>
      </c>
      <c r="O45" s="187">
        <f>IFERROR(((2*('Lab Analysis'!Y45/60)+('Lab Analysis'!W45/17))/(('Lab Analysis'!X45/44)+('Lab Analysis'!Y45/60))),"0")</f>
        <v>2.5106936317284334</v>
      </c>
      <c r="P45" s="187">
        <f>IFERROR((('Lab Analysis'!Z45/18)-('Lab Analysis'!Y45/60))/(('Lab Analysis'!X45/44)+('Lab Analysis'!Y45/60)),"0")</f>
        <v>2.2944218214724321</v>
      </c>
      <c r="Q45" s="191" t="s">
        <v>66</v>
      </c>
    </row>
    <row r="46" spans="1:17" s="2" customFormat="1">
      <c r="A46" s="185">
        <v>45860</v>
      </c>
      <c r="B46" s="186" t="str">
        <f>IFERROR(('Lab Analysis'!E46/('Lab Analysis'!E46+(1.364*'Lab Analysis'!D46))),"0")</f>
        <v>0</v>
      </c>
      <c r="C46" s="186" t="str">
        <f>IFERROR((2*'Lab Analysis'!E46/60)/('Lab Analysis'!C46/17+(2*'Lab Analysis'!E46/60)),"0")</f>
        <v>0</v>
      </c>
      <c r="D46" s="187" t="str">
        <f>IFERROR(((2*('Lab Analysis'!E46/60)+('Lab Analysis'!C46/17))/(('Lab Analysis'!D46/44)+('Lab Analysis'!E46/60))),"0")</f>
        <v>0</v>
      </c>
      <c r="E46" s="187" t="str">
        <f>IFERROR((('Lab Analysis'!F46/18)-('Lab Analysis'!E46/60))/(('Lab Analysis'!D46/44)+('Lab Analysis'!E46/60)),"0")</f>
        <v>0</v>
      </c>
      <c r="F46" s="187" t="str">
        <f>IFERROR((('Lab Analysis'!F46/18)/('Lab Analysis'!E46/60)),"0")</f>
        <v>0</v>
      </c>
      <c r="G46" s="188" t="str">
        <f>IFERROR(('Lab Analysis'!I46/('Lab Analysis'!I46+(1.765*'Lab Analysis'!G46))),"0")</f>
        <v>0</v>
      </c>
      <c r="H46" s="189" t="str">
        <f>IFERROR(((2*('Lab Analysis'!I46/60))+('Lab Analysis'!G46/17))/(('Lab Analysis'!H46/44)+('Lab Analysis'!I46/60)),"0")</f>
        <v>0</v>
      </c>
      <c r="I46" s="189" t="str">
        <f>IFERROR((('Lab Analysis'!J46/18)-('Lab Analysis'!I46/60))/(('Lab Analysis'!H46/44)+('Lab Analysis'!I46/60)),"0")</f>
        <v>0</v>
      </c>
      <c r="J46" s="186" t="str">
        <f>IFERROR(('Lab Analysis'!M46/('Lab Analysis'!M46+(1.765*'Lab Analysis'!K46))),"0")</f>
        <v>0</v>
      </c>
      <c r="K46" s="190" t="str">
        <f>IFERROR(((2*('Lab Analysis'!M46/60))+('Lab Analysis'!K46/17))/(('Lab Analysis'!L46/44)+('Lab Analysis'!M46/60)),"0")</f>
        <v>0</v>
      </c>
      <c r="L46" s="190" t="str">
        <f>IFERROR((('Lab Analysis'!N46/18)-('Lab Analysis'!M46/60))/(('Lab Analysis'!L46/44)+('Lab Analysis'!M46/60)),"0")</f>
        <v>0</v>
      </c>
      <c r="M46" s="187" t="str">
        <f>IFERROR(((2*('Lab Analysis'!U46/60))+('Lab Analysis'!S46/17))/(('Lab Analysis'!T46/44)+('Lab Analysis'!U46/60)),"0")</f>
        <v>0</v>
      </c>
      <c r="N46" s="187" t="str">
        <f>IFERROR((('Lab Analysis'!V46/18)-('Lab Analysis'!U46/60))/(('Lab Analysis'!T46/44)+('Lab Analysis'!U46/60)),"0")</f>
        <v>0</v>
      </c>
      <c r="O46" s="187" t="str">
        <f>IFERROR(((2*('Lab Analysis'!Y46/60)+('Lab Analysis'!W46/17))/(('Lab Analysis'!X46/44)+('Lab Analysis'!Y46/60))),"0")</f>
        <v>0</v>
      </c>
      <c r="P46" s="187" t="str">
        <f>IFERROR((('Lab Analysis'!Z46/18)-('Lab Analysis'!Y46/60))/(('Lab Analysis'!X46/44)+('Lab Analysis'!Y46/60)),"0")</f>
        <v>0</v>
      </c>
      <c r="Q46" s="191" t="s">
        <v>67</v>
      </c>
    </row>
    <row r="47" spans="1:17" s="2" customFormat="1">
      <c r="A47" s="185">
        <v>45861</v>
      </c>
      <c r="B47" s="186" t="str">
        <f>IFERROR(('Lab Analysis'!E47/('Lab Analysis'!E47+(1.364*'Lab Analysis'!D47))),"0")</f>
        <v>0</v>
      </c>
      <c r="C47" s="186" t="str">
        <f>IFERROR((2*'Lab Analysis'!E47/60)/('Lab Analysis'!C47/17+(2*'Lab Analysis'!E47/60)),"0")</f>
        <v>0</v>
      </c>
      <c r="D47" s="187" t="str">
        <f>IFERROR(((2*('Lab Analysis'!E47/60)+('Lab Analysis'!C47/17))/(('Lab Analysis'!D47/44)+('Lab Analysis'!E47/60))),"0")</f>
        <v>0</v>
      </c>
      <c r="E47" s="187" t="str">
        <f>IFERROR((('Lab Analysis'!F47/18)-('Lab Analysis'!E47/60))/(('Lab Analysis'!D47/44)+('Lab Analysis'!E47/60)),"0")</f>
        <v>0</v>
      </c>
      <c r="F47" s="187" t="str">
        <f>IFERROR((('Lab Analysis'!F47/18)/('Lab Analysis'!E47/60)),"0")</f>
        <v>0</v>
      </c>
      <c r="G47" s="188" t="str">
        <f>IFERROR(('Lab Analysis'!I47/('Lab Analysis'!I47+(1.765*'Lab Analysis'!G47))),"0")</f>
        <v>0</v>
      </c>
      <c r="H47" s="189" t="str">
        <f>IFERROR(((2*('Lab Analysis'!I47/60))+('Lab Analysis'!G47/17))/(('Lab Analysis'!H47/44)+('Lab Analysis'!I47/60)),"0")</f>
        <v>0</v>
      </c>
      <c r="I47" s="189" t="str">
        <f>IFERROR((('Lab Analysis'!J47/18)-('Lab Analysis'!I47/60))/(('Lab Analysis'!H47/44)+('Lab Analysis'!I47/60)),"0")</f>
        <v>0</v>
      </c>
      <c r="J47" s="186" t="str">
        <f>IFERROR(('Lab Analysis'!M47/('Lab Analysis'!M47+(1.765*'Lab Analysis'!K47))),"0")</f>
        <v>0</v>
      </c>
      <c r="K47" s="190" t="str">
        <f>IFERROR(((2*('Lab Analysis'!M47/60))+('Lab Analysis'!K47/17))/(('Lab Analysis'!L47/44)+('Lab Analysis'!M47/60)),"0")</f>
        <v>0</v>
      </c>
      <c r="L47" s="190" t="str">
        <f>IFERROR((('Lab Analysis'!N47/18)-('Lab Analysis'!M47/60))/(('Lab Analysis'!L47/44)+('Lab Analysis'!M47/60)),"0")</f>
        <v>0</v>
      </c>
      <c r="M47" s="187" t="str">
        <f>IFERROR(((2*('Lab Analysis'!U47/60))+('Lab Analysis'!S47/17))/(('Lab Analysis'!T47/44)+('Lab Analysis'!U47/60)),"0")</f>
        <v>0</v>
      </c>
      <c r="N47" s="187" t="str">
        <f>IFERROR((('Lab Analysis'!V47/18)-('Lab Analysis'!U47/60))/(('Lab Analysis'!T47/44)+('Lab Analysis'!U47/60)),"0")</f>
        <v>0</v>
      </c>
      <c r="O47" s="187" t="str">
        <f>IFERROR(((2*('Lab Analysis'!Y47/60)+('Lab Analysis'!W47/17))/(('Lab Analysis'!X47/44)+('Lab Analysis'!Y47/60))),"0")</f>
        <v>0</v>
      </c>
      <c r="P47" s="187" t="str">
        <f>IFERROR((('Lab Analysis'!Z47/18)-('Lab Analysis'!Y47/60))/(('Lab Analysis'!X47/44)+('Lab Analysis'!Y47/60)),"0")</f>
        <v>0</v>
      </c>
      <c r="Q47" s="191"/>
    </row>
    <row r="48" spans="1:17" s="2" customFormat="1">
      <c r="A48" s="185">
        <v>45862</v>
      </c>
      <c r="B48" s="186" t="str">
        <f>IFERROR(('Lab Analysis'!E48/('Lab Analysis'!E48+(1.364*'Lab Analysis'!D48))),"0")</f>
        <v>0</v>
      </c>
      <c r="C48" s="186" t="str">
        <f>IFERROR((2*'Lab Analysis'!E48/60)/('Lab Analysis'!C48/17+(2*'Lab Analysis'!E48/60)),"0")</f>
        <v>0</v>
      </c>
      <c r="D48" s="187" t="str">
        <f>IFERROR(((2*('Lab Analysis'!E48/60)+('Lab Analysis'!C48/17))/(('Lab Analysis'!D48/44)+('Lab Analysis'!E48/60))),"0")</f>
        <v>0</v>
      </c>
      <c r="E48" s="187" t="str">
        <f>IFERROR((('Lab Analysis'!F48/18)-('Lab Analysis'!E48/60))/(('Lab Analysis'!D48/44)+('Lab Analysis'!E48/60)),"0")</f>
        <v>0</v>
      </c>
      <c r="F48" s="187" t="str">
        <f>IFERROR((('Lab Analysis'!F48/18)/('Lab Analysis'!E48/60)),"0")</f>
        <v>0</v>
      </c>
      <c r="G48" s="188" t="str">
        <f>IFERROR(('Lab Analysis'!I48/('Lab Analysis'!I48+(1.765*'Lab Analysis'!G48))),"0")</f>
        <v>0</v>
      </c>
      <c r="H48" s="189" t="str">
        <f>IFERROR(((2*('Lab Analysis'!I48/60))+('Lab Analysis'!G48/17))/(('Lab Analysis'!H48/44)+('Lab Analysis'!I48/60)),"0")</f>
        <v>0</v>
      </c>
      <c r="I48" s="189" t="str">
        <f>IFERROR((('Lab Analysis'!J48/18)-('Lab Analysis'!I48/60))/(('Lab Analysis'!H48/44)+('Lab Analysis'!I48/60)),"0")</f>
        <v>0</v>
      </c>
      <c r="J48" s="186" t="str">
        <f>IFERROR(('Lab Analysis'!M48/('Lab Analysis'!M48+(1.765*'Lab Analysis'!K48))),"0")</f>
        <v>0</v>
      </c>
      <c r="K48" s="190" t="str">
        <f>IFERROR(((2*('Lab Analysis'!M48/60))+('Lab Analysis'!K48/17))/(('Lab Analysis'!L48/44)+('Lab Analysis'!M48/60)),"0")</f>
        <v>0</v>
      </c>
      <c r="L48" s="190" t="str">
        <f>IFERROR((('Lab Analysis'!N48/18)-('Lab Analysis'!M48/60))/(('Lab Analysis'!L48/44)+('Lab Analysis'!M48/60)),"0")</f>
        <v>0</v>
      </c>
      <c r="M48" s="187" t="str">
        <f>IFERROR(((2*('Lab Analysis'!U48/60))+('Lab Analysis'!S48/17))/(('Lab Analysis'!T48/44)+('Lab Analysis'!U48/60)),"0")</f>
        <v>0</v>
      </c>
      <c r="N48" s="187" t="str">
        <f>IFERROR((('Lab Analysis'!V48/18)-('Lab Analysis'!U48/60))/(('Lab Analysis'!T48/44)+('Lab Analysis'!U48/60)),"0")</f>
        <v>0</v>
      </c>
      <c r="O48" s="187" t="str">
        <f>IFERROR(((2*('Lab Analysis'!Y48/60)+('Lab Analysis'!W48/17))/(('Lab Analysis'!X48/44)+('Lab Analysis'!Y48/60))),"0")</f>
        <v>0</v>
      </c>
      <c r="P48" s="187" t="str">
        <f>IFERROR((('Lab Analysis'!Z48/18)-('Lab Analysis'!Y48/60))/(('Lab Analysis'!X48/44)+('Lab Analysis'!Y48/60)),"0")</f>
        <v>0</v>
      </c>
      <c r="Q48" s="191"/>
    </row>
    <row r="49" spans="1:17" s="2" customFormat="1">
      <c r="A49" s="185">
        <v>45863</v>
      </c>
      <c r="B49" s="186" t="str">
        <f>IFERROR(('Lab Analysis'!E49/('Lab Analysis'!E49+(1.364*'Lab Analysis'!D49))),"0")</f>
        <v>0</v>
      </c>
      <c r="C49" s="186" t="str">
        <f>IFERROR((2*'Lab Analysis'!E49/60)/('Lab Analysis'!C49/17+(2*'Lab Analysis'!E49/60)),"0")</f>
        <v>0</v>
      </c>
      <c r="D49" s="187" t="str">
        <f>IFERROR(((2*('Lab Analysis'!E49/60)+('Lab Analysis'!C49/17))/(('Lab Analysis'!D49/44)+('Lab Analysis'!E49/60))),"0")</f>
        <v>0</v>
      </c>
      <c r="E49" s="187" t="str">
        <f>IFERROR((('Lab Analysis'!F49/18)-('Lab Analysis'!E49/60))/(('Lab Analysis'!D49/44)+('Lab Analysis'!E49/60)),"0")</f>
        <v>0</v>
      </c>
      <c r="F49" s="187" t="str">
        <f>IFERROR((('Lab Analysis'!F49/18)/('Lab Analysis'!E49/60)),"0")</f>
        <v>0</v>
      </c>
      <c r="G49" s="188" t="str">
        <f>IFERROR(('Lab Analysis'!I49/('Lab Analysis'!I49+(1.765*'Lab Analysis'!G49))),"0")</f>
        <v>0</v>
      </c>
      <c r="H49" s="189" t="str">
        <f>IFERROR(((2*('Lab Analysis'!I49/60))+('Lab Analysis'!G49/17))/(('Lab Analysis'!H49/44)+('Lab Analysis'!I49/60)),"0")</f>
        <v>0</v>
      </c>
      <c r="I49" s="189" t="str">
        <f>IFERROR((('Lab Analysis'!J49/18)-('Lab Analysis'!I49/60))/(('Lab Analysis'!H49/44)+('Lab Analysis'!I49/60)),"0")</f>
        <v>0</v>
      </c>
      <c r="J49" s="186" t="str">
        <f>IFERROR(('Lab Analysis'!M49/('Lab Analysis'!M49+(1.765*'Lab Analysis'!K49))),"0")</f>
        <v>0</v>
      </c>
      <c r="K49" s="190" t="str">
        <f>IFERROR(((2*('Lab Analysis'!M49/60))+('Lab Analysis'!K49/17))/(('Lab Analysis'!L49/44)+('Lab Analysis'!M49/60)),"0")</f>
        <v>0</v>
      </c>
      <c r="L49" s="190" t="str">
        <f>IFERROR((('Lab Analysis'!N49/18)-('Lab Analysis'!M49/60))/(('Lab Analysis'!L49/44)+('Lab Analysis'!M49/60)),"0")</f>
        <v>0</v>
      </c>
      <c r="M49" s="187" t="str">
        <f>IFERROR(((2*('Lab Analysis'!U49/60))+('Lab Analysis'!S49/17))/(('Lab Analysis'!T49/44)+('Lab Analysis'!U49/60)),"0")</f>
        <v>0</v>
      </c>
      <c r="N49" s="187" t="str">
        <f>IFERROR((('Lab Analysis'!V49/18)-('Lab Analysis'!U49/60))/(('Lab Analysis'!T49/44)+('Lab Analysis'!U49/60)),"0")</f>
        <v>0</v>
      </c>
      <c r="O49" s="187" t="str">
        <f>IFERROR(((2*('Lab Analysis'!Y49/60)+('Lab Analysis'!W49/17))/(('Lab Analysis'!X49/44)+('Lab Analysis'!Y49/60))),"0")</f>
        <v>0</v>
      </c>
      <c r="P49" s="187" t="str">
        <f>IFERROR((('Lab Analysis'!Z49/18)-('Lab Analysis'!Y49/60))/(('Lab Analysis'!X49/44)+('Lab Analysis'!Y49/60)),"0")</f>
        <v>0</v>
      </c>
      <c r="Q49" s="191"/>
    </row>
    <row r="50" spans="1:17">
      <c r="A50" s="185">
        <v>45864</v>
      </c>
      <c r="B50" s="186" t="str">
        <f>IFERROR(('Lab Analysis'!E50/('Lab Analysis'!E50+(1.364*'Lab Analysis'!D50))),"0")</f>
        <v>0</v>
      </c>
      <c r="C50" s="186" t="str">
        <f>IFERROR((2*'Lab Analysis'!E50/60)/('Lab Analysis'!C50/17+(2*'Lab Analysis'!E50/60)),"0")</f>
        <v>0</v>
      </c>
      <c r="D50" s="187" t="str">
        <f>IFERROR(((2*('Lab Analysis'!E50/60)+('Lab Analysis'!C50/17))/(('Lab Analysis'!D50/44)+('Lab Analysis'!E50/60))),"0")</f>
        <v>0</v>
      </c>
      <c r="E50" s="187" t="str">
        <f>IFERROR((('Lab Analysis'!F50/18)-('Lab Analysis'!E50/60))/(('Lab Analysis'!D50/44)+('Lab Analysis'!E50/60)),"0")</f>
        <v>0</v>
      </c>
      <c r="F50" s="187" t="str">
        <f>IFERROR((('Lab Analysis'!F50/18)/('Lab Analysis'!E50/60)),"0")</f>
        <v>0</v>
      </c>
      <c r="G50" s="188" t="str">
        <f>IFERROR(('Lab Analysis'!I50/('Lab Analysis'!I50+(1.765*'Lab Analysis'!G50))),"0")</f>
        <v>0</v>
      </c>
      <c r="H50" s="189" t="str">
        <f>IFERROR(((2*('Lab Analysis'!I50/60))+('Lab Analysis'!G50/17))/(('Lab Analysis'!H50/44)+('Lab Analysis'!I50/60)),"0")</f>
        <v>0</v>
      </c>
      <c r="I50" s="189" t="str">
        <f>IFERROR((('Lab Analysis'!J50/18)-('Lab Analysis'!I50/60))/(('Lab Analysis'!H50/44)+('Lab Analysis'!I50/60)),"0")</f>
        <v>0</v>
      </c>
      <c r="J50" s="186" t="str">
        <f>IFERROR(('Lab Analysis'!M50/('Lab Analysis'!M50+(1.765*'Lab Analysis'!K50))),"0")</f>
        <v>0</v>
      </c>
      <c r="K50" s="190" t="str">
        <f>IFERROR(((2*('Lab Analysis'!M50/60))+('Lab Analysis'!K50/17))/(('Lab Analysis'!L50/44)+('Lab Analysis'!M50/60)),"0")</f>
        <v>0</v>
      </c>
      <c r="L50" s="190" t="str">
        <f>IFERROR((('Lab Analysis'!N50/18)-('Lab Analysis'!M50/60))/(('Lab Analysis'!L50/44)+('Lab Analysis'!M50/60)),"0")</f>
        <v>0</v>
      </c>
      <c r="M50" s="187" t="str">
        <f>IFERROR(((2*('Lab Analysis'!U50/60))+('Lab Analysis'!S50/17))/(('Lab Analysis'!T50/44)+('Lab Analysis'!U50/60)),"0")</f>
        <v>0</v>
      </c>
      <c r="N50" s="187" t="str">
        <f>IFERROR((('Lab Analysis'!V50/18)-('Lab Analysis'!U50/60))/(('Lab Analysis'!T50/44)+('Lab Analysis'!U50/60)),"0")</f>
        <v>0</v>
      </c>
      <c r="O50" s="187" t="str">
        <f>IFERROR(((2*('Lab Analysis'!Y50/60)+('Lab Analysis'!W50/17))/(('Lab Analysis'!X50/44)+('Lab Analysis'!Y50/60))),"0")</f>
        <v>0</v>
      </c>
      <c r="P50" s="187" t="str">
        <f>IFERROR((('Lab Analysis'!Z50/18)-('Lab Analysis'!Y50/60))/(('Lab Analysis'!X50/44)+('Lab Analysis'!Y50/60)),"0")</f>
        <v>0</v>
      </c>
      <c r="Q50" s="191"/>
    </row>
    <row r="51" spans="1:17">
      <c r="A51" s="185">
        <v>45865</v>
      </c>
      <c r="B51" s="186" t="str">
        <f>IFERROR(('Lab Analysis'!E51/('Lab Analysis'!E51+(1.364*'Lab Analysis'!D51))),"0")</f>
        <v>0</v>
      </c>
      <c r="C51" s="186" t="str">
        <f>IFERROR((2*'Lab Analysis'!E51/60)/('Lab Analysis'!C51/17+(2*'Lab Analysis'!E51/60)),"0")</f>
        <v>0</v>
      </c>
      <c r="D51" s="187" t="str">
        <f>IFERROR(((2*('Lab Analysis'!E51/60)+('Lab Analysis'!C51/17))/(('Lab Analysis'!D51/44)+('Lab Analysis'!E51/60))),"0")</f>
        <v>0</v>
      </c>
      <c r="E51" s="187" t="str">
        <f>IFERROR((('Lab Analysis'!F51/18)-('Lab Analysis'!E51/60))/(('Lab Analysis'!D51/44)+('Lab Analysis'!E51/60)),"0")</f>
        <v>0</v>
      </c>
      <c r="F51" s="187" t="str">
        <f>IFERROR((('Lab Analysis'!F51/18)/('Lab Analysis'!E51/60)),"0")</f>
        <v>0</v>
      </c>
      <c r="G51" s="188" t="str">
        <f>IFERROR(('Lab Analysis'!I51/('Lab Analysis'!I51+(1.765*'Lab Analysis'!G51))),"0")</f>
        <v>0</v>
      </c>
      <c r="H51" s="189" t="str">
        <f>IFERROR(((2*('Lab Analysis'!I51/60))+('Lab Analysis'!G51/17))/(('Lab Analysis'!H51/44)+('Lab Analysis'!I51/60)),"0")</f>
        <v>0</v>
      </c>
      <c r="I51" s="189" t="str">
        <f>IFERROR((('Lab Analysis'!J51/18)-('Lab Analysis'!I51/60))/(('Lab Analysis'!H51/44)+('Lab Analysis'!I51/60)),"0")</f>
        <v>0</v>
      </c>
      <c r="J51" s="186" t="str">
        <f>IFERROR(('Lab Analysis'!M51/('Lab Analysis'!M51+(1.765*'Lab Analysis'!K51))),"0")</f>
        <v>0</v>
      </c>
      <c r="K51" s="190" t="str">
        <f>IFERROR(((2*('Lab Analysis'!M51/60))+('Lab Analysis'!K51/17))/(('Lab Analysis'!L51/44)+('Lab Analysis'!M51/60)),"0")</f>
        <v>0</v>
      </c>
      <c r="L51" s="190" t="str">
        <f>IFERROR((('Lab Analysis'!N51/18)-('Lab Analysis'!M51/60))/(('Lab Analysis'!L51/44)+('Lab Analysis'!M51/60)),"0")</f>
        <v>0</v>
      </c>
      <c r="M51" s="187" t="str">
        <f>IFERROR(((2*('Lab Analysis'!U51/60))+('Lab Analysis'!S51/17))/(('Lab Analysis'!T51/44)+('Lab Analysis'!U51/60)),"0")</f>
        <v>0</v>
      </c>
      <c r="N51" s="187" t="str">
        <f>IFERROR((('Lab Analysis'!V51/18)-('Lab Analysis'!U51/60))/(('Lab Analysis'!T51/44)+('Lab Analysis'!U51/60)),"0")</f>
        <v>0</v>
      </c>
      <c r="O51" s="187" t="str">
        <f>IFERROR(((2*('Lab Analysis'!Y51/60)+('Lab Analysis'!W51/17))/(('Lab Analysis'!X51/44)+('Lab Analysis'!Y51/60))),"0")</f>
        <v>0</v>
      </c>
      <c r="P51" s="187" t="str">
        <f>IFERROR((('Lab Analysis'!Z51/18)-('Lab Analysis'!Y51/60))/(('Lab Analysis'!X51/44)+('Lab Analysis'!Y51/60)),"0")</f>
        <v>0</v>
      </c>
      <c r="Q51" s="191"/>
    </row>
    <row r="52" spans="1:17">
      <c r="A52" s="185">
        <v>45866</v>
      </c>
      <c r="B52" s="186">
        <f>IFERROR(('Lab Analysis'!E52/('Lab Analysis'!E52+(1.364*'Lab Analysis'!D52))),"0")</f>
        <v>0.55297765200382865</v>
      </c>
      <c r="C52" s="186">
        <f>IFERROR((2*'Lab Analysis'!E52/60)/('Lab Analysis'!C52/17+(2*'Lab Analysis'!E52/60)),"0")</f>
        <v>0.38011400685723906</v>
      </c>
      <c r="D52" s="187">
        <f>IFERROR(((2*('Lab Analysis'!E52/60)+('Lab Analysis'!C52/17))/(('Lab Analysis'!D52/44)+('Lab Analysis'!E52/60))),"0")</f>
        <v>2.9098825643864883</v>
      </c>
      <c r="E52" s="187">
        <f>IFERROR((('Lab Analysis'!F52/18)-('Lab Analysis'!E52/60))/(('Lab Analysis'!D52/44)+('Lab Analysis'!E52/60)),"0")</f>
        <v>0.58807485535007697</v>
      </c>
      <c r="F52" s="187">
        <f>IFERROR((('Lab Analysis'!F52/18)/('Lab Analysis'!E52/60)),"0")</f>
        <v>2.0633427406710578</v>
      </c>
      <c r="G52" s="188">
        <f>IFERROR(('Lab Analysis'!I52/('Lab Analysis'!I52+(1.765*'Lab Analysis'!G52))),"0")</f>
        <v>0.71782491769766033</v>
      </c>
      <c r="H52" s="189">
        <f>IFERROR(((2*('Lab Analysis'!I52/60))+('Lab Analysis'!G52/17))/(('Lab Analysis'!H52/44)+('Lab Analysis'!I52/60)),"0")</f>
        <v>2.1316060284158809</v>
      </c>
      <c r="I52" s="189">
        <f>IFERROR((('Lab Analysis'!J52/18)-('Lab Analysis'!I52/60))/(('Lab Analysis'!H52/44)+('Lab Analysis'!I52/60)),"0")</f>
        <v>0.71543453724604988</v>
      </c>
      <c r="J52" s="186" t="str">
        <f>IFERROR(('Lab Analysis'!M52/('Lab Analysis'!M52+(1.765*'Lab Analysis'!K52))),"0")</f>
        <v>0</v>
      </c>
      <c r="K52" s="190" t="str">
        <f>IFERROR(((2*('Lab Analysis'!M52/60))+('Lab Analysis'!K52/17))/(('Lab Analysis'!L52/44)+('Lab Analysis'!M52/60)),"0")</f>
        <v>0</v>
      </c>
      <c r="L52" s="190" t="str">
        <f>IFERROR((('Lab Analysis'!N52/18)-('Lab Analysis'!M52/60))/(('Lab Analysis'!L52/44)+('Lab Analysis'!M52/60)),"0")</f>
        <v>0</v>
      </c>
      <c r="M52" s="187">
        <f>IFERROR(((2*('Lab Analysis'!U52/60))+('Lab Analysis'!S52/17))/(('Lab Analysis'!T52/44)+('Lab Analysis'!U52/60)),"0")</f>
        <v>2.1956556207388611</v>
      </c>
      <c r="N52" s="187">
        <f>IFERROR((('Lab Analysis'!V52/18)-('Lab Analysis'!U52/60))/(('Lab Analysis'!T52/44)+('Lab Analysis'!U52/60)),"0")</f>
        <v>1.4716981132075466</v>
      </c>
      <c r="O52" s="187">
        <f>IFERROR(((2*('Lab Analysis'!Y52/60)+('Lab Analysis'!W52/17))/(('Lab Analysis'!X52/44)+('Lab Analysis'!Y52/60))),"0")</f>
        <v>2.3684105696454654</v>
      </c>
      <c r="P52" s="187">
        <f>IFERROR((('Lab Analysis'!Z52/18)-('Lab Analysis'!Y52/60))/(('Lab Analysis'!X52/44)+('Lab Analysis'!Y52/60)),"0")</f>
        <v>2.216139954853273</v>
      </c>
      <c r="Q52" s="191"/>
    </row>
    <row r="53" spans="1:17">
      <c r="A53" s="185">
        <v>45867</v>
      </c>
      <c r="B53" s="186">
        <f>IFERROR(('Lab Analysis'!E53/('Lab Analysis'!E53+(1.364*'Lab Analysis'!D53))),"0")</f>
        <v>0.54866048535750411</v>
      </c>
      <c r="C53" s="186">
        <f>IFERROR((2*'Lab Analysis'!E53/60)/('Lab Analysis'!C53/17+(2*'Lab Analysis'!E53/60)),"0")</f>
        <v>0.37097340986294952</v>
      </c>
      <c r="D53" s="187">
        <f>IFERROR(((2*('Lab Analysis'!E53/60)+('Lab Analysis'!C53/17))/(('Lab Analysis'!D53/44)+('Lab Analysis'!E53/60))),"0")</f>
        <v>2.9583064249373887</v>
      </c>
      <c r="E53" s="187">
        <f>IFERROR((('Lab Analysis'!F53/18)-('Lab Analysis'!E53/60))/(('Lab Analysis'!D53/44)+('Lab Analysis'!E53/60)),"0")</f>
        <v>0.53706008054142296</v>
      </c>
      <c r="F53" s="187">
        <f>IFERROR((('Lab Analysis'!F53/18)/('Lab Analysis'!E53/60)),"0")</f>
        <v>1.9787390800968314</v>
      </c>
      <c r="G53" s="188">
        <f>IFERROR(('Lab Analysis'!I53/('Lab Analysis'!I53+(1.765*'Lab Analysis'!G53))),"0")</f>
        <v>0.75256350725057752</v>
      </c>
      <c r="H53" s="189">
        <f>IFERROR(((2*('Lab Analysis'!I53/60))+('Lab Analysis'!G53/17))/(('Lab Analysis'!H53/44)+('Lab Analysis'!I53/60)),"0")</f>
        <v>2.117347327493317</v>
      </c>
      <c r="I53" s="189">
        <f>IFERROR((('Lab Analysis'!J53/18)-('Lab Analysis'!I53/60))/(('Lab Analysis'!H53/44)+('Lab Analysis'!I53/60)),"0")</f>
        <v>0.77462436603614238</v>
      </c>
      <c r="J53" s="186" t="str">
        <f>IFERROR(('Lab Analysis'!M53/('Lab Analysis'!M53+(1.765*'Lab Analysis'!K53))),"0")</f>
        <v>0</v>
      </c>
      <c r="K53" s="190" t="str">
        <f>IFERROR(((2*('Lab Analysis'!M53/60))+('Lab Analysis'!K53/17))/(('Lab Analysis'!L53/44)+('Lab Analysis'!M53/60)),"0")</f>
        <v>0</v>
      </c>
      <c r="L53" s="190" t="str">
        <f>IFERROR((('Lab Analysis'!N53/18)-('Lab Analysis'!M53/60))/(('Lab Analysis'!L53/44)+('Lab Analysis'!M53/60)),"0")</f>
        <v>0</v>
      </c>
      <c r="M53" s="187" t="str">
        <f>IFERROR(((2*('Lab Analysis'!U53/60))+('Lab Analysis'!S53/17))/(('Lab Analysis'!T53/44)+('Lab Analysis'!U53/60)),"0")</f>
        <v>0</v>
      </c>
      <c r="N53" s="187" t="str">
        <f>IFERROR((('Lab Analysis'!V53/18)-('Lab Analysis'!U53/60))/(('Lab Analysis'!T53/44)+('Lab Analysis'!U53/60)),"0")</f>
        <v>0</v>
      </c>
      <c r="O53" s="187" t="str">
        <f>IFERROR(((2*('Lab Analysis'!Y53/60)+('Lab Analysis'!W53/17))/(('Lab Analysis'!X53/44)+('Lab Analysis'!Y53/60))),"0")</f>
        <v>0</v>
      </c>
      <c r="P53" s="187" t="str">
        <f>IFERROR((('Lab Analysis'!Z53/18)-('Lab Analysis'!Y53/60))/(('Lab Analysis'!X53/44)+('Lab Analysis'!Y53/60)),"0")</f>
        <v>0</v>
      </c>
      <c r="Q53" s="191"/>
    </row>
    <row r="54" spans="1:17">
      <c r="A54" s="185">
        <v>45868</v>
      </c>
      <c r="B54" s="186">
        <f>IFERROR(('Lab Analysis'!E54/('Lab Analysis'!E54+(1.364*'Lab Analysis'!D54))),"0")</f>
        <v>0.54056793702089834</v>
      </c>
      <c r="C54" s="186">
        <f>IFERROR((2*'Lab Analysis'!E54/60)/('Lab Analysis'!C54/17+(2*'Lab Analysis'!E54/60)),"0")</f>
        <v>0.37538990998649457</v>
      </c>
      <c r="D54" s="187">
        <f>IFERROR(((2*('Lab Analysis'!E54/60)+('Lab Analysis'!C54/17))/(('Lab Analysis'!D54/44)+('Lab Analysis'!E54/60))),"0")</f>
        <v>2.8803872501148895</v>
      </c>
      <c r="E54" s="187">
        <f>IFERROR((('Lab Analysis'!F54/18)-('Lab Analysis'!E54/60))/(('Lab Analysis'!D54/44)+('Lab Analysis'!E54/60)),"0")</f>
        <v>0.43007914225260374</v>
      </c>
      <c r="F54" s="187">
        <f>IFERROR((('Lab Analysis'!F54/18)/('Lab Analysis'!E54/60)),"0")</f>
        <v>1.7955086412087335</v>
      </c>
      <c r="G54" s="188">
        <f>IFERROR(('Lab Analysis'!I54/('Lab Analysis'!I54+(1.765*'Lab Analysis'!G54))),"0")</f>
        <v>0.74147476642516463</v>
      </c>
      <c r="H54" s="189">
        <f>IFERROR(((2*('Lab Analysis'!I54/60))+('Lab Analysis'!G54/17))/(('Lab Analysis'!H54/44)+('Lab Analysis'!I54/60)),"0")</f>
        <v>2.1002434720048448</v>
      </c>
      <c r="I54" s="189">
        <f>IFERROR((('Lab Analysis'!J54/18)-('Lab Analysis'!I54/60))/(('Lab Analysis'!H54/44)+('Lab Analysis'!I54/60)),"0")</f>
        <v>0.71479865913011731</v>
      </c>
      <c r="J54" s="186" t="str">
        <f>IFERROR(('Lab Analysis'!M54/('Lab Analysis'!M54+(1.765*'Lab Analysis'!K54))),"0")</f>
        <v>0</v>
      </c>
      <c r="K54" s="190" t="str">
        <f>IFERROR(((2*('Lab Analysis'!M54/60))+('Lab Analysis'!K54/17))/(('Lab Analysis'!L54/44)+('Lab Analysis'!M54/60)),"0")</f>
        <v>0</v>
      </c>
      <c r="L54" s="190" t="str">
        <f>IFERROR((('Lab Analysis'!N54/18)-('Lab Analysis'!M54/60))/(('Lab Analysis'!L54/44)+('Lab Analysis'!M54/60)),"0")</f>
        <v>0</v>
      </c>
      <c r="M54" s="187" t="str">
        <f>IFERROR(((2*('Lab Analysis'!U54/60))+('Lab Analysis'!S54/17))/(('Lab Analysis'!T54/44)+('Lab Analysis'!U54/60)),"0")</f>
        <v>0</v>
      </c>
      <c r="N54" s="187" t="str">
        <f>IFERROR((('Lab Analysis'!V54/18)-('Lab Analysis'!U54/60))/(('Lab Analysis'!T54/44)+('Lab Analysis'!U54/60)),"0")</f>
        <v>0</v>
      </c>
      <c r="O54" s="187">
        <f>IFERROR(((2*('Lab Analysis'!Y54/60)+('Lab Analysis'!W54/17))/(('Lab Analysis'!X54/44)+('Lab Analysis'!Y54/60))),"0")</f>
        <v>2.4362064270152506</v>
      </c>
      <c r="P54" s="187">
        <f>IFERROR((('Lab Analysis'!Z54/18)-('Lab Analysis'!Y54/60))/(('Lab Analysis'!X54/44)+('Lab Analysis'!Y54/60)),"0")</f>
        <v>2.3277391975308639</v>
      </c>
      <c r="Q54" s="191"/>
    </row>
    <row r="55" spans="1:17">
      <c r="A55" s="185">
        <v>45869</v>
      </c>
      <c r="B55" s="186">
        <f>IFERROR(('Lab Analysis'!E55/('Lab Analysis'!E55+(1.364*'Lab Analysis'!D55))),"0")</f>
        <v>0.54497815637175995</v>
      </c>
      <c r="C55" s="186">
        <f>IFERROR((2*'Lab Analysis'!E55/60)/('Lab Analysis'!C55/17+(2*'Lab Analysis'!E55/60)),"0")</f>
        <v>0.37736164754109786</v>
      </c>
      <c r="D55" s="187">
        <f>IFERROR(((2*('Lab Analysis'!E55/60)+('Lab Analysis'!C55/17))/(('Lab Analysis'!D55/44)+('Lab Analysis'!E55/60))),"0")</f>
        <v>2.8887104850499319</v>
      </c>
      <c r="E55" s="187">
        <f>IFERROR((('Lab Analysis'!F55/18)-('Lab Analysis'!E55/60))/(('Lab Analysis'!D55/44)+('Lab Analysis'!E55/60)),"0")</f>
        <v>0.53340388116839699</v>
      </c>
      <c r="F55" s="187">
        <f>IFERROR((('Lab Analysis'!F55/18)/('Lab Analysis'!E55/60)),"0")</f>
        <v>1.9786432160804026</v>
      </c>
      <c r="G55" s="188" t="str">
        <f>IFERROR(('Lab Analysis'!I55/('Lab Analysis'!I55+(1.765*'Lab Analysis'!G55))),"0")</f>
        <v>0</v>
      </c>
      <c r="H55" s="189" t="str">
        <f>IFERROR(((2*('Lab Analysis'!I55/60))+('Lab Analysis'!G55/17))/(('Lab Analysis'!H55/44)+('Lab Analysis'!I55/60)),"0")</f>
        <v>0</v>
      </c>
      <c r="I55" s="189" t="str">
        <f>IFERROR((('Lab Analysis'!J55/18)-('Lab Analysis'!I55/60))/(('Lab Analysis'!H55/44)+('Lab Analysis'!I55/60)),"0")</f>
        <v>0</v>
      </c>
      <c r="J55" s="186" t="str">
        <f>IFERROR(('Lab Analysis'!M55/('Lab Analysis'!M55+(1.765*'Lab Analysis'!K55))),"0")</f>
        <v>0</v>
      </c>
      <c r="K55" s="190" t="str">
        <f>IFERROR(((2*('Lab Analysis'!M55/60))+('Lab Analysis'!K55/17))/(('Lab Analysis'!L55/44)+('Lab Analysis'!M55/60)),"0")</f>
        <v>0</v>
      </c>
      <c r="L55" s="190" t="str">
        <f>IFERROR((('Lab Analysis'!N55/18)-('Lab Analysis'!M55/60))/(('Lab Analysis'!L55/44)+('Lab Analysis'!M55/60)),"0")</f>
        <v>0</v>
      </c>
      <c r="M55" s="187">
        <f>IFERROR(((2*('Lab Analysis'!U55/60))+('Lab Analysis'!S55/17))/(('Lab Analysis'!T55/44)+('Lab Analysis'!U55/60)),"0")</f>
        <v>2.4091870130622413</v>
      </c>
      <c r="N55" s="187">
        <f>IFERROR((('Lab Analysis'!V55/18)-('Lab Analysis'!U55/60))/(('Lab Analysis'!T55/44)+('Lab Analysis'!U55/60)),"0")</f>
        <v>1.2980469391104543</v>
      </c>
      <c r="O55" s="187" t="str">
        <f>IFERROR(((2*('Lab Analysis'!Y55/60)+('Lab Analysis'!W55/17))/(('Lab Analysis'!X55/44)+('Lab Analysis'!Y55/60))),"0")</f>
        <v>0</v>
      </c>
      <c r="P55" s="187" t="str">
        <f>IFERROR((('Lab Analysis'!Z55/18)-('Lab Analysis'!Y55/60))/(('Lab Analysis'!X55/44)+('Lab Analysis'!Y55/60)),"0")</f>
        <v>0</v>
      </c>
      <c r="Q55" s="191"/>
    </row>
    <row r="56" spans="1:17">
      <c r="A56" s="185">
        <v>45870</v>
      </c>
      <c r="B56" s="186">
        <f>IFERROR(('Lab Analysis'!E56/('Lab Analysis'!E56+(1.364*'Lab Analysis'!D56))),"0")</f>
        <v>0.54714664155105563</v>
      </c>
      <c r="C56" s="186">
        <f>IFERROR((2*'Lab Analysis'!E56/60)/('Lab Analysis'!C56/17+(2*'Lab Analysis'!E56/60)),"0")</f>
        <v>0.37793236769509725</v>
      </c>
      <c r="D56" s="187">
        <f>IFERROR(((2*('Lab Analysis'!E56/60)+('Lab Analysis'!C56/17))/(('Lab Analysis'!D56/44)+('Lab Analysis'!E56/60))),"0")</f>
        <v>2.895823446759231</v>
      </c>
      <c r="E56" s="187">
        <f>IFERROR((('Lab Analysis'!F56/18)-('Lab Analysis'!E56/60))/(('Lab Analysis'!D56/44)+('Lab Analysis'!E56/60)),"0")</f>
        <v>0.60938412718460333</v>
      </c>
      <c r="F56" s="187">
        <f>IFERROR((('Lab Analysis'!F56/18)/('Lab Analysis'!E56/60)),"0")</f>
        <v>2.1136147254839721</v>
      </c>
      <c r="G56" s="188" t="str">
        <f>IFERROR(('Lab Analysis'!I56/('Lab Analysis'!I56+(1.765*'Lab Analysis'!G56))),"0")</f>
        <v>0</v>
      </c>
      <c r="H56" s="189" t="str">
        <f>IFERROR(((2*('Lab Analysis'!I56/60))+('Lab Analysis'!G56/17))/(('Lab Analysis'!H56/44)+('Lab Analysis'!I56/60)),"0")</f>
        <v>0</v>
      </c>
      <c r="I56" s="189" t="str">
        <f>IFERROR((('Lab Analysis'!J56/18)-('Lab Analysis'!I56/60))/(('Lab Analysis'!H56/44)+('Lab Analysis'!I56/60)),"0")</f>
        <v>0</v>
      </c>
      <c r="J56" s="186" t="str">
        <f>IFERROR(('Lab Analysis'!M56/('Lab Analysis'!M56+(1.765*'Lab Analysis'!K56))),"0")</f>
        <v>0</v>
      </c>
      <c r="K56" s="190" t="str">
        <f>IFERROR(((2*('Lab Analysis'!M56/60))+('Lab Analysis'!K56/17))/(('Lab Analysis'!L56/44)+('Lab Analysis'!M56/60)),"0")</f>
        <v>0</v>
      </c>
      <c r="L56" s="190" t="str">
        <f>IFERROR((('Lab Analysis'!N56/18)-('Lab Analysis'!M56/60))/(('Lab Analysis'!L56/44)+('Lab Analysis'!M56/60)),"0")</f>
        <v>0</v>
      </c>
      <c r="M56" s="187" t="str">
        <f>IFERROR(((2*('Lab Analysis'!U56/60))+('Lab Analysis'!S56/17))/(('Lab Analysis'!T56/44)+('Lab Analysis'!U56/60)),"0")</f>
        <v>0</v>
      </c>
      <c r="N56" s="187" t="str">
        <f>IFERROR((('Lab Analysis'!V56/18)-('Lab Analysis'!U56/60))/(('Lab Analysis'!T56/44)+('Lab Analysis'!U56/60)),"0")</f>
        <v>0</v>
      </c>
      <c r="O56" s="187" t="str">
        <f>IFERROR(((2*('Lab Analysis'!Y56/60)+('Lab Analysis'!W56/17))/(('Lab Analysis'!X56/44)+('Lab Analysis'!Y56/60))),"0")</f>
        <v>0</v>
      </c>
      <c r="P56" s="187" t="str">
        <f>IFERROR((('Lab Analysis'!Z56/18)-('Lab Analysis'!Y56/60))/(('Lab Analysis'!X56/44)+('Lab Analysis'!Y56/60)),"0")</f>
        <v>0</v>
      </c>
      <c r="Q56" s="191"/>
    </row>
    <row r="57" spans="1:17">
      <c r="A57" s="185">
        <v>45871</v>
      </c>
      <c r="B57" s="186">
        <f>IFERROR(('Lab Analysis'!E57/('Lab Analysis'!E57+(1.364*'Lab Analysis'!D57))),"0")</f>
        <v>0.5472337868578051</v>
      </c>
      <c r="C57" s="186">
        <f>IFERROR((2*'Lab Analysis'!E57/60)/('Lab Analysis'!C57/17+(2*'Lab Analysis'!E57/60)),"0")</f>
        <v>0.37803282838938351</v>
      </c>
      <c r="D57" s="187">
        <f>IFERROR(((2*('Lab Analysis'!E57/60)+('Lab Analysis'!C57/17))/(('Lab Analysis'!D57/44)+('Lab Analysis'!E57/60))),"0")</f>
        <v>2.895514928025591</v>
      </c>
      <c r="E57" s="187">
        <f>IFERROR((('Lab Analysis'!F57/18)-('Lab Analysis'!E57/60))/(('Lab Analysis'!D57/44)+('Lab Analysis'!E57/60)),"0")</f>
        <v>0.59045610943269533</v>
      </c>
      <c r="F57" s="187">
        <f>IFERROR((('Lab Analysis'!F57/18)/('Lab Analysis'!E57/60)),"0")</f>
        <v>2.0788530465949817</v>
      </c>
      <c r="G57" s="188" t="str">
        <f>IFERROR(('Lab Analysis'!I57/('Lab Analysis'!I57+(1.765*'Lab Analysis'!G57))),"0")</f>
        <v>0</v>
      </c>
      <c r="H57" s="189" t="str">
        <f>IFERROR(((2*('Lab Analysis'!I57/60))+('Lab Analysis'!G57/17))/(('Lab Analysis'!H57/44)+('Lab Analysis'!I57/60)),"0")</f>
        <v>0</v>
      </c>
      <c r="I57" s="189" t="str">
        <f>IFERROR((('Lab Analysis'!J57/18)-('Lab Analysis'!I57/60))/(('Lab Analysis'!H57/44)+('Lab Analysis'!I57/60)),"0")</f>
        <v>0</v>
      </c>
      <c r="J57" s="186" t="str">
        <f>IFERROR(('Lab Analysis'!M57/('Lab Analysis'!M57+(1.765*'Lab Analysis'!K57))),"0")</f>
        <v>0</v>
      </c>
      <c r="K57" s="190" t="str">
        <f>IFERROR(((2*('Lab Analysis'!M57/60))+('Lab Analysis'!K57/17))/(('Lab Analysis'!L57/44)+('Lab Analysis'!M57/60)),"0")</f>
        <v>0</v>
      </c>
      <c r="L57" s="190" t="str">
        <f>IFERROR((('Lab Analysis'!N57/18)-('Lab Analysis'!M57/60))/(('Lab Analysis'!L57/44)+('Lab Analysis'!M57/60)),"0")</f>
        <v>0</v>
      </c>
      <c r="M57" s="187" t="str">
        <f>IFERROR(((2*('Lab Analysis'!U57/60))+('Lab Analysis'!S57/17))/(('Lab Analysis'!T57/44)+('Lab Analysis'!U57/60)),"0")</f>
        <v>0</v>
      </c>
      <c r="N57" s="187" t="str">
        <f>IFERROR((('Lab Analysis'!V57/18)-('Lab Analysis'!U57/60))/(('Lab Analysis'!T57/44)+('Lab Analysis'!U57/60)),"0")</f>
        <v>0</v>
      </c>
      <c r="O57" s="187" t="str">
        <f>IFERROR(((2*('Lab Analysis'!Y57/60)+('Lab Analysis'!W57/17))/(('Lab Analysis'!X57/44)+('Lab Analysis'!Y57/60))),"0")</f>
        <v>0</v>
      </c>
      <c r="P57" s="187" t="str">
        <f>IFERROR((('Lab Analysis'!Z57/18)-('Lab Analysis'!Y57/60))/(('Lab Analysis'!X57/44)+('Lab Analysis'!Y57/60)),"0")</f>
        <v>0</v>
      </c>
      <c r="Q57" s="191"/>
    </row>
    <row r="58" spans="1:17">
      <c r="A58" s="185">
        <v>45872</v>
      </c>
      <c r="B58" s="186" t="str">
        <f>IFERROR(('Lab Analysis'!E58/('Lab Analysis'!E58+(1.364*'Lab Analysis'!D58))),"0")</f>
        <v>0</v>
      </c>
      <c r="C58" s="186" t="str">
        <f>IFERROR((2*'Lab Analysis'!E58/60)/('Lab Analysis'!C58/17+(2*'Lab Analysis'!E58/60)),"0")</f>
        <v>0</v>
      </c>
      <c r="D58" s="187" t="str">
        <f>IFERROR(((2*('Lab Analysis'!E58/60)+('Lab Analysis'!C58/17))/(('Lab Analysis'!D58/44)+('Lab Analysis'!E58/60))),"0")</f>
        <v>0</v>
      </c>
      <c r="E58" s="187" t="str">
        <f>IFERROR((('Lab Analysis'!F58/18)-('Lab Analysis'!E58/60))/(('Lab Analysis'!D58/44)+('Lab Analysis'!E58/60)),"0")</f>
        <v>0</v>
      </c>
      <c r="F58" s="187" t="str">
        <f>IFERROR((('Lab Analysis'!F58/18)/('Lab Analysis'!E58/60)),"0")</f>
        <v>0</v>
      </c>
      <c r="G58" s="188" t="str">
        <f>IFERROR(('Lab Analysis'!I58/('Lab Analysis'!I58+(1.765*'Lab Analysis'!G58))),"0")</f>
        <v>0</v>
      </c>
      <c r="H58" s="189" t="str">
        <f>IFERROR(((2*('Lab Analysis'!I58/60))+('Lab Analysis'!G58/17))/(('Lab Analysis'!H58/44)+('Lab Analysis'!I58/60)),"0")</f>
        <v>0</v>
      </c>
      <c r="I58" s="189" t="str">
        <f>IFERROR((('Lab Analysis'!J58/18)-('Lab Analysis'!I58/60))/(('Lab Analysis'!H58/44)+('Lab Analysis'!I58/60)),"0")</f>
        <v>0</v>
      </c>
      <c r="J58" s="186" t="str">
        <f>IFERROR(('Lab Analysis'!M58/('Lab Analysis'!M58+(1.765*'Lab Analysis'!K58))),"0")</f>
        <v>0</v>
      </c>
      <c r="K58" s="190" t="str">
        <f>IFERROR(((2*('Lab Analysis'!M58/60))+('Lab Analysis'!K58/17))/(('Lab Analysis'!L58/44)+('Lab Analysis'!M58/60)),"0")</f>
        <v>0</v>
      </c>
      <c r="L58" s="190" t="str">
        <f>IFERROR((('Lab Analysis'!N58/18)-('Lab Analysis'!M58/60))/(('Lab Analysis'!L58/44)+('Lab Analysis'!M58/60)),"0")</f>
        <v>0</v>
      </c>
      <c r="M58" s="187" t="str">
        <f>IFERROR(((2*('Lab Analysis'!U58/60))+('Lab Analysis'!S58/17))/(('Lab Analysis'!T58/44)+('Lab Analysis'!U58/60)),"0")</f>
        <v>0</v>
      </c>
      <c r="N58" s="187" t="str">
        <f>IFERROR((('Lab Analysis'!V58/18)-('Lab Analysis'!U58/60))/(('Lab Analysis'!T58/44)+('Lab Analysis'!U58/60)),"0")</f>
        <v>0</v>
      </c>
      <c r="O58" s="187" t="str">
        <f>IFERROR(((2*('Lab Analysis'!Y58/60)+('Lab Analysis'!W58/17))/(('Lab Analysis'!X58/44)+('Lab Analysis'!Y58/60))),"0")</f>
        <v>0</v>
      </c>
      <c r="P58" s="187" t="str">
        <f>IFERROR((('Lab Analysis'!Z58/18)-('Lab Analysis'!Y58/60))/(('Lab Analysis'!X58/44)+('Lab Analysis'!Y58/60)),"0")</f>
        <v>0</v>
      </c>
      <c r="Q58" s="191"/>
    </row>
    <row r="59" spans="1:17">
      <c r="A59" s="185">
        <v>45873</v>
      </c>
      <c r="B59" s="186" t="str">
        <f>IFERROR(('Lab Analysis'!E59/('Lab Analysis'!E59+(1.364*'Lab Analysis'!D59))),"0")</f>
        <v>0</v>
      </c>
      <c r="C59" s="186" t="str">
        <f>IFERROR((2*'Lab Analysis'!E59/60)/('Lab Analysis'!C59/17+(2*'Lab Analysis'!E59/60)),"0")</f>
        <v>0</v>
      </c>
      <c r="D59" s="187" t="str">
        <f>IFERROR(((2*('Lab Analysis'!E59/60)+('Lab Analysis'!C59/17))/(('Lab Analysis'!D59/44)+('Lab Analysis'!E59/60))),"0")</f>
        <v>0</v>
      </c>
      <c r="E59" s="187" t="str">
        <f>IFERROR((('Lab Analysis'!F59/18)-('Lab Analysis'!E59/60))/(('Lab Analysis'!D59/44)+('Lab Analysis'!E59/60)),"0")</f>
        <v>0</v>
      </c>
      <c r="F59" s="187" t="str">
        <f>IFERROR((('Lab Analysis'!F59/18)/('Lab Analysis'!E59/60)),"0")</f>
        <v>0</v>
      </c>
      <c r="G59" s="188" t="str">
        <f>IFERROR(('Lab Analysis'!I59/('Lab Analysis'!I59+(1.765*'Lab Analysis'!G59))),"0")</f>
        <v>0</v>
      </c>
      <c r="H59" s="189" t="str">
        <f>IFERROR(((2*('Lab Analysis'!I59/60))+('Lab Analysis'!G59/17))/(('Lab Analysis'!H59/44)+('Lab Analysis'!I59/60)),"0")</f>
        <v>0</v>
      </c>
      <c r="I59" s="189" t="str">
        <f>IFERROR((('Lab Analysis'!J59/18)-('Lab Analysis'!I59/60))/(('Lab Analysis'!H59/44)+('Lab Analysis'!I59/60)),"0")</f>
        <v>0</v>
      </c>
      <c r="J59" s="186" t="str">
        <f>IFERROR(('Lab Analysis'!M59/('Lab Analysis'!M59+(1.765*'Lab Analysis'!K59))),"0")</f>
        <v>0</v>
      </c>
      <c r="K59" s="190" t="str">
        <f>IFERROR(((2*('Lab Analysis'!M59/60))+('Lab Analysis'!K59/17))/(('Lab Analysis'!L59/44)+('Lab Analysis'!M59/60)),"0")</f>
        <v>0</v>
      </c>
      <c r="L59" s="190" t="str">
        <f>IFERROR((('Lab Analysis'!N59/18)-('Lab Analysis'!M59/60))/(('Lab Analysis'!L59/44)+('Lab Analysis'!M59/60)),"0")</f>
        <v>0</v>
      </c>
      <c r="M59" s="187" t="str">
        <f>IFERROR(((2*('Lab Analysis'!U59/60))+('Lab Analysis'!S59/17))/(('Lab Analysis'!T59/44)+('Lab Analysis'!U59/60)),"0")</f>
        <v>0</v>
      </c>
      <c r="N59" s="187" t="str">
        <f>IFERROR((('Lab Analysis'!V59/18)-('Lab Analysis'!U59/60))/(('Lab Analysis'!T59/44)+('Lab Analysis'!U59/60)),"0")</f>
        <v>0</v>
      </c>
      <c r="O59" s="187" t="str">
        <f>IFERROR(((2*('Lab Analysis'!Y59/60)+('Lab Analysis'!W59/17))/(('Lab Analysis'!X59/44)+('Lab Analysis'!Y59/60))),"0")</f>
        <v>0</v>
      </c>
      <c r="P59" s="187" t="str">
        <f>IFERROR((('Lab Analysis'!Z59/18)-('Lab Analysis'!Y59/60))/(('Lab Analysis'!X59/44)+('Lab Analysis'!Y59/60)),"0")</f>
        <v>0</v>
      </c>
      <c r="Q59" s="191"/>
    </row>
    <row r="60" spans="1:17">
      <c r="A60" s="185">
        <v>45874</v>
      </c>
      <c r="B60" s="186">
        <f>IFERROR(('Lab Analysis'!E60/('Lab Analysis'!E60+(1.364*'Lab Analysis'!D60))),"0")</f>
        <v>0.54812673171907</v>
      </c>
      <c r="C60" s="186">
        <f>IFERROR((2*'Lab Analysis'!E60/60)/('Lab Analysis'!C60/17+(2*'Lab Analysis'!E60/60)),"0")</f>
        <v>0.38231244483671667</v>
      </c>
      <c r="D60" s="187">
        <f>IFERROR(((2*('Lab Analysis'!E60/60)+('Lab Analysis'!C60/17))/(('Lab Analysis'!D60/44)+('Lab Analysis'!E60/60))),"0")</f>
        <v>2.8677736154702846</v>
      </c>
      <c r="E60" s="187">
        <f>IFERROR((('Lab Analysis'!F60/18)-('Lab Analysis'!E60/60))/(('Lab Analysis'!D60/44)+('Lab Analysis'!E60/60)),"0")</f>
        <v>0.58433734939759074</v>
      </c>
      <c r="F60" s="187">
        <f>IFERROR((('Lab Analysis'!F60/18)/('Lab Analysis'!E60/60)),"0")</f>
        <v>2.0659340659340666</v>
      </c>
      <c r="G60" s="188" t="str">
        <f>IFERROR(('Lab Analysis'!I60/('Lab Analysis'!I60+(1.765*'Lab Analysis'!G60))),"0")</f>
        <v>0</v>
      </c>
      <c r="H60" s="189" t="str">
        <f>IFERROR(((2*('Lab Analysis'!I60/60))+('Lab Analysis'!G60/17))/(('Lab Analysis'!H60/44)+('Lab Analysis'!I60/60)),"0")</f>
        <v>0</v>
      </c>
      <c r="I60" s="189" t="str">
        <f>IFERROR((('Lab Analysis'!J60/18)-('Lab Analysis'!I60/60))/(('Lab Analysis'!H60/44)+('Lab Analysis'!I60/60)),"0")</f>
        <v>0</v>
      </c>
      <c r="J60" s="186" t="str">
        <f>IFERROR(('Lab Analysis'!M60/('Lab Analysis'!M60+(1.765*'Lab Analysis'!K60))),"0")</f>
        <v>0</v>
      </c>
      <c r="K60" s="190" t="str">
        <f>IFERROR(((2*('Lab Analysis'!M60/60))+('Lab Analysis'!K60/17))/(('Lab Analysis'!L60/44)+('Lab Analysis'!M60/60)),"0")</f>
        <v>0</v>
      </c>
      <c r="L60" s="190" t="str">
        <f>IFERROR((('Lab Analysis'!N60/18)-('Lab Analysis'!M60/60))/(('Lab Analysis'!L60/44)+('Lab Analysis'!M60/60)),"0")</f>
        <v>0</v>
      </c>
      <c r="M60" s="187">
        <f>IFERROR(((2*('Lab Analysis'!U60/60))+('Lab Analysis'!S60/17))/(('Lab Analysis'!T60/44)+('Lab Analysis'!U60/60)),"0")</f>
        <v>2.2151277013752462</v>
      </c>
      <c r="N60" s="187">
        <f>IFERROR((('Lab Analysis'!V60/18)-('Lab Analysis'!U60/60))/(('Lab Analysis'!T60/44)+('Lab Analysis'!U60/60)),"0")</f>
        <v>1.4665466055446412</v>
      </c>
      <c r="O60" s="187" t="str">
        <f>IFERROR(((2*('Lab Analysis'!Y60/60)+('Lab Analysis'!W60/17))/(('Lab Analysis'!X60/44)+('Lab Analysis'!Y60/60))),"0")</f>
        <v>0</v>
      </c>
      <c r="P60" s="187" t="str">
        <f>IFERROR((('Lab Analysis'!Z60/18)-('Lab Analysis'!Y60/60))/(('Lab Analysis'!X60/44)+('Lab Analysis'!Y60/60)),"0")</f>
        <v>0</v>
      </c>
      <c r="Q60" s="191"/>
    </row>
    <row r="61" spans="1:17">
      <c r="A61" s="185">
        <v>45875</v>
      </c>
      <c r="B61" s="186" t="str">
        <f>IFERROR(('Lab Analysis'!E61/('Lab Analysis'!E61+(1.364*'Lab Analysis'!D61))),"0")</f>
        <v>0</v>
      </c>
      <c r="C61" s="186" t="str">
        <f>IFERROR((2*'Lab Analysis'!E61/60)/('Lab Analysis'!C61/17+(2*'Lab Analysis'!E61/60)),"0")</f>
        <v>0</v>
      </c>
      <c r="D61" s="187" t="str">
        <f>IFERROR(((2*('Lab Analysis'!E61/60)+('Lab Analysis'!C61/17))/(('Lab Analysis'!D61/44)+('Lab Analysis'!E61/60))),"0")</f>
        <v>0</v>
      </c>
      <c r="E61" s="187" t="str">
        <f>IFERROR((('Lab Analysis'!F61/18)-('Lab Analysis'!E61/60))/(('Lab Analysis'!D61/44)+('Lab Analysis'!E61/60)),"0")</f>
        <v>0</v>
      </c>
      <c r="F61" s="187" t="str">
        <f>IFERROR((('Lab Analysis'!F61/18)/('Lab Analysis'!E61/60)),"0")</f>
        <v>0</v>
      </c>
      <c r="G61" s="188" t="str">
        <f>IFERROR(('Lab Analysis'!I61/('Lab Analysis'!I61+(1.765*'Lab Analysis'!G61))),"0")</f>
        <v>0</v>
      </c>
      <c r="H61" s="189" t="str">
        <f>IFERROR(((2*('Lab Analysis'!I61/60))+('Lab Analysis'!G61/17))/(('Lab Analysis'!H61/44)+('Lab Analysis'!I61/60)),"0")</f>
        <v>0</v>
      </c>
      <c r="I61" s="189" t="str">
        <f>IFERROR((('Lab Analysis'!J61/18)-('Lab Analysis'!I61/60))/(('Lab Analysis'!H61/44)+('Lab Analysis'!I61/60)),"0")</f>
        <v>0</v>
      </c>
      <c r="J61" s="186" t="str">
        <f>IFERROR(('Lab Analysis'!M61/('Lab Analysis'!M61+(1.765*'Lab Analysis'!K61))),"0")</f>
        <v>0</v>
      </c>
      <c r="K61" s="190" t="str">
        <f>IFERROR(((2*('Lab Analysis'!M61/60))+('Lab Analysis'!K61/17))/(('Lab Analysis'!L61/44)+('Lab Analysis'!M61/60)),"0")</f>
        <v>0</v>
      </c>
      <c r="L61" s="190" t="str">
        <f>IFERROR((('Lab Analysis'!N61/18)-('Lab Analysis'!M61/60))/(('Lab Analysis'!L61/44)+('Lab Analysis'!M61/60)),"0")</f>
        <v>0</v>
      </c>
      <c r="M61" s="187" t="str">
        <f>IFERROR(((2*('Lab Analysis'!U61/60))+('Lab Analysis'!S61/17))/(('Lab Analysis'!T61/44)+('Lab Analysis'!U61/60)),"0")</f>
        <v>0</v>
      </c>
      <c r="N61" s="187" t="str">
        <f>IFERROR((('Lab Analysis'!V61/18)-('Lab Analysis'!U61/60))/(('Lab Analysis'!T61/44)+('Lab Analysis'!U61/60)),"0")</f>
        <v>0</v>
      </c>
      <c r="O61" s="187" t="str">
        <f>IFERROR(((2*('Lab Analysis'!Y61/60)+('Lab Analysis'!W61/17))/(('Lab Analysis'!X61/44)+('Lab Analysis'!Y61/60))),"0")</f>
        <v>0</v>
      </c>
      <c r="P61" s="187" t="str">
        <f>IFERROR((('Lab Analysis'!Z61/18)-('Lab Analysis'!Y61/60))/(('Lab Analysis'!X61/44)+('Lab Analysis'!Y61/60)),"0")</f>
        <v>0</v>
      </c>
      <c r="Q61" s="191"/>
    </row>
    <row r="62" spans="1:17">
      <c r="A62" s="185">
        <v>45876</v>
      </c>
      <c r="B62" s="186" t="str">
        <f>IFERROR(('Lab Analysis'!E62/('Lab Analysis'!E62+(1.364*'Lab Analysis'!D62))),"0")</f>
        <v>0</v>
      </c>
      <c r="C62" s="186" t="str">
        <f>IFERROR((2*'Lab Analysis'!E62/60)/('Lab Analysis'!C62/17+(2*'Lab Analysis'!E62/60)),"0")</f>
        <v>0</v>
      </c>
      <c r="D62" s="187" t="str">
        <f>IFERROR(((2*('Lab Analysis'!E62/60)+('Lab Analysis'!C62/17))/(('Lab Analysis'!D62/44)+('Lab Analysis'!E62/60))),"0")</f>
        <v>0</v>
      </c>
      <c r="E62" s="187" t="str">
        <f>IFERROR((('Lab Analysis'!F62/18)-('Lab Analysis'!E62/60))/(('Lab Analysis'!D62/44)+('Lab Analysis'!E62/60)),"0")</f>
        <v>0</v>
      </c>
      <c r="F62" s="187" t="str">
        <f>IFERROR((('Lab Analysis'!F62/18)/('Lab Analysis'!E62/60)),"0")</f>
        <v>0</v>
      </c>
      <c r="G62" s="188" t="str">
        <f>IFERROR(('Lab Analysis'!I62/('Lab Analysis'!I62+(1.765*'Lab Analysis'!G62))),"0")</f>
        <v>0</v>
      </c>
      <c r="H62" s="189" t="str">
        <f>IFERROR(((2*('Lab Analysis'!I62/60))+('Lab Analysis'!G62/17))/(('Lab Analysis'!H62/44)+('Lab Analysis'!I62/60)),"0")</f>
        <v>0</v>
      </c>
      <c r="I62" s="189" t="str">
        <f>IFERROR((('Lab Analysis'!J62/18)-('Lab Analysis'!I62/60))/(('Lab Analysis'!H62/44)+('Lab Analysis'!I62/60)),"0")</f>
        <v>0</v>
      </c>
      <c r="J62" s="186" t="str">
        <f>IFERROR(('Lab Analysis'!M62/('Lab Analysis'!M62+(1.765*'Lab Analysis'!K62))),"0")</f>
        <v>0</v>
      </c>
      <c r="K62" s="190" t="str">
        <f>IFERROR(((2*('Lab Analysis'!M62/60))+('Lab Analysis'!K62/17))/(('Lab Analysis'!L62/44)+('Lab Analysis'!M62/60)),"0")</f>
        <v>0</v>
      </c>
      <c r="L62" s="190" t="str">
        <f>IFERROR((('Lab Analysis'!N62/18)-('Lab Analysis'!M62/60))/(('Lab Analysis'!L62/44)+('Lab Analysis'!M62/60)),"0")</f>
        <v>0</v>
      </c>
      <c r="M62" s="187" t="str">
        <f>IFERROR(((2*('Lab Analysis'!U62/60))+('Lab Analysis'!S62/17))/(('Lab Analysis'!T62/44)+('Lab Analysis'!U62/60)),"0")</f>
        <v>0</v>
      </c>
      <c r="N62" s="187" t="str">
        <f>IFERROR((('Lab Analysis'!V62/18)-('Lab Analysis'!U62/60))/(('Lab Analysis'!T62/44)+('Lab Analysis'!U62/60)),"0")</f>
        <v>0</v>
      </c>
      <c r="O62" s="187" t="str">
        <f>IFERROR(((2*('Lab Analysis'!Y62/60)+('Lab Analysis'!W62/17))/(('Lab Analysis'!X62/44)+('Lab Analysis'!Y62/60))),"0")</f>
        <v>0</v>
      </c>
      <c r="P62" s="187" t="str">
        <f>IFERROR((('Lab Analysis'!Z62/18)-('Lab Analysis'!Y62/60))/(('Lab Analysis'!X62/44)+('Lab Analysis'!Y62/60)),"0")</f>
        <v>0</v>
      </c>
      <c r="Q62" s="191"/>
    </row>
    <row r="63" spans="1:17">
      <c r="A63" s="185">
        <v>45877</v>
      </c>
      <c r="B63" s="186">
        <f>IFERROR(('Lab Analysis'!E63/('Lab Analysis'!E63+(1.364*'Lab Analysis'!D63))),"0")</f>
        <v>0.55370985603543743</v>
      </c>
      <c r="C63" s="186">
        <f>IFERROR((2*'Lab Analysis'!E63/60)/('Lab Analysis'!C63/17+(2*'Lab Analysis'!E63/60)),"0")</f>
        <v>0.38094763234372331</v>
      </c>
      <c r="D63" s="187">
        <f>IFERROR(((2*('Lab Analysis'!E63/60)+('Lab Analysis'!C63/17))/(('Lab Analysis'!D63/44)+('Lab Analysis'!E63/60))),"0")</f>
        <v>2.907358894974994</v>
      </c>
      <c r="E63" s="187">
        <f>IFERROR((('Lab Analysis'!F63/18)-('Lab Analysis'!E63/60))/(('Lab Analysis'!D63/44)+('Lab Analysis'!E63/60)),"0")</f>
        <v>0.67722818752566982</v>
      </c>
      <c r="F63" s="187">
        <f>IFERROR((('Lab Analysis'!F63/18)/('Lab Analysis'!E63/60)),"0")</f>
        <v>2.2229285865649491</v>
      </c>
      <c r="G63" s="188" t="str">
        <f>IFERROR(('Lab Analysis'!I63/('Lab Analysis'!I63+(1.765*'Lab Analysis'!G63))),"0")</f>
        <v>0</v>
      </c>
      <c r="H63" s="189" t="str">
        <f>IFERROR(((2*('Lab Analysis'!I63/60))+('Lab Analysis'!G63/17))/(('Lab Analysis'!H63/44)+('Lab Analysis'!I63/60)),"0")</f>
        <v>0</v>
      </c>
      <c r="I63" s="189" t="str">
        <f>IFERROR((('Lab Analysis'!J63/18)-('Lab Analysis'!I63/60))/(('Lab Analysis'!H63/44)+('Lab Analysis'!I63/60)),"0")</f>
        <v>0</v>
      </c>
      <c r="J63" s="186" t="str">
        <f>IFERROR(('Lab Analysis'!M63/('Lab Analysis'!M63+(1.765*'Lab Analysis'!K63))),"0")</f>
        <v>0</v>
      </c>
      <c r="K63" s="190" t="str">
        <f>IFERROR(((2*('Lab Analysis'!M63/60))+('Lab Analysis'!K63/17))/(('Lab Analysis'!L63/44)+('Lab Analysis'!M63/60)),"0")</f>
        <v>0</v>
      </c>
      <c r="L63" s="190" t="str">
        <f>IFERROR((('Lab Analysis'!N63/18)-('Lab Analysis'!M63/60))/(('Lab Analysis'!L63/44)+('Lab Analysis'!M63/60)),"0")</f>
        <v>0</v>
      </c>
      <c r="M63" s="187" t="str">
        <f>IFERROR(((2*('Lab Analysis'!U63/60))+('Lab Analysis'!S63/17))/(('Lab Analysis'!T63/44)+('Lab Analysis'!U63/60)),"0")</f>
        <v>0</v>
      </c>
      <c r="N63" s="187" t="str">
        <f>IFERROR((('Lab Analysis'!V63/18)-('Lab Analysis'!U63/60))/(('Lab Analysis'!T63/44)+('Lab Analysis'!U63/60)),"0")</f>
        <v>0</v>
      </c>
      <c r="O63" s="187" t="str">
        <f>IFERROR(((2*('Lab Analysis'!Y63/60)+('Lab Analysis'!W63/17))/(('Lab Analysis'!X63/44)+('Lab Analysis'!Y63/60))),"0")</f>
        <v>0</v>
      </c>
      <c r="P63" s="187" t="str">
        <f>IFERROR((('Lab Analysis'!Z63/18)-('Lab Analysis'!Y63/60))/(('Lab Analysis'!X63/44)+('Lab Analysis'!Y63/60)),"0")</f>
        <v>0</v>
      </c>
      <c r="Q63" s="191"/>
    </row>
    <row r="64" spans="1:17">
      <c r="A64" s="185">
        <v>45878</v>
      </c>
      <c r="B64" s="186" t="str">
        <f>IFERROR(('Lab Analysis'!E64/('Lab Analysis'!E64+(1.364*'Lab Analysis'!D64))),"0")</f>
        <v>0</v>
      </c>
      <c r="C64" s="186" t="str">
        <f>IFERROR((2*'Lab Analysis'!E64/60)/('Lab Analysis'!C64/17+(2*'Lab Analysis'!E64/60)),"0")</f>
        <v>0</v>
      </c>
      <c r="D64" s="187" t="str">
        <f>IFERROR(((2*('Lab Analysis'!E64/60)+('Lab Analysis'!C64/17))/(('Lab Analysis'!D64/44)+('Lab Analysis'!E64/60))),"0")</f>
        <v>0</v>
      </c>
      <c r="E64" s="187" t="str">
        <f>IFERROR((('Lab Analysis'!F64/18)-('Lab Analysis'!E64/60))/(('Lab Analysis'!D64/44)+('Lab Analysis'!E64/60)),"0")</f>
        <v>0</v>
      </c>
      <c r="F64" s="187" t="str">
        <f>IFERROR((('Lab Analysis'!F64/18)/('Lab Analysis'!E64/60)),"0")</f>
        <v>0</v>
      </c>
      <c r="G64" s="188" t="str">
        <f>IFERROR(('Lab Analysis'!I64/('Lab Analysis'!I64+(1.765*'Lab Analysis'!G64))),"0")</f>
        <v>0</v>
      </c>
      <c r="H64" s="189" t="str">
        <f>IFERROR(((2*('Lab Analysis'!I64/60))+('Lab Analysis'!G64/17))/(('Lab Analysis'!H64/44)+('Lab Analysis'!I64/60)),"0")</f>
        <v>0</v>
      </c>
      <c r="I64" s="189" t="str">
        <f>IFERROR((('Lab Analysis'!J64/18)-('Lab Analysis'!I64/60))/(('Lab Analysis'!H64/44)+('Lab Analysis'!I64/60)),"0")</f>
        <v>0</v>
      </c>
      <c r="J64" s="186" t="str">
        <f>IFERROR(('Lab Analysis'!M64/('Lab Analysis'!M64+(1.765*'Lab Analysis'!K64))),"0")</f>
        <v>0</v>
      </c>
      <c r="K64" s="190" t="str">
        <f>IFERROR(((2*('Lab Analysis'!M64/60))+('Lab Analysis'!K64/17))/(('Lab Analysis'!L64/44)+('Lab Analysis'!M64/60)),"0")</f>
        <v>0</v>
      </c>
      <c r="L64" s="190" t="str">
        <f>IFERROR((('Lab Analysis'!N64/18)-('Lab Analysis'!M64/60))/(('Lab Analysis'!L64/44)+('Lab Analysis'!M64/60)),"0")</f>
        <v>0</v>
      </c>
      <c r="M64" s="187" t="str">
        <f>IFERROR(((2*('Lab Analysis'!U64/60))+('Lab Analysis'!S64/17))/(('Lab Analysis'!T64/44)+('Lab Analysis'!U64/60)),"0")</f>
        <v>0</v>
      </c>
      <c r="N64" s="187" t="str">
        <f>IFERROR((('Lab Analysis'!V64/18)-('Lab Analysis'!U64/60))/(('Lab Analysis'!T64/44)+('Lab Analysis'!U64/60)),"0")</f>
        <v>0</v>
      </c>
      <c r="O64" s="187" t="str">
        <f>IFERROR(((2*('Lab Analysis'!Y64/60)+('Lab Analysis'!W64/17))/(('Lab Analysis'!X64/44)+('Lab Analysis'!Y64/60))),"0")</f>
        <v>0</v>
      </c>
      <c r="P64" s="187" t="str">
        <f>IFERROR((('Lab Analysis'!Z64/18)-('Lab Analysis'!Y64/60))/(('Lab Analysis'!X64/44)+('Lab Analysis'!Y64/60)),"0")</f>
        <v>0</v>
      </c>
      <c r="Q64" s="191"/>
    </row>
    <row r="65" spans="1:17">
      <c r="A65" s="185">
        <v>45879</v>
      </c>
      <c r="B65" s="186" t="str">
        <f>IFERROR(('Lab Analysis'!E65/('Lab Analysis'!E65+(1.364*'Lab Analysis'!D65))),"0")</f>
        <v>0</v>
      </c>
      <c r="C65" s="186" t="str">
        <f>IFERROR((2*'Lab Analysis'!E65/60)/('Lab Analysis'!C65/17+(2*'Lab Analysis'!E65/60)),"0")</f>
        <v>0</v>
      </c>
      <c r="D65" s="187" t="str">
        <f>IFERROR(((2*('Lab Analysis'!E65/60)+('Lab Analysis'!C65/17))/(('Lab Analysis'!D65/44)+('Lab Analysis'!E65/60))),"0")</f>
        <v>0</v>
      </c>
      <c r="E65" s="187" t="str">
        <f>IFERROR((('Lab Analysis'!F65/18)-('Lab Analysis'!E65/60))/(('Lab Analysis'!D65/44)+('Lab Analysis'!E65/60)),"0")</f>
        <v>0</v>
      </c>
      <c r="F65" s="187" t="str">
        <f>IFERROR((('Lab Analysis'!F65/18)/('Lab Analysis'!E65/60)),"0")</f>
        <v>0</v>
      </c>
      <c r="G65" s="188" t="str">
        <f>IFERROR(('Lab Analysis'!I65/('Lab Analysis'!I65+(1.765*'Lab Analysis'!G65))),"0")</f>
        <v>0</v>
      </c>
      <c r="H65" s="189" t="str">
        <f>IFERROR(((2*('Lab Analysis'!I65/60))+('Lab Analysis'!G65/17))/(('Lab Analysis'!H65/44)+('Lab Analysis'!I65/60)),"0")</f>
        <v>0</v>
      </c>
      <c r="I65" s="189" t="str">
        <f>IFERROR((('Lab Analysis'!J65/18)-('Lab Analysis'!I65/60))/(('Lab Analysis'!H65/44)+('Lab Analysis'!I65/60)),"0")</f>
        <v>0</v>
      </c>
      <c r="J65" s="186" t="str">
        <f>IFERROR(('Lab Analysis'!M65/('Lab Analysis'!M65+(1.765*'Lab Analysis'!K65))),"0")</f>
        <v>0</v>
      </c>
      <c r="K65" s="190" t="str">
        <f>IFERROR(((2*('Lab Analysis'!M65/60))+('Lab Analysis'!K65/17))/(('Lab Analysis'!L65/44)+('Lab Analysis'!M65/60)),"0")</f>
        <v>0</v>
      </c>
      <c r="L65" s="190" t="str">
        <f>IFERROR((('Lab Analysis'!N65/18)-('Lab Analysis'!M65/60))/(('Lab Analysis'!L65/44)+('Lab Analysis'!M65/60)),"0")</f>
        <v>0</v>
      </c>
      <c r="M65" s="187" t="str">
        <f>IFERROR(((2*('Lab Analysis'!U65/60))+('Lab Analysis'!S65/17))/(('Lab Analysis'!T65/44)+('Lab Analysis'!U65/60)),"0")</f>
        <v>0</v>
      </c>
      <c r="N65" s="187" t="str">
        <f>IFERROR((('Lab Analysis'!V65/18)-('Lab Analysis'!U65/60))/(('Lab Analysis'!T65/44)+('Lab Analysis'!U65/60)),"0")</f>
        <v>0</v>
      </c>
      <c r="O65" s="187" t="str">
        <f>IFERROR(((2*('Lab Analysis'!Y65/60)+('Lab Analysis'!W65/17))/(('Lab Analysis'!X65/44)+('Lab Analysis'!Y65/60))),"0")</f>
        <v>0</v>
      </c>
      <c r="P65" s="187" t="str">
        <f>IFERROR((('Lab Analysis'!Z65/18)-('Lab Analysis'!Y65/60))/(('Lab Analysis'!X65/44)+('Lab Analysis'!Y65/60)),"0")</f>
        <v>0</v>
      </c>
      <c r="Q65" s="191"/>
    </row>
    <row r="66" spans="1:17">
      <c r="A66" s="185">
        <v>45880</v>
      </c>
      <c r="B66" s="186">
        <f>IFERROR(('Lab Analysis'!E66/('Lab Analysis'!E66+(1.364*'Lab Analysis'!D66))),"0")</f>
        <v>0.55696164163496664</v>
      </c>
      <c r="C66" s="186">
        <f>IFERROR((2*'Lab Analysis'!E66/60)/('Lab Analysis'!C66/17+(2*'Lab Analysis'!E66/60)),"0")</f>
        <v>0.38624963115963412</v>
      </c>
      <c r="D66" s="187">
        <f>IFERROR(((2*('Lab Analysis'!E66/60)+('Lab Analysis'!C66/17))/(('Lab Analysis'!D66/44)+('Lab Analysis'!E66/60))),"0")</f>
        <v>2.8842871985321752</v>
      </c>
      <c r="E66" s="187">
        <f>IFERROR((('Lab Analysis'!F66/18)-('Lab Analysis'!E66/60))/(('Lab Analysis'!D66/44)+('Lab Analysis'!E66/60)),"0")</f>
        <v>0.57287360641362839</v>
      </c>
      <c r="F66" s="187">
        <f>IFERROR((('Lab Analysis'!F66/18)/('Lab Analysis'!E66/60)),"0")</f>
        <v>2.028447742733456</v>
      </c>
      <c r="G66" s="188">
        <f>IFERROR(('Lab Analysis'!I66/('Lab Analysis'!I66+(1.765*'Lab Analysis'!G66))),"0")</f>
        <v>0.74053986854072362</v>
      </c>
      <c r="H66" s="189">
        <f>IFERROR(((2*('Lab Analysis'!I66/60))+('Lab Analysis'!G66/17))/(('Lab Analysis'!H66/44)+('Lab Analysis'!I66/60)),"0")</f>
        <v>2.0892124642394725</v>
      </c>
      <c r="I66" s="189">
        <f>IFERROR((('Lab Analysis'!J66/18)-('Lab Analysis'!I66/60))/(('Lab Analysis'!H66/44)+('Lab Analysis'!I66/60)),"0")</f>
        <v>0.64560836624411977</v>
      </c>
      <c r="J66" s="186">
        <f>IFERROR(('Lab Analysis'!M66/('Lab Analysis'!M66+(1.765*'Lab Analysis'!K66))),"0")</f>
        <v>0.60041174874059178</v>
      </c>
      <c r="K66" s="190">
        <f>IFERROR(((2*('Lab Analysis'!M66/60))+('Lab Analysis'!K66/17))/(('Lab Analysis'!L66/44)+('Lab Analysis'!M66/60)),"0")</f>
        <v>2.3911100200621331</v>
      </c>
      <c r="L66" s="190">
        <f>IFERROR((('Lab Analysis'!N66/18)-('Lab Analysis'!M66/60))/(('Lab Analysis'!L66/44)+('Lab Analysis'!M66/60)),"0")</f>
        <v>0.57382357173693999</v>
      </c>
      <c r="M66" s="187">
        <f>IFERROR(((2*('Lab Analysis'!U66/60))+('Lab Analysis'!S66/17))/(('Lab Analysis'!T66/44)+('Lab Analysis'!U66/60)),"0")</f>
        <v>2.2396918832543466</v>
      </c>
      <c r="N66" s="187">
        <f>IFERROR((('Lab Analysis'!V66/18)-('Lab Analysis'!U66/60))/(('Lab Analysis'!T66/44)+('Lab Analysis'!U66/60)),"0")</f>
        <v>1.1158063101411138</v>
      </c>
      <c r="O66" s="187">
        <f>IFERROR(((2*('Lab Analysis'!Y66/60)+('Lab Analysis'!W66/17))/(('Lab Analysis'!X66/44)+('Lab Analysis'!Y66/60))),"0")</f>
        <v>2.4119113167282973</v>
      </c>
      <c r="P66" s="187">
        <f>IFERROR((('Lab Analysis'!Z66/18)-('Lab Analysis'!Y66/60))/(('Lab Analysis'!X66/44)+('Lab Analysis'!Y66/60)),"0")</f>
        <v>2.047078371642205</v>
      </c>
      <c r="Q66" s="191"/>
    </row>
    <row r="67" spans="1:17">
      <c r="A67" s="185">
        <v>45881</v>
      </c>
      <c r="B67" s="186">
        <f>IFERROR(('Lab Analysis'!E67/('Lab Analysis'!E67+(1.364*'Lab Analysis'!D67))),"0")</f>
        <v>0.55065437152003927</v>
      </c>
      <c r="C67" s="186">
        <f>IFERROR((2*'Lab Analysis'!E67/60)/('Lab Analysis'!C67/17+(2*'Lab Analysis'!E67/60)),"0")</f>
        <v>0.37675567856329412</v>
      </c>
      <c r="D67" s="187">
        <f>IFERROR(((2*('Lab Analysis'!E67/60)+('Lab Analysis'!C67/17))/(('Lab Analysis'!D67/44)+('Lab Analysis'!E67/60))),"0")</f>
        <v>2.9234879557411091</v>
      </c>
      <c r="E67" s="187">
        <f>IFERROR((('Lab Analysis'!F67/18)-('Lab Analysis'!E67/60))/(('Lab Analysis'!D67/44)+('Lab Analysis'!E67/60)),"0")</f>
        <v>0.51150160076504081</v>
      </c>
      <c r="F67" s="187">
        <f>IFERROR((('Lab Analysis'!F67/18)/('Lab Analysis'!E67/60)),"0")</f>
        <v>1.9287864631994185</v>
      </c>
      <c r="G67" s="188" t="str">
        <f>IFERROR(('Lab Analysis'!I67/('Lab Analysis'!I67+(1.765*'Lab Analysis'!G67))),"0")</f>
        <v>0</v>
      </c>
      <c r="H67" s="189" t="str">
        <f>IFERROR(((2*('Lab Analysis'!I67/60))+('Lab Analysis'!G67/17))/(('Lab Analysis'!H67/44)+('Lab Analysis'!I67/60)),"0")</f>
        <v>0</v>
      </c>
      <c r="I67" s="189" t="str">
        <f>IFERROR((('Lab Analysis'!J67/18)-('Lab Analysis'!I67/60))/(('Lab Analysis'!H67/44)+('Lab Analysis'!I67/60)),"0")</f>
        <v>0</v>
      </c>
      <c r="J67" s="186" t="str">
        <f>IFERROR(('Lab Analysis'!M67/('Lab Analysis'!M67+(1.765*'Lab Analysis'!K67))),"0")</f>
        <v>0</v>
      </c>
      <c r="K67" s="190" t="str">
        <f>IFERROR(((2*('Lab Analysis'!M67/60))+('Lab Analysis'!K67/17))/(('Lab Analysis'!L67/44)+('Lab Analysis'!M67/60)),"0")</f>
        <v>0</v>
      </c>
      <c r="L67" s="190" t="str">
        <f>IFERROR((('Lab Analysis'!N67/18)-('Lab Analysis'!M67/60))/(('Lab Analysis'!L67/44)+('Lab Analysis'!M67/60)),"0")</f>
        <v>0</v>
      </c>
      <c r="M67" s="187" t="str">
        <f>IFERROR(((2*('Lab Analysis'!U67/60))+('Lab Analysis'!S67/17))/(('Lab Analysis'!T67/44)+('Lab Analysis'!U67/60)),"0")</f>
        <v>0</v>
      </c>
      <c r="N67" s="187" t="str">
        <f>IFERROR((('Lab Analysis'!V67/18)-('Lab Analysis'!U67/60))/(('Lab Analysis'!T67/44)+('Lab Analysis'!U67/60)),"0")</f>
        <v>0</v>
      </c>
      <c r="O67" s="187" t="str">
        <f>IFERROR(((2*('Lab Analysis'!Y67/60)+('Lab Analysis'!W67/17))/(('Lab Analysis'!X67/44)+('Lab Analysis'!Y67/60))),"0")</f>
        <v>0</v>
      </c>
      <c r="P67" s="187" t="str">
        <f>IFERROR((('Lab Analysis'!Z67/18)-('Lab Analysis'!Y67/60))/(('Lab Analysis'!X67/44)+('Lab Analysis'!Y67/60)),"0")</f>
        <v>0</v>
      </c>
      <c r="Q67" s="191"/>
    </row>
    <row r="68" spans="1:17">
      <c r="A68" s="185">
        <v>45882</v>
      </c>
      <c r="B68" s="186">
        <f>IFERROR(('Lab Analysis'!E68/('Lab Analysis'!E68+(1.364*'Lab Analysis'!D68))),"0")</f>
        <v>0.55322378903732838</v>
      </c>
      <c r="C68" s="186">
        <f>IFERROR((2*'Lab Analysis'!E68/60)/('Lab Analysis'!C68/17+(2*'Lab Analysis'!E68/60)),"0")</f>
        <v>0.37749500998003993</v>
      </c>
      <c r="D68" s="187">
        <f>IFERROR(((2*('Lab Analysis'!E68/60)+('Lab Analysis'!C68/17))/(('Lab Analysis'!D68/44)+('Lab Analysis'!E68/60))),"0")</f>
        <v>2.9313748576716043</v>
      </c>
      <c r="E68" s="187">
        <f>IFERROR((('Lab Analysis'!F68/18)-('Lab Analysis'!E68/60))/(('Lab Analysis'!D68/44)+('Lab Analysis'!E68/60)),"0")</f>
        <v>0.54327383475407842</v>
      </c>
      <c r="F68" s="187">
        <f>IFERROR((('Lab Analysis'!F68/18)/('Lab Analysis'!E68/60)),"0")</f>
        <v>1.9818976279650449</v>
      </c>
      <c r="G68" s="188" t="str">
        <f>IFERROR(('Lab Analysis'!I68/('Lab Analysis'!I68+(1.765*'Lab Analysis'!G68))),"0")</f>
        <v>0</v>
      </c>
      <c r="H68" s="189" t="str">
        <f>IFERROR(((2*('Lab Analysis'!I68/60))+('Lab Analysis'!G68/17))/(('Lab Analysis'!H68/44)+('Lab Analysis'!I68/60)),"0")</f>
        <v>0</v>
      </c>
      <c r="I68" s="189" t="str">
        <f>IFERROR((('Lab Analysis'!J68/18)-('Lab Analysis'!I68/60))/(('Lab Analysis'!H68/44)+('Lab Analysis'!I68/60)),"0")</f>
        <v>0</v>
      </c>
      <c r="J68" s="186" t="str">
        <f>IFERROR(('Lab Analysis'!M68/('Lab Analysis'!M68+(1.765*'Lab Analysis'!K68))),"0")</f>
        <v>0</v>
      </c>
      <c r="K68" s="190" t="str">
        <f>IFERROR(((2*('Lab Analysis'!M68/60))+('Lab Analysis'!K68/17))/(('Lab Analysis'!L68/44)+('Lab Analysis'!M68/60)),"0")</f>
        <v>0</v>
      </c>
      <c r="L68" s="190" t="str">
        <f>IFERROR((('Lab Analysis'!N68/18)-('Lab Analysis'!M68/60))/(('Lab Analysis'!L68/44)+('Lab Analysis'!M68/60)),"0")</f>
        <v>0</v>
      </c>
      <c r="M68" s="187" t="str">
        <f>IFERROR(((2*('Lab Analysis'!U68/60))+('Lab Analysis'!S68/17))/(('Lab Analysis'!T68/44)+('Lab Analysis'!U68/60)),"0")</f>
        <v>0</v>
      </c>
      <c r="N68" s="187" t="str">
        <f>IFERROR((('Lab Analysis'!V68/18)-('Lab Analysis'!U68/60))/(('Lab Analysis'!T68/44)+('Lab Analysis'!U68/60)),"0")</f>
        <v>0</v>
      </c>
      <c r="O68" s="187" t="str">
        <f>IFERROR(((2*('Lab Analysis'!Y68/60)+('Lab Analysis'!W68/17))/(('Lab Analysis'!X68/44)+('Lab Analysis'!Y68/60))),"0")</f>
        <v>0</v>
      </c>
      <c r="P68" s="187" t="str">
        <f>IFERROR((('Lab Analysis'!Z68/18)-('Lab Analysis'!Y68/60))/(('Lab Analysis'!X68/44)+('Lab Analysis'!Y68/60)),"0")</f>
        <v>0</v>
      </c>
      <c r="Q68" s="191"/>
    </row>
    <row r="69" spans="1:17">
      <c r="A69" s="185">
        <v>45883</v>
      </c>
      <c r="B69" s="186" t="str">
        <f>IFERROR(('Lab Analysis'!E69/('Lab Analysis'!E69+(1.364*'Lab Analysis'!D69))),"0")</f>
        <v>0</v>
      </c>
      <c r="C69" s="186" t="str">
        <f>IFERROR((2*'Lab Analysis'!E69/60)/('Lab Analysis'!C69/17+(2*'Lab Analysis'!E69/60)),"0")</f>
        <v>0</v>
      </c>
      <c r="D69" s="187" t="str">
        <f>IFERROR(((2*('Lab Analysis'!E69/60)+('Lab Analysis'!C69/17))/(('Lab Analysis'!D69/44)+('Lab Analysis'!E69/60))),"0")</f>
        <v>0</v>
      </c>
      <c r="E69" s="187" t="str">
        <f>IFERROR((('Lab Analysis'!F69/18)-('Lab Analysis'!E69/60))/(('Lab Analysis'!D69/44)+('Lab Analysis'!E69/60)),"0")</f>
        <v>0</v>
      </c>
      <c r="F69" s="187" t="str">
        <f>IFERROR((('Lab Analysis'!F69/18)/('Lab Analysis'!E69/60)),"0")</f>
        <v>0</v>
      </c>
      <c r="G69" s="188" t="str">
        <f>IFERROR(('Lab Analysis'!I69/('Lab Analysis'!I69+(1.765*'Lab Analysis'!G69))),"0")</f>
        <v>0</v>
      </c>
      <c r="H69" s="189" t="str">
        <f>IFERROR(((2*('Lab Analysis'!I69/60))+('Lab Analysis'!G69/17))/(('Lab Analysis'!H69/44)+('Lab Analysis'!I69/60)),"0")</f>
        <v>0</v>
      </c>
      <c r="I69" s="189" t="str">
        <f>IFERROR((('Lab Analysis'!J69/18)-('Lab Analysis'!I69/60))/(('Lab Analysis'!H69/44)+('Lab Analysis'!I69/60)),"0")</f>
        <v>0</v>
      </c>
      <c r="J69" s="186" t="str">
        <f>IFERROR(('Lab Analysis'!M69/('Lab Analysis'!M69+(1.765*'Lab Analysis'!K69))),"0")</f>
        <v>0</v>
      </c>
      <c r="K69" s="190" t="str">
        <f>IFERROR(((2*('Lab Analysis'!M69/60))+('Lab Analysis'!K69/17))/(('Lab Analysis'!L69/44)+('Lab Analysis'!M69/60)),"0")</f>
        <v>0</v>
      </c>
      <c r="L69" s="190" t="str">
        <f>IFERROR((('Lab Analysis'!N69/18)-('Lab Analysis'!M69/60))/(('Lab Analysis'!L69/44)+('Lab Analysis'!M69/60)),"0")</f>
        <v>0</v>
      </c>
      <c r="M69" s="187" t="str">
        <f>IFERROR(((2*('Lab Analysis'!U69/60))+('Lab Analysis'!S69/17))/(('Lab Analysis'!T69/44)+('Lab Analysis'!U69/60)),"0")</f>
        <v>0</v>
      </c>
      <c r="N69" s="187" t="str">
        <f>IFERROR((('Lab Analysis'!V69/18)-('Lab Analysis'!U69/60))/(('Lab Analysis'!T69/44)+('Lab Analysis'!U69/60)),"0")</f>
        <v>0</v>
      </c>
      <c r="O69" s="187" t="str">
        <f>IFERROR(((2*('Lab Analysis'!Y69/60)+('Lab Analysis'!W69/17))/(('Lab Analysis'!X69/44)+('Lab Analysis'!Y69/60))),"0")</f>
        <v>0</v>
      </c>
      <c r="P69" s="187" t="str">
        <f>IFERROR((('Lab Analysis'!Z69/18)-('Lab Analysis'!Y69/60))/(('Lab Analysis'!X69/44)+('Lab Analysis'!Y69/60)),"0")</f>
        <v>0</v>
      </c>
      <c r="Q69" s="191"/>
    </row>
    <row r="70" spans="1:17">
      <c r="A70" s="185">
        <v>45884</v>
      </c>
      <c r="B70" s="186">
        <f>IFERROR(('Lab Analysis'!E70/('Lab Analysis'!E70+(1.364*'Lab Analysis'!D70))),"0")</f>
        <v>0.55006355522396311</v>
      </c>
      <c r="C70" s="186">
        <f>IFERROR((2*'Lab Analysis'!E70/60)/('Lab Analysis'!C70/17+(2*'Lab Analysis'!E70/60)),"0")</f>
        <v>0.38029850746268656</v>
      </c>
      <c r="D70" s="187">
        <f>IFERROR(((2*('Lab Analysis'!E70/60)+('Lab Analysis'!C70/17))/(('Lab Analysis'!D70/44)+('Lab Analysis'!E70/60))),"0")</f>
        <v>2.893145952736123</v>
      </c>
      <c r="E70" s="187">
        <f>IFERROR((('Lab Analysis'!F70/18)-('Lab Analysis'!E70/60))/(('Lab Analysis'!D70/44)+('Lab Analysis'!E70/60)),"0")</f>
        <v>0.58064431708146769</v>
      </c>
      <c r="F70" s="187">
        <f>IFERROR((('Lab Analysis'!F70/18)/('Lab Analysis'!E70/60)),"0")</f>
        <v>2.0554683411826251</v>
      </c>
      <c r="G70" s="188" t="str">
        <f>IFERROR(('Lab Analysis'!I70/('Lab Analysis'!I70+(1.765*'Lab Analysis'!G70))),"0")</f>
        <v>0</v>
      </c>
      <c r="H70" s="189" t="str">
        <f>IFERROR(((2*('Lab Analysis'!I70/60))+('Lab Analysis'!G70/17))/(('Lab Analysis'!H70/44)+('Lab Analysis'!I70/60)),"0")</f>
        <v>0</v>
      </c>
      <c r="I70" s="189" t="str">
        <f>IFERROR((('Lab Analysis'!J70/18)-('Lab Analysis'!I70/60))/(('Lab Analysis'!H70/44)+('Lab Analysis'!I70/60)),"0")</f>
        <v>0</v>
      </c>
      <c r="J70" s="186" t="str">
        <f>IFERROR(('Lab Analysis'!M70/('Lab Analysis'!M70+(1.765*'Lab Analysis'!K70))),"0")</f>
        <v>0</v>
      </c>
      <c r="K70" s="190" t="str">
        <f>IFERROR(((2*('Lab Analysis'!M70/60))+('Lab Analysis'!K70/17))/(('Lab Analysis'!L70/44)+('Lab Analysis'!M70/60)),"0")</f>
        <v>0</v>
      </c>
      <c r="L70" s="190" t="str">
        <f>IFERROR((('Lab Analysis'!N70/18)-('Lab Analysis'!M70/60))/(('Lab Analysis'!L70/44)+('Lab Analysis'!M70/60)),"0")</f>
        <v>0</v>
      </c>
      <c r="M70" s="187" t="str">
        <f>IFERROR(((2*('Lab Analysis'!U70/60))+('Lab Analysis'!S70/17))/(('Lab Analysis'!T70/44)+('Lab Analysis'!U70/60)),"0")</f>
        <v>0</v>
      </c>
      <c r="N70" s="187" t="str">
        <f>IFERROR((('Lab Analysis'!V70/18)-('Lab Analysis'!U70/60))/(('Lab Analysis'!T70/44)+('Lab Analysis'!U70/60)),"0")</f>
        <v>0</v>
      </c>
      <c r="O70" s="187" t="str">
        <f>IFERROR(((2*('Lab Analysis'!Y70/60)+('Lab Analysis'!W70/17))/(('Lab Analysis'!X70/44)+('Lab Analysis'!Y70/60))),"0")</f>
        <v>0</v>
      </c>
      <c r="P70" s="187" t="str">
        <f>IFERROR((('Lab Analysis'!Z70/18)-('Lab Analysis'!Y70/60))/(('Lab Analysis'!X70/44)+('Lab Analysis'!Y70/60)),"0")</f>
        <v>0</v>
      </c>
      <c r="Q70" s="191"/>
    </row>
    <row r="71" spans="1:17">
      <c r="A71" s="185">
        <v>45885</v>
      </c>
      <c r="B71" s="186" t="str">
        <f>IFERROR(('Lab Analysis'!E71/('Lab Analysis'!E71+(1.364*'Lab Analysis'!D71))),"0")</f>
        <v>0</v>
      </c>
      <c r="C71" s="186" t="str">
        <f>IFERROR((2*'Lab Analysis'!E71/60)/('Lab Analysis'!C71/17+(2*'Lab Analysis'!E71/60)),"0")</f>
        <v>0</v>
      </c>
      <c r="D71" s="187" t="str">
        <f>IFERROR(((2*('Lab Analysis'!E71/60)+('Lab Analysis'!C71/17))/(('Lab Analysis'!D71/44)+('Lab Analysis'!E71/60))),"0")</f>
        <v>0</v>
      </c>
      <c r="E71" s="187" t="str">
        <f>IFERROR((('Lab Analysis'!F71/18)-('Lab Analysis'!E71/60))/(('Lab Analysis'!D71/44)+('Lab Analysis'!E71/60)),"0")</f>
        <v>0</v>
      </c>
      <c r="F71" s="187" t="str">
        <f>IFERROR((('Lab Analysis'!F71/18)/('Lab Analysis'!E71/60)),"0")</f>
        <v>0</v>
      </c>
      <c r="G71" s="188" t="str">
        <f>IFERROR(('Lab Analysis'!I71/('Lab Analysis'!I71+(1.765*'Lab Analysis'!G71))),"0")</f>
        <v>0</v>
      </c>
      <c r="H71" s="189" t="str">
        <f>IFERROR(((2*('Lab Analysis'!I71/60))+('Lab Analysis'!G71/17))/(('Lab Analysis'!H71/44)+('Lab Analysis'!I71/60)),"0")</f>
        <v>0</v>
      </c>
      <c r="I71" s="189" t="str">
        <f>IFERROR((('Lab Analysis'!J71/18)-('Lab Analysis'!I71/60))/(('Lab Analysis'!H71/44)+('Lab Analysis'!I71/60)),"0")</f>
        <v>0</v>
      </c>
      <c r="J71" s="186" t="str">
        <f>IFERROR(('Lab Analysis'!M71/('Lab Analysis'!M71+(1.765*'Lab Analysis'!K71))),"0")</f>
        <v>0</v>
      </c>
      <c r="K71" s="190" t="str">
        <f>IFERROR(((2*('Lab Analysis'!M71/60))+('Lab Analysis'!K71/17))/(('Lab Analysis'!L71/44)+('Lab Analysis'!M71/60)),"0")</f>
        <v>0</v>
      </c>
      <c r="L71" s="190" t="str">
        <f>IFERROR((('Lab Analysis'!N71/18)-('Lab Analysis'!M71/60))/(('Lab Analysis'!L71/44)+('Lab Analysis'!M71/60)),"0")</f>
        <v>0</v>
      </c>
      <c r="M71" s="187" t="str">
        <f>IFERROR(((2*('Lab Analysis'!U71/60))+('Lab Analysis'!S71/17))/(('Lab Analysis'!T71/44)+('Lab Analysis'!U71/60)),"0")</f>
        <v>0</v>
      </c>
      <c r="N71" s="187" t="str">
        <f>IFERROR((('Lab Analysis'!V71/18)-('Lab Analysis'!U71/60))/(('Lab Analysis'!T71/44)+('Lab Analysis'!U71/60)),"0")</f>
        <v>0</v>
      </c>
      <c r="O71" s="187" t="str">
        <f>IFERROR(((2*('Lab Analysis'!Y71/60)+('Lab Analysis'!W71/17))/(('Lab Analysis'!X71/44)+('Lab Analysis'!Y71/60))),"0")</f>
        <v>0</v>
      </c>
      <c r="P71" s="187" t="str">
        <f>IFERROR((('Lab Analysis'!Z71/18)-('Lab Analysis'!Y71/60))/(('Lab Analysis'!X71/44)+('Lab Analysis'!Y71/60)),"0")</f>
        <v>0</v>
      </c>
      <c r="Q71" s="191"/>
    </row>
    <row r="72" spans="1:17">
      <c r="A72" s="185">
        <v>45886</v>
      </c>
      <c r="B72" s="186" t="str">
        <f>IFERROR(('Lab Analysis'!E72/('Lab Analysis'!E72+(1.364*'Lab Analysis'!D72))),"0")</f>
        <v>0</v>
      </c>
      <c r="C72" s="186" t="str">
        <f>IFERROR((2*'Lab Analysis'!E72/60)/('Lab Analysis'!C72/17+(2*'Lab Analysis'!E72/60)),"0")</f>
        <v>0</v>
      </c>
      <c r="D72" s="187" t="str">
        <f>IFERROR(((2*('Lab Analysis'!E72/60)+('Lab Analysis'!C72/17))/(('Lab Analysis'!D72/44)+('Lab Analysis'!E72/60))),"0")</f>
        <v>0</v>
      </c>
      <c r="E72" s="187" t="str">
        <f>IFERROR((('Lab Analysis'!F72/18)-('Lab Analysis'!E72/60))/(('Lab Analysis'!D72/44)+('Lab Analysis'!E72/60)),"0")</f>
        <v>0</v>
      </c>
      <c r="F72" s="187" t="str">
        <f>IFERROR((('Lab Analysis'!F72/18)/('Lab Analysis'!E72/60)),"0")</f>
        <v>0</v>
      </c>
      <c r="G72" s="188" t="str">
        <f>IFERROR(('Lab Analysis'!I72/('Lab Analysis'!I72+(1.765*'Lab Analysis'!G72))),"0")</f>
        <v>0</v>
      </c>
      <c r="H72" s="189" t="str">
        <f>IFERROR(((2*('Lab Analysis'!I72/60))+('Lab Analysis'!G72/17))/(('Lab Analysis'!H72/44)+('Lab Analysis'!I72/60)),"0")</f>
        <v>0</v>
      </c>
      <c r="I72" s="189" t="str">
        <f>IFERROR((('Lab Analysis'!J72/18)-('Lab Analysis'!I72/60))/(('Lab Analysis'!H72/44)+('Lab Analysis'!I72/60)),"0")</f>
        <v>0</v>
      </c>
      <c r="J72" s="186" t="str">
        <f>IFERROR(('Lab Analysis'!M72/('Lab Analysis'!M72+(1.765*'Lab Analysis'!K72))),"0")</f>
        <v>0</v>
      </c>
      <c r="K72" s="190" t="str">
        <f>IFERROR(((2*('Lab Analysis'!M72/60))+('Lab Analysis'!K72/17))/(('Lab Analysis'!L72/44)+('Lab Analysis'!M72/60)),"0")</f>
        <v>0</v>
      </c>
      <c r="L72" s="190" t="str">
        <f>IFERROR((('Lab Analysis'!N72/18)-('Lab Analysis'!M72/60))/(('Lab Analysis'!L72/44)+('Lab Analysis'!M72/60)),"0")</f>
        <v>0</v>
      </c>
      <c r="M72" s="187" t="str">
        <f>IFERROR(((2*('Lab Analysis'!U72/60))+('Lab Analysis'!S72/17))/(('Lab Analysis'!T72/44)+('Lab Analysis'!U72/60)),"0")</f>
        <v>0</v>
      </c>
      <c r="N72" s="187" t="str">
        <f>IFERROR((('Lab Analysis'!V72/18)-('Lab Analysis'!U72/60))/(('Lab Analysis'!T72/44)+('Lab Analysis'!U72/60)),"0")</f>
        <v>0</v>
      </c>
      <c r="O72" s="187" t="str">
        <f>IFERROR(((2*('Lab Analysis'!Y72/60)+('Lab Analysis'!W72/17))/(('Lab Analysis'!X72/44)+('Lab Analysis'!Y72/60))),"0")</f>
        <v>0</v>
      </c>
      <c r="P72" s="187" t="str">
        <f>IFERROR((('Lab Analysis'!Z72/18)-('Lab Analysis'!Y72/60))/(('Lab Analysis'!X72/44)+('Lab Analysis'!Y72/60)),"0")</f>
        <v>0</v>
      </c>
      <c r="Q72" s="191"/>
    </row>
    <row r="73" spans="1:17">
      <c r="A73" s="185">
        <v>45887</v>
      </c>
      <c r="B73" s="186">
        <f>IFERROR(('Lab Analysis'!E73/('Lab Analysis'!E73+(1.364*'Lab Analysis'!D73))),"0")</f>
        <v>0.55843508056645919</v>
      </c>
      <c r="C73" s="186">
        <f>IFERROR((2*'Lab Analysis'!E73/60)/('Lab Analysis'!C73/17+(2*'Lab Analysis'!E73/60)),"0")</f>
        <v>0.38371706689476254</v>
      </c>
      <c r="D73" s="187">
        <f>IFERROR(((2*('Lab Analysis'!E73/60)+('Lab Analysis'!C73/17))/(('Lab Analysis'!D73/44)+('Lab Analysis'!E73/60))),"0")</f>
        <v>2.911003314950201</v>
      </c>
      <c r="E73" s="187">
        <f>IFERROR((('Lab Analysis'!F73/18)-('Lab Analysis'!E73/60))/(('Lab Analysis'!D73/44)+('Lab Analysis'!E73/60)),"0")</f>
        <v>0.6367457490565237</v>
      </c>
      <c r="F73" s="187">
        <f>IFERROR((('Lab Analysis'!F73/18)/('Lab Analysis'!E73/60)),"0")</f>
        <v>2.1400981313289487</v>
      </c>
      <c r="G73" s="188">
        <f>IFERROR(('Lab Analysis'!I73/('Lab Analysis'!I73+(1.765*'Lab Analysis'!G73))),"0")</f>
        <v>0.73798843510073076</v>
      </c>
      <c r="H73" s="189">
        <f>IFERROR(((2*('Lab Analysis'!I73/60))+('Lab Analysis'!G73/17))/(('Lab Analysis'!H73/44)+('Lab Analysis'!I73/60)),"0")</f>
        <v>2.0923518578702196</v>
      </c>
      <c r="I73" s="189">
        <f>IFERROR((('Lab Analysis'!J73/18)-('Lab Analysis'!I73/60))/(('Lab Analysis'!H73/44)+('Lab Analysis'!I73/60)),"0")</f>
        <v>0.69505831798649509</v>
      </c>
      <c r="J73" s="186">
        <f>IFERROR(('Lab Analysis'!M73/('Lab Analysis'!M73+(1.765*'Lab Analysis'!K73))),"0")</f>
        <v>0.59541131573173212</v>
      </c>
      <c r="K73" s="190">
        <f>IFERROR(((2*('Lab Analysis'!M73/60))+('Lab Analysis'!K73/17))/(('Lab Analysis'!L73/44)+('Lab Analysis'!M73/60)),"0")</f>
        <v>2.4097810263875501</v>
      </c>
      <c r="L73" s="190">
        <f>IFERROR((('Lab Analysis'!N73/18)-('Lab Analysis'!M73/60))/(('Lab Analysis'!L73/44)+('Lab Analysis'!M73/60)),"0")</f>
        <v>0.6047742147864148</v>
      </c>
      <c r="M73" s="187">
        <f>IFERROR(((2*('Lab Analysis'!U73/60))+('Lab Analysis'!S73/17))/(('Lab Analysis'!T73/44)+('Lab Analysis'!U73/60)),"0")</f>
        <v>2.3789302703329849</v>
      </c>
      <c r="N73" s="187">
        <f>IFERROR((('Lab Analysis'!V73/18)-('Lab Analysis'!U73/60))/(('Lab Analysis'!T73/44)+('Lab Analysis'!U73/60)),"0")</f>
        <v>1.3355248739864121</v>
      </c>
      <c r="O73" s="187">
        <f>IFERROR(((2*('Lab Analysis'!Y73/60)+('Lab Analysis'!W73/17))/(('Lab Analysis'!X73/44)+('Lab Analysis'!Y73/60))),"0")</f>
        <v>2.4167475209261786</v>
      </c>
      <c r="P73" s="187">
        <f>IFERROR((('Lab Analysis'!Z73/18)-('Lab Analysis'!Y73/60))/(('Lab Analysis'!X73/44)+('Lab Analysis'!Y73/60)),"0")</f>
        <v>2.1068555275991674</v>
      </c>
      <c r="Q73" s="191"/>
    </row>
    <row r="74" spans="1:17">
      <c r="A74" s="185">
        <v>45888</v>
      </c>
      <c r="B74" s="186">
        <f>IFERROR(('Lab Analysis'!E74/('Lab Analysis'!E74+(1.364*'Lab Analysis'!D74))),"0")</f>
        <v>0.55569241892473775</v>
      </c>
      <c r="C74" s="186">
        <f>IFERROR((2*'Lab Analysis'!E74/60)/('Lab Analysis'!C74/17+(2*'Lab Analysis'!E74/60)),"0")</f>
        <v>0.3820696468263769</v>
      </c>
      <c r="D74" s="187">
        <f>IFERROR(((2*('Lab Analysis'!E74/60)+('Lab Analysis'!C74/17))/(('Lab Analysis'!D74/44)+('Lab Analysis'!E74/60))),"0")</f>
        <v>2.9091986413854878</v>
      </c>
      <c r="E74" s="187">
        <f>IFERROR((('Lab Analysis'!F74/18)-('Lab Analysis'!E74/60))/(('Lab Analysis'!D74/44)+('Lab Analysis'!E74/60)),"0")</f>
        <v>0.62439192047377257</v>
      </c>
      <c r="F74" s="187">
        <f>IFERROR((('Lab Analysis'!F74/18)/('Lab Analysis'!E74/60)),"0")</f>
        <v>2.1234955520669794</v>
      </c>
      <c r="G74" s="188" t="str">
        <f>IFERROR(('Lab Analysis'!I74/('Lab Analysis'!I74+(1.765*'Lab Analysis'!G74))),"0")</f>
        <v>0</v>
      </c>
      <c r="H74" s="189" t="str">
        <f>IFERROR(((2*('Lab Analysis'!I74/60))+('Lab Analysis'!G74/17))/(('Lab Analysis'!H74/44)+('Lab Analysis'!I74/60)),"0")</f>
        <v>0</v>
      </c>
      <c r="I74" s="189" t="str">
        <f>IFERROR((('Lab Analysis'!J74/18)-('Lab Analysis'!I74/60))/(('Lab Analysis'!H74/44)+('Lab Analysis'!I74/60)),"0")</f>
        <v>0</v>
      </c>
      <c r="J74" s="186" t="str">
        <f>IFERROR(('Lab Analysis'!M74/('Lab Analysis'!M74+(1.765*'Lab Analysis'!K74))),"0")</f>
        <v>0</v>
      </c>
      <c r="K74" s="190" t="str">
        <f>IFERROR(((2*('Lab Analysis'!M74/60))+('Lab Analysis'!K74/17))/(('Lab Analysis'!L74/44)+('Lab Analysis'!M74/60)),"0")</f>
        <v>0</v>
      </c>
      <c r="L74" s="190" t="str">
        <f>IFERROR((('Lab Analysis'!N74/18)-('Lab Analysis'!M74/60))/(('Lab Analysis'!L74/44)+('Lab Analysis'!M74/60)),"0")</f>
        <v>0</v>
      </c>
      <c r="M74" s="187" t="str">
        <f>IFERROR(((2*('Lab Analysis'!U74/60))+('Lab Analysis'!S74/17))/(('Lab Analysis'!T74/44)+('Lab Analysis'!U74/60)),"0")</f>
        <v>0</v>
      </c>
      <c r="N74" s="187" t="str">
        <f>IFERROR((('Lab Analysis'!V74/18)-('Lab Analysis'!U74/60))/(('Lab Analysis'!T74/44)+('Lab Analysis'!U74/60)),"0")</f>
        <v>0</v>
      </c>
      <c r="O74" s="187" t="str">
        <f>IFERROR(((2*('Lab Analysis'!Y74/60)+('Lab Analysis'!W74/17))/(('Lab Analysis'!X74/44)+('Lab Analysis'!Y74/60))),"0")</f>
        <v>0</v>
      </c>
      <c r="P74" s="187" t="str">
        <f>IFERROR((('Lab Analysis'!Z74/18)-('Lab Analysis'!Y74/60))/(('Lab Analysis'!X74/44)+('Lab Analysis'!Y74/60)),"0")</f>
        <v>0</v>
      </c>
      <c r="Q74" s="191"/>
    </row>
    <row r="75" spans="1:17">
      <c r="A75" s="185">
        <v>45889</v>
      </c>
      <c r="B75" s="186">
        <f>IFERROR(('Lab Analysis'!E75/('Lab Analysis'!E75+(1.364*'Lab Analysis'!D75))),"0")</f>
        <v>0.55645757582687305</v>
      </c>
      <c r="C75" s="186">
        <f>IFERROR((2*'Lab Analysis'!E75/60)/('Lab Analysis'!C75/17+(2*'Lab Analysis'!E75/60)),"0")</f>
        <v>0.38536564709867743</v>
      </c>
      <c r="D75" s="187">
        <f>IFERROR(((2*('Lab Analysis'!E75/60)+('Lab Analysis'!C75/17))/(('Lab Analysis'!D75/44)+('Lab Analysis'!E75/60))),"0")</f>
        <v>2.8882874585718801</v>
      </c>
      <c r="E75" s="187">
        <f>IFERROR((('Lab Analysis'!F75/18)-('Lab Analysis'!E75/60))/(('Lab Analysis'!D75/44)+('Lab Analysis'!E75/60)),"0")</f>
        <v>0.6031891043310712</v>
      </c>
      <c r="F75" s="187">
        <f>IFERROR((('Lab Analysis'!F75/18)/('Lab Analysis'!E75/60)),"0")</f>
        <v>2.0838522208385237</v>
      </c>
      <c r="G75" s="188" t="str">
        <f>IFERROR(('Lab Analysis'!I75/('Lab Analysis'!I75+(1.765*'Lab Analysis'!G75))),"0")</f>
        <v>0</v>
      </c>
      <c r="H75" s="189" t="str">
        <f>IFERROR(((2*('Lab Analysis'!I75/60))+('Lab Analysis'!G75/17))/(('Lab Analysis'!H75/44)+('Lab Analysis'!I75/60)),"0")</f>
        <v>0</v>
      </c>
      <c r="I75" s="189" t="str">
        <f>IFERROR((('Lab Analysis'!J75/18)-('Lab Analysis'!I75/60))/(('Lab Analysis'!H75/44)+('Lab Analysis'!I75/60)),"0")</f>
        <v>0</v>
      </c>
      <c r="J75" s="186" t="str">
        <f>IFERROR(('Lab Analysis'!M75/('Lab Analysis'!M75+(1.765*'Lab Analysis'!K75))),"0")</f>
        <v>0</v>
      </c>
      <c r="K75" s="190" t="str">
        <f>IFERROR(((2*('Lab Analysis'!M75/60))+('Lab Analysis'!K75/17))/(('Lab Analysis'!L75/44)+('Lab Analysis'!M75/60)),"0")</f>
        <v>0</v>
      </c>
      <c r="L75" s="190" t="str">
        <f>IFERROR((('Lab Analysis'!N75/18)-('Lab Analysis'!M75/60))/(('Lab Analysis'!L75/44)+('Lab Analysis'!M75/60)),"0")</f>
        <v>0</v>
      </c>
      <c r="M75" s="187" t="str">
        <f>IFERROR(((2*('Lab Analysis'!U75/60))+('Lab Analysis'!S75/17))/(('Lab Analysis'!T75/44)+('Lab Analysis'!U75/60)),"0")</f>
        <v>0</v>
      </c>
      <c r="N75" s="187" t="str">
        <f>IFERROR((('Lab Analysis'!V75/18)-('Lab Analysis'!U75/60))/(('Lab Analysis'!T75/44)+('Lab Analysis'!U75/60)),"0")</f>
        <v>0</v>
      </c>
      <c r="O75" s="187" t="str">
        <f>IFERROR(((2*('Lab Analysis'!Y75/60)+('Lab Analysis'!W75/17))/(('Lab Analysis'!X75/44)+('Lab Analysis'!Y75/60))),"0")</f>
        <v>0</v>
      </c>
      <c r="P75" s="187" t="str">
        <f>IFERROR((('Lab Analysis'!Z75/18)-('Lab Analysis'!Y75/60))/(('Lab Analysis'!X75/44)+('Lab Analysis'!Y75/60)),"0")</f>
        <v>0</v>
      </c>
      <c r="Q75" s="191"/>
    </row>
    <row r="76" spans="1:17">
      <c r="A76" s="185">
        <v>45890</v>
      </c>
      <c r="B76" s="186">
        <f>IFERROR(('Lab Analysis'!E76/('Lab Analysis'!E76+(1.364*'Lab Analysis'!D76))),"0")</f>
        <v>0.55566973426807642</v>
      </c>
      <c r="C76" s="186">
        <f>IFERROR((2*'Lab Analysis'!E76/60)/('Lab Analysis'!C76/17+(2*'Lab Analysis'!E76/60)),"0")</f>
        <v>0.38692213939514186</v>
      </c>
      <c r="D76" s="187">
        <f>IFERROR(((2*('Lab Analysis'!E76/60)+('Lab Analysis'!C76/17))/(('Lab Analysis'!D76/44)+('Lab Analysis'!E76/60))),"0")</f>
        <v>2.8725963606890765</v>
      </c>
      <c r="E76" s="187">
        <f>IFERROR((('Lab Analysis'!F76/18)-('Lab Analysis'!E76/60))/(('Lab Analysis'!D76/44)+('Lab Analysis'!E76/60)),"0")</f>
        <v>0.60983269631051129</v>
      </c>
      <c r="F76" s="187">
        <f>IFERROR((('Lab Analysis'!F76/18)/('Lab Analysis'!E76/60)),"0")</f>
        <v>2.0973432959734342</v>
      </c>
      <c r="G76" s="188">
        <f>IFERROR(('Lab Analysis'!I76/('Lab Analysis'!I76+(1.765*'Lab Analysis'!G76))),"0")</f>
        <v>0.73913632845580124</v>
      </c>
      <c r="H76" s="189">
        <f>IFERROR(((2*('Lab Analysis'!I76/60))+('Lab Analysis'!G76/17))/(('Lab Analysis'!H76/44)+('Lab Analysis'!I76/60)),"0")</f>
        <v>2.1002916578328916</v>
      </c>
      <c r="I76" s="189">
        <f>IFERROR((('Lab Analysis'!J76/18)-('Lab Analysis'!I76/60))/(('Lab Analysis'!H76/44)+('Lab Analysis'!I76/60)),"0")</f>
        <v>0.67438991015061522</v>
      </c>
      <c r="J76" s="186">
        <f>IFERROR(('Lab Analysis'!M76/('Lab Analysis'!M76+(1.765*'Lab Analysis'!K76))),"0")</f>
        <v>0.60222832524351566</v>
      </c>
      <c r="K76" s="190">
        <f>IFERROR(((2*('Lab Analysis'!M76/60))+('Lab Analysis'!K76/17))/(('Lab Analysis'!L76/44)+('Lab Analysis'!M76/60)),"0")</f>
        <v>2.4094204713690703</v>
      </c>
      <c r="L76" s="190">
        <f>IFERROR((('Lab Analysis'!N76/18)-('Lab Analysis'!M76/60))/(('Lab Analysis'!L76/44)+('Lab Analysis'!M76/60)),"0")</f>
        <v>0.6640725186729709</v>
      </c>
      <c r="M76" s="187">
        <f>IFERROR(((2*('Lab Analysis'!U76/60))+('Lab Analysis'!S76/17))/(('Lab Analysis'!T76/44)+('Lab Analysis'!U76/60)),"0")</f>
        <v>2.4122458799470707</v>
      </c>
      <c r="N76" s="187">
        <f>IFERROR((('Lab Analysis'!V76/18)-('Lab Analysis'!U76/60))/(('Lab Analysis'!T76/44)+('Lab Analysis'!U76/60)),"0")</f>
        <v>1.5259032038173144</v>
      </c>
      <c r="O76" s="187">
        <f>IFERROR(((2*('Lab Analysis'!Y76/60)+('Lab Analysis'!W76/17))/(('Lab Analysis'!X76/44)+('Lab Analysis'!Y76/60))),"0")</f>
        <v>2.4793262122697146</v>
      </c>
      <c r="P76" s="187">
        <f>IFERROR((('Lab Analysis'!Z76/18)-('Lab Analysis'!Y76/60))/(('Lab Analysis'!X76/44)+('Lab Analysis'!Y76/60)),"0")</f>
        <v>2.1172299099438328</v>
      </c>
      <c r="Q76" s="191"/>
    </row>
    <row r="77" spans="1:17">
      <c r="A77" s="185">
        <v>45891</v>
      </c>
      <c r="B77" s="186" t="str">
        <f>IFERROR(('Lab Analysis'!E77/('Lab Analysis'!E77+(1.364*'Lab Analysis'!D77))),"0")</f>
        <v>0</v>
      </c>
      <c r="C77" s="186" t="str">
        <f>IFERROR((2*'Lab Analysis'!E77/60)/('Lab Analysis'!C77/17+(2*'Lab Analysis'!E77/60)),"0")</f>
        <v>0</v>
      </c>
      <c r="D77" s="187" t="str">
        <f>IFERROR(((2*('Lab Analysis'!E77/60)+('Lab Analysis'!C77/17))/(('Lab Analysis'!D77/44)+('Lab Analysis'!E77/60))),"0")</f>
        <v>0</v>
      </c>
      <c r="E77" s="187" t="str">
        <f>IFERROR((('Lab Analysis'!F77/18)-('Lab Analysis'!E77/60))/(('Lab Analysis'!D77/44)+('Lab Analysis'!E77/60)),"0")</f>
        <v>0</v>
      </c>
      <c r="F77" s="187" t="str">
        <f>IFERROR((('Lab Analysis'!F77/18)/('Lab Analysis'!E77/60)),"0")</f>
        <v>0</v>
      </c>
      <c r="G77" s="188" t="str">
        <f>IFERROR(('Lab Analysis'!I77/('Lab Analysis'!I77+(1.765*'Lab Analysis'!G77))),"0")</f>
        <v>0</v>
      </c>
      <c r="H77" s="189" t="str">
        <f>IFERROR(((2*('Lab Analysis'!I77/60))+('Lab Analysis'!G77/17))/(('Lab Analysis'!H77/44)+('Lab Analysis'!I77/60)),"0")</f>
        <v>0</v>
      </c>
      <c r="I77" s="189" t="str">
        <f>IFERROR((('Lab Analysis'!J77/18)-('Lab Analysis'!I77/60))/(('Lab Analysis'!H77/44)+('Lab Analysis'!I77/60)),"0")</f>
        <v>0</v>
      </c>
      <c r="J77" s="186" t="str">
        <f>IFERROR(('Lab Analysis'!M77/('Lab Analysis'!M77+(1.765*'Lab Analysis'!K77))),"0")</f>
        <v>0</v>
      </c>
      <c r="K77" s="190" t="str">
        <f>IFERROR(((2*('Lab Analysis'!M77/60))+('Lab Analysis'!K77/17))/(('Lab Analysis'!L77/44)+('Lab Analysis'!M77/60)),"0")</f>
        <v>0</v>
      </c>
      <c r="L77" s="190" t="str">
        <f>IFERROR((('Lab Analysis'!N77/18)-('Lab Analysis'!M77/60))/(('Lab Analysis'!L77/44)+('Lab Analysis'!M77/60)),"0")</f>
        <v>0</v>
      </c>
      <c r="M77" s="187" t="str">
        <f>IFERROR(((2*('Lab Analysis'!U77/60))+('Lab Analysis'!S77/17))/(('Lab Analysis'!T77/44)+('Lab Analysis'!U77/60)),"0")</f>
        <v>0</v>
      </c>
      <c r="N77" s="187" t="str">
        <f>IFERROR((('Lab Analysis'!V77/18)-('Lab Analysis'!U77/60))/(('Lab Analysis'!T77/44)+('Lab Analysis'!U77/60)),"0")</f>
        <v>0</v>
      </c>
      <c r="O77" s="187" t="str">
        <f>IFERROR(((2*('Lab Analysis'!Y77/60)+('Lab Analysis'!W77/17))/(('Lab Analysis'!X77/44)+('Lab Analysis'!Y77/60))),"0")</f>
        <v>0</v>
      </c>
      <c r="P77" s="187" t="str">
        <f>IFERROR((('Lab Analysis'!Z77/18)-('Lab Analysis'!Y77/60))/(('Lab Analysis'!X77/44)+('Lab Analysis'!Y77/60)),"0")</f>
        <v>0</v>
      </c>
      <c r="Q77" s="191"/>
    </row>
    <row r="78" spans="1:17">
      <c r="A78" s="185">
        <v>45892</v>
      </c>
      <c r="B78" s="186" t="str">
        <f>IFERROR(('Lab Analysis'!E78/('Lab Analysis'!E78+(1.364*'Lab Analysis'!D78))),"0")</f>
        <v>0</v>
      </c>
      <c r="C78" s="186" t="str">
        <f>IFERROR((2*'Lab Analysis'!E78/60)/('Lab Analysis'!C78/17+(2*'Lab Analysis'!E78/60)),"0")</f>
        <v>0</v>
      </c>
      <c r="D78" s="187" t="str">
        <f>IFERROR(((2*('Lab Analysis'!E78/60)+('Lab Analysis'!C78/17))/(('Lab Analysis'!D78/44)+('Lab Analysis'!E78/60))),"0")</f>
        <v>0</v>
      </c>
      <c r="E78" s="187" t="str">
        <f>IFERROR((('Lab Analysis'!F78/18)-('Lab Analysis'!E78/60))/(('Lab Analysis'!D78/44)+('Lab Analysis'!E78/60)),"0")</f>
        <v>0</v>
      </c>
      <c r="F78" s="187" t="str">
        <f>IFERROR((('Lab Analysis'!F78/18)/('Lab Analysis'!E78/60)),"0")</f>
        <v>0</v>
      </c>
      <c r="G78" s="188" t="str">
        <f>IFERROR(('Lab Analysis'!I78/('Lab Analysis'!I78+(1.765*'Lab Analysis'!G78))),"0")</f>
        <v>0</v>
      </c>
      <c r="H78" s="189" t="str">
        <f>IFERROR(((2*('Lab Analysis'!I78/60))+('Lab Analysis'!G78/17))/(('Lab Analysis'!H78/44)+('Lab Analysis'!I78/60)),"0")</f>
        <v>0</v>
      </c>
      <c r="I78" s="189" t="str">
        <f>IFERROR((('Lab Analysis'!J78/18)-('Lab Analysis'!I78/60))/(('Lab Analysis'!H78/44)+('Lab Analysis'!I78/60)),"0")</f>
        <v>0</v>
      </c>
      <c r="J78" s="186" t="str">
        <f>IFERROR(('Lab Analysis'!M78/('Lab Analysis'!M78+(1.765*'Lab Analysis'!K78))),"0")</f>
        <v>0</v>
      </c>
      <c r="K78" s="190" t="str">
        <f>IFERROR(((2*('Lab Analysis'!M78/60))+('Lab Analysis'!K78/17))/(('Lab Analysis'!L78/44)+('Lab Analysis'!M78/60)),"0")</f>
        <v>0</v>
      </c>
      <c r="L78" s="190" t="str">
        <f>IFERROR((('Lab Analysis'!N78/18)-('Lab Analysis'!M78/60))/(('Lab Analysis'!L78/44)+('Lab Analysis'!M78/60)),"0")</f>
        <v>0</v>
      </c>
      <c r="M78" s="187" t="str">
        <f>IFERROR(((2*('Lab Analysis'!U78/60))+('Lab Analysis'!S78/17))/(('Lab Analysis'!T78/44)+('Lab Analysis'!U78/60)),"0")</f>
        <v>0</v>
      </c>
      <c r="N78" s="187" t="str">
        <f>IFERROR((('Lab Analysis'!V78/18)-('Lab Analysis'!U78/60))/(('Lab Analysis'!T78/44)+('Lab Analysis'!U78/60)),"0")</f>
        <v>0</v>
      </c>
      <c r="O78" s="187" t="str">
        <f>IFERROR(((2*('Lab Analysis'!Y78/60)+('Lab Analysis'!W78/17))/(('Lab Analysis'!X78/44)+('Lab Analysis'!Y78/60))),"0")</f>
        <v>0</v>
      </c>
      <c r="P78" s="187" t="str">
        <f>IFERROR((('Lab Analysis'!Z78/18)-('Lab Analysis'!Y78/60))/(('Lab Analysis'!X78/44)+('Lab Analysis'!Y78/60)),"0")</f>
        <v>0</v>
      </c>
      <c r="Q78" s="191"/>
    </row>
    <row r="79" spans="1:17">
      <c r="A79" s="185">
        <v>45893</v>
      </c>
      <c r="B79" s="186" t="str">
        <f>IFERROR(('Lab Analysis'!E79/('Lab Analysis'!E79+(1.364*'Lab Analysis'!D79))),"0")</f>
        <v>0</v>
      </c>
      <c r="C79" s="186" t="str">
        <f>IFERROR((2*'Lab Analysis'!E79/60)/('Lab Analysis'!C79/17+(2*'Lab Analysis'!E79/60)),"0")</f>
        <v>0</v>
      </c>
      <c r="D79" s="187" t="str">
        <f>IFERROR(((2*('Lab Analysis'!E79/60)+('Lab Analysis'!C79/17))/(('Lab Analysis'!D79/44)+('Lab Analysis'!E79/60))),"0")</f>
        <v>0</v>
      </c>
      <c r="E79" s="187" t="str">
        <f>IFERROR((('Lab Analysis'!F79/18)-('Lab Analysis'!E79/60))/(('Lab Analysis'!D79/44)+('Lab Analysis'!E79/60)),"0")</f>
        <v>0</v>
      </c>
      <c r="F79" s="187" t="str">
        <f>IFERROR((('Lab Analysis'!F79/18)/('Lab Analysis'!E79/60)),"0")</f>
        <v>0</v>
      </c>
      <c r="G79" s="188" t="str">
        <f>IFERROR(('Lab Analysis'!I79/('Lab Analysis'!I79+(1.765*'Lab Analysis'!G79))),"0")</f>
        <v>0</v>
      </c>
      <c r="H79" s="189" t="str">
        <f>IFERROR(((2*('Lab Analysis'!I79/60))+('Lab Analysis'!G79/17))/(('Lab Analysis'!H79/44)+('Lab Analysis'!I79/60)),"0")</f>
        <v>0</v>
      </c>
      <c r="I79" s="189" t="str">
        <f>IFERROR((('Lab Analysis'!J79/18)-('Lab Analysis'!I79/60))/(('Lab Analysis'!H79/44)+('Lab Analysis'!I79/60)),"0")</f>
        <v>0</v>
      </c>
      <c r="J79" s="186" t="str">
        <f>IFERROR(('Lab Analysis'!M79/('Lab Analysis'!M79+(1.765*'Lab Analysis'!K79))),"0")</f>
        <v>0</v>
      </c>
      <c r="K79" s="190" t="str">
        <f>IFERROR(((2*('Lab Analysis'!M79/60))+('Lab Analysis'!K79/17))/(('Lab Analysis'!L79/44)+('Lab Analysis'!M79/60)),"0")</f>
        <v>0</v>
      </c>
      <c r="L79" s="190" t="str">
        <f>IFERROR((('Lab Analysis'!N79/18)-('Lab Analysis'!M79/60))/(('Lab Analysis'!L79/44)+('Lab Analysis'!M79/60)),"0")</f>
        <v>0</v>
      </c>
      <c r="M79" s="187" t="str">
        <f>IFERROR(((2*('Lab Analysis'!U79/60))+('Lab Analysis'!S79/17))/(('Lab Analysis'!T79/44)+('Lab Analysis'!U79/60)),"0")</f>
        <v>0</v>
      </c>
      <c r="N79" s="187" t="str">
        <f>IFERROR((('Lab Analysis'!V79/18)-('Lab Analysis'!U79/60))/(('Lab Analysis'!T79/44)+('Lab Analysis'!U79/60)),"0")</f>
        <v>0</v>
      </c>
      <c r="O79" s="187" t="str">
        <f>IFERROR(((2*('Lab Analysis'!Y79/60)+('Lab Analysis'!W79/17))/(('Lab Analysis'!X79/44)+('Lab Analysis'!Y79/60))),"0")</f>
        <v>0</v>
      </c>
      <c r="P79" s="187" t="str">
        <f>IFERROR((('Lab Analysis'!Z79/18)-('Lab Analysis'!Y79/60))/(('Lab Analysis'!X79/44)+('Lab Analysis'!Y79/60)),"0")</f>
        <v>0</v>
      </c>
      <c r="Q79" s="191"/>
    </row>
    <row r="80" spans="1:17">
      <c r="A80" s="185">
        <v>45894</v>
      </c>
      <c r="B80" s="186">
        <f>IFERROR(('Lab Analysis'!E80/('Lab Analysis'!E80+(1.364*'Lab Analysis'!D80))),"0")</f>
        <v>0.55801847446631025</v>
      </c>
      <c r="C80" s="186">
        <f>IFERROR((2*'Lab Analysis'!E80/60)/('Lab Analysis'!C80/17+(2*'Lab Analysis'!E80/60)),"0")</f>
        <v>0.38406543816136385</v>
      </c>
      <c r="D80" s="187">
        <f>IFERROR(((2*('Lab Analysis'!E80/60)+('Lab Analysis'!C80/17))/(('Lab Analysis'!D80/44)+('Lab Analysis'!E80/60))),"0")</f>
        <v>2.9061934673484773</v>
      </c>
      <c r="E80" s="187">
        <f>IFERROR((('Lab Analysis'!F80/18)-('Lab Analysis'!E80/60))/(('Lab Analysis'!D80/44)+('Lab Analysis'!E80/60)),"0")</f>
        <v>0.66259701984817299</v>
      </c>
      <c r="F80" s="187">
        <f>IFERROR((('Lab Analysis'!F80/18)/('Lab Analysis'!E80/60)),"0")</f>
        <v>2.1872706301772049</v>
      </c>
      <c r="G80" s="188">
        <f>IFERROR(('Lab Analysis'!I80/('Lab Analysis'!I80+(1.765*'Lab Analysis'!G80))),"0")</f>
        <v>0.74112241328077311</v>
      </c>
      <c r="H80" s="189">
        <f>IFERROR(((2*('Lab Analysis'!I80/60))+('Lab Analysis'!G80/17))/(('Lab Analysis'!H80/44)+('Lab Analysis'!I80/60)),"0")</f>
        <v>2.1009488833208199</v>
      </c>
      <c r="I80" s="189">
        <f>IFERROR((('Lab Analysis'!J80/18)-('Lab Analysis'!I80/60))/(('Lab Analysis'!H80/44)+('Lab Analysis'!I80/60)),"0")</f>
        <v>0.6971654108360239</v>
      </c>
      <c r="J80" s="186">
        <f>IFERROR(('Lab Analysis'!M80/('Lab Analysis'!M80+(1.765*'Lab Analysis'!K80))),"0")</f>
        <v>0.61490573833892415</v>
      </c>
      <c r="K80" s="190">
        <f>IFERROR(((2*('Lab Analysis'!M80/60))+('Lab Analysis'!K80/17))/(('Lab Analysis'!L80/44)+('Lab Analysis'!M80/60)),"0")</f>
        <v>2.3676396392118422</v>
      </c>
      <c r="L80" s="190">
        <f>IFERROR((('Lab Analysis'!N80/18)-('Lab Analysis'!M80/60))/(('Lab Analysis'!L80/44)+('Lab Analysis'!M80/60)),"0")</f>
        <v>0.605041491881814</v>
      </c>
      <c r="M80" s="187">
        <f>IFERROR(((2*('Lab Analysis'!U80/60))+('Lab Analysis'!S80/17))/(('Lab Analysis'!T80/44)+('Lab Analysis'!U80/60)),"0")</f>
        <v>2.3425529152058173</v>
      </c>
      <c r="N80" s="187">
        <f>IFERROR((('Lab Analysis'!V80/18)-('Lab Analysis'!U80/60))/(('Lab Analysis'!T80/44)+('Lab Analysis'!U80/60)),"0")</f>
        <v>1.3388384705529663</v>
      </c>
      <c r="O80" s="187">
        <f>IFERROR(((2*('Lab Analysis'!Y80/60)+('Lab Analysis'!W80/17))/(('Lab Analysis'!X80/44)+('Lab Analysis'!Y80/60))),"0")</f>
        <v>2.4325953098388573</v>
      </c>
      <c r="P80" s="187">
        <f>IFERROR((('Lab Analysis'!Z80/18)-('Lab Analysis'!Y80/60))/(('Lab Analysis'!X80/44)+('Lab Analysis'!Y80/60)),"0")</f>
        <v>2.0633506557782719</v>
      </c>
      <c r="Q80" s="191"/>
    </row>
    <row r="81" spans="1:17">
      <c r="A81" s="185">
        <v>45895</v>
      </c>
      <c r="B81" s="186">
        <f>IFERROR(('Lab Analysis'!E81/('Lab Analysis'!E81+(1.364*'Lab Analysis'!D81))),"0")</f>
        <v>0.5559307342914066</v>
      </c>
      <c r="C81" s="186">
        <f>IFERROR((2*'Lab Analysis'!E81/60)/('Lab Analysis'!C81/17+(2*'Lab Analysis'!E81/60)),"0")</f>
        <v>0.38486581421748162</v>
      </c>
      <c r="D81" s="187">
        <f>IFERROR(((2*('Lab Analysis'!E81/60)+('Lab Analysis'!C81/17))/(('Lab Analysis'!D81/44)+('Lab Analysis'!E81/60))),"0")</f>
        <v>2.8893008236194246</v>
      </c>
      <c r="E81" s="187">
        <f>IFERROR((('Lab Analysis'!F81/18)-('Lab Analysis'!E81/60))/(('Lab Analysis'!D81/44)+('Lab Analysis'!E81/60)),"0")</f>
        <v>0.67136891099209395</v>
      </c>
      <c r="F81" s="187">
        <f>IFERROR((('Lab Analysis'!F81/18)/('Lab Analysis'!E81/60)),"0")</f>
        <v>2.2075055187637971</v>
      </c>
      <c r="G81" s="188" t="str">
        <f>IFERROR(('Lab Analysis'!I81/('Lab Analysis'!I81+(1.765*'Lab Analysis'!G81))),"0")</f>
        <v>0</v>
      </c>
      <c r="H81" s="189" t="str">
        <f>IFERROR(((2*('Lab Analysis'!I81/60))+('Lab Analysis'!G81/17))/(('Lab Analysis'!H81/44)+('Lab Analysis'!I81/60)),"0")</f>
        <v>0</v>
      </c>
      <c r="I81" s="189" t="str">
        <f>IFERROR((('Lab Analysis'!J81/18)-('Lab Analysis'!I81/60))/(('Lab Analysis'!H81/44)+('Lab Analysis'!I81/60)),"0")</f>
        <v>0</v>
      </c>
      <c r="J81" s="186" t="str">
        <f>IFERROR(('Lab Analysis'!M81/('Lab Analysis'!M81+(1.765*'Lab Analysis'!K81))),"0")</f>
        <v>0</v>
      </c>
      <c r="K81" s="190" t="str">
        <f>IFERROR(((2*('Lab Analysis'!M81/60))+('Lab Analysis'!K81/17))/(('Lab Analysis'!L81/44)+('Lab Analysis'!M81/60)),"0")</f>
        <v>0</v>
      </c>
      <c r="L81" s="190" t="str">
        <f>IFERROR((('Lab Analysis'!N81/18)-('Lab Analysis'!M81/60))/(('Lab Analysis'!L81/44)+('Lab Analysis'!M81/60)),"0")</f>
        <v>0</v>
      </c>
      <c r="M81" s="187" t="str">
        <f>IFERROR(((2*('Lab Analysis'!U81/60))+('Lab Analysis'!S81/17))/(('Lab Analysis'!T81/44)+('Lab Analysis'!U81/60)),"0")</f>
        <v>0</v>
      </c>
      <c r="N81" s="187" t="str">
        <f>IFERROR((('Lab Analysis'!V81/18)-('Lab Analysis'!U81/60))/(('Lab Analysis'!T81/44)+('Lab Analysis'!U81/60)),"0")</f>
        <v>0</v>
      </c>
      <c r="O81" s="187" t="str">
        <f>IFERROR(((2*('Lab Analysis'!Y81/60)+('Lab Analysis'!W81/17))/(('Lab Analysis'!X81/44)+('Lab Analysis'!Y81/60))),"0")</f>
        <v>0</v>
      </c>
      <c r="P81" s="187" t="str">
        <f>IFERROR((('Lab Analysis'!Z81/18)-('Lab Analysis'!Y81/60))/(('Lab Analysis'!X81/44)+('Lab Analysis'!Y81/60)),"0")</f>
        <v>0</v>
      </c>
      <c r="Q81" s="191"/>
    </row>
    <row r="82" spans="1:17">
      <c r="A82" s="185">
        <v>45896</v>
      </c>
      <c r="B82" s="186" t="str">
        <f>IFERROR(('Lab Analysis'!E82/('Lab Analysis'!E82+(1.364*'Lab Analysis'!D82))),"0")</f>
        <v>0</v>
      </c>
      <c r="C82" s="186" t="str">
        <f>IFERROR((2*'Lab Analysis'!E82/60)/('Lab Analysis'!C82/17+(2*'Lab Analysis'!E82/60)),"0")</f>
        <v>0</v>
      </c>
      <c r="D82" s="187" t="str">
        <f>IFERROR(((2*('Lab Analysis'!E82/60)+('Lab Analysis'!C82/17))/(('Lab Analysis'!D82/44)+('Lab Analysis'!E82/60))),"0")</f>
        <v>0</v>
      </c>
      <c r="E82" s="187" t="str">
        <f>IFERROR((('Lab Analysis'!F82/18)-('Lab Analysis'!E82/60))/(('Lab Analysis'!D82/44)+('Lab Analysis'!E82/60)),"0")</f>
        <v>0</v>
      </c>
      <c r="F82" s="187" t="str">
        <f>IFERROR((('Lab Analysis'!F82/18)/('Lab Analysis'!E82/60)),"0")</f>
        <v>0</v>
      </c>
      <c r="G82" s="188" t="str">
        <f>IFERROR(('Lab Analysis'!I82/('Lab Analysis'!I82+(1.765*'Lab Analysis'!G82))),"0")</f>
        <v>0</v>
      </c>
      <c r="H82" s="189" t="str">
        <f>IFERROR(((2*('Lab Analysis'!I82/60))+('Lab Analysis'!G82/17))/(('Lab Analysis'!H82/44)+('Lab Analysis'!I82/60)),"0")</f>
        <v>0</v>
      </c>
      <c r="I82" s="189" t="str">
        <f>IFERROR((('Lab Analysis'!J82/18)-('Lab Analysis'!I82/60))/(('Lab Analysis'!H82/44)+('Lab Analysis'!I82/60)),"0")</f>
        <v>0</v>
      </c>
      <c r="J82" s="186" t="str">
        <f>IFERROR(('Lab Analysis'!M82/('Lab Analysis'!M82+(1.765*'Lab Analysis'!K82))),"0")</f>
        <v>0</v>
      </c>
      <c r="K82" s="190" t="str">
        <f>IFERROR(((2*('Lab Analysis'!M82/60))+('Lab Analysis'!K82/17))/(('Lab Analysis'!L82/44)+('Lab Analysis'!M82/60)),"0")</f>
        <v>0</v>
      </c>
      <c r="L82" s="190" t="str">
        <f>IFERROR((('Lab Analysis'!N82/18)-('Lab Analysis'!M82/60))/(('Lab Analysis'!L82/44)+('Lab Analysis'!M82/60)),"0")</f>
        <v>0</v>
      </c>
      <c r="M82" s="187" t="str">
        <f>IFERROR(((2*('Lab Analysis'!U82/60))+('Lab Analysis'!S82/17))/(('Lab Analysis'!T82/44)+('Lab Analysis'!U82/60)),"0")</f>
        <v>0</v>
      </c>
      <c r="N82" s="187" t="str">
        <f>IFERROR((('Lab Analysis'!V82/18)-('Lab Analysis'!U82/60))/(('Lab Analysis'!T82/44)+('Lab Analysis'!U82/60)),"0")</f>
        <v>0</v>
      </c>
      <c r="O82" s="187" t="str">
        <f>IFERROR(((2*('Lab Analysis'!Y82/60)+('Lab Analysis'!W82/17))/(('Lab Analysis'!X82/44)+('Lab Analysis'!Y82/60))),"0")</f>
        <v>0</v>
      </c>
      <c r="P82" s="187" t="str">
        <f>IFERROR((('Lab Analysis'!Z82/18)-('Lab Analysis'!Y82/60))/(('Lab Analysis'!X82/44)+('Lab Analysis'!Y82/60)),"0")</f>
        <v>0</v>
      </c>
      <c r="Q82" s="191"/>
    </row>
    <row r="83" spans="1:17">
      <c r="A83" s="185">
        <v>45897</v>
      </c>
      <c r="B83" s="186">
        <f>IFERROR(('Lab Analysis'!E83/('Lab Analysis'!E83+(1.364*'Lab Analysis'!D83))),"0")</f>
        <v>0.55668641266460717</v>
      </c>
      <c r="C83" s="186">
        <f>IFERROR((2*'Lab Analysis'!E83/60)/('Lab Analysis'!C83/17+(2*'Lab Analysis'!E83/60)),"0")</f>
        <v>0.38586071258366711</v>
      </c>
      <c r="D83" s="187">
        <f>IFERROR(((2*('Lab Analysis'!E83/60)+('Lab Analysis'!C83/17))/(('Lab Analysis'!D83/44)+('Lab Analysis'!E83/60))),"0")</f>
        <v>2.8857678147235166</v>
      </c>
      <c r="E83" s="187">
        <f>IFERROR((('Lab Analysis'!F83/18)-('Lab Analysis'!E83/60))/(('Lab Analysis'!D83/44)+('Lab Analysis'!E83/60)),"0")</f>
        <v>0.64596749463354841</v>
      </c>
      <c r="F83" s="187">
        <f>IFERROR((('Lab Analysis'!F83/18)/('Lab Analysis'!E83/60)),"0")</f>
        <v>2.1602423482711801</v>
      </c>
      <c r="G83" s="188">
        <f>IFERROR(('Lab Analysis'!I83/('Lab Analysis'!I83+(1.765*'Lab Analysis'!G83))),"0")</f>
        <v>0.73561850434497134</v>
      </c>
      <c r="H83" s="189">
        <f>IFERROR(((2*('Lab Analysis'!I83/60))+('Lab Analysis'!G83/17))/(('Lab Analysis'!H83/44)+('Lab Analysis'!I83/60)),"0")</f>
        <v>2.1050101966064112</v>
      </c>
      <c r="I83" s="189">
        <f>IFERROR((('Lab Analysis'!J83/18)-('Lab Analysis'!I83/60))/(('Lab Analysis'!H83/44)+('Lab Analysis'!I83/60)),"0")</f>
        <v>0.70979187703354663</v>
      </c>
      <c r="J83" s="186">
        <f>IFERROR(('Lab Analysis'!M83/('Lab Analysis'!M83+(1.765*'Lab Analysis'!K83))),"0")</f>
        <v>0.60279319094635597</v>
      </c>
      <c r="K83" s="190">
        <f>IFERROR(((2*('Lab Analysis'!M83/60))+('Lab Analysis'!K83/17))/(('Lab Analysis'!L83/44)+('Lab Analysis'!M83/60)),"0")</f>
        <v>2.4117371603288937</v>
      </c>
      <c r="L83" s="190">
        <f>IFERROR((('Lab Analysis'!N83/18)-('Lab Analysis'!M83/60))/(('Lab Analysis'!L83/44)+('Lab Analysis'!M83/60)),"0")</f>
        <v>0.64344806056349069</v>
      </c>
      <c r="M83" s="187">
        <f>IFERROR(((2*('Lab Analysis'!U83/60))+('Lab Analysis'!S83/17))/(('Lab Analysis'!T83/44)+('Lab Analysis'!U83/60)),"0")</f>
        <v>2.3923337756155094</v>
      </c>
      <c r="N83" s="187">
        <f>IFERROR((('Lab Analysis'!V83/18)-('Lab Analysis'!U83/60))/(('Lab Analysis'!T83/44)+('Lab Analysis'!U83/60)),"0")</f>
        <v>1.4225563909774437</v>
      </c>
      <c r="O83" s="187">
        <f>IFERROR(((2*('Lab Analysis'!Y83/60)+('Lab Analysis'!W83/17))/(('Lab Analysis'!X83/44)+('Lab Analysis'!Y83/60))),"0")</f>
        <v>2.4140966269254767</v>
      </c>
      <c r="P83" s="187">
        <f>IFERROR((('Lab Analysis'!Z83/18)-('Lab Analysis'!Y83/60))/(('Lab Analysis'!X83/44)+('Lab Analysis'!Y83/60)),"0")</f>
        <v>2.0998200880947957</v>
      </c>
      <c r="Q83" s="191"/>
    </row>
    <row r="84" spans="1:17">
      <c r="A84" s="185">
        <v>45898</v>
      </c>
      <c r="B84" s="186">
        <f>IFERROR(('Lab Analysis'!E84/('Lab Analysis'!E84+(1.364*'Lab Analysis'!D84))),"0")</f>
        <v>0.55696287826623458</v>
      </c>
      <c r="C84" s="186">
        <f>IFERROR((2*'Lab Analysis'!E84/60)/('Lab Analysis'!C84/17+(2*'Lab Analysis'!E84/60)),"0")</f>
        <v>0.38550240054869689</v>
      </c>
      <c r="D84" s="187">
        <f>IFERROR(((2*('Lab Analysis'!E84/60)+('Lab Analysis'!C84/17))/(('Lab Analysis'!D84/44)+('Lab Analysis'!E84/60))),"0")</f>
        <v>2.8898843125054543</v>
      </c>
      <c r="E84" s="187">
        <f>IFERROR((('Lab Analysis'!F84/18)-('Lab Analysis'!E84/60))/(('Lab Analysis'!D84/44)+('Lab Analysis'!E84/60)),"0")</f>
        <v>0.67613288873998179</v>
      </c>
      <c r="F84" s="187">
        <f>IFERROR((('Lab Analysis'!F84/18)/('Lab Analysis'!E84/60)),"0")</f>
        <v>2.2138206259189244</v>
      </c>
      <c r="G84" s="188" t="str">
        <f>IFERROR(('Lab Analysis'!I84/('Lab Analysis'!I84+(1.765*'Lab Analysis'!G84))),"0")</f>
        <v>0</v>
      </c>
      <c r="H84" s="189" t="str">
        <f>IFERROR(((2*('Lab Analysis'!I84/60))+('Lab Analysis'!G84/17))/(('Lab Analysis'!H84/44)+('Lab Analysis'!I84/60)),"0")</f>
        <v>0</v>
      </c>
      <c r="I84" s="189" t="str">
        <f>IFERROR((('Lab Analysis'!J84/18)-('Lab Analysis'!I84/60))/(('Lab Analysis'!H84/44)+('Lab Analysis'!I84/60)),"0")</f>
        <v>0</v>
      </c>
      <c r="J84" s="186" t="str">
        <f>IFERROR(('Lab Analysis'!M84/('Lab Analysis'!M84+(1.765*'Lab Analysis'!K84))),"0")</f>
        <v>0</v>
      </c>
      <c r="K84" s="190" t="str">
        <f>IFERROR(((2*('Lab Analysis'!M84/60))+('Lab Analysis'!K84/17))/(('Lab Analysis'!L84/44)+('Lab Analysis'!M84/60)),"0")</f>
        <v>0</v>
      </c>
      <c r="L84" s="190" t="str">
        <f>IFERROR((('Lab Analysis'!N84/18)-('Lab Analysis'!M84/60))/(('Lab Analysis'!L84/44)+('Lab Analysis'!M84/60)),"0")</f>
        <v>0</v>
      </c>
      <c r="M84" s="187" t="str">
        <f>IFERROR(((2*('Lab Analysis'!U84/60))+('Lab Analysis'!S84/17))/(('Lab Analysis'!T84/44)+('Lab Analysis'!U84/60)),"0")</f>
        <v>0</v>
      </c>
      <c r="N84" s="187" t="str">
        <f>IFERROR((('Lab Analysis'!V84/18)-('Lab Analysis'!U84/60))/(('Lab Analysis'!T84/44)+('Lab Analysis'!U84/60)),"0")</f>
        <v>0</v>
      </c>
      <c r="O84" s="187" t="str">
        <f>IFERROR(((2*('Lab Analysis'!Y84/60)+('Lab Analysis'!W84/17))/(('Lab Analysis'!X84/44)+('Lab Analysis'!Y84/60))),"0")</f>
        <v>0</v>
      </c>
      <c r="P84" s="187" t="str">
        <f>IFERROR((('Lab Analysis'!Z84/18)-('Lab Analysis'!Y84/60))/(('Lab Analysis'!X84/44)+('Lab Analysis'!Y84/60)),"0")</f>
        <v>0</v>
      </c>
      <c r="Q84" s="191"/>
    </row>
    <row r="85" spans="1:17">
      <c r="A85" s="185">
        <v>45899</v>
      </c>
      <c r="B85" s="186" t="str">
        <f>IFERROR(('Lab Analysis'!E85/('Lab Analysis'!E85+(1.364*'Lab Analysis'!D85))),"0")</f>
        <v>0</v>
      </c>
      <c r="C85" s="186" t="str">
        <f>IFERROR((2*'Lab Analysis'!E85/60)/('Lab Analysis'!C85/17+(2*'Lab Analysis'!E85/60)),"0")</f>
        <v>0</v>
      </c>
      <c r="D85" s="187" t="str">
        <f>IFERROR(((2*('Lab Analysis'!E85/60)+('Lab Analysis'!C85/17))/(('Lab Analysis'!D85/44)+('Lab Analysis'!E85/60))),"0")</f>
        <v>0</v>
      </c>
      <c r="E85" s="187" t="str">
        <f>IFERROR((('Lab Analysis'!F85/18)-('Lab Analysis'!E85/60))/(('Lab Analysis'!D85/44)+('Lab Analysis'!E85/60)),"0")</f>
        <v>0</v>
      </c>
      <c r="F85" s="187" t="str">
        <f>IFERROR((('Lab Analysis'!F85/18)/('Lab Analysis'!E85/60)),"0")</f>
        <v>0</v>
      </c>
      <c r="G85" s="188" t="str">
        <f>IFERROR(('Lab Analysis'!I85/('Lab Analysis'!I85+(1.765*'Lab Analysis'!G85))),"0")</f>
        <v>0</v>
      </c>
      <c r="H85" s="189" t="str">
        <f>IFERROR(((2*('Lab Analysis'!I85/60))+('Lab Analysis'!G85/17))/(('Lab Analysis'!H85/44)+('Lab Analysis'!I85/60)),"0")</f>
        <v>0</v>
      </c>
      <c r="I85" s="189" t="str">
        <f>IFERROR((('Lab Analysis'!J85/18)-('Lab Analysis'!I85/60))/(('Lab Analysis'!H85/44)+('Lab Analysis'!I85/60)),"0")</f>
        <v>0</v>
      </c>
      <c r="J85" s="186" t="str">
        <f>IFERROR(('Lab Analysis'!M85/('Lab Analysis'!M85+(1.765*'Lab Analysis'!K85))),"0")</f>
        <v>0</v>
      </c>
      <c r="K85" s="190" t="str">
        <f>IFERROR(((2*('Lab Analysis'!M85/60))+('Lab Analysis'!K85/17))/(('Lab Analysis'!L85/44)+('Lab Analysis'!M85/60)),"0")</f>
        <v>0</v>
      </c>
      <c r="L85" s="190" t="str">
        <f>IFERROR((('Lab Analysis'!N85/18)-('Lab Analysis'!M85/60))/(('Lab Analysis'!L85/44)+('Lab Analysis'!M85/60)),"0")</f>
        <v>0</v>
      </c>
      <c r="M85" s="187" t="str">
        <f>IFERROR(((2*('Lab Analysis'!U85/60))+('Lab Analysis'!S85/17))/(('Lab Analysis'!T85/44)+('Lab Analysis'!U85/60)),"0")</f>
        <v>0</v>
      </c>
      <c r="N85" s="187" t="str">
        <f>IFERROR((('Lab Analysis'!V85/18)-('Lab Analysis'!U85/60))/(('Lab Analysis'!T85/44)+('Lab Analysis'!U85/60)),"0")</f>
        <v>0</v>
      </c>
      <c r="O85" s="187" t="str">
        <f>IFERROR(((2*('Lab Analysis'!Y85/60)+('Lab Analysis'!W85/17))/(('Lab Analysis'!X85/44)+('Lab Analysis'!Y85/60))),"0")</f>
        <v>0</v>
      </c>
      <c r="P85" s="187" t="str">
        <f>IFERROR((('Lab Analysis'!Z85/18)-('Lab Analysis'!Y85/60))/(('Lab Analysis'!X85/44)+('Lab Analysis'!Y85/60)),"0")</f>
        <v>0</v>
      </c>
      <c r="Q85" s="191"/>
    </row>
    <row r="86" spans="1:17">
      <c r="A86" s="185">
        <v>45900</v>
      </c>
      <c r="B86" s="186" t="str">
        <f>IFERROR(('Lab Analysis'!E86/('Lab Analysis'!E86+(1.364*'Lab Analysis'!D86))),"0")</f>
        <v>0</v>
      </c>
      <c r="C86" s="186" t="str">
        <f>IFERROR((2*'Lab Analysis'!E86/60)/('Lab Analysis'!C86/17+(2*'Lab Analysis'!E86/60)),"0")</f>
        <v>0</v>
      </c>
      <c r="D86" s="187" t="str">
        <f>IFERROR(((2*('Lab Analysis'!E86/60)+('Lab Analysis'!C86/17))/(('Lab Analysis'!D86/44)+('Lab Analysis'!E86/60))),"0")</f>
        <v>0</v>
      </c>
      <c r="E86" s="187" t="str">
        <f>IFERROR((('Lab Analysis'!F86/18)-('Lab Analysis'!E86/60))/(('Lab Analysis'!D86/44)+('Lab Analysis'!E86/60)),"0")</f>
        <v>0</v>
      </c>
      <c r="F86" s="187" t="str">
        <f>IFERROR((('Lab Analysis'!F86/18)/('Lab Analysis'!E86/60)),"0")</f>
        <v>0</v>
      </c>
      <c r="G86" s="188" t="str">
        <f>IFERROR(('Lab Analysis'!I86/('Lab Analysis'!I86+(1.765*'Lab Analysis'!G86))),"0")</f>
        <v>0</v>
      </c>
      <c r="H86" s="189" t="str">
        <f>IFERROR(((2*('Lab Analysis'!I86/60))+('Lab Analysis'!G86/17))/(('Lab Analysis'!H86/44)+('Lab Analysis'!I86/60)),"0")</f>
        <v>0</v>
      </c>
      <c r="I86" s="189" t="str">
        <f>IFERROR((('Lab Analysis'!J86/18)-('Lab Analysis'!I86/60))/(('Lab Analysis'!H86/44)+('Lab Analysis'!I86/60)),"0")</f>
        <v>0</v>
      </c>
      <c r="J86" s="186" t="str">
        <f>IFERROR(('Lab Analysis'!M86/('Lab Analysis'!M86+(1.765*'Lab Analysis'!K86))),"0")</f>
        <v>0</v>
      </c>
      <c r="K86" s="190" t="str">
        <f>IFERROR(((2*('Lab Analysis'!M86/60))+('Lab Analysis'!K86/17))/(('Lab Analysis'!L86/44)+('Lab Analysis'!M86/60)),"0")</f>
        <v>0</v>
      </c>
      <c r="L86" s="190" t="str">
        <f>IFERROR((('Lab Analysis'!N86/18)-('Lab Analysis'!M86/60))/(('Lab Analysis'!L86/44)+('Lab Analysis'!M86/60)),"0")</f>
        <v>0</v>
      </c>
      <c r="M86" s="187" t="str">
        <f>IFERROR(((2*('Lab Analysis'!U86/60))+('Lab Analysis'!S86/17))/(('Lab Analysis'!T86/44)+('Lab Analysis'!U86/60)),"0")</f>
        <v>0</v>
      </c>
      <c r="N86" s="187" t="str">
        <f>IFERROR((('Lab Analysis'!V86/18)-('Lab Analysis'!U86/60))/(('Lab Analysis'!T86/44)+('Lab Analysis'!U86/60)),"0")</f>
        <v>0</v>
      </c>
      <c r="O86" s="187" t="str">
        <f>IFERROR(((2*('Lab Analysis'!Y86/60)+('Lab Analysis'!W86/17))/(('Lab Analysis'!X86/44)+('Lab Analysis'!Y86/60))),"0")</f>
        <v>0</v>
      </c>
      <c r="P86" s="187" t="str">
        <f>IFERROR((('Lab Analysis'!Z86/18)-('Lab Analysis'!Y86/60))/(('Lab Analysis'!X86/44)+('Lab Analysis'!Y86/60)),"0")</f>
        <v>0</v>
      </c>
      <c r="Q86" s="191"/>
    </row>
    <row r="87" spans="1:17">
      <c r="A87" s="185">
        <v>45901</v>
      </c>
      <c r="B87" s="186" t="str">
        <f>IFERROR(('Lab Analysis'!E87/('Lab Analysis'!E87+(1.364*'Lab Analysis'!D87))),"0")</f>
        <v>0</v>
      </c>
      <c r="C87" s="186" t="str">
        <f>IFERROR((2*'Lab Analysis'!E87/60)/('Lab Analysis'!C87/17+(2*'Lab Analysis'!E87/60)),"0")</f>
        <v>0</v>
      </c>
      <c r="D87" s="187" t="str">
        <f>IFERROR(((2*('Lab Analysis'!E87/60)+('Lab Analysis'!C87/17))/(('Lab Analysis'!D87/44)+('Lab Analysis'!E87/60))),"0")</f>
        <v>0</v>
      </c>
      <c r="E87" s="187" t="str">
        <f>IFERROR((('Lab Analysis'!F87/18)-('Lab Analysis'!E87/60))/(('Lab Analysis'!D87/44)+('Lab Analysis'!E87/60)),"0")</f>
        <v>0</v>
      </c>
      <c r="F87" s="187" t="str">
        <f>IFERROR((('Lab Analysis'!F87/18)/('Lab Analysis'!E87/60)),"0")</f>
        <v>0</v>
      </c>
      <c r="G87" s="188" t="str">
        <f>IFERROR(('Lab Analysis'!I87/('Lab Analysis'!I87+(1.765*'Lab Analysis'!G87))),"0")</f>
        <v>0</v>
      </c>
      <c r="H87" s="189" t="str">
        <f>IFERROR(((2*('Lab Analysis'!I87/60))+('Lab Analysis'!G87/17))/(('Lab Analysis'!H87/44)+('Lab Analysis'!I87/60)),"0")</f>
        <v>0</v>
      </c>
      <c r="I87" s="189" t="str">
        <f>IFERROR((('Lab Analysis'!J87/18)-('Lab Analysis'!I87/60))/(('Lab Analysis'!H87/44)+('Lab Analysis'!I87/60)),"0")</f>
        <v>0</v>
      </c>
      <c r="J87" s="186" t="str">
        <f>IFERROR(('Lab Analysis'!M87/('Lab Analysis'!M87+(1.765*'Lab Analysis'!K87))),"0")</f>
        <v>0</v>
      </c>
      <c r="K87" s="190" t="str">
        <f>IFERROR(((2*('Lab Analysis'!M87/60))+('Lab Analysis'!K87/17))/(('Lab Analysis'!L87/44)+('Lab Analysis'!M87/60)),"0")</f>
        <v>0</v>
      </c>
      <c r="L87" s="190" t="str">
        <f>IFERROR((('Lab Analysis'!N87/18)-('Lab Analysis'!M87/60))/(('Lab Analysis'!L87/44)+('Lab Analysis'!M87/60)),"0")</f>
        <v>0</v>
      </c>
      <c r="M87" s="187" t="str">
        <f>IFERROR(((2*('Lab Analysis'!U87/60))+('Lab Analysis'!S87/17))/(('Lab Analysis'!T87/44)+('Lab Analysis'!U87/60)),"0")</f>
        <v>0</v>
      </c>
      <c r="N87" s="187" t="str">
        <f>IFERROR((('Lab Analysis'!V87/18)-('Lab Analysis'!U87/60))/(('Lab Analysis'!T87/44)+('Lab Analysis'!U87/60)),"0")</f>
        <v>0</v>
      </c>
      <c r="O87" s="187" t="str">
        <f>IFERROR(((2*('Lab Analysis'!Y87/60)+('Lab Analysis'!W87/17))/(('Lab Analysis'!X87/44)+('Lab Analysis'!Y87/60))),"0")</f>
        <v>0</v>
      </c>
      <c r="P87" s="187" t="str">
        <f>IFERROR((('Lab Analysis'!Z87/18)-('Lab Analysis'!Y87/60))/(('Lab Analysis'!X87/44)+('Lab Analysis'!Y87/60)),"0")</f>
        <v>0</v>
      </c>
      <c r="Q87" s="191"/>
    </row>
    <row r="88" spans="1:17">
      <c r="A88" s="185">
        <v>45902</v>
      </c>
      <c r="B88" s="186">
        <f>IFERROR(('Lab Analysis'!E88/('Lab Analysis'!E88+(1.364*'Lab Analysis'!D88))),"0")</f>
        <v>0.55567412433059338</v>
      </c>
      <c r="C88" s="186">
        <f>IFERROR((2*'Lab Analysis'!E88/60)/('Lab Analysis'!C88/17+(2*'Lab Analysis'!E88/60)),"0")</f>
        <v>0.38416296698119939</v>
      </c>
      <c r="D88" s="187">
        <f>IFERROR(((2*('Lab Analysis'!E88/60)+('Lab Analysis'!C88/17))/(('Lab Analysis'!D88/44)+('Lab Analysis'!E88/60))),"0")</f>
        <v>2.8932510546107189</v>
      </c>
      <c r="E88" s="187">
        <f>IFERROR((('Lab Analysis'!F88/18)-('Lab Analysis'!E88/60))/(('Lab Analysis'!D88/44)+('Lab Analysis'!E88/60)),"0")</f>
        <v>0.67416674645474939</v>
      </c>
      <c r="F88" s="187">
        <f>IFERROR((('Lab Analysis'!F88/18)/('Lab Analysis'!E88/60)),"0")</f>
        <v>2.2130974942093071</v>
      </c>
      <c r="G88" s="188">
        <f>IFERROR(('Lab Analysis'!I88/('Lab Analysis'!I88+(1.765*'Lab Analysis'!G88))),"0")</f>
        <v>0.73711135243749837</v>
      </c>
      <c r="H88" s="189">
        <f>IFERROR(((2*('Lab Analysis'!I88/60))+('Lab Analysis'!G88/17))/(('Lab Analysis'!H88/44)+('Lab Analysis'!I88/60)),"0")</f>
        <v>2.099423176214076</v>
      </c>
      <c r="I88" s="189">
        <f>IFERROR((('Lab Analysis'!J88/18)-('Lab Analysis'!I88/60))/(('Lab Analysis'!H88/44)+('Lab Analysis'!I88/60)),"0")</f>
        <v>0.69753172695253585</v>
      </c>
      <c r="J88" s="186">
        <f>IFERROR(('Lab Analysis'!M88/('Lab Analysis'!M88+(1.765*'Lab Analysis'!K88))),"0")</f>
        <v>0.61559605837827336</v>
      </c>
      <c r="K88" s="190">
        <f>IFERROR(((2*('Lab Analysis'!M88/60))+('Lab Analysis'!K88/17))/(('Lab Analysis'!L88/44)+('Lab Analysis'!M88/60)),"0")</f>
        <v>2.3782370700011493</v>
      </c>
      <c r="L88" s="190">
        <f>IFERROR((('Lab Analysis'!N88/18)-('Lab Analysis'!M88/60))/(('Lab Analysis'!L88/44)+('Lab Analysis'!M88/60)),"0")</f>
        <v>0.73575346790583862</v>
      </c>
      <c r="M88" s="187">
        <f>IFERROR(((2*('Lab Analysis'!U88/60))+('Lab Analysis'!S88/17))/(('Lab Analysis'!T88/44)+('Lab Analysis'!U88/60)),"0")</f>
        <v>2.4005511499391683</v>
      </c>
      <c r="N88" s="187">
        <f>IFERROR((('Lab Analysis'!V88/18)-('Lab Analysis'!U88/60))/(('Lab Analysis'!T88/44)+('Lab Analysis'!U88/60)),"0")</f>
        <v>1.3796826978984968</v>
      </c>
      <c r="O88" s="187">
        <f>IFERROR(((2*('Lab Analysis'!Y88/60)+('Lab Analysis'!W88/17))/(('Lab Analysis'!X88/44)+('Lab Analysis'!Y88/60))),"0")</f>
        <v>2.4454511011909665</v>
      </c>
      <c r="P88" s="187">
        <f>IFERROR((('Lab Analysis'!Z88/18)-('Lab Analysis'!Y88/60))/(('Lab Analysis'!X88/44)+('Lab Analysis'!Y88/60)),"0")</f>
        <v>2.0912287252248043</v>
      </c>
      <c r="Q88" s="191"/>
    </row>
    <row r="89" spans="1:17">
      <c r="A89" s="185">
        <v>45903</v>
      </c>
      <c r="B89" s="186">
        <f>IFERROR(('Lab Analysis'!E89/('Lab Analysis'!E89+(1.364*'Lab Analysis'!D89))),"0")</f>
        <v>0.55587744449891796</v>
      </c>
      <c r="C89" s="186">
        <f>IFERROR((2*'Lab Analysis'!E89/60)/('Lab Analysis'!C89/17+(2*'Lab Analysis'!E89/60)),"0")</f>
        <v>0.38351002361453052</v>
      </c>
      <c r="D89" s="187">
        <f>IFERROR(((2*('Lab Analysis'!E89/60)+('Lab Analysis'!C89/17))/(('Lab Analysis'!D89/44)+('Lab Analysis'!E89/60))),"0")</f>
        <v>2.8992372275339671</v>
      </c>
      <c r="E89" s="187">
        <f>IFERROR((('Lab Analysis'!F89/18)-('Lab Analysis'!E89/60))/(('Lab Analysis'!D89/44)+('Lab Analysis'!E89/60)),"0")</f>
        <v>0.71348706074055002</v>
      </c>
      <c r="F89" s="187">
        <f>IFERROR((('Lab Analysis'!F89/18)/('Lab Analysis'!E89/60)),"0")</f>
        <v>2.2833810584367376</v>
      </c>
      <c r="G89" s="188" t="str">
        <f>IFERROR(('Lab Analysis'!I89/('Lab Analysis'!I89+(1.765*'Lab Analysis'!G89))),"0")</f>
        <v>0</v>
      </c>
      <c r="H89" s="189" t="str">
        <f>IFERROR(((2*('Lab Analysis'!I89/60))+('Lab Analysis'!G89/17))/(('Lab Analysis'!H89/44)+('Lab Analysis'!I89/60)),"0")</f>
        <v>0</v>
      </c>
      <c r="I89" s="189" t="str">
        <f>IFERROR((('Lab Analysis'!J89/18)-('Lab Analysis'!I89/60))/(('Lab Analysis'!H89/44)+('Lab Analysis'!I89/60)),"0")</f>
        <v>0</v>
      </c>
      <c r="J89" s="186" t="str">
        <f>IFERROR(('Lab Analysis'!M89/('Lab Analysis'!M89+(1.765*'Lab Analysis'!K89))),"0")</f>
        <v>0</v>
      </c>
      <c r="K89" s="190" t="str">
        <f>IFERROR(((2*('Lab Analysis'!M89/60))+('Lab Analysis'!K89/17))/(('Lab Analysis'!L89/44)+('Lab Analysis'!M89/60)),"0")</f>
        <v>0</v>
      </c>
      <c r="L89" s="190" t="str">
        <f>IFERROR((('Lab Analysis'!N89/18)-('Lab Analysis'!M89/60))/(('Lab Analysis'!L89/44)+('Lab Analysis'!M89/60)),"0")</f>
        <v>0</v>
      </c>
      <c r="M89" s="187" t="str">
        <f>IFERROR(((2*('Lab Analysis'!U89/60))+('Lab Analysis'!S89/17))/(('Lab Analysis'!T89/44)+('Lab Analysis'!U89/60)),"0")</f>
        <v>0</v>
      </c>
      <c r="N89" s="187" t="str">
        <f>IFERROR((('Lab Analysis'!V89/18)-('Lab Analysis'!U89/60))/(('Lab Analysis'!T89/44)+('Lab Analysis'!U89/60)),"0")</f>
        <v>0</v>
      </c>
      <c r="O89" s="187" t="str">
        <f>IFERROR(((2*('Lab Analysis'!Y89/60)+('Lab Analysis'!W89/17))/(('Lab Analysis'!X89/44)+('Lab Analysis'!Y89/60))),"0")</f>
        <v>0</v>
      </c>
      <c r="P89" s="187" t="str">
        <f>IFERROR((('Lab Analysis'!Z89/18)-('Lab Analysis'!Y89/60))/(('Lab Analysis'!X89/44)+('Lab Analysis'!Y89/60)),"0")</f>
        <v>0</v>
      </c>
      <c r="Q89" s="191"/>
    </row>
    <row r="90" spans="1:17">
      <c r="A90" s="185">
        <v>45904</v>
      </c>
      <c r="B90" s="186">
        <f>IFERROR(('Lab Analysis'!E90/('Lab Analysis'!E90+(1.364*'Lab Analysis'!D90))),"0")</f>
        <v>0.55583804077538712</v>
      </c>
      <c r="C90" s="186">
        <f>IFERROR((2*'Lab Analysis'!E90/60)/('Lab Analysis'!C90/17+(2*'Lab Analysis'!E90/60)),"0")</f>
        <v>0.38065575150469294</v>
      </c>
      <c r="D90" s="187">
        <f>IFERROR(((2*('Lab Analysis'!E90/60)+('Lab Analysis'!C90/17))/(('Lab Analysis'!D90/44)+('Lab Analysis'!E90/60))),"0")</f>
        <v>2.9207695617431928</v>
      </c>
      <c r="E90" s="187">
        <f>IFERROR((('Lab Analysis'!F90/18)-('Lab Analysis'!E90/60))/(('Lab Analysis'!D90/44)+('Lab Analysis'!E90/60)),"0")</f>
        <v>0.60222918843608497</v>
      </c>
      <c r="F90" s="187">
        <f>IFERROR((('Lab Analysis'!F90/18)/('Lab Analysis'!E90/60)),"0")</f>
        <v>2.0833333333333335</v>
      </c>
      <c r="G90" s="188">
        <f>IFERROR(('Lab Analysis'!I90/('Lab Analysis'!I90+(1.765*'Lab Analysis'!G90))),"0")</f>
        <v>0.7393647912356015</v>
      </c>
      <c r="H90" s="189">
        <f>IFERROR(((2*('Lab Analysis'!I90/60))+('Lab Analysis'!G90/17))/(('Lab Analysis'!H90/44)+('Lab Analysis'!I90/60)),"0")</f>
        <v>2.1032255205589392</v>
      </c>
      <c r="I90" s="189">
        <f>IFERROR((('Lab Analysis'!J90/18)-('Lab Analysis'!I90/60))/(('Lab Analysis'!H90/44)+('Lab Analysis'!I90/60)),"0")</f>
        <v>0.68436055541605034</v>
      </c>
      <c r="J90" s="186">
        <f>IFERROR(('Lab Analysis'!M90/('Lab Analysis'!M90+(1.765*'Lab Analysis'!K90))),"0")</f>
        <v>0.60490708561054962</v>
      </c>
      <c r="K90" s="190">
        <f>IFERROR(((2*('Lab Analysis'!M90/60))+('Lab Analysis'!K90/17))/(('Lab Analysis'!L90/44)+('Lab Analysis'!M90/60)),"0")</f>
        <v>2.4212797103124157</v>
      </c>
      <c r="L90" s="190">
        <f>IFERROR((('Lab Analysis'!N90/18)-('Lab Analysis'!M90/60))/(('Lab Analysis'!L90/44)+('Lab Analysis'!M90/60)),"0")</f>
        <v>0.60484125251643273</v>
      </c>
      <c r="M90" s="187">
        <f>IFERROR(((2*('Lab Analysis'!U90/60))+('Lab Analysis'!S90/17))/(('Lab Analysis'!T90/44)+('Lab Analysis'!U90/60)),"0")</f>
        <v>2.3788588444790282</v>
      </c>
      <c r="N90" s="187">
        <f>IFERROR((('Lab Analysis'!V90/18)-('Lab Analysis'!U90/60))/(('Lab Analysis'!T90/44)+('Lab Analysis'!U90/60)),"0")</f>
        <v>1.5272336696910598</v>
      </c>
      <c r="O90" s="187">
        <f>IFERROR(((2*('Lab Analysis'!Y90/60)+('Lab Analysis'!W90/17))/(('Lab Analysis'!X90/44)+('Lab Analysis'!Y90/60))),"0")</f>
        <v>2.481652427248028</v>
      </c>
      <c r="P90" s="187">
        <f>IFERROR((('Lab Analysis'!Z90/18)-('Lab Analysis'!Y90/60))/(('Lab Analysis'!X90/44)+('Lab Analysis'!Y90/60)),"0")</f>
        <v>2.0132319297594754</v>
      </c>
      <c r="Q90" s="191"/>
    </row>
    <row r="91" spans="1:17">
      <c r="A91" s="185">
        <v>45905</v>
      </c>
      <c r="B91" s="186">
        <f>IFERROR(('Lab Analysis'!E91/('Lab Analysis'!E91+(1.364*'Lab Analysis'!D91))),"0")</f>
        <v>0.55858847366051323</v>
      </c>
      <c r="C91" s="186">
        <f>IFERROR((2*'Lab Analysis'!E91/60)/('Lab Analysis'!C91/17+(2*'Lab Analysis'!E91/60)),"0")</f>
        <v>0.3836784582368073</v>
      </c>
      <c r="D91" s="187">
        <f>IFERROR(((2*('Lab Analysis'!E91/60)+('Lab Analysis'!C91/17))/(('Lab Analysis'!D91/44)+('Lab Analysis'!E91/60))),"0")</f>
        <v>2.9120958092844411</v>
      </c>
      <c r="E91" s="187">
        <f>IFERROR((('Lab Analysis'!F91/18)-('Lab Analysis'!E91/60))/(('Lab Analysis'!D91/44)+('Lab Analysis'!E91/60)),"0")</f>
        <v>0.66853225875229172</v>
      </c>
      <c r="F91" s="187">
        <f>IFERROR((('Lab Analysis'!F91/18)/('Lab Analysis'!E91/60)),"0")</f>
        <v>2.1966834592779172</v>
      </c>
      <c r="G91" s="188" t="str">
        <f>IFERROR(('Lab Analysis'!I91/('Lab Analysis'!I91+(1.765*'Lab Analysis'!G91))),"0")</f>
        <v>0</v>
      </c>
      <c r="H91" s="189" t="str">
        <f>IFERROR(((2*('Lab Analysis'!I91/60))+('Lab Analysis'!G91/17))/(('Lab Analysis'!H91/44)+('Lab Analysis'!I91/60)),"0")</f>
        <v>0</v>
      </c>
      <c r="I91" s="189" t="str">
        <f>IFERROR((('Lab Analysis'!J91/18)-('Lab Analysis'!I91/60))/(('Lab Analysis'!H91/44)+('Lab Analysis'!I91/60)),"0")</f>
        <v>0</v>
      </c>
      <c r="J91" s="186" t="str">
        <f>IFERROR(('Lab Analysis'!M91/('Lab Analysis'!M91+(1.765*'Lab Analysis'!K91))),"0")</f>
        <v>0</v>
      </c>
      <c r="K91" s="190" t="str">
        <f>IFERROR(((2*('Lab Analysis'!M91/60))+('Lab Analysis'!K91/17))/(('Lab Analysis'!L91/44)+('Lab Analysis'!M91/60)),"0")</f>
        <v>0</v>
      </c>
      <c r="L91" s="190" t="str">
        <f>IFERROR((('Lab Analysis'!N91/18)-('Lab Analysis'!M91/60))/(('Lab Analysis'!L91/44)+('Lab Analysis'!M91/60)),"0")</f>
        <v>0</v>
      </c>
      <c r="M91" s="187" t="str">
        <f>IFERROR(((2*('Lab Analysis'!U91/60))+('Lab Analysis'!S91/17))/(('Lab Analysis'!T91/44)+('Lab Analysis'!U91/60)),"0")</f>
        <v>0</v>
      </c>
      <c r="N91" s="187" t="str">
        <f>IFERROR((('Lab Analysis'!V91/18)-('Lab Analysis'!U91/60))/(('Lab Analysis'!T91/44)+('Lab Analysis'!U91/60)),"0")</f>
        <v>0</v>
      </c>
      <c r="O91" s="187" t="str">
        <f>IFERROR(((2*('Lab Analysis'!Y91/60)+('Lab Analysis'!W91/17))/(('Lab Analysis'!X91/44)+('Lab Analysis'!Y91/60))),"0")</f>
        <v>0</v>
      </c>
      <c r="P91" s="187" t="str">
        <f>IFERROR((('Lab Analysis'!Z91/18)-('Lab Analysis'!Y91/60))/(('Lab Analysis'!X91/44)+('Lab Analysis'!Y91/60)),"0")</f>
        <v>0</v>
      </c>
      <c r="Q91" s="191"/>
    </row>
    <row r="92" spans="1:17">
      <c r="A92" s="185">
        <v>45906</v>
      </c>
      <c r="B92" s="186" t="str">
        <f>IFERROR(('Lab Analysis'!E92/('Lab Analysis'!E92+(1.364*'Lab Analysis'!D92))),"0")</f>
        <v>0</v>
      </c>
      <c r="C92" s="186" t="str">
        <f>IFERROR((2*'Lab Analysis'!E92/60)/('Lab Analysis'!C92/17+(2*'Lab Analysis'!E92/60)),"0")</f>
        <v>0</v>
      </c>
      <c r="D92" s="187" t="str">
        <f>IFERROR(((2*('Lab Analysis'!E92/60)+('Lab Analysis'!C92/17))/(('Lab Analysis'!D92/44)+('Lab Analysis'!E92/60))),"0")</f>
        <v>0</v>
      </c>
      <c r="E92" s="187" t="str">
        <f>IFERROR((('Lab Analysis'!F92/18)-('Lab Analysis'!E92/60))/(('Lab Analysis'!D92/44)+('Lab Analysis'!E92/60)),"0")</f>
        <v>0</v>
      </c>
      <c r="F92" s="187" t="str">
        <f>IFERROR((('Lab Analysis'!F92/18)/('Lab Analysis'!E92/60)),"0")</f>
        <v>0</v>
      </c>
      <c r="G92" s="188" t="str">
        <f>IFERROR(('Lab Analysis'!I92/('Lab Analysis'!I92+(1.765*'Lab Analysis'!G92))),"0")</f>
        <v>0</v>
      </c>
      <c r="H92" s="189" t="str">
        <f>IFERROR(((2*('Lab Analysis'!I92/60))+('Lab Analysis'!G92/17))/(('Lab Analysis'!H92/44)+('Lab Analysis'!I92/60)),"0")</f>
        <v>0</v>
      </c>
      <c r="I92" s="189" t="str">
        <f>IFERROR((('Lab Analysis'!J92/18)-('Lab Analysis'!I92/60))/(('Lab Analysis'!H92/44)+('Lab Analysis'!I92/60)),"0")</f>
        <v>0</v>
      </c>
      <c r="J92" s="186" t="str">
        <f>IFERROR(('Lab Analysis'!M92/('Lab Analysis'!M92+(1.765*'Lab Analysis'!K92))),"0")</f>
        <v>0</v>
      </c>
      <c r="K92" s="190" t="str">
        <f>IFERROR(((2*('Lab Analysis'!M92/60))+('Lab Analysis'!K92/17))/(('Lab Analysis'!L92/44)+('Lab Analysis'!M92/60)),"0")</f>
        <v>0</v>
      </c>
      <c r="L92" s="190" t="str">
        <f>IFERROR((('Lab Analysis'!N92/18)-('Lab Analysis'!M92/60))/(('Lab Analysis'!L92/44)+('Lab Analysis'!M92/60)),"0")</f>
        <v>0</v>
      </c>
      <c r="M92" s="187" t="str">
        <f>IFERROR(((2*('Lab Analysis'!U92/60))+('Lab Analysis'!S92/17))/(('Lab Analysis'!T92/44)+('Lab Analysis'!U92/60)),"0")</f>
        <v>0</v>
      </c>
      <c r="N92" s="187" t="str">
        <f>IFERROR((('Lab Analysis'!V92/18)-('Lab Analysis'!U92/60))/(('Lab Analysis'!T92/44)+('Lab Analysis'!U92/60)),"0")</f>
        <v>0</v>
      </c>
      <c r="O92" s="187" t="str">
        <f>IFERROR(((2*('Lab Analysis'!Y92/60)+('Lab Analysis'!W92/17))/(('Lab Analysis'!X92/44)+('Lab Analysis'!Y92/60))),"0")</f>
        <v>0</v>
      </c>
      <c r="P92" s="187" t="str">
        <f>IFERROR((('Lab Analysis'!Z92/18)-('Lab Analysis'!Y92/60))/(('Lab Analysis'!X92/44)+('Lab Analysis'!Y92/60)),"0")</f>
        <v>0</v>
      </c>
      <c r="Q92" s="191"/>
    </row>
    <row r="93" spans="1:17">
      <c r="A93" s="185">
        <v>45907</v>
      </c>
      <c r="B93" s="186" t="str">
        <f>IFERROR(('Lab Analysis'!E93/('Lab Analysis'!E93+(1.364*'Lab Analysis'!D93))),"0")</f>
        <v>0</v>
      </c>
      <c r="C93" s="186" t="str">
        <f>IFERROR((2*'Lab Analysis'!E93/60)/('Lab Analysis'!C93/17+(2*'Lab Analysis'!E93/60)),"0")</f>
        <v>0</v>
      </c>
      <c r="D93" s="187" t="str">
        <f>IFERROR(((2*('Lab Analysis'!E93/60)+('Lab Analysis'!C93/17))/(('Lab Analysis'!D93/44)+('Lab Analysis'!E93/60))),"0")</f>
        <v>0</v>
      </c>
      <c r="E93" s="187" t="str">
        <f>IFERROR((('Lab Analysis'!F93/18)-('Lab Analysis'!E93/60))/(('Lab Analysis'!D93/44)+('Lab Analysis'!E93/60)),"0")</f>
        <v>0</v>
      </c>
      <c r="F93" s="187" t="str">
        <f>IFERROR((('Lab Analysis'!F93/18)/('Lab Analysis'!E93/60)),"0")</f>
        <v>0</v>
      </c>
      <c r="G93" s="188" t="str">
        <f>IFERROR(('Lab Analysis'!I93/('Lab Analysis'!I93+(1.765*'Lab Analysis'!G93))),"0")</f>
        <v>0</v>
      </c>
      <c r="H93" s="189" t="str">
        <f>IFERROR(((2*('Lab Analysis'!I93/60))+('Lab Analysis'!G93/17))/(('Lab Analysis'!H93/44)+('Lab Analysis'!I93/60)),"0")</f>
        <v>0</v>
      </c>
      <c r="I93" s="189" t="str">
        <f>IFERROR((('Lab Analysis'!J93/18)-('Lab Analysis'!I93/60))/(('Lab Analysis'!H93/44)+('Lab Analysis'!I93/60)),"0")</f>
        <v>0</v>
      </c>
      <c r="J93" s="186" t="str">
        <f>IFERROR(('Lab Analysis'!M93/('Lab Analysis'!M93+(1.765*'Lab Analysis'!K93))),"0")</f>
        <v>0</v>
      </c>
      <c r="K93" s="190" t="str">
        <f>IFERROR(((2*('Lab Analysis'!M93/60))+('Lab Analysis'!K93/17))/(('Lab Analysis'!L93/44)+('Lab Analysis'!M93/60)),"0")</f>
        <v>0</v>
      </c>
      <c r="L93" s="190" t="str">
        <f>IFERROR((('Lab Analysis'!N93/18)-('Lab Analysis'!M93/60))/(('Lab Analysis'!L93/44)+('Lab Analysis'!M93/60)),"0")</f>
        <v>0</v>
      </c>
      <c r="M93" s="187" t="str">
        <f>IFERROR(((2*('Lab Analysis'!U93/60))+('Lab Analysis'!S93/17))/(('Lab Analysis'!T93/44)+('Lab Analysis'!U93/60)),"0")</f>
        <v>0</v>
      </c>
      <c r="N93" s="187" t="str">
        <f>IFERROR((('Lab Analysis'!V93/18)-('Lab Analysis'!U93/60))/(('Lab Analysis'!T93/44)+('Lab Analysis'!U93/60)),"0")</f>
        <v>0</v>
      </c>
      <c r="O93" s="187" t="str">
        <f>IFERROR(((2*('Lab Analysis'!Y93/60)+('Lab Analysis'!W93/17))/(('Lab Analysis'!X93/44)+('Lab Analysis'!Y93/60))),"0")</f>
        <v>0</v>
      </c>
      <c r="P93" s="187" t="str">
        <f>IFERROR((('Lab Analysis'!Z93/18)-('Lab Analysis'!Y93/60))/(('Lab Analysis'!X93/44)+('Lab Analysis'!Y93/60)),"0")</f>
        <v>0</v>
      </c>
      <c r="Q93" s="191"/>
    </row>
    <row r="94" spans="1:17">
      <c r="A94" s="185">
        <v>45908</v>
      </c>
      <c r="B94" s="186" t="str">
        <f>IFERROR(('Lab Analysis'!E94/('Lab Analysis'!E94+(1.364*'Lab Analysis'!D94))),"0")</f>
        <v>0</v>
      </c>
      <c r="C94" s="186" t="str">
        <f>IFERROR((2*'Lab Analysis'!E94/60)/('Lab Analysis'!C94/17+(2*'Lab Analysis'!E94/60)),"0")</f>
        <v>0</v>
      </c>
      <c r="D94" s="187" t="str">
        <f>IFERROR(((2*('Lab Analysis'!E94/60)+('Lab Analysis'!C94/17))/(('Lab Analysis'!D94/44)+('Lab Analysis'!E94/60))),"0")</f>
        <v>0</v>
      </c>
      <c r="E94" s="187" t="str">
        <f>IFERROR((('Lab Analysis'!F94/18)-('Lab Analysis'!E94/60))/(('Lab Analysis'!D94/44)+('Lab Analysis'!E94/60)),"0")</f>
        <v>0</v>
      </c>
      <c r="F94" s="187" t="str">
        <f>IFERROR((('Lab Analysis'!F94/18)/('Lab Analysis'!E94/60)),"0")</f>
        <v>0</v>
      </c>
      <c r="G94" s="188" t="str">
        <f>IFERROR(('Lab Analysis'!I94/('Lab Analysis'!I94+(1.765*'Lab Analysis'!G94))),"0")</f>
        <v>0</v>
      </c>
      <c r="H94" s="189" t="str">
        <f>IFERROR(((2*('Lab Analysis'!I94/60))+('Lab Analysis'!G94/17))/(('Lab Analysis'!H94/44)+('Lab Analysis'!I94/60)),"0")</f>
        <v>0</v>
      </c>
      <c r="I94" s="189" t="str">
        <f>IFERROR((('Lab Analysis'!J94/18)-('Lab Analysis'!I94/60))/(('Lab Analysis'!H94/44)+('Lab Analysis'!I94/60)),"0")</f>
        <v>0</v>
      </c>
      <c r="J94" s="186" t="str">
        <f>IFERROR(('Lab Analysis'!M94/('Lab Analysis'!M94+(1.765*'Lab Analysis'!K94))),"0")</f>
        <v>0</v>
      </c>
      <c r="K94" s="190" t="str">
        <f>IFERROR(((2*('Lab Analysis'!M94/60))+('Lab Analysis'!K94/17))/(('Lab Analysis'!L94/44)+('Lab Analysis'!M94/60)),"0")</f>
        <v>0</v>
      </c>
      <c r="L94" s="190" t="str">
        <f>IFERROR((('Lab Analysis'!N94/18)-('Lab Analysis'!M94/60))/(('Lab Analysis'!L94/44)+('Lab Analysis'!M94/60)),"0")</f>
        <v>0</v>
      </c>
      <c r="M94" s="187" t="str">
        <f>IFERROR(((2*('Lab Analysis'!U94/60))+('Lab Analysis'!S94/17))/(('Lab Analysis'!T94/44)+('Lab Analysis'!U94/60)),"0")</f>
        <v>0</v>
      </c>
      <c r="N94" s="187" t="str">
        <f>IFERROR((('Lab Analysis'!V94/18)-('Lab Analysis'!U94/60))/(('Lab Analysis'!T94/44)+('Lab Analysis'!U94/60)),"0")</f>
        <v>0</v>
      </c>
      <c r="O94" s="187" t="str">
        <f>IFERROR(((2*('Lab Analysis'!Y94/60)+('Lab Analysis'!W94/17))/(('Lab Analysis'!X94/44)+('Lab Analysis'!Y94/60))),"0")</f>
        <v>0</v>
      </c>
      <c r="P94" s="187" t="str">
        <f>IFERROR((('Lab Analysis'!Z94/18)-('Lab Analysis'!Y94/60))/(('Lab Analysis'!X94/44)+('Lab Analysis'!Y94/60)),"0")</f>
        <v>0</v>
      </c>
      <c r="Q94" s="191"/>
    </row>
    <row r="95" spans="1:17">
      <c r="A95" s="185">
        <v>45909</v>
      </c>
      <c r="B95" s="186">
        <f>IFERROR(('Lab Analysis'!E95/('Lab Analysis'!E95+(1.364*'Lab Analysis'!D95))),"0")</f>
        <v>0.55573795517709379</v>
      </c>
      <c r="C95" s="186">
        <f>IFERROR((2*'Lab Analysis'!E95/60)/('Lab Analysis'!C95/17+(2*'Lab Analysis'!E95/60)),"0")</f>
        <v>0.38342067853429801</v>
      </c>
      <c r="D95" s="187">
        <f>IFERROR(((2*('Lab Analysis'!E95/60)+('Lab Analysis'!C95/17))/(('Lab Analysis'!D95/44)+('Lab Analysis'!E95/60))),"0")</f>
        <v>2.8991852278510031</v>
      </c>
      <c r="E95" s="187">
        <f>IFERROR((('Lab Analysis'!F95/18)-('Lab Analysis'!E95/60))/(('Lab Analysis'!D95/44)+('Lab Analysis'!E95/60)),"0")</f>
        <v>0.62702939654170775</v>
      </c>
      <c r="F95" s="187">
        <f>IFERROR((('Lab Analysis'!F95/18)/('Lab Analysis'!E95/60)),"0")</f>
        <v>2.12814884498798</v>
      </c>
      <c r="G95" s="188" t="str">
        <f>IFERROR(('Lab Analysis'!I95/('Lab Analysis'!I95+(1.765*'Lab Analysis'!G95))),"0")</f>
        <v>0</v>
      </c>
      <c r="H95" s="189" t="str">
        <f>IFERROR(((2*('Lab Analysis'!I95/60))+('Lab Analysis'!G95/17))/(('Lab Analysis'!H95/44)+('Lab Analysis'!I95/60)),"0")</f>
        <v>0</v>
      </c>
      <c r="I95" s="189" t="str">
        <f>IFERROR((('Lab Analysis'!J95/18)-('Lab Analysis'!I95/60))/(('Lab Analysis'!H95/44)+('Lab Analysis'!I95/60)),"0")</f>
        <v>0</v>
      </c>
      <c r="J95" s="186" t="str">
        <f>IFERROR(('Lab Analysis'!M95/('Lab Analysis'!M95+(1.765*'Lab Analysis'!K95))),"0")</f>
        <v>0</v>
      </c>
      <c r="K95" s="190" t="str">
        <f>IFERROR(((2*('Lab Analysis'!M95/60))+('Lab Analysis'!K95/17))/(('Lab Analysis'!L95/44)+('Lab Analysis'!M95/60)),"0")</f>
        <v>0</v>
      </c>
      <c r="L95" s="190" t="str">
        <f>IFERROR((('Lab Analysis'!N95/18)-('Lab Analysis'!M95/60))/(('Lab Analysis'!L95/44)+('Lab Analysis'!M95/60)),"0")</f>
        <v>0</v>
      </c>
      <c r="M95" s="187" t="str">
        <f>IFERROR(((2*('Lab Analysis'!U95/60))+('Lab Analysis'!S95/17))/(('Lab Analysis'!T95/44)+('Lab Analysis'!U95/60)),"0")</f>
        <v>0</v>
      </c>
      <c r="N95" s="187" t="str">
        <f>IFERROR((('Lab Analysis'!V95/18)-('Lab Analysis'!U95/60))/(('Lab Analysis'!T95/44)+('Lab Analysis'!U95/60)),"0")</f>
        <v>0</v>
      </c>
      <c r="O95" s="187" t="str">
        <f>IFERROR(((2*('Lab Analysis'!Y95/60)+('Lab Analysis'!W95/17))/(('Lab Analysis'!X95/44)+('Lab Analysis'!Y95/60))),"0")</f>
        <v>0</v>
      </c>
      <c r="P95" s="187" t="str">
        <f>IFERROR((('Lab Analysis'!Z95/18)-('Lab Analysis'!Y95/60))/(('Lab Analysis'!X95/44)+('Lab Analysis'!Y95/60)),"0")</f>
        <v>0</v>
      </c>
      <c r="Q95" s="191"/>
    </row>
    <row r="96" spans="1:17">
      <c r="A96" s="185">
        <v>45910</v>
      </c>
      <c r="B96" s="186">
        <f>IFERROR(('Lab Analysis'!E96/('Lab Analysis'!E96+(1.364*'Lab Analysis'!D96))),"0")</f>
        <v>0.55250396944599411</v>
      </c>
      <c r="C96" s="186">
        <f>IFERROR((2*'Lab Analysis'!E96/60)/('Lab Analysis'!C96/17+(2*'Lab Analysis'!E96/60)),"0")</f>
        <v>0.38510546218189295</v>
      </c>
      <c r="D96" s="187">
        <f>IFERROR(((2*('Lab Analysis'!E96/60)+('Lab Analysis'!C96/17))/(('Lab Analysis'!D96/44)+('Lab Analysis'!E96/60))),"0")</f>
        <v>2.8697068494342344</v>
      </c>
      <c r="E96" s="187">
        <f>IFERROR((('Lab Analysis'!F96/18)-('Lab Analysis'!E96/60))/(('Lab Analysis'!D96/44)+('Lab Analysis'!E96/60)),"0")</f>
        <v>0.61383194625804316</v>
      </c>
      <c r="F96" s="187">
        <f>IFERROR((('Lab Analysis'!F96/18)/('Lab Analysis'!E96/60)),"0")</f>
        <v>2.1108675227059193</v>
      </c>
      <c r="G96" s="188" t="str">
        <f>IFERROR(('Lab Analysis'!I96/('Lab Analysis'!I96+(1.765*'Lab Analysis'!G96))),"0")</f>
        <v>0</v>
      </c>
      <c r="H96" s="189" t="str">
        <f>IFERROR(((2*('Lab Analysis'!I96/60))+('Lab Analysis'!G96/17))/(('Lab Analysis'!H96/44)+('Lab Analysis'!I96/60)),"0")</f>
        <v>0</v>
      </c>
      <c r="I96" s="189" t="str">
        <f>IFERROR((('Lab Analysis'!J96/18)-('Lab Analysis'!I96/60))/(('Lab Analysis'!H96/44)+('Lab Analysis'!I96/60)),"0")</f>
        <v>0</v>
      </c>
      <c r="J96" s="186" t="str">
        <f>IFERROR(('Lab Analysis'!M96/('Lab Analysis'!M96+(1.765*'Lab Analysis'!K96))),"0")</f>
        <v>0</v>
      </c>
      <c r="K96" s="190" t="str">
        <f>IFERROR(((2*('Lab Analysis'!M96/60))+('Lab Analysis'!K96/17))/(('Lab Analysis'!L96/44)+('Lab Analysis'!M96/60)),"0")</f>
        <v>0</v>
      </c>
      <c r="L96" s="190" t="str">
        <f>IFERROR((('Lab Analysis'!N96/18)-('Lab Analysis'!M96/60))/(('Lab Analysis'!L96/44)+('Lab Analysis'!M96/60)),"0")</f>
        <v>0</v>
      </c>
      <c r="M96" s="187" t="str">
        <f>IFERROR(((2*('Lab Analysis'!U96/60))+('Lab Analysis'!S96/17))/(('Lab Analysis'!T96/44)+('Lab Analysis'!U96/60)),"0")</f>
        <v>0</v>
      </c>
      <c r="N96" s="187" t="str">
        <f>IFERROR((('Lab Analysis'!V96/18)-('Lab Analysis'!U96/60))/(('Lab Analysis'!T96/44)+('Lab Analysis'!U96/60)),"0")</f>
        <v>0</v>
      </c>
      <c r="O96" s="187" t="str">
        <f>IFERROR(((2*('Lab Analysis'!Y96/60)+('Lab Analysis'!W96/17))/(('Lab Analysis'!X96/44)+('Lab Analysis'!Y96/60))),"0")</f>
        <v>0</v>
      </c>
      <c r="P96" s="187" t="str">
        <f>IFERROR((('Lab Analysis'!Z96/18)-('Lab Analysis'!Y96/60))/(('Lab Analysis'!X96/44)+('Lab Analysis'!Y96/60)),"0")</f>
        <v>0</v>
      </c>
      <c r="Q96" s="191"/>
    </row>
    <row r="97" spans="1:17">
      <c r="A97" s="185">
        <v>45911</v>
      </c>
      <c r="B97" s="186">
        <f>IFERROR(('Lab Analysis'!E97/('Lab Analysis'!E97+(1.364*'Lab Analysis'!D97))),"0")</f>
        <v>0.55574716575927208</v>
      </c>
      <c r="C97" s="186">
        <f>IFERROR((2*'Lab Analysis'!E97/60)/('Lab Analysis'!C97/17+(2*'Lab Analysis'!E97/60)),"0")</f>
        <v>0.38476520849031115</v>
      </c>
      <c r="D97" s="187">
        <f>IFERROR(((2*('Lab Analysis'!E97/60)+('Lab Analysis'!C97/17))/(('Lab Analysis'!D97/44)+('Lab Analysis'!E97/60))),"0")</f>
        <v>2.8891021416342588</v>
      </c>
      <c r="E97" s="187">
        <f>IFERROR((('Lab Analysis'!F97/18)-('Lab Analysis'!E97/60))/(('Lab Analysis'!D97/44)+('Lab Analysis'!E97/60)),"0")</f>
        <v>0.64577183906221847</v>
      </c>
      <c r="F97" s="187">
        <f>IFERROR((('Lab Analysis'!F97/18)/('Lab Analysis'!E97/60)),"0")</f>
        <v>2.161850921273031</v>
      </c>
      <c r="G97" s="188">
        <f>IFERROR(('Lab Analysis'!I97/('Lab Analysis'!I97+(1.765*'Lab Analysis'!G97))),"0")</f>
        <v>0.74680930051505323</v>
      </c>
      <c r="H97" s="189">
        <f>IFERROR(((2*('Lab Analysis'!I97/60))+('Lab Analysis'!G97/17))/(('Lab Analysis'!H97/44)+('Lab Analysis'!I97/60)),"0")</f>
        <v>2.1019272920270797</v>
      </c>
      <c r="I97" s="189">
        <f>IFERROR((('Lab Analysis'!J97/18)-('Lab Analysis'!I97/60))/(('Lab Analysis'!H97/44)+('Lab Analysis'!I97/60)),"0")</f>
        <v>0.62125490736276623</v>
      </c>
      <c r="J97" s="186">
        <f>IFERROR(('Lab Analysis'!M97/('Lab Analysis'!M97+(1.765*'Lab Analysis'!K97))),"0")</f>
        <v>0.58303263701234609</v>
      </c>
      <c r="K97" s="190">
        <f>IFERROR(((2*('Lab Analysis'!M97/60))+('Lab Analysis'!K97/17))/(('Lab Analysis'!L97/44)+('Lab Analysis'!M97/60)),"0")</f>
        <v>2.463483433498646</v>
      </c>
      <c r="L97" s="190">
        <f>IFERROR((('Lab Analysis'!N97/18)-('Lab Analysis'!M97/60))/(('Lab Analysis'!L97/44)+('Lab Analysis'!M97/60)),"0")</f>
        <v>0.54417449456878886</v>
      </c>
      <c r="M97" s="187">
        <f>IFERROR(((2*('Lab Analysis'!U97/60))+('Lab Analysis'!S97/17))/(('Lab Analysis'!T97/44)+('Lab Analysis'!U97/60)),"0")</f>
        <v>2.329024883495999</v>
      </c>
      <c r="N97" s="187">
        <f>IFERROR((('Lab Analysis'!V97/18)-('Lab Analysis'!U97/60))/(('Lab Analysis'!T97/44)+('Lab Analysis'!U97/60)),"0")</f>
        <v>1.4457177655981848</v>
      </c>
      <c r="O97" s="187">
        <f>IFERROR(((2*('Lab Analysis'!Y97/60)+('Lab Analysis'!W97/17))/(('Lab Analysis'!X97/44)+('Lab Analysis'!Y97/60))),"0")</f>
        <v>2.5122384524279515</v>
      </c>
      <c r="P97" s="187">
        <f>IFERROR((('Lab Analysis'!Z97/18)-('Lab Analysis'!Y97/60))/(('Lab Analysis'!X97/44)+('Lab Analysis'!Y97/60)),"0")</f>
        <v>2.018580661198111</v>
      </c>
      <c r="Q97" s="191"/>
    </row>
    <row r="98" spans="1:17">
      <c r="A98" s="185">
        <v>45912</v>
      </c>
      <c r="B98" s="186">
        <f>IFERROR(('Lab Analysis'!E98/('Lab Analysis'!E98+(1.364*'Lab Analysis'!D98))),"0")</f>
        <v>0.55833440670931545</v>
      </c>
      <c r="C98" s="186">
        <f>IFERROR((2*'Lab Analysis'!E98/60)/('Lab Analysis'!C98/17+(2*'Lab Analysis'!E98/60)),"0")</f>
        <v>0.38492567307762066</v>
      </c>
      <c r="D98" s="187">
        <f>IFERROR(((2*('Lab Analysis'!E98/60)+('Lab Analysis'!C98/17))/(('Lab Analysis'!D98/44)+('Lab Analysis'!E98/60))),"0")</f>
        <v>2.9013401557822265</v>
      </c>
      <c r="E98" s="187">
        <f>IFERROR((('Lab Analysis'!F98/18)-('Lab Analysis'!E98/60))/(('Lab Analysis'!D98/44)+('Lab Analysis'!E98/60)),"0")</f>
        <v>0.7793030909278208</v>
      </c>
      <c r="F98" s="187">
        <f>IFERROR((('Lab Analysis'!F98/18)/('Lab Analysis'!E98/60)),"0")</f>
        <v>2.3955997009505507</v>
      </c>
      <c r="G98" s="188" t="str">
        <f>IFERROR(('Lab Analysis'!I98/('Lab Analysis'!I98+(1.765*'Lab Analysis'!G98))),"0")</f>
        <v>0</v>
      </c>
      <c r="H98" s="189" t="str">
        <f>IFERROR(((2*('Lab Analysis'!I98/60))+('Lab Analysis'!G98/17))/(('Lab Analysis'!H98/44)+('Lab Analysis'!I98/60)),"0")</f>
        <v>0</v>
      </c>
      <c r="I98" s="189" t="str">
        <f>IFERROR((('Lab Analysis'!J98/18)-('Lab Analysis'!I98/60))/(('Lab Analysis'!H98/44)+('Lab Analysis'!I98/60)),"0")</f>
        <v>0</v>
      </c>
      <c r="J98" s="186" t="str">
        <f>IFERROR(('Lab Analysis'!M98/('Lab Analysis'!M98+(1.765*'Lab Analysis'!K98))),"0")</f>
        <v>0</v>
      </c>
      <c r="K98" s="190" t="str">
        <f>IFERROR(((2*('Lab Analysis'!M98/60))+('Lab Analysis'!K98/17))/(('Lab Analysis'!L98/44)+('Lab Analysis'!M98/60)),"0")</f>
        <v>0</v>
      </c>
      <c r="L98" s="190" t="str">
        <f>IFERROR((('Lab Analysis'!N98/18)-('Lab Analysis'!M98/60))/(('Lab Analysis'!L98/44)+('Lab Analysis'!M98/60)),"0")</f>
        <v>0</v>
      </c>
      <c r="M98" s="187" t="str">
        <f>IFERROR(((2*('Lab Analysis'!U98/60))+('Lab Analysis'!S98/17))/(('Lab Analysis'!T98/44)+('Lab Analysis'!U98/60)),"0")</f>
        <v>0</v>
      </c>
      <c r="N98" s="187" t="str">
        <f>IFERROR((('Lab Analysis'!V98/18)-('Lab Analysis'!U98/60))/(('Lab Analysis'!T98/44)+('Lab Analysis'!U98/60)),"0")</f>
        <v>0</v>
      </c>
      <c r="O98" s="187" t="str">
        <f>IFERROR(((2*('Lab Analysis'!Y98/60)+('Lab Analysis'!W98/17))/(('Lab Analysis'!X98/44)+('Lab Analysis'!Y98/60))),"0")</f>
        <v>0</v>
      </c>
      <c r="P98" s="187" t="str">
        <f>IFERROR((('Lab Analysis'!Z98/18)-('Lab Analysis'!Y98/60))/(('Lab Analysis'!X98/44)+('Lab Analysis'!Y98/60)),"0")</f>
        <v>0</v>
      </c>
      <c r="Q98" s="191"/>
    </row>
    <row r="99" spans="1:17">
      <c r="A99" s="185">
        <v>45913</v>
      </c>
      <c r="B99" s="186" t="str">
        <f>IFERROR(('Lab Analysis'!E99/('Lab Analysis'!E99+(1.364*'Lab Analysis'!D99))),"0")</f>
        <v>0</v>
      </c>
      <c r="C99" s="186" t="str">
        <f>IFERROR((2*'Lab Analysis'!E99/60)/('Lab Analysis'!C99/17+(2*'Lab Analysis'!E99/60)),"0")</f>
        <v>0</v>
      </c>
      <c r="D99" s="187" t="str">
        <f>IFERROR(((2*('Lab Analysis'!E99/60)+('Lab Analysis'!C99/17))/(('Lab Analysis'!D99/44)+('Lab Analysis'!E99/60))),"0")</f>
        <v>0</v>
      </c>
      <c r="E99" s="187" t="str">
        <f>IFERROR((('Lab Analysis'!F99/18)-('Lab Analysis'!E99/60))/(('Lab Analysis'!D99/44)+('Lab Analysis'!E99/60)),"0")</f>
        <v>0</v>
      </c>
      <c r="F99" s="187" t="str">
        <f>IFERROR((('Lab Analysis'!F99/18)/('Lab Analysis'!E99/60)),"0")</f>
        <v>0</v>
      </c>
      <c r="G99" s="188" t="str">
        <f>IFERROR(('Lab Analysis'!I99/('Lab Analysis'!I99+(1.765*'Lab Analysis'!G99))),"0")</f>
        <v>0</v>
      </c>
      <c r="H99" s="189" t="str">
        <f>IFERROR(((2*('Lab Analysis'!I99/60))+('Lab Analysis'!G99/17))/(('Lab Analysis'!H99/44)+('Lab Analysis'!I99/60)),"0")</f>
        <v>0</v>
      </c>
      <c r="I99" s="189" t="str">
        <f>IFERROR((('Lab Analysis'!J99/18)-('Lab Analysis'!I99/60))/(('Lab Analysis'!H99/44)+('Lab Analysis'!I99/60)),"0")</f>
        <v>0</v>
      </c>
      <c r="J99" s="186" t="str">
        <f>IFERROR(('Lab Analysis'!M99/('Lab Analysis'!M99+(1.765*'Lab Analysis'!K99))),"0")</f>
        <v>0</v>
      </c>
      <c r="K99" s="190" t="str">
        <f>IFERROR(((2*('Lab Analysis'!M99/60))+('Lab Analysis'!K99/17))/(('Lab Analysis'!L99/44)+('Lab Analysis'!M99/60)),"0")</f>
        <v>0</v>
      </c>
      <c r="L99" s="190" t="str">
        <f>IFERROR((('Lab Analysis'!N99/18)-('Lab Analysis'!M99/60))/(('Lab Analysis'!L99/44)+('Lab Analysis'!M99/60)),"0")</f>
        <v>0</v>
      </c>
      <c r="M99" s="187" t="str">
        <f>IFERROR(((2*('Lab Analysis'!U99/60))+('Lab Analysis'!S99/17))/(('Lab Analysis'!T99/44)+('Lab Analysis'!U99/60)),"0")</f>
        <v>0</v>
      </c>
      <c r="N99" s="187" t="str">
        <f>IFERROR((('Lab Analysis'!V99/18)-('Lab Analysis'!U99/60))/(('Lab Analysis'!T99/44)+('Lab Analysis'!U99/60)),"0")</f>
        <v>0</v>
      </c>
      <c r="O99" s="187" t="str">
        <f>IFERROR(((2*('Lab Analysis'!Y99/60)+('Lab Analysis'!W99/17))/(('Lab Analysis'!X99/44)+('Lab Analysis'!Y99/60))),"0")</f>
        <v>0</v>
      </c>
      <c r="P99" s="187" t="str">
        <f>IFERROR((('Lab Analysis'!Z99/18)-('Lab Analysis'!Y99/60))/(('Lab Analysis'!X99/44)+('Lab Analysis'!Y99/60)),"0")</f>
        <v>0</v>
      </c>
      <c r="Q99" s="191"/>
    </row>
    <row r="100" spans="1:17">
      <c r="A100" s="185">
        <v>45914</v>
      </c>
      <c r="B100" s="186" t="str">
        <f>IFERROR(('Lab Analysis'!E100/('Lab Analysis'!E100+(1.364*'Lab Analysis'!D100))),"0")</f>
        <v>0</v>
      </c>
      <c r="C100" s="186" t="str">
        <f>IFERROR((2*'Lab Analysis'!E100/60)/('Lab Analysis'!C100/17+(2*'Lab Analysis'!E100/60)),"0")</f>
        <v>0</v>
      </c>
      <c r="D100" s="187" t="str">
        <f>IFERROR(((2*('Lab Analysis'!E100/60)+('Lab Analysis'!C100/17))/(('Lab Analysis'!D100/44)+('Lab Analysis'!E100/60))),"0")</f>
        <v>0</v>
      </c>
      <c r="E100" s="187" t="str">
        <f>IFERROR((('Lab Analysis'!F100/18)-('Lab Analysis'!E100/60))/(('Lab Analysis'!D100/44)+('Lab Analysis'!E100/60)),"0")</f>
        <v>0</v>
      </c>
      <c r="F100" s="187" t="str">
        <f>IFERROR((('Lab Analysis'!F100/18)/('Lab Analysis'!E100/60)),"0")</f>
        <v>0</v>
      </c>
      <c r="G100" s="188" t="str">
        <f>IFERROR(('Lab Analysis'!I100/('Lab Analysis'!I100+(1.765*'Lab Analysis'!G100))),"0")</f>
        <v>0</v>
      </c>
      <c r="H100" s="189" t="str">
        <f>IFERROR(((2*('Lab Analysis'!I100/60))+('Lab Analysis'!G100/17))/(('Lab Analysis'!H100/44)+('Lab Analysis'!I100/60)),"0")</f>
        <v>0</v>
      </c>
      <c r="I100" s="189" t="str">
        <f>IFERROR((('Lab Analysis'!J100/18)-('Lab Analysis'!I100/60))/(('Lab Analysis'!H100/44)+('Lab Analysis'!I100/60)),"0")</f>
        <v>0</v>
      </c>
      <c r="J100" s="186" t="str">
        <f>IFERROR(('Lab Analysis'!M100/('Lab Analysis'!M100+(1.765*'Lab Analysis'!K100))),"0")</f>
        <v>0</v>
      </c>
      <c r="K100" s="190" t="str">
        <f>IFERROR(((2*('Lab Analysis'!M100/60))+('Lab Analysis'!K100/17))/(('Lab Analysis'!L100/44)+('Lab Analysis'!M100/60)),"0")</f>
        <v>0</v>
      </c>
      <c r="L100" s="190" t="str">
        <f>IFERROR((('Lab Analysis'!N100/18)-('Lab Analysis'!M100/60))/(('Lab Analysis'!L100/44)+('Lab Analysis'!M100/60)),"0")</f>
        <v>0</v>
      </c>
      <c r="M100" s="187" t="str">
        <f>IFERROR(((2*('Lab Analysis'!U100/60))+('Lab Analysis'!S100/17))/(('Lab Analysis'!T100/44)+('Lab Analysis'!U100/60)),"0")</f>
        <v>0</v>
      </c>
      <c r="N100" s="187" t="str">
        <f>IFERROR((('Lab Analysis'!V100/18)-('Lab Analysis'!U100/60))/(('Lab Analysis'!T100/44)+('Lab Analysis'!U100/60)),"0")</f>
        <v>0</v>
      </c>
      <c r="O100" s="187" t="str">
        <f>IFERROR(((2*('Lab Analysis'!Y100/60)+('Lab Analysis'!W100/17))/(('Lab Analysis'!X100/44)+('Lab Analysis'!Y100/60))),"0")</f>
        <v>0</v>
      </c>
      <c r="P100" s="187" t="str">
        <f>IFERROR((('Lab Analysis'!Z100/18)-('Lab Analysis'!Y100/60))/(('Lab Analysis'!X100/44)+('Lab Analysis'!Y100/60)),"0")</f>
        <v>0</v>
      </c>
      <c r="Q100" s="191"/>
    </row>
    <row r="101" spans="1:17">
      <c r="A101" s="185">
        <v>45915</v>
      </c>
      <c r="B101" s="186" t="str">
        <f>IFERROR(('Lab Analysis'!E101/('Lab Analysis'!E101+(1.364*'Lab Analysis'!D101))),"0")</f>
        <v>0</v>
      </c>
      <c r="C101" s="186" t="str">
        <f>IFERROR((2*'Lab Analysis'!E101/60)/('Lab Analysis'!C101/17+(2*'Lab Analysis'!E101/60)),"0")</f>
        <v>0</v>
      </c>
      <c r="D101" s="187" t="str">
        <f>IFERROR(((2*('Lab Analysis'!E101/60)+('Lab Analysis'!C101/17))/(('Lab Analysis'!D101/44)+('Lab Analysis'!E101/60))),"0")</f>
        <v>0</v>
      </c>
      <c r="E101" s="187" t="str">
        <f>IFERROR((('Lab Analysis'!F101/18)-('Lab Analysis'!E101/60))/(('Lab Analysis'!D101/44)+('Lab Analysis'!E101/60)),"0")</f>
        <v>0</v>
      </c>
      <c r="F101" s="187" t="str">
        <f>IFERROR((('Lab Analysis'!F101/18)/('Lab Analysis'!E101/60)),"0")</f>
        <v>0</v>
      </c>
      <c r="G101" s="188" t="str">
        <f>IFERROR(('Lab Analysis'!I101/('Lab Analysis'!I101+(1.765*'Lab Analysis'!G101))),"0")</f>
        <v>0</v>
      </c>
      <c r="H101" s="189" t="str">
        <f>IFERROR(((2*('Lab Analysis'!I101/60))+('Lab Analysis'!G101/17))/(('Lab Analysis'!H101/44)+('Lab Analysis'!I101/60)),"0")</f>
        <v>0</v>
      </c>
      <c r="I101" s="189" t="str">
        <f>IFERROR((('Lab Analysis'!J101/18)-('Lab Analysis'!I101/60))/(('Lab Analysis'!H101/44)+('Lab Analysis'!I101/60)),"0")</f>
        <v>0</v>
      </c>
      <c r="J101" s="186" t="str">
        <f>IFERROR(('Lab Analysis'!M101/('Lab Analysis'!M101+(1.765*'Lab Analysis'!K101))),"0")</f>
        <v>0</v>
      </c>
      <c r="K101" s="190" t="str">
        <f>IFERROR(((2*('Lab Analysis'!M101/60))+('Lab Analysis'!K101/17))/(('Lab Analysis'!L101/44)+('Lab Analysis'!M101/60)),"0")</f>
        <v>0</v>
      </c>
      <c r="L101" s="190" t="str">
        <f>IFERROR((('Lab Analysis'!N101/18)-('Lab Analysis'!M101/60))/(('Lab Analysis'!L101/44)+('Lab Analysis'!M101/60)),"0")</f>
        <v>0</v>
      </c>
      <c r="M101" s="187" t="str">
        <f>IFERROR(((2*('Lab Analysis'!U101/60))+('Lab Analysis'!S101/17))/(('Lab Analysis'!T101/44)+('Lab Analysis'!U101/60)),"0")</f>
        <v>0</v>
      </c>
      <c r="N101" s="187" t="str">
        <f>IFERROR((('Lab Analysis'!V101/18)-('Lab Analysis'!U101/60))/(('Lab Analysis'!T101/44)+('Lab Analysis'!U101/60)),"0")</f>
        <v>0</v>
      </c>
      <c r="O101" s="187" t="str">
        <f>IFERROR(((2*('Lab Analysis'!Y101/60)+('Lab Analysis'!W101/17))/(('Lab Analysis'!X101/44)+('Lab Analysis'!Y101/60))),"0")</f>
        <v>0</v>
      </c>
      <c r="P101" s="187" t="str">
        <f>IFERROR((('Lab Analysis'!Z101/18)-('Lab Analysis'!Y101/60))/(('Lab Analysis'!X101/44)+('Lab Analysis'!Y101/60)),"0")</f>
        <v>0</v>
      </c>
      <c r="Q101" s="191"/>
    </row>
    <row r="102" spans="1:17">
      <c r="A102" s="185">
        <v>45916</v>
      </c>
      <c r="B102" s="186">
        <f>IFERROR(('Lab Analysis'!E102/('Lab Analysis'!E102+(1.364*'Lab Analysis'!D102))),"0")</f>
        <v>0.54109050059757502</v>
      </c>
      <c r="C102" s="186">
        <f>IFERROR((2*'Lab Analysis'!E102/60)/('Lab Analysis'!C102/17+(2*'Lab Analysis'!E102/60)),"0")</f>
        <v>0.35248305856174772</v>
      </c>
      <c r="D102" s="187">
        <f>IFERROR(((2*('Lab Analysis'!E102/60)+('Lab Analysis'!C102/17))/(('Lab Analysis'!D102/44)+('Lab Analysis'!E102/60))),"0")</f>
        <v>3.0705402391338104</v>
      </c>
      <c r="E102" s="187">
        <f>IFERROR((('Lab Analysis'!F102/18)-('Lab Analysis'!E102/60))/(('Lab Analysis'!D102/44)+('Lab Analysis'!E102/60)),"0")</f>
        <v>0.52179825613950903</v>
      </c>
      <c r="F102" s="187">
        <f>IFERROR((('Lab Analysis'!F102/18)/('Lab Analysis'!E102/60)),"0")</f>
        <v>1.9642276422764233</v>
      </c>
      <c r="G102" s="188" t="str">
        <f>IFERROR(('Lab Analysis'!I102/('Lab Analysis'!I102+(1.765*'Lab Analysis'!G102))),"0")</f>
        <v>0</v>
      </c>
      <c r="H102" s="189" t="str">
        <f>IFERROR(((2*('Lab Analysis'!I102/60))+('Lab Analysis'!G102/17))/(('Lab Analysis'!H102/44)+('Lab Analysis'!I102/60)),"0")</f>
        <v>0</v>
      </c>
      <c r="I102" s="189" t="str">
        <f>IFERROR((('Lab Analysis'!J102/18)-('Lab Analysis'!I102/60))/(('Lab Analysis'!H102/44)+('Lab Analysis'!I102/60)),"0")</f>
        <v>0</v>
      </c>
      <c r="J102" s="186" t="str">
        <f>IFERROR(('Lab Analysis'!M102/('Lab Analysis'!M102+(1.765*'Lab Analysis'!K102))),"0")</f>
        <v>0</v>
      </c>
      <c r="K102" s="190" t="str">
        <f>IFERROR(((2*('Lab Analysis'!M102/60))+('Lab Analysis'!K102/17))/(('Lab Analysis'!L102/44)+('Lab Analysis'!M102/60)),"0")</f>
        <v>0</v>
      </c>
      <c r="L102" s="190" t="str">
        <f>IFERROR((('Lab Analysis'!N102/18)-('Lab Analysis'!M102/60))/(('Lab Analysis'!L102/44)+('Lab Analysis'!M102/60)),"0")</f>
        <v>0</v>
      </c>
      <c r="M102" s="187" t="str">
        <f>IFERROR(((2*('Lab Analysis'!U102/60))+('Lab Analysis'!S102/17))/(('Lab Analysis'!T102/44)+('Lab Analysis'!U102/60)),"0")</f>
        <v>0</v>
      </c>
      <c r="N102" s="187" t="str">
        <f>IFERROR((('Lab Analysis'!V102/18)-('Lab Analysis'!U102/60))/(('Lab Analysis'!T102/44)+('Lab Analysis'!U102/60)),"0")</f>
        <v>0</v>
      </c>
      <c r="O102" s="187" t="str">
        <f>IFERROR(((2*('Lab Analysis'!Y102/60)+('Lab Analysis'!W102/17))/(('Lab Analysis'!X102/44)+('Lab Analysis'!Y102/60))),"0")</f>
        <v>0</v>
      </c>
      <c r="P102" s="187" t="str">
        <f>IFERROR((('Lab Analysis'!Z102/18)-('Lab Analysis'!Y102/60))/(('Lab Analysis'!X102/44)+('Lab Analysis'!Y102/60)),"0")</f>
        <v>0</v>
      </c>
      <c r="Q102" s="191"/>
    </row>
    <row r="103" spans="1:17">
      <c r="A103" s="185">
        <v>45917</v>
      </c>
      <c r="B103" s="186">
        <f>IFERROR(('Lab Analysis'!E103/('Lab Analysis'!E103+(1.364*'Lab Analysis'!D103))),"0")</f>
        <v>0.55709621932811448</v>
      </c>
      <c r="C103" s="186">
        <f>IFERROR((2*'Lab Analysis'!E103/60)/('Lab Analysis'!C103/17+(2*'Lab Analysis'!E103/60)),"0")</f>
        <v>0.3768595733981478</v>
      </c>
      <c r="D103" s="187">
        <f>IFERROR(((2*('Lab Analysis'!E103/60)+('Lab Analysis'!C103/17))/(('Lab Analysis'!D103/44)+('Lab Analysis'!E103/60))),"0")</f>
        <v>2.9568680018924458</v>
      </c>
      <c r="E103" s="187">
        <f>IFERROR((('Lab Analysis'!F103/18)-('Lab Analysis'!E103/60))/(('Lab Analysis'!D103/44)+('Lab Analysis'!E103/60)),"0")</f>
        <v>0.61427082003489575</v>
      </c>
      <c r="F103" s="187">
        <f>IFERROR((('Lab Analysis'!F103/18)/('Lab Analysis'!E103/60)),"0")</f>
        <v>2.1024994749002324</v>
      </c>
      <c r="G103" s="188" t="str">
        <f>IFERROR(('Lab Analysis'!I103/('Lab Analysis'!I103+(1.765*'Lab Analysis'!G103))),"0")</f>
        <v>0</v>
      </c>
      <c r="H103" s="189" t="str">
        <f>IFERROR(((2*('Lab Analysis'!I103/60))+('Lab Analysis'!G103/17))/(('Lab Analysis'!H103/44)+('Lab Analysis'!I103/60)),"0")</f>
        <v>0</v>
      </c>
      <c r="I103" s="189" t="str">
        <f>IFERROR((('Lab Analysis'!J103/18)-('Lab Analysis'!I103/60))/(('Lab Analysis'!H103/44)+('Lab Analysis'!I103/60)),"0")</f>
        <v>0</v>
      </c>
      <c r="J103" s="186" t="str">
        <f>IFERROR(('Lab Analysis'!M103/('Lab Analysis'!M103+(1.765*'Lab Analysis'!K103))),"0")</f>
        <v>0</v>
      </c>
      <c r="K103" s="190" t="str">
        <f>IFERROR(((2*('Lab Analysis'!M103/60))+('Lab Analysis'!K103/17))/(('Lab Analysis'!L103/44)+('Lab Analysis'!M103/60)),"0")</f>
        <v>0</v>
      </c>
      <c r="L103" s="190" t="str">
        <f>IFERROR((('Lab Analysis'!N103/18)-('Lab Analysis'!M103/60))/(('Lab Analysis'!L103/44)+('Lab Analysis'!M103/60)),"0")</f>
        <v>0</v>
      </c>
      <c r="M103" s="187" t="str">
        <f>IFERROR(((2*('Lab Analysis'!U103/60))+('Lab Analysis'!S103/17))/(('Lab Analysis'!T103/44)+('Lab Analysis'!U103/60)),"0")</f>
        <v>0</v>
      </c>
      <c r="N103" s="187" t="str">
        <f>IFERROR((('Lab Analysis'!V103/18)-('Lab Analysis'!U103/60))/(('Lab Analysis'!T103/44)+('Lab Analysis'!U103/60)),"0")</f>
        <v>0</v>
      </c>
      <c r="O103" s="187" t="str">
        <f>IFERROR(((2*('Lab Analysis'!Y103/60)+('Lab Analysis'!W103/17))/(('Lab Analysis'!X103/44)+('Lab Analysis'!Y103/60))),"0")</f>
        <v>0</v>
      </c>
      <c r="P103" s="187" t="str">
        <f>IFERROR((('Lab Analysis'!Z103/18)-('Lab Analysis'!Y103/60))/(('Lab Analysis'!X103/44)+('Lab Analysis'!Y103/60)),"0")</f>
        <v>0</v>
      </c>
      <c r="Q103" s="191"/>
    </row>
    <row r="104" spans="1:17">
      <c r="A104" s="185">
        <v>45918</v>
      </c>
      <c r="B104" s="186">
        <f>IFERROR(('Lab Analysis'!E104/('Lab Analysis'!E104+(1.364*'Lab Analysis'!D104))),"0")</f>
        <v>0.55324007100240069</v>
      </c>
      <c r="C104" s="186">
        <f>IFERROR((2*'Lab Analysis'!E104/60)/('Lab Analysis'!C104/17+(2*'Lab Analysis'!E104/60)),"0")</f>
        <v>0.37668605106376923</v>
      </c>
      <c r="D104" s="187">
        <f>IFERROR(((2*('Lab Analysis'!E104/60)+('Lab Analysis'!C104/17))/(('Lab Analysis'!D104/44)+('Lab Analysis'!E104/60))),"0")</f>
        <v>2.9377566305736358</v>
      </c>
      <c r="E104" s="187">
        <f>IFERROR((('Lab Analysis'!F104/18)-('Lab Analysis'!E104/60))/(('Lab Analysis'!D104/44)+('Lab Analysis'!E104/60)),"0")</f>
        <v>0.70568877111340911</v>
      </c>
      <c r="F104" s="187">
        <f>IFERROR((('Lab Analysis'!F104/18)/('Lab Analysis'!E104/60)),"0")</f>
        <v>2.2754042188671164</v>
      </c>
      <c r="G104" s="188">
        <f>IFERROR(('Lab Analysis'!I104/('Lab Analysis'!I104+(1.765*'Lab Analysis'!G104))),"0")</f>
        <v>0.74328560322993198</v>
      </c>
      <c r="H104" s="189">
        <f>IFERROR(((2*('Lab Analysis'!I104/60))+('Lab Analysis'!G104/17))/(('Lab Analysis'!H104/44)+('Lab Analysis'!I104/60)),"0")</f>
        <v>2.1029544718355822</v>
      </c>
      <c r="I104" s="189">
        <f>IFERROR((('Lab Analysis'!J104/18)-('Lab Analysis'!I104/60))/(('Lab Analysis'!H104/44)+('Lab Analysis'!I104/60)),"0")</f>
        <v>0.59212532989963729</v>
      </c>
      <c r="J104" s="186">
        <f>IFERROR(('Lab Analysis'!M104/('Lab Analysis'!M104+(1.765*'Lab Analysis'!K104))),"0")</f>
        <v>0.6000365748975155</v>
      </c>
      <c r="K104" s="190">
        <f>IFERROR(((2*('Lab Analysis'!M104/60))+('Lab Analysis'!K104/17))/(('Lab Analysis'!L104/44)+('Lab Analysis'!M104/60)),"0")</f>
        <v>2.4196387216303843</v>
      </c>
      <c r="L104" s="190">
        <f>IFERROR((('Lab Analysis'!N104/18)-('Lab Analysis'!M104/60))/(('Lab Analysis'!L104/44)+('Lab Analysis'!M104/60)),"0")</f>
        <v>0.51968503937007815</v>
      </c>
      <c r="M104" s="187">
        <f>IFERROR(((2*('Lab Analysis'!U104/60))+('Lab Analysis'!S104/17))/(('Lab Analysis'!T104/44)+('Lab Analysis'!U104/60)),"0")</f>
        <v>2.4054062047141631</v>
      </c>
      <c r="N104" s="187">
        <f>IFERROR((('Lab Analysis'!V104/18)-('Lab Analysis'!U104/60))/(('Lab Analysis'!T104/44)+('Lab Analysis'!U104/60)),"0")</f>
        <v>1.4286911345734874</v>
      </c>
      <c r="O104" s="187">
        <f>IFERROR(((2*('Lab Analysis'!Y104/60)+('Lab Analysis'!W104/17))/(('Lab Analysis'!X104/44)+('Lab Analysis'!Y104/60))),"0")</f>
        <v>2.4512110726643601</v>
      </c>
      <c r="P104" s="187">
        <f>IFERROR((('Lab Analysis'!Z104/18)-('Lab Analysis'!Y104/60))/(('Lab Analysis'!X104/44)+('Lab Analysis'!Y104/60)),"0")</f>
        <v>2.0877061935885459</v>
      </c>
      <c r="Q104" s="191"/>
    </row>
    <row r="105" spans="1:17">
      <c r="A105" s="185">
        <v>45919</v>
      </c>
      <c r="B105" s="186">
        <f>IFERROR(('Lab Analysis'!E105/('Lab Analysis'!E105+(1.364*'Lab Analysis'!D105))),"0")</f>
        <v>0.55474448462029613</v>
      </c>
      <c r="C105" s="186">
        <f>IFERROR((2*'Lab Analysis'!E105/60)/('Lab Analysis'!C105/17+(2*'Lab Analysis'!E105/60)),"0")</f>
        <v>0.37737515951255762</v>
      </c>
      <c r="D105" s="187">
        <f>IFERROR(((2*('Lab Analysis'!E105/60)+('Lab Analysis'!C105/17))/(('Lab Analysis'!D105/44)+('Lab Analysis'!E105/60))),"0")</f>
        <v>2.9403649306020858</v>
      </c>
      <c r="E105" s="187">
        <f>IFERROR((('Lab Analysis'!F105/18)-('Lab Analysis'!E105/60))/(('Lab Analysis'!D105/44)+('Lab Analysis'!E105/60)),"0")</f>
        <v>0.61988285460908166</v>
      </c>
      <c r="F105" s="187">
        <f>IFERROR((('Lab Analysis'!F105/18)/('Lab Analysis'!E105/60)),"0")</f>
        <v>2.1172878500736996</v>
      </c>
      <c r="G105" s="188" t="str">
        <f>IFERROR(('Lab Analysis'!I105/('Lab Analysis'!I105+(1.765*'Lab Analysis'!G105))),"0")</f>
        <v>0</v>
      </c>
      <c r="H105" s="189" t="str">
        <f>IFERROR(((2*('Lab Analysis'!I105/60))+('Lab Analysis'!G105/17))/(('Lab Analysis'!H105/44)+('Lab Analysis'!I105/60)),"0")</f>
        <v>0</v>
      </c>
      <c r="I105" s="189" t="str">
        <f>IFERROR((('Lab Analysis'!J105/18)-('Lab Analysis'!I105/60))/(('Lab Analysis'!H105/44)+('Lab Analysis'!I105/60)),"0")</f>
        <v>0</v>
      </c>
      <c r="J105" s="186" t="str">
        <f>IFERROR(('Lab Analysis'!M105/('Lab Analysis'!M105+(1.765*'Lab Analysis'!K105))),"0")</f>
        <v>0</v>
      </c>
      <c r="K105" s="190" t="str">
        <f>IFERROR(((2*('Lab Analysis'!M105/60))+('Lab Analysis'!K105/17))/(('Lab Analysis'!L105/44)+('Lab Analysis'!M105/60)),"0")</f>
        <v>0</v>
      </c>
      <c r="L105" s="190" t="str">
        <f>IFERROR((('Lab Analysis'!N105/18)-('Lab Analysis'!M105/60))/(('Lab Analysis'!L105/44)+('Lab Analysis'!M105/60)),"0")</f>
        <v>0</v>
      </c>
      <c r="M105" s="187" t="str">
        <f>IFERROR(((2*('Lab Analysis'!U105/60))+('Lab Analysis'!S105/17))/(('Lab Analysis'!T105/44)+('Lab Analysis'!U105/60)),"0")</f>
        <v>0</v>
      </c>
      <c r="N105" s="187" t="str">
        <f>IFERROR((('Lab Analysis'!V105/18)-('Lab Analysis'!U105/60))/(('Lab Analysis'!T105/44)+('Lab Analysis'!U105/60)),"0")</f>
        <v>0</v>
      </c>
      <c r="O105" s="187" t="str">
        <f>IFERROR(((2*('Lab Analysis'!Y105/60)+('Lab Analysis'!W105/17))/(('Lab Analysis'!X105/44)+('Lab Analysis'!Y105/60))),"0")</f>
        <v>0</v>
      </c>
      <c r="P105" s="187" t="str">
        <f>IFERROR((('Lab Analysis'!Z105/18)-('Lab Analysis'!Y105/60))/(('Lab Analysis'!X105/44)+('Lab Analysis'!Y105/60)),"0")</f>
        <v>0</v>
      </c>
      <c r="Q105" s="191"/>
    </row>
    <row r="106" spans="1:17">
      <c r="A106" s="185">
        <v>45920</v>
      </c>
      <c r="B106" s="186" t="str">
        <f>IFERROR(('Lab Analysis'!E106/('Lab Analysis'!E106+(1.364*'Lab Analysis'!D106))),"0")</f>
        <v>0</v>
      </c>
      <c r="C106" s="186" t="str">
        <f>IFERROR((2*'Lab Analysis'!E106/60)/('Lab Analysis'!C106/17+(2*'Lab Analysis'!E106/60)),"0")</f>
        <v>0</v>
      </c>
      <c r="D106" s="187" t="str">
        <f>IFERROR(((2*('Lab Analysis'!E106/60)+('Lab Analysis'!C106/17))/(('Lab Analysis'!D106/44)+('Lab Analysis'!E106/60))),"0")</f>
        <v>0</v>
      </c>
      <c r="E106" s="187" t="str">
        <f>IFERROR((('Lab Analysis'!F106/18)-('Lab Analysis'!E106/60))/(('Lab Analysis'!D106/44)+('Lab Analysis'!E106/60)),"0")</f>
        <v>0</v>
      </c>
      <c r="F106" s="187" t="str">
        <f>IFERROR((('Lab Analysis'!F106/18)/('Lab Analysis'!E106/60)),"0")</f>
        <v>0</v>
      </c>
      <c r="G106" s="188" t="str">
        <f>IFERROR(('Lab Analysis'!I106/('Lab Analysis'!I106+(1.765*'Lab Analysis'!G106))),"0")</f>
        <v>0</v>
      </c>
      <c r="H106" s="189" t="str">
        <f>IFERROR(((2*('Lab Analysis'!I106/60))+('Lab Analysis'!G106/17))/(('Lab Analysis'!H106/44)+('Lab Analysis'!I106/60)),"0")</f>
        <v>0</v>
      </c>
      <c r="I106" s="189" t="str">
        <f>IFERROR((('Lab Analysis'!J106/18)-('Lab Analysis'!I106/60))/(('Lab Analysis'!H106/44)+('Lab Analysis'!I106/60)),"0")</f>
        <v>0</v>
      </c>
      <c r="J106" s="186" t="str">
        <f>IFERROR(('Lab Analysis'!M106/('Lab Analysis'!M106+(1.765*'Lab Analysis'!K106))),"0")</f>
        <v>0</v>
      </c>
      <c r="K106" s="190" t="str">
        <f>IFERROR(((2*('Lab Analysis'!M106/60))+('Lab Analysis'!K106/17))/(('Lab Analysis'!L106/44)+('Lab Analysis'!M106/60)),"0")</f>
        <v>0</v>
      </c>
      <c r="L106" s="190" t="str">
        <f>IFERROR((('Lab Analysis'!N106/18)-('Lab Analysis'!M106/60))/(('Lab Analysis'!L106/44)+('Lab Analysis'!M106/60)),"0")</f>
        <v>0</v>
      </c>
      <c r="M106" s="187" t="str">
        <f>IFERROR(((2*('Lab Analysis'!U106/60))+('Lab Analysis'!S106/17))/(('Lab Analysis'!T106/44)+('Lab Analysis'!U106/60)),"0")</f>
        <v>0</v>
      </c>
      <c r="N106" s="187" t="str">
        <f>IFERROR((('Lab Analysis'!V106/18)-('Lab Analysis'!U106/60))/(('Lab Analysis'!T106/44)+('Lab Analysis'!U106/60)),"0")</f>
        <v>0</v>
      </c>
      <c r="O106" s="187" t="str">
        <f>IFERROR(((2*('Lab Analysis'!Y106/60)+('Lab Analysis'!W106/17))/(('Lab Analysis'!X106/44)+('Lab Analysis'!Y106/60))),"0")</f>
        <v>0</v>
      </c>
      <c r="P106" s="187" t="str">
        <f>IFERROR((('Lab Analysis'!Z106/18)-('Lab Analysis'!Y106/60))/(('Lab Analysis'!X106/44)+('Lab Analysis'!Y106/60)),"0")</f>
        <v>0</v>
      </c>
      <c r="Q106" s="191"/>
    </row>
    <row r="107" spans="1:17">
      <c r="A107" s="185">
        <v>45921</v>
      </c>
      <c r="B107" s="186" t="str">
        <f>IFERROR(('Lab Analysis'!E107/('Lab Analysis'!E107+(1.364*'Lab Analysis'!D107))),"0")</f>
        <v>0</v>
      </c>
      <c r="C107" s="186" t="str">
        <f>IFERROR((2*'Lab Analysis'!E107/60)/('Lab Analysis'!C107/17+(2*'Lab Analysis'!E107/60)),"0")</f>
        <v>0</v>
      </c>
      <c r="D107" s="187" t="str">
        <f>IFERROR(((2*('Lab Analysis'!E107/60)+('Lab Analysis'!C107/17))/(('Lab Analysis'!D107/44)+('Lab Analysis'!E107/60))),"0")</f>
        <v>0</v>
      </c>
      <c r="E107" s="187" t="str">
        <f>IFERROR((('Lab Analysis'!F107/18)-('Lab Analysis'!E107/60))/(('Lab Analysis'!D107/44)+('Lab Analysis'!E107/60)),"0")</f>
        <v>0</v>
      </c>
      <c r="F107" s="187" t="str">
        <f>IFERROR((('Lab Analysis'!F107/18)/('Lab Analysis'!E107/60)),"0")</f>
        <v>0</v>
      </c>
      <c r="G107" s="188" t="str">
        <f>IFERROR(('Lab Analysis'!I107/('Lab Analysis'!I107+(1.765*'Lab Analysis'!G107))),"0")</f>
        <v>0</v>
      </c>
      <c r="H107" s="189" t="str">
        <f>IFERROR(((2*('Lab Analysis'!I107/60))+('Lab Analysis'!G107/17))/(('Lab Analysis'!H107/44)+('Lab Analysis'!I107/60)),"0")</f>
        <v>0</v>
      </c>
      <c r="I107" s="189" t="str">
        <f>IFERROR((('Lab Analysis'!J107/18)-('Lab Analysis'!I107/60))/(('Lab Analysis'!H107/44)+('Lab Analysis'!I107/60)),"0")</f>
        <v>0</v>
      </c>
      <c r="J107" s="186" t="str">
        <f>IFERROR(('Lab Analysis'!M107/('Lab Analysis'!M107+(1.765*'Lab Analysis'!K107))),"0")</f>
        <v>0</v>
      </c>
      <c r="K107" s="190" t="str">
        <f>IFERROR(((2*('Lab Analysis'!M107/60))+('Lab Analysis'!K107/17))/(('Lab Analysis'!L107/44)+('Lab Analysis'!M107/60)),"0")</f>
        <v>0</v>
      </c>
      <c r="L107" s="190" t="str">
        <f>IFERROR((('Lab Analysis'!N107/18)-('Lab Analysis'!M107/60))/(('Lab Analysis'!L107/44)+('Lab Analysis'!M107/60)),"0")</f>
        <v>0</v>
      </c>
      <c r="M107" s="187" t="str">
        <f>IFERROR(((2*('Lab Analysis'!U107/60))+('Lab Analysis'!S107/17))/(('Lab Analysis'!T107/44)+('Lab Analysis'!U107/60)),"0")</f>
        <v>0</v>
      </c>
      <c r="N107" s="187" t="str">
        <f>IFERROR((('Lab Analysis'!V107/18)-('Lab Analysis'!U107/60))/(('Lab Analysis'!T107/44)+('Lab Analysis'!U107/60)),"0")</f>
        <v>0</v>
      </c>
      <c r="O107" s="187" t="str">
        <f>IFERROR(((2*('Lab Analysis'!Y107/60)+('Lab Analysis'!W107/17))/(('Lab Analysis'!X107/44)+('Lab Analysis'!Y107/60))),"0")</f>
        <v>0</v>
      </c>
      <c r="P107" s="187" t="str">
        <f>IFERROR((('Lab Analysis'!Z107/18)-('Lab Analysis'!Y107/60))/(('Lab Analysis'!X107/44)+('Lab Analysis'!Y107/60)),"0")</f>
        <v>0</v>
      </c>
      <c r="Q107" s="191"/>
    </row>
    <row r="108" spans="1:17">
      <c r="A108" s="185">
        <v>45922</v>
      </c>
      <c r="B108" s="186">
        <f>IFERROR(('Lab Analysis'!E108/('Lab Analysis'!E108+(1.364*'Lab Analysis'!D108))),"0")</f>
        <v>0.56459596584581118</v>
      </c>
      <c r="C108" s="186">
        <f>IFERROR((2*'Lab Analysis'!E108/60)/('Lab Analysis'!C108/17+(2*'Lab Analysis'!E108/60)),"0")</f>
        <v>0.38053159017101762</v>
      </c>
      <c r="D108" s="187">
        <f>IFERROR(((2*('Lab Analysis'!E108/60)+('Lab Analysis'!C108/17))/(('Lab Analysis'!D108/44)+('Lab Analysis'!E108/60))),"0")</f>
        <v>2.9677510331627377</v>
      </c>
      <c r="E108" s="187">
        <f>IFERROR((('Lab Analysis'!F108/18)-('Lab Analysis'!E108/60))/(('Lab Analysis'!D108/44)+('Lab Analysis'!E108/60)),"0")</f>
        <v>0.61259562317543537</v>
      </c>
      <c r="F108" s="187">
        <f>IFERROR((('Lab Analysis'!F108/18)/('Lab Analysis'!E108/60)),"0")</f>
        <v>2.0848899958489002</v>
      </c>
      <c r="G108" s="188">
        <f>IFERROR(('Lab Analysis'!I108/('Lab Analysis'!I108+(1.765*'Lab Analysis'!G108))),"0")</f>
        <v>0.7452746506792467</v>
      </c>
      <c r="H108" s="189">
        <f>IFERROR(((2*('Lab Analysis'!I108/60))+('Lab Analysis'!G108/17))/(('Lab Analysis'!H108/44)+('Lab Analysis'!I108/60)),"0")</f>
        <v>2.1054979358052286</v>
      </c>
      <c r="I108" s="189">
        <f>IFERROR((('Lab Analysis'!J108/18)-('Lab Analysis'!I108/60))/(('Lab Analysis'!H108/44)+('Lab Analysis'!I108/60)),"0")</f>
        <v>0.57162485554918585</v>
      </c>
      <c r="J108" s="186">
        <f>IFERROR(('Lab Analysis'!M108/('Lab Analysis'!M108+(1.765*'Lab Analysis'!K108))),"0")</f>
        <v>0.60134464779515762</v>
      </c>
      <c r="K108" s="190">
        <f>IFERROR(((2*('Lab Analysis'!M108/60))+('Lab Analysis'!K108/17))/(('Lab Analysis'!L108/44)+('Lab Analysis'!M108/60)),"0")</f>
        <v>2.4000961863305341</v>
      </c>
      <c r="L108" s="190">
        <f>IFERROR((('Lab Analysis'!N108/18)-('Lab Analysis'!M108/60))/(('Lab Analysis'!L108/44)+('Lab Analysis'!M108/60)),"0")</f>
        <v>0.56662780264755119</v>
      </c>
      <c r="M108" s="187">
        <f>IFERROR(((2*('Lab Analysis'!U108/60))+('Lab Analysis'!S108/17))/(('Lab Analysis'!T108/44)+('Lab Analysis'!U108/60)),"0")</f>
        <v>2.409871980208349</v>
      </c>
      <c r="N108" s="187">
        <f>IFERROR((('Lab Analysis'!V108/18)-('Lab Analysis'!U108/60))/(('Lab Analysis'!T108/44)+('Lab Analysis'!U108/60)),"0")</f>
        <v>1.4727359738760804</v>
      </c>
      <c r="O108" s="187">
        <f>IFERROR(((2*('Lab Analysis'!Y108/60)+('Lab Analysis'!W108/17))/(('Lab Analysis'!X108/44)+('Lab Analysis'!Y108/60))),"0")</f>
        <v>2.4552086756490308</v>
      </c>
      <c r="P108" s="187">
        <f>IFERROR((('Lab Analysis'!Z108/18)-('Lab Analysis'!Y108/60))/(('Lab Analysis'!X108/44)+('Lab Analysis'!Y108/60)),"0")</f>
        <v>2.0648044692737439</v>
      </c>
      <c r="Q108" s="191"/>
    </row>
    <row r="109" spans="1:17">
      <c r="A109" s="185">
        <v>45923</v>
      </c>
      <c r="B109" s="186">
        <f>IFERROR(('Lab Analysis'!E109/('Lab Analysis'!E109+(1.364*'Lab Analysis'!D109))),"0")</f>
        <v>0.56512745450221147</v>
      </c>
      <c r="C109" s="186">
        <f>IFERROR((2*'Lab Analysis'!E109/60)/('Lab Analysis'!C109/17+(2*'Lab Analysis'!E109/60)),"0")</f>
        <v>0.3821900597314542</v>
      </c>
      <c r="D109" s="187">
        <f>IFERROR(((2*('Lab Analysis'!E109/60)+('Lab Analysis'!C109/17))/(('Lab Analysis'!D109/44)+('Lab Analysis'!E109/60))),"0")</f>
        <v>2.9576540038839494</v>
      </c>
      <c r="E109" s="187">
        <f>IFERROR((('Lab Analysis'!F109/18)-('Lab Analysis'!E109/60))/(('Lab Analysis'!D109/44)+('Lab Analysis'!E109/60)),"0")</f>
        <v>0.64412824708310601</v>
      </c>
      <c r="F109" s="187">
        <f>IFERROR((('Lab Analysis'!F109/18)/('Lab Analysis'!E109/60)),"0")</f>
        <v>2.1396607347278591</v>
      </c>
      <c r="G109" s="188" t="str">
        <f>IFERROR(('Lab Analysis'!I109/('Lab Analysis'!I109+(1.765*'Lab Analysis'!G109))),"0")</f>
        <v>0</v>
      </c>
      <c r="H109" s="189" t="str">
        <f>IFERROR(((2*('Lab Analysis'!I109/60))+('Lab Analysis'!G109/17))/(('Lab Analysis'!H109/44)+('Lab Analysis'!I109/60)),"0")</f>
        <v>0</v>
      </c>
      <c r="I109" s="189" t="str">
        <f>IFERROR((('Lab Analysis'!J109/18)-('Lab Analysis'!I109/60))/(('Lab Analysis'!H109/44)+('Lab Analysis'!I109/60)),"0")</f>
        <v>0</v>
      </c>
      <c r="J109" s="186" t="str">
        <f>IFERROR(('Lab Analysis'!M109/('Lab Analysis'!M109+(1.765*'Lab Analysis'!K109))),"0")</f>
        <v>0</v>
      </c>
      <c r="K109" s="190" t="str">
        <f>IFERROR(((2*('Lab Analysis'!M109/60))+('Lab Analysis'!K109/17))/(('Lab Analysis'!L109/44)+('Lab Analysis'!M109/60)),"0")</f>
        <v>0</v>
      </c>
      <c r="L109" s="190" t="str">
        <f>IFERROR((('Lab Analysis'!N109/18)-('Lab Analysis'!M109/60))/(('Lab Analysis'!L109/44)+('Lab Analysis'!M109/60)),"0")</f>
        <v>0</v>
      </c>
      <c r="M109" s="187" t="str">
        <f>IFERROR(((2*('Lab Analysis'!U109/60))+('Lab Analysis'!S109/17))/(('Lab Analysis'!T109/44)+('Lab Analysis'!U109/60)),"0")</f>
        <v>0</v>
      </c>
      <c r="N109" s="187" t="str">
        <f>IFERROR((('Lab Analysis'!V109/18)-('Lab Analysis'!U109/60))/(('Lab Analysis'!T109/44)+('Lab Analysis'!U109/60)),"0")</f>
        <v>0</v>
      </c>
      <c r="O109" s="187" t="str">
        <f>IFERROR(((2*('Lab Analysis'!Y109/60)+('Lab Analysis'!W109/17))/(('Lab Analysis'!X109/44)+('Lab Analysis'!Y109/60))),"0")</f>
        <v>0</v>
      </c>
      <c r="P109" s="187" t="str">
        <f>IFERROR((('Lab Analysis'!Z109/18)-('Lab Analysis'!Y109/60))/(('Lab Analysis'!X109/44)+('Lab Analysis'!Y109/60)),"0")</f>
        <v>0</v>
      </c>
      <c r="Q109" s="191"/>
    </row>
    <row r="110" spans="1:17">
      <c r="A110" s="185">
        <v>45924</v>
      </c>
      <c r="B110" s="186">
        <f>IFERROR(('Lab Analysis'!E110/('Lab Analysis'!E110+(1.364*'Lab Analysis'!D110))),"0")</f>
        <v>0.56168957348136506</v>
      </c>
      <c r="C110" s="186">
        <f>IFERROR((2*'Lab Analysis'!E110/60)/('Lab Analysis'!C110/17+(2*'Lab Analysis'!E110/60)),"0")</f>
        <v>0.37903186436895436</v>
      </c>
      <c r="D110" s="187">
        <f>IFERROR(((2*('Lab Analysis'!E110/60)+('Lab Analysis'!C110/17))/(('Lab Analysis'!D110/44)+('Lab Analysis'!E110/60))),"0")</f>
        <v>2.9641582584281276</v>
      </c>
      <c r="E110" s="187">
        <f>IFERROR((('Lab Analysis'!F110/18)-('Lab Analysis'!E110/60))/(('Lab Analysis'!D110/44)+('Lab Analysis'!E110/60)),"0")</f>
        <v>0.61318062255732009</v>
      </c>
      <c r="F110" s="187">
        <f>IFERROR((('Lab Analysis'!F110/18)/('Lab Analysis'!E110/60)),"0")</f>
        <v>2.0915441559795647</v>
      </c>
      <c r="G110" s="188" t="str">
        <f>IFERROR(('Lab Analysis'!I110/('Lab Analysis'!I110+(1.765*'Lab Analysis'!G110))),"0")</f>
        <v>0</v>
      </c>
      <c r="H110" s="189" t="str">
        <f>IFERROR(((2*('Lab Analysis'!I110/60))+('Lab Analysis'!G110/17))/(('Lab Analysis'!H110/44)+('Lab Analysis'!I110/60)),"0")</f>
        <v>0</v>
      </c>
      <c r="I110" s="189" t="str">
        <f>IFERROR((('Lab Analysis'!J110/18)-('Lab Analysis'!I110/60))/(('Lab Analysis'!H110/44)+('Lab Analysis'!I110/60)),"0")</f>
        <v>0</v>
      </c>
      <c r="J110" s="186" t="str">
        <f>IFERROR(('Lab Analysis'!M110/('Lab Analysis'!M110+(1.765*'Lab Analysis'!K110))),"0")</f>
        <v>0</v>
      </c>
      <c r="K110" s="190" t="str">
        <f>IFERROR(((2*('Lab Analysis'!M110/60))+('Lab Analysis'!K110/17))/(('Lab Analysis'!L110/44)+('Lab Analysis'!M110/60)),"0")</f>
        <v>0</v>
      </c>
      <c r="L110" s="190" t="str">
        <f>IFERROR((('Lab Analysis'!N110/18)-('Lab Analysis'!M110/60))/(('Lab Analysis'!L110/44)+('Lab Analysis'!M110/60)),"0")</f>
        <v>0</v>
      </c>
      <c r="M110" s="187" t="str">
        <f>IFERROR(((2*('Lab Analysis'!U110/60))+('Lab Analysis'!S110/17))/(('Lab Analysis'!T110/44)+('Lab Analysis'!U110/60)),"0")</f>
        <v>0</v>
      </c>
      <c r="N110" s="187" t="str">
        <f>IFERROR((('Lab Analysis'!V110/18)-('Lab Analysis'!U110/60))/(('Lab Analysis'!T110/44)+('Lab Analysis'!U110/60)),"0")</f>
        <v>0</v>
      </c>
      <c r="O110" s="187" t="str">
        <f>IFERROR(((2*('Lab Analysis'!Y110/60)+('Lab Analysis'!W110/17))/(('Lab Analysis'!X110/44)+('Lab Analysis'!Y110/60))),"0")</f>
        <v>0</v>
      </c>
      <c r="P110" s="187" t="str">
        <f>IFERROR((('Lab Analysis'!Z110/18)-('Lab Analysis'!Y110/60))/(('Lab Analysis'!X110/44)+('Lab Analysis'!Y110/60)),"0")</f>
        <v>0</v>
      </c>
      <c r="Q110" s="191"/>
    </row>
    <row r="111" spans="1:17">
      <c r="A111" s="185">
        <v>45925</v>
      </c>
      <c r="B111" s="186">
        <f>IFERROR(('Lab Analysis'!E111/('Lab Analysis'!E111+(1.364*'Lab Analysis'!D111))),"0")</f>
        <v>0.56047744947972233</v>
      </c>
      <c r="C111" s="186">
        <f>IFERROR((2*'Lab Analysis'!E111/60)/('Lab Analysis'!C111/17+(2*'Lab Analysis'!E111/60)),"0")</f>
        <v>0.37780409641911661</v>
      </c>
      <c r="D111" s="187">
        <f>IFERROR(((2*('Lab Analysis'!E111/60)+('Lab Analysis'!C111/17))/(('Lab Analysis'!D111/44)+('Lab Analysis'!E111/60))),"0")</f>
        <v>2.9673745536553278</v>
      </c>
      <c r="E111" s="187">
        <f>IFERROR((('Lab Analysis'!F111/18)-('Lab Analysis'!E111/60))/(('Lab Analysis'!D111/44)+('Lab Analysis'!E111/60)),"0")</f>
        <v>0.61033013844515493</v>
      </c>
      <c r="F111" s="187">
        <f>IFERROR((('Lab Analysis'!F111/18)/('Lab Analysis'!E111/60)),"0")</f>
        <v>2.0888192267502621</v>
      </c>
      <c r="G111" s="188">
        <f>IFERROR(('Lab Analysis'!I111/('Lab Analysis'!I111+(1.765*'Lab Analysis'!G111))),"0")</f>
        <v>0.74215344454448673</v>
      </c>
      <c r="H111" s="189">
        <f>IFERROR(((2*('Lab Analysis'!I111/60))+('Lab Analysis'!G111/17))/(('Lab Analysis'!H111/44)+('Lab Analysis'!I111/60)),"0")</f>
        <v>2.1044571266937417</v>
      </c>
      <c r="I111" s="189">
        <f>IFERROR((('Lab Analysis'!J111/18)-('Lab Analysis'!I111/60))/(('Lab Analysis'!H111/44)+('Lab Analysis'!I111/60)),"0")</f>
        <v>0.57698332468147506</v>
      </c>
      <c r="J111" s="186">
        <f>IFERROR(('Lab Analysis'!M111/('Lab Analysis'!M111+(1.765*'Lab Analysis'!K111))),"0")</f>
        <v>0.6005500066993098</v>
      </c>
      <c r="K111" s="190">
        <f>IFERROR(((2*('Lab Analysis'!M111/60))+('Lab Analysis'!K111/17))/(('Lab Analysis'!L111/44)+('Lab Analysis'!M111/60)),"0")</f>
        <v>2.4102052436916162</v>
      </c>
      <c r="L111" s="190">
        <f>IFERROR((('Lab Analysis'!N111/18)-('Lab Analysis'!M111/60))/(('Lab Analysis'!L111/44)+('Lab Analysis'!M111/60)),"0")</f>
        <v>0.60855304593858695</v>
      </c>
      <c r="M111" s="187">
        <f>IFERROR(((2*('Lab Analysis'!U111/60))+('Lab Analysis'!S111/17))/(('Lab Analysis'!T111/44)+('Lab Analysis'!U111/60)),"0")</f>
        <v>2.4044321329639891</v>
      </c>
      <c r="N111" s="187">
        <f>IFERROR((('Lab Analysis'!V111/18)-('Lab Analysis'!U111/60))/(('Lab Analysis'!T111/44)+('Lab Analysis'!U111/60)),"0")</f>
        <v>1.4404432132963991</v>
      </c>
      <c r="O111" s="187">
        <f>IFERROR(((2*('Lab Analysis'!Y111/60)+('Lab Analysis'!W111/17))/(('Lab Analysis'!X111/44)+('Lab Analysis'!Y111/60))),"0")</f>
        <v>2.4503315627989841</v>
      </c>
      <c r="P111" s="187">
        <f>IFERROR((('Lab Analysis'!Z111/18)-('Lab Analysis'!Y111/60))/(('Lab Analysis'!X111/44)+('Lab Analysis'!Y111/60)),"0")</f>
        <v>2.0962173615005928</v>
      </c>
      <c r="Q111" s="191"/>
    </row>
    <row r="112" spans="1:17">
      <c r="A112" s="185">
        <v>45926</v>
      </c>
      <c r="B112" s="186">
        <f>IFERROR(('Lab Analysis'!E112/('Lab Analysis'!E112+(1.364*'Lab Analysis'!D112))),"0")</f>
        <v>0.56311580886884505</v>
      </c>
      <c r="C112" s="186">
        <f>IFERROR((2*'Lab Analysis'!E112/60)/('Lab Analysis'!C112/17+(2*'Lab Analysis'!E112/60)),"0")</f>
        <v>0.38343701070627567</v>
      </c>
      <c r="D112" s="187">
        <f>IFERROR(((2*('Lab Analysis'!E112/60)+('Lab Analysis'!C112/17))/(('Lab Analysis'!D112/44)+('Lab Analysis'!E112/60))),"0")</f>
        <v>2.9375432609045729</v>
      </c>
      <c r="E112" s="187">
        <f>IFERROR((('Lab Analysis'!F112/18)-('Lab Analysis'!E112/60))/(('Lab Analysis'!D112/44)+('Lab Analysis'!E112/60)),"0")</f>
        <v>0.65135093308571979</v>
      </c>
      <c r="F112" s="187">
        <f>IFERROR((('Lab Analysis'!F112/18)/('Lab Analysis'!E112/60)),"0")</f>
        <v>2.1565561809464242</v>
      </c>
      <c r="G112" s="188" t="str">
        <f>IFERROR(('Lab Analysis'!I112/('Lab Analysis'!I112+(1.765*'Lab Analysis'!G112))),"0")</f>
        <v>0</v>
      </c>
      <c r="H112" s="189" t="str">
        <f>IFERROR(((2*('Lab Analysis'!I112/60))+('Lab Analysis'!G112/17))/(('Lab Analysis'!H112/44)+('Lab Analysis'!I112/60)),"0")</f>
        <v>0</v>
      </c>
      <c r="I112" s="189" t="str">
        <f>IFERROR((('Lab Analysis'!J112/18)-('Lab Analysis'!I112/60))/(('Lab Analysis'!H112/44)+('Lab Analysis'!I112/60)),"0")</f>
        <v>0</v>
      </c>
      <c r="J112" s="186" t="str">
        <f>IFERROR(('Lab Analysis'!M112/('Lab Analysis'!M112+(1.765*'Lab Analysis'!K112))),"0")</f>
        <v>0</v>
      </c>
      <c r="K112" s="190" t="str">
        <f>IFERROR(((2*('Lab Analysis'!M112/60))+('Lab Analysis'!K112/17))/(('Lab Analysis'!L112/44)+('Lab Analysis'!M112/60)),"0")</f>
        <v>0</v>
      </c>
      <c r="L112" s="190" t="str">
        <f>IFERROR((('Lab Analysis'!N112/18)-('Lab Analysis'!M112/60))/(('Lab Analysis'!L112/44)+('Lab Analysis'!M112/60)),"0")</f>
        <v>0</v>
      </c>
      <c r="M112" s="187" t="str">
        <f>IFERROR(((2*('Lab Analysis'!U112/60))+('Lab Analysis'!S112/17))/(('Lab Analysis'!T112/44)+('Lab Analysis'!U112/60)),"0")</f>
        <v>0</v>
      </c>
      <c r="N112" s="187" t="str">
        <f>IFERROR((('Lab Analysis'!V112/18)-('Lab Analysis'!U112/60))/(('Lab Analysis'!T112/44)+('Lab Analysis'!U112/60)),"0")</f>
        <v>0</v>
      </c>
      <c r="O112" s="187" t="str">
        <f>IFERROR(((2*('Lab Analysis'!Y112/60)+('Lab Analysis'!W112/17))/(('Lab Analysis'!X112/44)+('Lab Analysis'!Y112/60))),"0")</f>
        <v>0</v>
      </c>
      <c r="P112" s="187" t="str">
        <f>IFERROR((('Lab Analysis'!Z112/18)-('Lab Analysis'!Y112/60))/(('Lab Analysis'!X112/44)+('Lab Analysis'!Y112/60)),"0")</f>
        <v>0</v>
      </c>
      <c r="Q112" s="191"/>
    </row>
    <row r="113" spans="1:17">
      <c r="A113" s="185">
        <v>45927</v>
      </c>
      <c r="B113" s="186" t="str">
        <f>IFERROR(('Lab Analysis'!E113/('Lab Analysis'!E113+(1.364*'Lab Analysis'!D113))),"0")</f>
        <v>0</v>
      </c>
      <c r="C113" s="186" t="str">
        <f>IFERROR((2*'Lab Analysis'!E113/60)/('Lab Analysis'!C113/17+(2*'Lab Analysis'!E113/60)),"0")</f>
        <v>0</v>
      </c>
      <c r="D113" s="187" t="str">
        <f>IFERROR(((2*('Lab Analysis'!E113/60)+('Lab Analysis'!C113/17))/(('Lab Analysis'!D113/44)+('Lab Analysis'!E113/60))),"0")</f>
        <v>0</v>
      </c>
      <c r="E113" s="187" t="str">
        <f>IFERROR((('Lab Analysis'!F113/18)-('Lab Analysis'!E113/60))/(('Lab Analysis'!D113/44)+('Lab Analysis'!E113/60)),"0")</f>
        <v>0</v>
      </c>
      <c r="F113" s="187" t="str">
        <f>IFERROR((('Lab Analysis'!F113/18)/('Lab Analysis'!E113/60)),"0")</f>
        <v>0</v>
      </c>
      <c r="G113" s="188" t="str">
        <f>IFERROR(('Lab Analysis'!I113/('Lab Analysis'!I113+(1.765*'Lab Analysis'!G113))),"0")</f>
        <v>0</v>
      </c>
      <c r="H113" s="189" t="str">
        <f>IFERROR(((2*('Lab Analysis'!I113/60))+('Lab Analysis'!G113/17))/(('Lab Analysis'!H113/44)+('Lab Analysis'!I113/60)),"0")</f>
        <v>0</v>
      </c>
      <c r="I113" s="189" t="str">
        <f>IFERROR((('Lab Analysis'!J113/18)-('Lab Analysis'!I113/60))/(('Lab Analysis'!H113/44)+('Lab Analysis'!I113/60)),"0")</f>
        <v>0</v>
      </c>
      <c r="J113" s="186" t="str">
        <f>IFERROR(('Lab Analysis'!M113/('Lab Analysis'!M113+(1.765*'Lab Analysis'!K113))),"0")</f>
        <v>0</v>
      </c>
      <c r="K113" s="190" t="str">
        <f>IFERROR(((2*('Lab Analysis'!M113/60))+('Lab Analysis'!K113/17))/(('Lab Analysis'!L113/44)+('Lab Analysis'!M113/60)),"0")</f>
        <v>0</v>
      </c>
      <c r="L113" s="190" t="str">
        <f>IFERROR((('Lab Analysis'!N113/18)-('Lab Analysis'!M113/60))/(('Lab Analysis'!L113/44)+('Lab Analysis'!M113/60)),"0")</f>
        <v>0</v>
      </c>
      <c r="M113" s="187" t="str">
        <f>IFERROR(((2*('Lab Analysis'!U113/60))+('Lab Analysis'!S113/17))/(('Lab Analysis'!T113/44)+('Lab Analysis'!U113/60)),"0")</f>
        <v>0</v>
      </c>
      <c r="N113" s="187" t="str">
        <f>IFERROR((('Lab Analysis'!V113/18)-('Lab Analysis'!U113/60))/(('Lab Analysis'!T113/44)+('Lab Analysis'!U113/60)),"0")</f>
        <v>0</v>
      </c>
      <c r="O113" s="187" t="str">
        <f>IFERROR(((2*('Lab Analysis'!Y113/60)+('Lab Analysis'!W113/17))/(('Lab Analysis'!X113/44)+('Lab Analysis'!Y113/60))),"0")</f>
        <v>0</v>
      </c>
      <c r="P113" s="187" t="str">
        <f>IFERROR((('Lab Analysis'!Z113/18)-('Lab Analysis'!Y113/60))/(('Lab Analysis'!X113/44)+('Lab Analysis'!Y113/60)),"0")</f>
        <v>0</v>
      </c>
      <c r="Q113" s="191"/>
    </row>
    <row r="114" spans="1:17">
      <c r="A114" s="185">
        <v>45928</v>
      </c>
      <c r="B114" s="186" t="str">
        <f>IFERROR(('Lab Analysis'!E114/('Lab Analysis'!E114+(1.364*'Lab Analysis'!D114))),"0")</f>
        <v>0</v>
      </c>
      <c r="C114" s="186" t="str">
        <f>IFERROR((2*'Lab Analysis'!E114/60)/('Lab Analysis'!C114/17+(2*'Lab Analysis'!E114/60)),"0")</f>
        <v>0</v>
      </c>
      <c r="D114" s="187" t="str">
        <f>IFERROR(((2*('Lab Analysis'!E114/60)+('Lab Analysis'!C114/17))/(('Lab Analysis'!D114/44)+('Lab Analysis'!E114/60))),"0")</f>
        <v>0</v>
      </c>
      <c r="E114" s="187" t="str">
        <f>IFERROR((('Lab Analysis'!F114/18)-('Lab Analysis'!E114/60))/(('Lab Analysis'!D114/44)+('Lab Analysis'!E114/60)),"0")</f>
        <v>0</v>
      </c>
      <c r="F114" s="187" t="str">
        <f>IFERROR((('Lab Analysis'!F114/18)/('Lab Analysis'!E114/60)),"0")</f>
        <v>0</v>
      </c>
      <c r="G114" s="188" t="str">
        <f>IFERROR(('Lab Analysis'!I114/('Lab Analysis'!I114+(1.765*'Lab Analysis'!G114))),"0")</f>
        <v>0</v>
      </c>
      <c r="H114" s="189" t="str">
        <f>IFERROR(((2*('Lab Analysis'!I114/60))+('Lab Analysis'!G114/17))/(('Lab Analysis'!H114/44)+('Lab Analysis'!I114/60)),"0")</f>
        <v>0</v>
      </c>
      <c r="I114" s="189" t="str">
        <f>IFERROR((('Lab Analysis'!J114/18)-('Lab Analysis'!I114/60))/(('Lab Analysis'!H114/44)+('Lab Analysis'!I114/60)),"0")</f>
        <v>0</v>
      </c>
      <c r="J114" s="186" t="str">
        <f>IFERROR(('Lab Analysis'!M114/('Lab Analysis'!M114+(1.765*'Lab Analysis'!K114))),"0")</f>
        <v>0</v>
      </c>
      <c r="K114" s="190" t="str">
        <f>IFERROR(((2*('Lab Analysis'!M114/60))+('Lab Analysis'!K114/17))/(('Lab Analysis'!L114/44)+('Lab Analysis'!M114/60)),"0")</f>
        <v>0</v>
      </c>
      <c r="L114" s="190" t="str">
        <f>IFERROR((('Lab Analysis'!N114/18)-('Lab Analysis'!M114/60))/(('Lab Analysis'!L114/44)+('Lab Analysis'!M114/60)),"0")</f>
        <v>0</v>
      </c>
      <c r="M114" s="187" t="str">
        <f>IFERROR(((2*('Lab Analysis'!U114/60))+('Lab Analysis'!S114/17))/(('Lab Analysis'!T114/44)+('Lab Analysis'!U114/60)),"0")</f>
        <v>0</v>
      </c>
      <c r="N114" s="187" t="str">
        <f>IFERROR((('Lab Analysis'!V114/18)-('Lab Analysis'!U114/60))/(('Lab Analysis'!T114/44)+('Lab Analysis'!U114/60)),"0")</f>
        <v>0</v>
      </c>
      <c r="O114" s="187" t="str">
        <f>IFERROR(((2*('Lab Analysis'!Y114/60)+('Lab Analysis'!W114/17))/(('Lab Analysis'!X114/44)+('Lab Analysis'!Y114/60))),"0")</f>
        <v>0</v>
      </c>
      <c r="P114" s="187" t="str">
        <f>IFERROR((('Lab Analysis'!Z114/18)-('Lab Analysis'!Y114/60))/(('Lab Analysis'!X114/44)+('Lab Analysis'!Y114/60)),"0")</f>
        <v>0</v>
      </c>
      <c r="Q114" s="191"/>
    </row>
    <row r="115" spans="1:17">
      <c r="A115" s="185">
        <v>45929</v>
      </c>
      <c r="B115" s="186">
        <f>IFERROR(('Lab Analysis'!E115/('Lab Analysis'!E115+(1.364*'Lab Analysis'!D115))),"0")</f>
        <v>0.56020506004384485</v>
      </c>
      <c r="C115" s="186">
        <f>IFERROR((2*'Lab Analysis'!E115/60)/('Lab Analysis'!C115/17+(2*'Lab Analysis'!E115/60)),"0")</f>
        <v>0.37815795542696606</v>
      </c>
      <c r="D115" s="187">
        <f>IFERROR(((2*('Lab Analysis'!E115/60)+('Lab Analysis'!C115/17))/(('Lab Analysis'!D115/44)+('Lab Analysis'!E115/60))),"0")</f>
        <v>2.9631572853806682</v>
      </c>
      <c r="E115" s="187">
        <f>IFERROR((('Lab Analysis'!F115/18)-('Lab Analysis'!E115/60))/(('Lab Analysis'!D115/44)+('Lab Analysis'!E115/60)),"0")</f>
        <v>0.62434192629574503</v>
      </c>
      <c r="F115" s="187">
        <f>IFERROR((('Lab Analysis'!F115/18)/('Lab Analysis'!E115/60)),"0")</f>
        <v>2.1143575243480992</v>
      </c>
      <c r="G115" s="188">
        <f>IFERROR(('Lab Analysis'!I115/('Lab Analysis'!I115+(1.765*'Lab Analysis'!G115))),"0")</f>
        <v>0.74227613675363102</v>
      </c>
      <c r="H115" s="189">
        <f>IFERROR(((2*('Lab Analysis'!I115/60))+('Lab Analysis'!G115/17))/(('Lab Analysis'!H115/44)+('Lab Analysis'!I115/60)),"0")</f>
        <v>2.1008713851602909</v>
      </c>
      <c r="I115" s="189">
        <f>IFERROR((('Lab Analysis'!J115/18)-('Lab Analysis'!I115/60))/(('Lab Analysis'!H115/44)+('Lab Analysis'!I115/60)),"0")</f>
        <v>0.5890751511004676</v>
      </c>
      <c r="J115" s="186">
        <f>IFERROR(('Lab Analysis'!M115/('Lab Analysis'!M115+(1.765*'Lab Analysis'!K115))),"0")</f>
        <v>0.60263729195143523</v>
      </c>
      <c r="K115" s="190">
        <f>IFERROR(((2*('Lab Analysis'!M115/60))+('Lab Analysis'!K115/17))/(('Lab Analysis'!L115/44)+('Lab Analysis'!M115/60)),"0")</f>
        <v>2.4069313130372234</v>
      </c>
      <c r="L115" s="190">
        <f>IFERROR((('Lab Analysis'!N115/18)-('Lab Analysis'!M115/60))/(('Lab Analysis'!L115/44)+('Lab Analysis'!M115/60)),"0")</f>
        <v>0.65852907539368422</v>
      </c>
      <c r="M115" s="187" t="str">
        <f>IFERROR(((2*('Lab Analysis'!U115/60))+('Lab Analysis'!S115/17))/(('Lab Analysis'!T115/44)+('Lab Analysis'!U115/60)),"0")</f>
        <v>0</v>
      </c>
      <c r="N115" s="187" t="str">
        <f>IFERROR((('Lab Analysis'!V115/18)-('Lab Analysis'!U115/60))/(('Lab Analysis'!T115/44)+('Lab Analysis'!U115/60)),"0")</f>
        <v>0</v>
      </c>
      <c r="O115" s="187">
        <f>IFERROR(((2*('Lab Analysis'!Y115/60)+('Lab Analysis'!W115/17))/(('Lab Analysis'!X115/44)+('Lab Analysis'!Y115/60))),"0")</f>
        <v>2.4265159131738998</v>
      </c>
      <c r="P115" s="187">
        <f>IFERROR((('Lab Analysis'!Z115/18)-('Lab Analysis'!Y115/60))/(('Lab Analysis'!X115/44)+('Lab Analysis'!Y115/60)),"0")</f>
        <v>2.1129479156937827</v>
      </c>
      <c r="Q115" s="191"/>
    </row>
    <row r="116" spans="1:17">
      <c r="A116" s="185">
        <v>45930</v>
      </c>
      <c r="B116" s="186">
        <f>IFERROR(('Lab Analysis'!E116/('Lab Analysis'!E116+(1.364*'Lab Analysis'!D116))),"0")</f>
        <v>0.55765858099541443</v>
      </c>
      <c r="C116" s="186">
        <f>IFERROR((2*'Lab Analysis'!E116/60)/('Lab Analysis'!C116/17+(2*'Lab Analysis'!E116/60)),"0")</f>
        <v>0.37738405419489313</v>
      </c>
      <c r="D116" s="187">
        <f>IFERROR(((2*('Lab Analysis'!E116/60)+('Lab Analysis'!C116/17))/(('Lab Analysis'!D116/44)+('Lab Analysis'!E116/60))),"0")</f>
        <v>2.9557388296904104</v>
      </c>
      <c r="E116" s="187">
        <f>IFERROR((('Lab Analysis'!F116/18)-('Lab Analysis'!E116/60))/(('Lab Analysis'!D116/44)+('Lab Analysis'!E116/60)),"0")</f>
        <v>0.58274484911000002</v>
      </c>
      <c r="F116" s="187">
        <f>IFERROR((('Lab Analysis'!F116/18)/('Lab Analysis'!E116/60)),"0")</f>
        <v>2.0448617631716219</v>
      </c>
      <c r="G116" s="188" t="str">
        <f>IFERROR(('Lab Analysis'!I116/('Lab Analysis'!I116+(1.765*'Lab Analysis'!G116))),"0")</f>
        <v>0</v>
      </c>
      <c r="H116" s="189" t="str">
        <f>IFERROR(((2*('Lab Analysis'!I116/60))+('Lab Analysis'!G116/17))/(('Lab Analysis'!H116/44)+('Lab Analysis'!I116/60)),"0")</f>
        <v>0</v>
      </c>
      <c r="I116" s="189" t="str">
        <f>IFERROR((('Lab Analysis'!J116/18)-('Lab Analysis'!I116/60))/(('Lab Analysis'!H116/44)+('Lab Analysis'!I116/60)),"0")</f>
        <v>0</v>
      </c>
      <c r="J116" s="186" t="str">
        <f>IFERROR(('Lab Analysis'!M116/('Lab Analysis'!M116+(1.765*'Lab Analysis'!K116))),"0")</f>
        <v>0</v>
      </c>
      <c r="K116" s="190" t="str">
        <f>IFERROR(((2*('Lab Analysis'!M116/60))+('Lab Analysis'!K116/17))/(('Lab Analysis'!L116/44)+('Lab Analysis'!M116/60)),"0")</f>
        <v>0</v>
      </c>
      <c r="L116" s="190" t="str">
        <f>IFERROR((('Lab Analysis'!N116/18)-('Lab Analysis'!M116/60))/(('Lab Analysis'!L116/44)+('Lab Analysis'!M116/60)),"0")</f>
        <v>0</v>
      </c>
      <c r="M116" s="187" t="str">
        <f>IFERROR(((2*('Lab Analysis'!U116/60))+('Lab Analysis'!S116/17))/(('Lab Analysis'!T116/44)+('Lab Analysis'!U116/60)),"0")</f>
        <v>0</v>
      </c>
      <c r="N116" s="187" t="str">
        <f>IFERROR((('Lab Analysis'!V116/18)-('Lab Analysis'!U116/60))/(('Lab Analysis'!T116/44)+('Lab Analysis'!U116/60)),"0")</f>
        <v>0</v>
      </c>
      <c r="O116" s="187" t="str">
        <f>IFERROR(((2*('Lab Analysis'!Y116/60)+('Lab Analysis'!W116/17))/(('Lab Analysis'!X116/44)+('Lab Analysis'!Y116/60))),"0")</f>
        <v>0</v>
      </c>
      <c r="P116" s="187" t="str">
        <f>IFERROR((('Lab Analysis'!Z116/18)-('Lab Analysis'!Y116/60))/(('Lab Analysis'!X116/44)+('Lab Analysis'!Y116/60)),"0")</f>
        <v>0</v>
      </c>
      <c r="Q116" s="191"/>
    </row>
    <row r="117" spans="1:17">
      <c r="A117" s="185">
        <v>45931</v>
      </c>
      <c r="B117" s="186" t="str">
        <f>IFERROR(('Lab Analysis'!E117/('Lab Analysis'!E117+(1.364*'Lab Analysis'!D117))),"0")</f>
        <v>0</v>
      </c>
      <c r="C117" s="186" t="str">
        <f>IFERROR((2*'Lab Analysis'!E117/60)/('Lab Analysis'!C117/17+(2*'Lab Analysis'!E117/60)),"0")</f>
        <v>0</v>
      </c>
      <c r="D117" s="187" t="str">
        <f>IFERROR(((2*('Lab Analysis'!E117/60)+('Lab Analysis'!C117/17))/(('Lab Analysis'!D117/44)+('Lab Analysis'!E117/60))),"0")</f>
        <v>0</v>
      </c>
      <c r="E117" s="187" t="str">
        <f>IFERROR((('Lab Analysis'!F117/18)-('Lab Analysis'!E117/60))/(('Lab Analysis'!D117/44)+('Lab Analysis'!E117/60)),"0")</f>
        <v>0</v>
      </c>
      <c r="F117" s="187" t="str">
        <f>IFERROR((('Lab Analysis'!F117/18)/('Lab Analysis'!E117/60)),"0")</f>
        <v>0</v>
      </c>
      <c r="G117" s="188" t="str">
        <f>IFERROR(('Lab Analysis'!I117/('Lab Analysis'!I117+(1.765*'Lab Analysis'!G117))),"0")</f>
        <v>0</v>
      </c>
      <c r="H117" s="189" t="str">
        <f>IFERROR(((2*('Lab Analysis'!I117/60))+('Lab Analysis'!G117/17))/(('Lab Analysis'!H117/44)+('Lab Analysis'!I117/60)),"0")</f>
        <v>0</v>
      </c>
      <c r="I117" s="189" t="str">
        <f>IFERROR((('Lab Analysis'!J117/18)-('Lab Analysis'!I117/60))/(('Lab Analysis'!H117/44)+('Lab Analysis'!I117/60)),"0")</f>
        <v>0</v>
      </c>
      <c r="J117" s="186" t="str">
        <f>IFERROR(('Lab Analysis'!M117/('Lab Analysis'!M117+(1.765*'Lab Analysis'!K117))),"0")</f>
        <v>0</v>
      </c>
      <c r="K117" s="190" t="str">
        <f>IFERROR(((2*('Lab Analysis'!M117/60))+('Lab Analysis'!K117/17))/(('Lab Analysis'!L117/44)+('Lab Analysis'!M117/60)),"0")</f>
        <v>0</v>
      </c>
      <c r="L117" s="190" t="str">
        <f>IFERROR((('Lab Analysis'!N117/18)-('Lab Analysis'!M117/60))/(('Lab Analysis'!L117/44)+('Lab Analysis'!M117/60)),"0")</f>
        <v>0</v>
      </c>
      <c r="M117" s="187" t="str">
        <f>IFERROR(((2*('Lab Analysis'!U117/60))+('Lab Analysis'!S117/17))/(('Lab Analysis'!T117/44)+('Lab Analysis'!U117/60)),"0")</f>
        <v>0</v>
      </c>
      <c r="N117" s="187" t="str">
        <f>IFERROR((('Lab Analysis'!V117/18)-('Lab Analysis'!U117/60))/(('Lab Analysis'!T117/44)+('Lab Analysis'!U117/60)),"0")</f>
        <v>0</v>
      </c>
      <c r="O117" s="187" t="str">
        <f>IFERROR(((2*('Lab Analysis'!Y117/60)+('Lab Analysis'!W117/17))/(('Lab Analysis'!X117/44)+('Lab Analysis'!Y117/60))),"0")</f>
        <v>0</v>
      </c>
      <c r="P117" s="187" t="str">
        <f>IFERROR((('Lab Analysis'!Z117/18)-('Lab Analysis'!Y117/60))/(('Lab Analysis'!X117/44)+('Lab Analysis'!Y117/60)),"0")</f>
        <v>0</v>
      </c>
      <c r="Q117" s="191"/>
    </row>
    <row r="118" spans="1:17">
      <c r="A118" s="185">
        <v>45932</v>
      </c>
      <c r="B118" s="186">
        <f>IFERROR(('Lab Analysis'!E118/('Lab Analysis'!E118+(1.364*'Lab Analysis'!D118))),"0")</f>
        <v>0.55681948864746378</v>
      </c>
      <c r="C118" s="186">
        <f>IFERROR((2*'Lab Analysis'!E118/60)/('Lab Analysis'!C118/17+(2*'Lab Analysis'!E118/60)),"0")</f>
        <v>0.38477243127178001</v>
      </c>
      <c r="D118" s="187">
        <f>IFERROR(((2*('Lab Analysis'!E118/60)+('Lab Analysis'!C118/17))/(('Lab Analysis'!D118/44)+('Lab Analysis'!E118/60))),"0")</f>
        <v>2.8946215443897425</v>
      </c>
      <c r="E118" s="187">
        <f>IFERROR((('Lab Analysis'!F118/18)-('Lab Analysis'!E118/60))/(('Lab Analysis'!D118/44)+('Lab Analysis'!E118/60)),"0")</f>
        <v>0.59556990263233911</v>
      </c>
      <c r="F118" s="187">
        <f>IFERROR((('Lab Analysis'!F118/18)/('Lab Analysis'!E118/60)),"0")</f>
        <v>2.0694660445826862</v>
      </c>
      <c r="G118" s="188">
        <f>IFERROR(('Lab Analysis'!I118/('Lab Analysis'!I118+(1.765*'Lab Analysis'!G118))),"0")</f>
        <v>0.74673481990198198</v>
      </c>
      <c r="H118" s="189">
        <f>IFERROR(((2*('Lab Analysis'!I118/60))+('Lab Analysis'!G118/17))/(('Lab Analysis'!H118/44)+('Lab Analysis'!I118/60)),"0")</f>
        <v>2.116887367710703</v>
      </c>
      <c r="I118" s="189">
        <f>IFERROR((('Lab Analysis'!J118/18)-('Lab Analysis'!I118/60))/(('Lab Analysis'!H118/44)+('Lab Analysis'!I118/60)),"0")</f>
        <v>0.59394105928419338</v>
      </c>
      <c r="J118" s="186">
        <f>IFERROR(('Lab Analysis'!M118/('Lab Analysis'!M118+(1.765*'Lab Analysis'!K118))),"0")</f>
        <v>0.60980409437969718</v>
      </c>
      <c r="K118" s="190">
        <f>IFERROR(((2*('Lab Analysis'!M118/60))+('Lab Analysis'!K118/17))/(('Lab Analysis'!L118/44)+('Lab Analysis'!M118/60)),"0")</f>
        <v>2.3973350561392643</v>
      </c>
      <c r="L118" s="190">
        <f>IFERROR((('Lab Analysis'!N118/18)-('Lab Analysis'!M118/60))/(('Lab Analysis'!L118/44)+('Lab Analysis'!M118/60)),"0")</f>
        <v>0.66798637281209805</v>
      </c>
      <c r="M118" s="187">
        <f>IFERROR(((2*('Lab Analysis'!U118/60))+('Lab Analysis'!S118/17))/(('Lab Analysis'!T118/44)+('Lab Analysis'!U118/60)),"0")</f>
        <v>2.4298253444017974</v>
      </c>
      <c r="N118" s="187">
        <f>IFERROR((('Lab Analysis'!V118/18)-('Lab Analysis'!U118/60))/(('Lab Analysis'!T118/44)+('Lab Analysis'!U118/60)),"0")</f>
        <v>1.4429269937615921</v>
      </c>
      <c r="O118" s="187">
        <f>IFERROR(((2*('Lab Analysis'!Y118/60)+('Lab Analysis'!W118/17))/(('Lab Analysis'!X118/44)+('Lab Analysis'!Y118/60))),"0")</f>
        <v>2.4337357455773665</v>
      </c>
      <c r="P118" s="187">
        <f>IFERROR((('Lab Analysis'!Z118/18)-('Lab Analysis'!Y118/60))/(('Lab Analysis'!X118/44)+('Lab Analysis'!Y118/60)),"0")</f>
        <v>2.2054197460678422</v>
      </c>
      <c r="Q118" s="191"/>
    </row>
    <row r="119" spans="1:17">
      <c r="A119" s="185">
        <v>45933</v>
      </c>
      <c r="B119" s="186">
        <f>IFERROR(('Lab Analysis'!E119/('Lab Analysis'!E119+(1.364*'Lab Analysis'!D119))),"0")</f>
        <v>0.56620649371802145</v>
      </c>
      <c r="C119" s="186">
        <f>IFERROR((2*'Lab Analysis'!E119/60)/('Lab Analysis'!C119/17+(2*'Lab Analysis'!E119/60)),"0")</f>
        <v>0.38251541444633536</v>
      </c>
      <c r="D119" s="187">
        <f>IFERROR(((2*('Lab Analysis'!E119/60)+('Lab Analysis'!C119/17))/(('Lab Analysis'!D119/44)+('Lab Analysis'!E119/60))),"0")</f>
        <v>2.9607799332032947</v>
      </c>
      <c r="E119" s="187">
        <f>IFERROR((('Lab Analysis'!F119/18)-('Lab Analysis'!E119/60))/(('Lab Analysis'!D119/44)+('Lab Analysis'!E119/60)),"0")</f>
        <v>0.61038947222842788</v>
      </c>
      <c r="F119" s="187">
        <f>IFERROR((('Lab Analysis'!F119/18)/('Lab Analysis'!E119/60)),"0")</f>
        <v>2.0779086588138043</v>
      </c>
      <c r="G119" s="188" t="str">
        <f>IFERROR(('Lab Analysis'!I119/('Lab Analysis'!I119+(1.765*'Lab Analysis'!G119))),"0")</f>
        <v>0</v>
      </c>
      <c r="H119" s="189" t="str">
        <f>IFERROR(((2*('Lab Analysis'!I119/60))+('Lab Analysis'!G119/17))/(('Lab Analysis'!H119/44)+('Lab Analysis'!I119/60)),"0")</f>
        <v>0</v>
      </c>
      <c r="I119" s="189" t="str">
        <f>IFERROR((('Lab Analysis'!J119/18)-('Lab Analysis'!I119/60))/(('Lab Analysis'!H119/44)+('Lab Analysis'!I119/60)),"0")</f>
        <v>0</v>
      </c>
      <c r="J119" s="186" t="str">
        <f>IFERROR(('Lab Analysis'!M119/('Lab Analysis'!M119+(1.765*'Lab Analysis'!K119))),"0")</f>
        <v>0</v>
      </c>
      <c r="K119" s="190" t="str">
        <f>IFERROR(((2*('Lab Analysis'!M119/60))+('Lab Analysis'!K119/17))/(('Lab Analysis'!L119/44)+('Lab Analysis'!M119/60)),"0")</f>
        <v>0</v>
      </c>
      <c r="L119" s="190" t="str">
        <f>IFERROR((('Lab Analysis'!N119/18)-('Lab Analysis'!M119/60))/(('Lab Analysis'!L119/44)+('Lab Analysis'!M119/60)),"0")</f>
        <v>0</v>
      </c>
      <c r="M119" s="187" t="str">
        <f>IFERROR(((2*('Lab Analysis'!U119/60))+('Lab Analysis'!S119/17))/(('Lab Analysis'!T119/44)+('Lab Analysis'!U119/60)),"0")</f>
        <v>0</v>
      </c>
      <c r="N119" s="187" t="str">
        <f>IFERROR((('Lab Analysis'!V119/18)-('Lab Analysis'!U119/60))/(('Lab Analysis'!T119/44)+('Lab Analysis'!U119/60)),"0")</f>
        <v>0</v>
      </c>
      <c r="O119" s="187" t="str">
        <f>IFERROR(((2*('Lab Analysis'!Y119/60)+('Lab Analysis'!W119/17))/(('Lab Analysis'!X119/44)+('Lab Analysis'!Y119/60))),"0")</f>
        <v>0</v>
      </c>
      <c r="P119" s="187" t="str">
        <f>IFERROR((('Lab Analysis'!Z119/18)-('Lab Analysis'!Y119/60))/(('Lab Analysis'!X119/44)+('Lab Analysis'!Y119/60)),"0")</f>
        <v>0</v>
      </c>
      <c r="Q119" s="191"/>
    </row>
    <row r="120" spans="1:17">
      <c r="A120" s="185">
        <v>45934</v>
      </c>
      <c r="B120" s="186" t="str">
        <f>IFERROR(('Lab Analysis'!E120/('Lab Analysis'!E120+(1.364*'Lab Analysis'!D120))),"0")</f>
        <v>0</v>
      </c>
      <c r="C120" s="186" t="str">
        <f>IFERROR((2*'Lab Analysis'!E120/60)/('Lab Analysis'!C120/17+(2*'Lab Analysis'!E120/60)),"0")</f>
        <v>0</v>
      </c>
      <c r="D120" s="187" t="str">
        <f>IFERROR(((2*('Lab Analysis'!E120/60)+('Lab Analysis'!C120/17))/(('Lab Analysis'!D120/44)+('Lab Analysis'!E120/60))),"0")</f>
        <v>0</v>
      </c>
      <c r="E120" s="187" t="str">
        <f>IFERROR((('Lab Analysis'!F120/18)-('Lab Analysis'!E120/60))/(('Lab Analysis'!D120/44)+('Lab Analysis'!E120/60)),"0")</f>
        <v>0</v>
      </c>
      <c r="F120" s="187" t="str">
        <f>IFERROR((('Lab Analysis'!F120/18)/('Lab Analysis'!E120/60)),"0")</f>
        <v>0</v>
      </c>
      <c r="G120" s="188" t="str">
        <f>IFERROR(('Lab Analysis'!I120/('Lab Analysis'!I120+(1.765*'Lab Analysis'!G120))),"0")</f>
        <v>0</v>
      </c>
      <c r="H120" s="189" t="str">
        <f>IFERROR(((2*('Lab Analysis'!I120/60))+('Lab Analysis'!G120/17))/(('Lab Analysis'!H120/44)+('Lab Analysis'!I120/60)),"0")</f>
        <v>0</v>
      </c>
      <c r="I120" s="189" t="str">
        <f>IFERROR((('Lab Analysis'!J120/18)-('Lab Analysis'!I120/60))/(('Lab Analysis'!H120/44)+('Lab Analysis'!I120/60)),"0")</f>
        <v>0</v>
      </c>
      <c r="J120" s="186" t="str">
        <f>IFERROR(('Lab Analysis'!M120/('Lab Analysis'!M120+(1.765*'Lab Analysis'!K120))),"0")</f>
        <v>0</v>
      </c>
      <c r="K120" s="190" t="str">
        <f>IFERROR(((2*('Lab Analysis'!M120/60))+('Lab Analysis'!K120/17))/(('Lab Analysis'!L120/44)+('Lab Analysis'!M120/60)),"0")</f>
        <v>0</v>
      </c>
      <c r="L120" s="190" t="str">
        <f>IFERROR((('Lab Analysis'!N120/18)-('Lab Analysis'!M120/60))/(('Lab Analysis'!L120/44)+('Lab Analysis'!M120/60)),"0")</f>
        <v>0</v>
      </c>
      <c r="M120" s="187" t="str">
        <f>IFERROR(((2*('Lab Analysis'!U120/60))+('Lab Analysis'!S120/17))/(('Lab Analysis'!T120/44)+('Lab Analysis'!U120/60)),"0")</f>
        <v>0</v>
      </c>
      <c r="N120" s="187" t="str">
        <f>IFERROR((('Lab Analysis'!V120/18)-('Lab Analysis'!U120/60))/(('Lab Analysis'!T120/44)+('Lab Analysis'!U120/60)),"0")</f>
        <v>0</v>
      </c>
      <c r="O120" s="187" t="str">
        <f>IFERROR(((2*('Lab Analysis'!Y120/60)+('Lab Analysis'!W120/17))/(('Lab Analysis'!X120/44)+('Lab Analysis'!Y120/60))),"0")</f>
        <v>0</v>
      </c>
      <c r="P120" s="187" t="str">
        <f>IFERROR((('Lab Analysis'!Z120/18)-('Lab Analysis'!Y120/60))/(('Lab Analysis'!X120/44)+('Lab Analysis'!Y120/60)),"0")</f>
        <v>0</v>
      </c>
      <c r="Q120" s="191"/>
    </row>
    <row r="121" spans="1:17">
      <c r="A121" s="185">
        <v>45935</v>
      </c>
      <c r="B121" s="186" t="str">
        <f>IFERROR(('Lab Analysis'!E121/('Lab Analysis'!E121+(1.364*'Lab Analysis'!D121))),"0")</f>
        <v>0</v>
      </c>
      <c r="C121" s="186" t="str">
        <f>IFERROR((2*'Lab Analysis'!E121/60)/('Lab Analysis'!C121/17+(2*'Lab Analysis'!E121/60)),"0")</f>
        <v>0</v>
      </c>
      <c r="D121" s="187" t="str">
        <f>IFERROR(((2*('Lab Analysis'!E121/60)+('Lab Analysis'!C121/17))/(('Lab Analysis'!D121/44)+('Lab Analysis'!E121/60))),"0")</f>
        <v>0</v>
      </c>
      <c r="E121" s="187" t="str">
        <f>IFERROR((('Lab Analysis'!F121/18)-('Lab Analysis'!E121/60))/(('Lab Analysis'!D121/44)+('Lab Analysis'!E121/60)),"0")</f>
        <v>0</v>
      </c>
      <c r="F121" s="187" t="str">
        <f>IFERROR((('Lab Analysis'!F121/18)/('Lab Analysis'!E121/60)),"0")</f>
        <v>0</v>
      </c>
      <c r="G121" s="188" t="str">
        <f>IFERROR(('Lab Analysis'!I121/('Lab Analysis'!I121+(1.765*'Lab Analysis'!G121))),"0")</f>
        <v>0</v>
      </c>
      <c r="H121" s="189" t="str">
        <f>IFERROR(((2*('Lab Analysis'!I121/60))+('Lab Analysis'!G121/17))/(('Lab Analysis'!H121/44)+('Lab Analysis'!I121/60)),"0")</f>
        <v>0</v>
      </c>
      <c r="I121" s="189" t="str">
        <f>IFERROR((('Lab Analysis'!J121/18)-('Lab Analysis'!I121/60))/(('Lab Analysis'!H121/44)+('Lab Analysis'!I121/60)),"0")</f>
        <v>0</v>
      </c>
      <c r="J121" s="186" t="str">
        <f>IFERROR(('Lab Analysis'!M121/('Lab Analysis'!M121+(1.765*'Lab Analysis'!K121))),"0")</f>
        <v>0</v>
      </c>
      <c r="K121" s="190" t="str">
        <f>IFERROR(((2*('Lab Analysis'!M121/60))+('Lab Analysis'!K121/17))/(('Lab Analysis'!L121/44)+('Lab Analysis'!M121/60)),"0")</f>
        <v>0</v>
      </c>
      <c r="L121" s="190" t="str">
        <f>IFERROR((('Lab Analysis'!N121/18)-('Lab Analysis'!M121/60))/(('Lab Analysis'!L121/44)+('Lab Analysis'!M121/60)),"0")</f>
        <v>0</v>
      </c>
      <c r="M121" s="187" t="str">
        <f>IFERROR(((2*('Lab Analysis'!U121/60))+('Lab Analysis'!S121/17))/(('Lab Analysis'!T121/44)+('Lab Analysis'!U121/60)),"0")</f>
        <v>0</v>
      </c>
      <c r="N121" s="187" t="str">
        <f>IFERROR((('Lab Analysis'!V121/18)-('Lab Analysis'!U121/60))/(('Lab Analysis'!T121/44)+('Lab Analysis'!U121/60)),"0")</f>
        <v>0</v>
      </c>
      <c r="O121" s="187" t="str">
        <f>IFERROR(((2*('Lab Analysis'!Y121/60)+('Lab Analysis'!W121/17))/(('Lab Analysis'!X121/44)+('Lab Analysis'!Y121/60))),"0")</f>
        <v>0</v>
      </c>
      <c r="P121" s="187" t="str">
        <f>IFERROR((('Lab Analysis'!Z121/18)-('Lab Analysis'!Y121/60))/(('Lab Analysis'!X121/44)+('Lab Analysis'!Y121/60)),"0")</f>
        <v>0</v>
      </c>
      <c r="Q121" s="191"/>
    </row>
    <row r="122" spans="1:17">
      <c r="A122" s="185">
        <v>45936</v>
      </c>
      <c r="B122" s="186" t="str">
        <f>IFERROR(('Lab Analysis'!E122/('Lab Analysis'!E122+(1.364*'Lab Analysis'!D122))),"0")</f>
        <v>0</v>
      </c>
      <c r="C122" s="186" t="str">
        <f>IFERROR((2*'Lab Analysis'!E122/60)/('Lab Analysis'!C122/17+(2*'Lab Analysis'!E122/60)),"0")</f>
        <v>0</v>
      </c>
      <c r="D122" s="187" t="str">
        <f>IFERROR(((2*('Lab Analysis'!E122/60)+('Lab Analysis'!C122/17))/(('Lab Analysis'!D122/44)+('Lab Analysis'!E122/60))),"0")</f>
        <v>0</v>
      </c>
      <c r="E122" s="187" t="str">
        <f>IFERROR((('Lab Analysis'!F122/18)-('Lab Analysis'!E122/60))/(('Lab Analysis'!D122/44)+('Lab Analysis'!E122/60)),"0")</f>
        <v>0</v>
      </c>
      <c r="F122" s="187" t="str">
        <f>IFERROR((('Lab Analysis'!F122/18)/('Lab Analysis'!E122/60)),"0")</f>
        <v>0</v>
      </c>
      <c r="G122" s="188" t="str">
        <f>IFERROR(('Lab Analysis'!I122/('Lab Analysis'!I122+(1.765*'Lab Analysis'!G122))),"0")</f>
        <v>0</v>
      </c>
      <c r="H122" s="189" t="str">
        <f>IFERROR(((2*('Lab Analysis'!I122/60))+('Lab Analysis'!G122/17))/(('Lab Analysis'!H122/44)+('Lab Analysis'!I122/60)),"0")</f>
        <v>0</v>
      </c>
      <c r="I122" s="189" t="str">
        <f>IFERROR((('Lab Analysis'!J122/18)-('Lab Analysis'!I122/60))/(('Lab Analysis'!H122/44)+('Lab Analysis'!I122/60)),"0")</f>
        <v>0</v>
      </c>
      <c r="J122" s="186" t="str">
        <f>IFERROR(('Lab Analysis'!M122/('Lab Analysis'!M122+(1.765*'Lab Analysis'!K122))),"0")</f>
        <v>0</v>
      </c>
      <c r="K122" s="190" t="str">
        <f>IFERROR(((2*('Lab Analysis'!M122/60))+('Lab Analysis'!K122/17))/(('Lab Analysis'!L122/44)+('Lab Analysis'!M122/60)),"0")</f>
        <v>0</v>
      </c>
      <c r="L122" s="190" t="str">
        <f>IFERROR((('Lab Analysis'!N122/18)-('Lab Analysis'!M122/60))/(('Lab Analysis'!L122/44)+('Lab Analysis'!M122/60)),"0")</f>
        <v>0</v>
      </c>
      <c r="M122" s="187" t="str">
        <f>IFERROR(((2*('Lab Analysis'!U122/60))+('Lab Analysis'!S122/17))/(('Lab Analysis'!T122/44)+('Lab Analysis'!U122/60)),"0")</f>
        <v>0</v>
      </c>
      <c r="N122" s="187" t="str">
        <f>IFERROR((('Lab Analysis'!V122/18)-('Lab Analysis'!U122/60))/(('Lab Analysis'!T122/44)+('Lab Analysis'!U122/60)),"0")</f>
        <v>0</v>
      </c>
      <c r="O122" s="187" t="str">
        <f>IFERROR(((2*('Lab Analysis'!Y122/60)+('Lab Analysis'!W122/17))/(('Lab Analysis'!X122/44)+('Lab Analysis'!Y122/60))),"0")</f>
        <v>0</v>
      </c>
      <c r="P122" s="187" t="str">
        <f>IFERROR((('Lab Analysis'!Z122/18)-('Lab Analysis'!Y122/60))/(('Lab Analysis'!X122/44)+('Lab Analysis'!Y122/60)),"0")</f>
        <v>0</v>
      </c>
      <c r="Q122" s="191"/>
    </row>
    <row r="123" spans="1:17">
      <c r="A123" s="185">
        <v>45937</v>
      </c>
      <c r="B123" s="186">
        <f>IFERROR(('Lab Analysis'!E123/('Lab Analysis'!E123+(1.364*'Lab Analysis'!D123))),"0")</f>
        <v>0.56184641741699826</v>
      </c>
      <c r="C123" s="186">
        <f>IFERROR((2*'Lab Analysis'!E123/60)/('Lab Analysis'!C123/17+(2*'Lab Analysis'!E123/60)),"0")</f>
        <v>0.38388952978316282</v>
      </c>
      <c r="D123" s="187">
        <f>IFERROR(((2*('Lab Analysis'!E123/60)+('Lab Analysis'!C123/17))/(('Lab Analysis'!D123/44)+('Lab Analysis'!E123/60))),"0")</f>
        <v>2.9274674647807051</v>
      </c>
      <c r="E123" s="187">
        <f>IFERROR((('Lab Analysis'!F123/18)-('Lab Analysis'!E123/60))/(('Lab Analysis'!D123/44)+('Lab Analysis'!E123/60)),"0")</f>
        <v>0.52042899855194757</v>
      </c>
      <c r="F123" s="187">
        <f>IFERROR((('Lab Analysis'!F123/18)/('Lab Analysis'!E123/60)),"0")</f>
        <v>1.9261751809931682</v>
      </c>
      <c r="G123" s="188">
        <f>IFERROR(('Lab Analysis'!I123/('Lab Analysis'!I123+(1.765*'Lab Analysis'!G123))),"0")</f>
        <v>0.73857810185712669</v>
      </c>
      <c r="H123" s="189">
        <f>IFERROR(((2*('Lab Analysis'!I123/60))+('Lab Analysis'!G123/17))/(('Lab Analysis'!H123/44)+('Lab Analysis'!I123/60)),"0")</f>
        <v>2.1570494838535326</v>
      </c>
      <c r="I123" s="189">
        <f>IFERROR((('Lab Analysis'!J123/18)-('Lab Analysis'!I123/60))/(('Lab Analysis'!H123/44)+('Lab Analysis'!I123/60)),"0")</f>
        <v>0.63859835313941549</v>
      </c>
      <c r="J123" s="186">
        <f>IFERROR(('Lab Analysis'!M123/('Lab Analysis'!M123+(1.765*'Lab Analysis'!K123))),"0")</f>
        <v>0.59964563890011713</v>
      </c>
      <c r="K123" s="190">
        <f>IFERROR(((2*('Lab Analysis'!M123/60))+('Lab Analysis'!K123/17))/(('Lab Analysis'!L123/44)+('Lab Analysis'!M123/60)),"0")</f>
        <v>2.4185444997452681</v>
      </c>
      <c r="L123" s="190">
        <f>IFERROR((('Lab Analysis'!N123/18)-('Lab Analysis'!M123/60))/(('Lab Analysis'!L123/44)+('Lab Analysis'!M123/60)),"0")</f>
        <v>0.82322895847212973</v>
      </c>
      <c r="M123" s="187">
        <f>IFERROR(((2*('Lab Analysis'!U123/60))+('Lab Analysis'!S123/17))/(('Lab Analysis'!T123/44)+('Lab Analysis'!U123/60)),"0")</f>
        <v>2.353893302389241</v>
      </c>
      <c r="N123" s="187">
        <f>IFERROR((('Lab Analysis'!V123/18)-('Lab Analysis'!U123/60))/(('Lab Analysis'!T123/44)+('Lab Analysis'!U123/60)),"0")</f>
        <v>1.5146405889956727</v>
      </c>
      <c r="O123" s="187">
        <f>IFERROR(((2*('Lab Analysis'!Y123/60)+('Lab Analysis'!W123/17))/(('Lab Analysis'!X123/44)+('Lab Analysis'!Y123/60))),"0")</f>
        <v>2.4912591207360033</v>
      </c>
      <c r="P123" s="187">
        <f>IFERROR((('Lab Analysis'!Z123/18)-('Lab Analysis'!Y123/60))/(('Lab Analysis'!X123/44)+('Lab Analysis'!Y123/60)),"0")</f>
        <v>2.1412306430756622</v>
      </c>
      <c r="Q123" s="191"/>
    </row>
    <row r="124" spans="1:17">
      <c r="A124" s="185">
        <v>45938</v>
      </c>
      <c r="B124" s="186" t="str">
        <f>IFERROR(('Lab Analysis'!E124/('Lab Analysis'!E124+(1.364*'Lab Analysis'!D124))),"0")</f>
        <v>0</v>
      </c>
      <c r="C124" s="186" t="str">
        <f>IFERROR((2*'Lab Analysis'!E124/60)/('Lab Analysis'!C124/17+(2*'Lab Analysis'!E124/60)),"0")</f>
        <v>0</v>
      </c>
      <c r="D124" s="187" t="str">
        <f>IFERROR(((2*('Lab Analysis'!E124/60)+('Lab Analysis'!C124/17))/(('Lab Analysis'!D124/44)+('Lab Analysis'!E124/60))),"0")</f>
        <v>0</v>
      </c>
      <c r="E124" s="187" t="str">
        <f>IFERROR((('Lab Analysis'!F124/18)-('Lab Analysis'!E124/60))/(('Lab Analysis'!D124/44)+('Lab Analysis'!E124/60)),"0")</f>
        <v>0</v>
      </c>
      <c r="F124" s="187" t="str">
        <f>IFERROR((('Lab Analysis'!F124/18)/('Lab Analysis'!E124/60)),"0")</f>
        <v>0</v>
      </c>
      <c r="G124" s="188" t="str">
        <f>IFERROR(('Lab Analysis'!I124/('Lab Analysis'!I124+(1.765*'Lab Analysis'!G124))),"0")</f>
        <v>0</v>
      </c>
      <c r="H124" s="189" t="str">
        <f>IFERROR(((2*('Lab Analysis'!I124/60))+('Lab Analysis'!G124/17))/(('Lab Analysis'!H124/44)+('Lab Analysis'!I124/60)),"0")</f>
        <v>0</v>
      </c>
      <c r="I124" s="189" t="str">
        <f>IFERROR((('Lab Analysis'!J124/18)-('Lab Analysis'!I124/60))/(('Lab Analysis'!H124/44)+('Lab Analysis'!I124/60)),"0")</f>
        <v>0</v>
      </c>
      <c r="J124" s="186" t="str">
        <f>IFERROR(('Lab Analysis'!M124/('Lab Analysis'!M124+(1.765*'Lab Analysis'!K124))),"0")</f>
        <v>0</v>
      </c>
      <c r="K124" s="190" t="str">
        <f>IFERROR(((2*('Lab Analysis'!M124/60))+('Lab Analysis'!K124/17))/(('Lab Analysis'!L124/44)+('Lab Analysis'!M124/60)),"0")</f>
        <v>0</v>
      </c>
      <c r="L124" s="190" t="str">
        <f>IFERROR((('Lab Analysis'!N124/18)-('Lab Analysis'!M124/60))/(('Lab Analysis'!L124/44)+('Lab Analysis'!M124/60)),"0")</f>
        <v>0</v>
      </c>
      <c r="M124" s="187" t="str">
        <f>IFERROR(((2*('Lab Analysis'!U124/60))+('Lab Analysis'!S124/17))/(('Lab Analysis'!T124/44)+('Lab Analysis'!U124/60)),"0")</f>
        <v>0</v>
      </c>
      <c r="N124" s="187" t="str">
        <f>IFERROR((('Lab Analysis'!V124/18)-('Lab Analysis'!U124/60))/(('Lab Analysis'!T124/44)+('Lab Analysis'!U124/60)),"0")</f>
        <v>0</v>
      </c>
      <c r="O124" s="187" t="str">
        <f>IFERROR(((2*('Lab Analysis'!Y124/60)+('Lab Analysis'!W124/17))/(('Lab Analysis'!X124/44)+('Lab Analysis'!Y124/60))),"0")</f>
        <v>0</v>
      </c>
      <c r="P124" s="187" t="str">
        <f>IFERROR((('Lab Analysis'!Z124/18)-('Lab Analysis'!Y124/60))/(('Lab Analysis'!X124/44)+('Lab Analysis'!Y124/60)),"0")</f>
        <v>0</v>
      </c>
      <c r="Q124" s="191"/>
    </row>
    <row r="125" spans="1:17">
      <c r="A125" s="185">
        <v>45939</v>
      </c>
      <c r="B125" s="186" t="str">
        <f>IFERROR(('Lab Analysis'!E125/('Lab Analysis'!E125+(1.364*'Lab Analysis'!D125))),"0")</f>
        <v>0</v>
      </c>
      <c r="C125" s="186" t="str">
        <f>IFERROR((2*'Lab Analysis'!E125/60)/('Lab Analysis'!C125/17+(2*'Lab Analysis'!E125/60)),"0")</f>
        <v>0</v>
      </c>
      <c r="D125" s="187" t="str">
        <f>IFERROR(((2*('Lab Analysis'!E125/60)+('Lab Analysis'!C125/17))/(('Lab Analysis'!D125/44)+('Lab Analysis'!E125/60))),"0")</f>
        <v>0</v>
      </c>
      <c r="E125" s="187" t="str">
        <f>IFERROR((('Lab Analysis'!F125/18)-('Lab Analysis'!E125/60))/(('Lab Analysis'!D125/44)+('Lab Analysis'!E125/60)),"0")</f>
        <v>0</v>
      </c>
      <c r="F125" s="187" t="str">
        <f>IFERROR((('Lab Analysis'!F125/18)/('Lab Analysis'!E125/60)),"0")</f>
        <v>0</v>
      </c>
      <c r="G125" s="188" t="str">
        <f>IFERROR(('Lab Analysis'!I125/('Lab Analysis'!I125+(1.765*'Lab Analysis'!G125))),"0")</f>
        <v>0</v>
      </c>
      <c r="H125" s="189" t="str">
        <f>IFERROR(((2*('Lab Analysis'!I125/60))+('Lab Analysis'!G125/17))/(('Lab Analysis'!H125/44)+('Lab Analysis'!I125/60)),"0")</f>
        <v>0</v>
      </c>
      <c r="I125" s="189" t="str">
        <f>IFERROR((('Lab Analysis'!J125/18)-('Lab Analysis'!I125/60))/(('Lab Analysis'!H125/44)+('Lab Analysis'!I125/60)),"0")</f>
        <v>0</v>
      </c>
      <c r="J125" s="186" t="str">
        <f>IFERROR(('Lab Analysis'!M125/('Lab Analysis'!M125+(1.765*'Lab Analysis'!K125))),"0")</f>
        <v>0</v>
      </c>
      <c r="K125" s="190" t="str">
        <f>IFERROR(((2*('Lab Analysis'!M125/60))+('Lab Analysis'!K125/17))/(('Lab Analysis'!L125/44)+('Lab Analysis'!M125/60)),"0")</f>
        <v>0</v>
      </c>
      <c r="L125" s="190" t="str">
        <f>IFERROR((('Lab Analysis'!N125/18)-('Lab Analysis'!M125/60))/(('Lab Analysis'!L125/44)+('Lab Analysis'!M125/60)),"0")</f>
        <v>0</v>
      </c>
      <c r="M125" s="187" t="str">
        <f>IFERROR(((2*('Lab Analysis'!U125/60))+('Lab Analysis'!S125/17))/(('Lab Analysis'!T125/44)+('Lab Analysis'!U125/60)),"0")</f>
        <v>0</v>
      </c>
      <c r="N125" s="187" t="str">
        <f>IFERROR((('Lab Analysis'!V125/18)-('Lab Analysis'!U125/60))/(('Lab Analysis'!T125/44)+('Lab Analysis'!U125/60)),"0")</f>
        <v>0</v>
      </c>
      <c r="O125" s="187" t="str">
        <f>IFERROR(((2*('Lab Analysis'!Y125/60)+('Lab Analysis'!W125/17))/(('Lab Analysis'!X125/44)+('Lab Analysis'!Y125/60))),"0")</f>
        <v>0</v>
      </c>
      <c r="P125" s="187" t="str">
        <f>IFERROR((('Lab Analysis'!Z125/18)-('Lab Analysis'!Y125/60))/(('Lab Analysis'!X125/44)+('Lab Analysis'!Y125/60)),"0")</f>
        <v>0</v>
      </c>
      <c r="Q125" s="191"/>
    </row>
    <row r="126" spans="1:17">
      <c r="A126" s="185">
        <v>45940</v>
      </c>
      <c r="B126" s="186">
        <f>IFERROR(('Lab Analysis'!E126/('Lab Analysis'!E126+(1.364*'Lab Analysis'!D126))),"0")</f>
        <v>0.55215187958550793</v>
      </c>
      <c r="C126" s="186">
        <f>IFERROR((2*'Lab Analysis'!E126/60)/('Lab Analysis'!C126/17+(2*'Lab Analysis'!E126/60)),"0")</f>
        <v>0.37008621157078564</v>
      </c>
      <c r="D126" s="187">
        <f>IFERROR(((2*('Lab Analysis'!E126/60)+('Lab Analysis'!C126/17))/(('Lab Analysis'!D126/44)+('Lab Analysis'!E126/60))),"0")</f>
        <v>2.9842657953431755</v>
      </c>
      <c r="E126" s="187">
        <f>IFERROR((('Lab Analysis'!F126/18)-('Lab Analysis'!E126/60))/(('Lab Analysis'!D126/44)+('Lab Analysis'!E126/60)),"0")</f>
        <v>0.46786075250330877</v>
      </c>
      <c r="F126" s="187">
        <f>IFERROR((('Lab Analysis'!F126/18)/('Lab Analysis'!E126/60)),"0")</f>
        <v>1.8472395184723964</v>
      </c>
      <c r="G126" s="188" t="str">
        <f>IFERROR(('Lab Analysis'!I126/('Lab Analysis'!I126+(1.765*'Lab Analysis'!G126))),"0")</f>
        <v>0</v>
      </c>
      <c r="H126" s="189" t="str">
        <f>IFERROR(((2*('Lab Analysis'!I126/60))+('Lab Analysis'!G126/17))/(('Lab Analysis'!H126/44)+('Lab Analysis'!I126/60)),"0")</f>
        <v>0</v>
      </c>
      <c r="I126" s="189" t="str">
        <f>IFERROR((('Lab Analysis'!J126/18)-('Lab Analysis'!I126/60))/(('Lab Analysis'!H126/44)+('Lab Analysis'!I126/60)),"0")</f>
        <v>0</v>
      </c>
      <c r="J126" s="186" t="str">
        <f>IFERROR(('Lab Analysis'!M126/('Lab Analysis'!M126+(1.765*'Lab Analysis'!K126))),"0")</f>
        <v>0</v>
      </c>
      <c r="K126" s="190" t="str">
        <f>IFERROR(((2*('Lab Analysis'!M126/60))+('Lab Analysis'!K126/17))/(('Lab Analysis'!L126/44)+('Lab Analysis'!M126/60)),"0")</f>
        <v>0</v>
      </c>
      <c r="L126" s="190" t="str">
        <f>IFERROR((('Lab Analysis'!N126/18)-('Lab Analysis'!M126/60))/(('Lab Analysis'!L126/44)+('Lab Analysis'!M126/60)),"0")</f>
        <v>0</v>
      </c>
      <c r="M126" s="187" t="str">
        <f>IFERROR(((2*('Lab Analysis'!U126/60))+('Lab Analysis'!S126/17))/(('Lab Analysis'!T126/44)+('Lab Analysis'!U126/60)),"0")</f>
        <v>0</v>
      </c>
      <c r="N126" s="187" t="str">
        <f>IFERROR((('Lab Analysis'!V126/18)-('Lab Analysis'!U126/60))/(('Lab Analysis'!T126/44)+('Lab Analysis'!U126/60)),"0")</f>
        <v>0</v>
      </c>
      <c r="O126" s="187" t="str">
        <f>IFERROR(((2*('Lab Analysis'!Y126/60)+('Lab Analysis'!W126/17))/(('Lab Analysis'!X126/44)+('Lab Analysis'!Y126/60))),"0")</f>
        <v>0</v>
      </c>
      <c r="P126" s="187" t="str">
        <f>IFERROR((('Lab Analysis'!Z126/18)-('Lab Analysis'!Y126/60))/(('Lab Analysis'!X126/44)+('Lab Analysis'!Y126/60)),"0")</f>
        <v>0</v>
      </c>
      <c r="Q126" s="191"/>
    </row>
    <row r="127" spans="1:17">
      <c r="A127" s="185">
        <v>45941</v>
      </c>
      <c r="B127" s="186" t="str">
        <f>IFERROR(('Lab Analysis'!E127/('Lab Analysis'!E127+(1.364*'Lab Analysis'!D127))),"0")</f>
        <v>0</v>
      </c>
      <c r="C127" s="186" t="str">
        <f>IFERROR((2*'Lab Analysis'!E127/60)/('Lab Analysis'!C127/17+(2*'Lab Analysis'!E127/60)),"0")</f>
        <v>0</v>
      </c>
      <c r="D127" s="187" t="str">
        <f>IFERROR(((2*('Lab Analysis'!E127/60)+('Lab Analysis'!C127/17))/(('Lab Analysis'!D127/44)+('Lab Analysis'!E127/60))),"0")</f>
        <v>0</v>
      </c>
      <c r="E127" s="187" t="str">
        <f>IFERROR((('Lab Analysis'!F127/18)-('Lab Analysis'!E127/60))/(('Lab Analysis'!D127/44)+('Lab Analysis'!E127/60)),"0")</f>
        <v>0</v>
      </c>
      <c r="F127" s="187" t="str">
        <f>IFERROR((('Lab Analysis'!F127/18)/('Lab Analysis'!E127/60)),"0")</f>
        <v>0</v>
      </c>
      <c r="G127" s="188" t="str">
        <f>IFERROR(('Lab Analysis'!I127/('Lab Analysis'!I127+(1.765*'Lab Analysis'!G127))),"0")</f>
        <v>0</v>
      </c>
      <c r="H127" s="189" t="str">
        <f>IFERROR(((2*('Lab Analysis'!I127/60))+('Lab Analysis'!G127/17))/(('Lab Analysis'!H127/44)+('Lab Analysis'!I127/60)),"0")</f>
        <v>0</v>
      </c>
      <c r="I127" s="189" t="str">
        <f>IFERROR((('Lab Analysis'!J127/18)-('Lab Analysis'!I127/60))/(('Lab Analysis'!H127/44)+('Lab Analysis'!I127/60)),"0")</f>
        <v>0</v>
      </c>
      <c r="J127" s="186" t="str">
        <f>IFERROR(('Lab Analysis'!M127/('Lab Analysis'!M127+(1.765*'Lab Analysis'!K127))),"0")</f>
        <v>0</v>
      </c>
      <c r="K127" s="190" t="str">
        <f>IFERROR(((2*('Lab Analysis'!M127/60))+('Lab Analysis'!K127/17))/(('Lab Analysis'!L127/44)+('Lab Analysis'!M127/60)),"0")</f>
        <v>0</v>
      </c>
      <c r="L127" s="190" t="str">
        <f>IFERROR((('Lab Analysis'!N127/18)-('Lab Analysis'!M127/60))/(('Lab Analysis'!L127/44)+('Lab Analysis'!M127/60)),"0")</f>
        <v>0</v>
      </c>
      <c r="M127" s="187" t="str">
        <f>IFERROR(((2*('Lab Analysis'!U127/60))+('Lab Analysis'!S127/17))/(('Lab Analysis'!T127/44)+('Lab Analysis'!U127/60)),"0")</f>
        <v>0</v>
      </c>
      <c r="N127" s="187" t="str">
        <f>IFERROR((('Lab Analysis'!V127/18)-('Lab Analysis'!U127/60))/(('Lab Analysis'!T127/44)+('Lab Analysis'!U127/60)),"0")</f>
        <v>0</v>
      </c>
      <c r="O127" s="187" t="str">
        <f>IFERROR(((2*('Lab Analysis'!Y127/60)+('Lab Analysis'!W127/17))/(('Lab Analysis'!X127/44)+('Lab Analysis'!Y127/60))),"0")</f>
        <v>0</v>
      </c>
      <c r="P127" s="187" t="str">
        <f>IFERROR((('Lab Analysis'!Z127/18)-('Lab Analysis'!Y127/60))/(('Lab Analysis'!X127/44)+('Lab Analysis'!Y127/60)),"0")</f>
        <v>0</v>
      </c>
      <c r="Q127" s="191"/>
    </row>
    <row r="128" spans="1:17">
      <c r="A128" s="185">
        <v>45942</v>
      </c>
      <c r="B128" s="186" t="str">
        <f>IFERROR(('Lab Analysis'!E128/('Lab Analysis'!E128+(1.364*'Lab Analysis'!D128))),"0")</f>
        <v>0</v>
      </c>
      <c r="C128" s="186" t="str">
        <f>IFERROR((2*'Lab Analysis'!E128/60)/('Lab Analysis'!C128/17+(2*'Lab Analysis'!E128/60)),"0")</f>
        <v>0</v>
      </c>
      <c r="D128" s="187" t="str">
        <f>IFERROR(((2*('Lab Analysis'!E128/60)+('Lab Analysis'!C128/17))/(('Lab Analysis'!D128/44)+('Lab Analysis'!E128/60))),"0")</f>
        <v>0</v>
      </c>
      <c r="E128" s="187" t="str">
        <f>IFERROR((('Lab Analysis'!F128/18)-('Lab Analysis'!E128/60))/(('Lab Analysis'!D128/44)+('Lab Analysis'!E128/60)),"0")</f>
        <v>0</v>
      </c>
      <c r="F128" s="187" t="str">
        <f>IFERROR((('Lab Analysis'!F128/18)/('Lab Analysis'!E128/60)),"0")</f>
        <v>0</v>
      </c>
      <c r="G128" s="188" t="str">
        <f>IFERROR(('Lab Analysis'!I128/('Lab Analysis'!I128+(1.765*'Lab Analysis'!G128))),"0")</f>
        <v>0</v>
      </c>
      <c r="H128" s="189" t="str">
        <f>IFERROR(((2*('Lab Analysis'!I128/60))+('Lab Analysis'!G128/17))/(('Lab Analysis'!H128/44)+('Lab Analysis'!I128/60)),"0")</f>
        <v>0</v>
      </c>
      <c r="I128" s="189" t="str">
        <f>IFERROR((('Lab Analysis'!J128/18)-('Lab Analysis'!I128/60))/(('Lab Analysis'!H128/44)+('Lab Analysis'!I128/60)),"0")</f>
        <v>0</v>
      </c>
      <c r="J128" s="186" t="str">
        <f>IFERROR(('Lab Analysis'!M128/('Lab Analysis'!M128+(1.765*'Lab Analysis'!K128))),"0")</f>
        <v>0</v>
      </c>
      <c r="K128" s="190" t="str">
        <f>IFERROR(((2*('Lab Analysis'!M128/60))+('Lab Analysis'!K128/17))/(('Lab Analysis'!L128/44)+('Lab Analysis'!M128/60)),"0")</f>
        <v>0</v>
      </c>
      <c r="L128" s="190" t="str">
        <f>IFERROR((('Lab Analysis'!N128/18)-('Lab Analysis'!M128/60))/(('Lab Analysis'!L128/44)+('Lab Analysis'!M128/60)),"0")</f>
        <v>0</v>
      </c>
      <c r="M128" s="187" t="str">
        <f>IFERROR(((2*('Lab Analysis'!U128/60))+('Lab Analysis'!S128/17))/(('Lab Analysis'!T128/44)+('Lab Analysis'!U128/60)),"0")</f>
        <v>0</v>
      </c>
      <c r="N128" s="187" t="str">
        <f>IFERROR((('Lab Analysis'!V128/18)-('Lab Analysis'!U128/60))/(('Lab Analysis'!T128/44)+('Lab Analysis'!U128/60)),"0")</f>
        <v>0</v>
      </c>
      <c r="O128" s="187" t="str">
        <f>IFERROR(((2*('Lab Analysis'!Y128/60)+('Lab Analysis'!W128/17))/(('Lab Analysis'!X128/44)+('Lab Analysis'!Y128/60))),"0")</f>
        <v>0</v>
      </c>
      <c r="P128" s="187" t="str">
        <f>IFERROR((('Lab Analysis'!Z128/18)-('Lab Analysis'!Y128/60))/(('Lab Analysis'!X128/44)+('Lab Analysis'!Y128/60)),"0")</f>
        <v>0</v>
      </c>
      <c r="Q128" s="191"/>
    </row>
    <row r="129" spans="1:17">
      <c r="A129" s="185">
        <v>45943</v>
      </c>
      <c r="B129" s="186">
        <f>IFERROR(('Lab Analysis'!E129/('Lab Analysis'!E129+(1.364*'Lab Analysis'!D129))),"0")</f>
        <v>0.57219313832887919</v>
      </c>
      <c r="C129" s="186">
        <f>IFERROR((2*'Lab Analysis'!E129/60)/('Lab Analysis'!C129/17+(2*'Lab Analysis'!E129/60)),"0")</f>
        <v>0.38814638976872884</v>
      </c>
      <c r="D129" s="187">
        <f>IFERROR(((2*('Lab Analysis'!E129/60)+('Lab Analysis'!C129/17))/(('Lab Analysis'!D129/44)+('Lab Analysis'!E129/60))),"0")</f>
        <v>2.9486730795116851</v>
      </c>
      <c r="E129" s="187">
        <f>IFERROR((('Lab Analysis'!F129/18)-('Lab Analysis'!E129/60))/(('Lab Analysis'!D129/44)+('Lab Analysis'!E129/60)),"0")</f>
        <v>0.63820923546323982</v>
      </c>
      <c r="F129" s="187">
        <f>IFERROR((('Lab Analysis'!F129/18)/('Lab Analysis'!E129/60)),"0")</f>
        <v>2.1152465907925766</v>
      </c>
      <c r="G129" s="188">
        <f>IFERROR(('Lab Analysis'!I129/('Lab Analysis'!I129+(1.765*'Lab Analysis'!G129))),"0")</f>
        <v>0.74200859495703597</v>
      </c>
      <c r="H129" s="189">
        <f>IFERROR(((2*('Lab Analysis'!I129/60))+('Lab Analysis'!G129/17))/(('Lab Analysis'!H129/44)+('Lab Analysis'!I129/60)),"0")</f>
        <v>2.131714434584143</v>
      </c>
      <c r="I129" s="189">
        <f>IFERROR((('Lab Analysis'!J129/18)-('Lab Analysis'!I129/60))/(('Lab Analysis'!H129/44)+('Lab Analysis'!I129/60)),"0")</f>
        <v>0.68940765800543735</v>
      </c>
      <c r="J129" s="186">
        <f>IFERROR(('Lab Analysis'!M129/('Lab Analysis'!M129+(1.765*'Lab Analysis'!K129))),"0")</f>
        <v>0.59876692040092316</v>
      </c>
      <c r="K129" s="190">
        <f>IFERROR(((2*('Lab Analysis'!M129/60))+('Lab Analysis'!K129/17))/(('Lab Analysis'!L129/44)+('Lab Analysis'!M129/60)),"0")</f>
        <v>2.4380574968989901</v>
      </c>
      <c r="L129" s="190">
        <f>IFERROR((('Lab Analysis'!N129/18)-('Lab Analysis'!M129/60))/(('Lab Analysis'!L129/44)+('Lab Analysis'!M129/60)),"0")</f>
        <v>0.85167936561257773</v>
      </c>
      <c r="M129" s="187" t="str">
        <f>IFERROR(((2*('Lab Analysis'!U129/60))+('Lab Analysis'!S129/17))/(('Lab Analysis'!T129/44)+('Lab Analysis'!U129/60)),"0")</f>
        <v>0</v>
      </c>
      <c r="N129" s="187" t="str">
        <f>IFERROR((('Lab Analysis'!V129/18)-('Lab Analysis'!U129/60))/(('Lab Analysis'!T129/44)+('Lab Analysis'!U129/60)),"0")</f>
        <v>0</v>
      </c>
      <c r="O129" s="187">
        <f>IFERROR(((2*('Lab Analysis'!Y129/60)+('Lab Analysis'!W129/17))/(('Lab Analysis'!X129/44)+('Lab Analysis'!Y129/60))),"0")</f>
        <v>2.48945902607815</v>
      </c>
      <c r="P129" s="187">
        <f>IFERROR((('Lab Analysis'!Z129/18)-('Lab Analysis'!Y129/60))/(('Lab Analysis'!X129/44)+('Lab Analysis'!Y129/60)),"0")</f>
        <v>2.2185875976406817</v>
      </c>
      <c r="Q129" s="191"/>
    </row>
    <row r="130" spans="1:17">
      <c r="A130" s="185">
        <v>45944</v>
      </c>
      <c r="B130" s="186">
        <f>IFERROR(('Lab Analysis'!E130/('Lab Analysis'!E130+(1.364*'Lab Analysis'!D130))),"0")</f>
        <v>0.56921851941989998</v>
      </c>
      <c r="C130" s="186">
        <f>IFERROR((2*'Lab Analysis'!E130/60)/('Lab Analysis'!C130/17+(2*'Lab Analysis'!E130/60)),"0")</f>
        <v>0.38565691819271286</v>
      </c>
      <c r="D130" s="187">
        <f>IFERROR(((2*('Lab Analysis'!E130/60)+('Lab Analysis'!C130/17))/(('Lab Analysis'!D130/44)+('Lab Analysis'!E130/60))),"0")</f>
        <v>2.9522815313472499</v>
      </c>
      <c r="E130" s="187">
        <f>IFERROR((('Lab Analysis'!F130/18)-('Lab Analysis'!E130/60))/(('Lab Analysis'!D130/44)+('Lab Analysis'!E130/60)),"0")</f>
        <v>0.62954791330253002</v>
      </c>
      <c r="F130" s="187">
        <f>IFERROR((('Lab Analysis'!F130/18)/('Lab Analysis'!E130/60)),"0")</f>
        <v>2.1058593347749976</v>
      </c>
      <c r="G130" s="188" t="str">
        <f>IFERROR(('Lab Analysis'!I130/('Lab Analysis'!I130+(1.765*'Lab Analysis'!G130))),"0")</f>
        <v>0</v>
      </c>
      <c r="H130" s="189" t="str">
        <f>IFERROR(((2*('Lab Analysis'!I130/60))+('Lab Analysis'!G130/17))/(('Lab Analysis'!H130/44)+('Lab Analysis'!I130/60)),"0")</f>
        <v>0</v>
      </c>
      <c r="I130" s="189" t="str">
        <f>IFERROR((('Lab Analysis'!J130/18)-('Lab Analysis'!I130/60))/(('Lab Analysis'!H130/44)+('Lab Analysis'!I130/60)),"0")</f>
        <v>0</v>
      </c>
      <c r="J130" s="186" t="str">
        <f>IFERROR(('Lab Analysis'!M130/('Lab Analysis'!M130+(1.765*'Lab Analysis'!K130))),"0")</f>
        <v>0</v>
      </c>
      <c r="K130" s="190" t="str">
        <f>IFERROR(((2*('Lab Analysis'!M130/60))+('Lab Analysis'!K130/17))/(('Lab Analysis'!L130/44)+('Lab Analysis'!M130/60)),"0")</f>
        <v>0</v>
      </c>
      <c r="L130" s="190" t="str">
        <f>IFERROR((('Lab Analysis'!N130/18)-('Lab Analysis'!M130/60))/(('Lab Analysis'!L130/44)+('Lab Analysis'!M130/60)),"0")</f>
        <v>0</v>
      </c>
      <c r="M130" s="187" t="str">
        <f>IFERROR(((2*('Lab Analysis'!U130/60))+('Lab Analysis'!S130/17))/(('Lab Analysis'!T130/44)+('Lab Analysis'!U130/60)),"0")</f>
        <v>0</v>
      </c>
      <c r="N130" s="187" t="str">
        <f>IFERROR((('Lab Analysis'!V130/18)-('Lab Analysis'!U130/60))/(('Lab Analysis'!T130/44)+('Lab Analysis'!U130/60)),"0")</f>
        <v>0</v>
      </c>
      <c r="O130" s="187" t="str">
        <f>IFERROR(((2*('Lab Analysis'!Y130/60)+('Lab Analysis'!W130/17))/(('Lab Analysis'!X130/44)+('Lab Analysis'!Y130/60))),"0")</f>
        <v>0</v>
      </c>
      <c r="P130" s="187" t="str">
        <f>IFERROR((('Lab Analysis'!Z130/18)-('Lab Analysis'!Y130/60))/(('Lab Analysis'!X130/44)+('Lab Analysis'!Y130/60)),"0")</f>
        <v>0</v>
      </c>
      <c r="Q130" s="191"/>
    </row>
    <row r="131" spans="1:17">
      <c r="A131" s="185">
        <v>45945</v>
      </c>
      <c r="B131" s="186">
        <f>IFERROR(('Lab Analysis'!E131/('Lab Analysis'!E131+(1.364*'Lab Analysis'!D131))),"0")</f>
        <v>0.55126999317034875</v>
      </c>
      <c r="C131" s="186">
        <f>IFERROR((2*'Lab Analysis'!E131/60)/('Lab Analysis'!C131/17+(2*'Lab Analysis'!E131/60)),"0")</f>
        <v>0.37734014604579957</v>
      </c>
      <c r="D131" s="187">
        <f>IFERROR(((2*('Lab Analysis'!E131/60)+('Lab Analysis'!C131/17))/(('Lab Analysis'!D131/44)+('Lab Analysis'!E131/60))),"0")</f>
        <v>2.922222588587005</v>
      </c>
      <c r="E131" s="187">
        <f>IFERROR((('Lab Analysis'!F131/18)-('Lab Analysis'!E131/60))/(('Lab Analysis'!D131/44)+('Lab Analysis'!E131/60)),"0")</f>
        <v>0.50486318717820955</v>
      </c>
      <c r="F131" s="187">
        <f>IFERROR((('Lab Analysis'!F131/18)/('Lab Analysis'!E131/60)),"0")</f>
        <v>1.9157088122605364</v>
      </c>
      <c r="G131" s="188" t="str">
        <f>IFERROR(('Lab Analysis'!I131/('Lab Analysis'!I131+(1.765*'Lab Analysis'!G131))),"0")</f>
        <v>0</v>
      </c>
      <c r="H131" s="189" t="str">
        <f>IFERROR(((2*('Lab Analysis'!I131/60))+('Lab Analysis'!G131/17))/(('Lab Analysis'!H131/44)+('Lab Analysis'!I131/60)),"0")</f>
        <v>0</v>
      </c>
      <c r="I131" s="189" t="str">
        <f>IFERROR((('Lab Analysis'!J131/18)-('Lab Analysis'!I131/60))/(('Lab Analysis'!H131/44)+('Lab Analysis'!I131/60)),"0")</f>
        <v>0</v>
      </c>
      <c r="J131" s="186" t="str">
        <f>IFERROR(('Lab Analysis'!M131/('Lab Analysis'!M131+(1.765*'Lab Analysis'!K131))),"0")</f>
        <v>0</v>
      </c>
      <c r="K131" s="190" t="str">
        <f>IFERROR(((2*('Lab Analysis'!M131/60))+('Lab Analysis'!K131/17))/(('Lab Analysis'!L131/44)+('Lab Analysis'!M131/60)),"0")</f>
        <v>0</v>
      </c>
      <c r="L131" s="190" t="str">
        <f>IFERROR((('Lab Analysis'!N131/18)-('Lab Analysis'!M131/60))/(('Lab Analysis'!L131/44)+('Lab Analysis'!M131/60)),"0")</f>
        <v>0</v>
      </c>
      <c r="M131" s="187" t="str">
        <f>IFERROR(((2*('Lab Analysis'!U131/60))+('Lab Analysis'!S131/17))/(('Lab Analysis'!T131/44)+('Lab Analysis'!U131/60)),"0")</f>
        <v>0</v>
      </c>
      <c r="N131" s="187" t="str">
        <f>IFERROR((('Lab Analysis'!V131/18)-('Lab Analysis'!U131/60))/(('Lab Analysis'!T131/44)+('Lab Analysis'!U131/60)),"0")</f>
        <v>0</v>
      </c>
      <c r="O131" s="187" t="str">
        <f>IFERROR(((2*('Lab Analysis'!Y131/60)+('Lab Analysis'!W131/17))/(('Lab Analysis'!X131/44)+('Lab Analysis'!Y131/60))),"0")</f>
        <v>0</v>
      </c>
      <c r="P131" s="187" t="str">
        <f>IFERROR((('Lab Analysis'!Z131/18)-('Lab Analysis'!Y131/60))/(('Lab Analysis'!X131/44)+('Lab Analysis'!Y131/60)),"0")</f>
        <v>0</v>
      </c>
      <c r="Q131" s="191"/>
    </row>
    <row r="132" spans="1:17">
      <c r="A132" s="185">
        <v>45946</v>
      </c>
      <c r="B132" s="186" t="str">
        <f>IFERROR(('Lab Analysis'!E132/('Lab Analysis'!E132+(1.364*'Lab Analysis'!D132))),"0")</f>
        <v>0</v>
      </c>
      <c r="C132" s="186" t="str">
        <f>IFERROR((2*'Lab Analysis'!E132/60)/('Lab Analysis'!C132/17+(2*'Lab Analysis'!E132/60)),"0")</f>
        <v>0</v>
      </c>
      <c r="D132" s="187" t="str">
        <f>IFERROR(((2*('Lab Analysis'!E132/60)+('Lab Analysis'!C132/17))/(('Lab Analysis'!D132/44)+('Lab Analysis'!E132/60))),"0")</f>
        <v>0</v>
      </c>
      <c r="E132" s="187" t="str">
        <f>IFERROR((('Lab Analysis'!F132/18)-('Lab Analysis'!E132/60))/(('Lab Analysis'!D132/44)+('Lab Analysis'!E132/60)),"0")</f>
        <v>0</v>
      </c>
      <c r="F132" s="187" t="str">
        <f>IFERROR((('Lab Analysis'!F132/18)/('Lab Analysis'!E132/60)),"0")</f>
        <v>0</v>
      </c>
      <c r="G132" s="188" t="str">
        <f>IFERROR(('Lab Analysis'!I132/('Lab Analysis'!I132+(1.765*'Lab Analysis'!G132))),"0")</f>
        <v>0</v>
      </c>
      <c r="H132" s="189" t="str">
        <f>IFERROR(((2*('Lab Analysis'!I132/60))+('Lab Analysis'!G132/17))/(('Lab Analysis'!H132/44)+('Lab Analysis'!I132/60)),"0")</f>
        <v>0</v>
      </c>
      <c r="I132" s="189" t="str">
        <f>IFERROR((('Lab Analysis'!J132/18)-('Lab Analysis'!I132/60))/(('Lab Analysis'!H132/44)+('Lab Analysis'!I132/60)),"0")</f>
        <v>0</v>
      </c>
      <c r="J132" s="186">
        <f>IFERROR(('Lab Analysis'!M132/('Lab Analysis'!M132+(1.765*'Lab Analysis'!K132))),"0")</f>
        <v>0.59583903415469353</v>
      </c>
      <c r="K132" s="190">
        <f>IFERROR(((2*('Lab Analysis'!M132/60))+('Lab Analysis'!K132/17))/(('Lab Analysis'!L132/44)+('Lab Analysis'!M132/60)),"0")</f>
        <v>2.4383174041405287</v>
      </c>
      <c r="L132" s="190">
        <f>IFERROR((('Lab Analysis'!N132/18)-('Lab Analysis'!M132/60))/(('Lab Analysis'!L132/44)+('Lab Analysis'!M132/60)),"0")</f>
        <v>0.92382646353723563</v>
      </c>
      <c r="M132" s="187">
        <f>IFERROR(((2*('Lab Analysis'!U132/60))+('Lab Analysis'!S132/17))/(('Lab Analysis'!T132/44)+('Lab Analysis'!U132/60)),"0")</f>
        <v>2.3322200946994998</v>
      </c>
      <c r="N132" s="187">
        <f>IFERROR((('Lab Analysis'!V132/18)-('Lab Analysis'!U132/60))/(('Lab Analysis'!T132/44)+('Lab Analysis'!U132/60)),"0")</f>
        <v>1.5210698965430227</v>
      </c>
      <c r="O132" s="187">
        <f>IFERROR(((2*('Lab Analysis'!Y132/60)+('Lab Analysis'!W132/17))/(('Lab Analysis'!X132/44)+('Lab Analysis'!Y132/60))),"0")</f>
        <v>2.5157832042882666</v>
      </c>
      <c r="P132" s="187">
        <f>IFERROR((('Lab Analysis'!Z132/18)-('Lab Analysis'!Y132/60))/(('Lab Analysis'!X132/44)+('Lab Analysis'!Y132/60)),"0")</f>
        <v>2.4590033750248166</v>
      </c>
      <c r="Q132" s="191"/>
    </row>
    <row r="133" spans="1:17">
      <c r="A133" s="185">
        <v>45947</v>
      </c>
      <c r="B133" s="186">
        <f>IFERROR(('Lab Analysis'!E133/('Lab Analysis'!E133+(1.364*'Lab Analysis'!D133))),"0")</f>
        <v>0.55199142047620742</v>
      </c>
      <c r="C133" s="186">
        <f>IFERROR((2*'Lab Analysis'!E133/60)/('Lab Analysis'!C133/17+(2*'Lab Analysis'!E133/60)),"0")</f>
        <v>0.37858773082509173</v>
      </c>
      <c r="D133" s="187">
        <f>IFERROR(((2*('Lab Analysis'!E133/60)+('Lab Analysis'!C133/17))/(('Lab Analysis'!D133/44)+('Lab Analysis'!E133/60))),"0")</f>
        <v>2.9164038433328443</v>
      </c>
      <c r="E133" s="187">
        <f>IFERROR((('Lab Analysis'!F133/18)-('Lab Analysis'!E133/60))/(('Lab Analysis'!D133/44)+('Lab Analysis'!E133/60)),"0")</f>
        <v>0.51605361596009947</v>
      </c>
      <c r="F133" s="187">
        <f>IFERROR((('Lab Analysis'!F133/18)/('Lab Analysis'!E133/60)),"0")</f>
        <v>1.9347826086956514</v>
      </c>
      <c r="G133" s="188" t="str">
        <f>IFERROR(('Lab Analysis'!I133/('Lab Analysis'!I133+(1.765*'Lab Analysis'!G133))),"0")</f>
        <v>0</v>
      </c>
      <c r="H133" s="189" t="str">
        <f>IFERROR(((2*('Lab Analysis'!I133/60))+('Lab Analysis'!G133/17))/(('Lab Analysis'!H133/44)+('Lab Analysis'!I133/60)),"0")</f>
        <v>0</v>
      </c>
      <c r="I133" s="189" t="str">
        <f>IFERROR((('Lab Analysis'!J133/18)-('Lab Analysis'!I133/60))/(('Lab Analysis'!H133/44)+('Lab Analysis'!I133/60)),"0")</f>
        <v>0</v>
      </c>
      <c r="J133" s="186" t="str">
        <f>IFERROR(('Lab Analysis'!M133/('Lab Analysis'!M133+(1.765*'Lab Analysis'!K133))),"0")</f>
        <v>0</v>
      </c>
      <c r="K133" s="190" t="str">
        <f>IFERROR(((2*('Lab Analysis'!M133/60))+('Lab Analysis'!K133/17))/(('Lab Analysis'!L133/44)+('Lab Analysis'!M133/60)),"0")</f>
        <v>0</v>
      </c>
      <c r="L133" s="190" t="str">
        <f>IFERROR((('Lab Analysis'!N133/18)-('Lab Analysis'!M133/60))/(('Lab Analysis'!L133/44)+('Lab Analysis'!M133/60)),"0")</f>
        <v>0</v>
      </c>
      <c r="M133" s="187" t="str">
        <f>IFERROR(((2*('Lab Analysis'!U133/60))+('Lab Analysis'!S133/17))/(('Lab Analysis'!T133/44)+('Lab Analysis'!U133/60)),"0")</f>
        <v>0</v>
      </c>
      <c r="N133" s="187" t="str">
        <f>IFERROR((('Lab Analysis'!V133/18)-('Lab Analysis'!U133/60))/(('Lab Analysis'!T133/44)+('Lab Analysis'!U133/60)),"0")</f>
        <v>0</v>
      </c>
      <c r="O133" s="187" t="str">
        <f>IFERROR(((2*('Lab Analysis'!Y133/60)+('Lab Analysis'!W133/17))/(('Lab Analysis'!X133/44)+('Lab Analysis'!Y133/60))),"0")</f>
        <v>0</v>
      </c>
      <c r="P133" s="187" t="str">
        <f>IFERROR((('Lab Analysis'!Z133/18)-('Lab Analysis'!Y133/60))/(('Lab Analysis'!X133/44)+('Lab Analysis'!Y133/60)),"0")</f>
        <v>0</v>
      </c>
      <c r="Q133" s="191"/>
    </row>
    <row r="134" spans="1:17">
      <c r="A134" s="185">
        <v>45948</v>
      </c>
      <c r="B134" s="186" t="str">
        <f>IFERROR(('Lab Analysis'!E134/('Lab Analysis'!E134+(1.364*'Lab Analysis'!D134))),"0")</f>
        <v>0</v>
      </c>
      <c r="C134" s="186" t="str">
        <f>IFERROR((2*'Lab Analysis'!E134/60)/('Lab Analysis'!C134/17+(2*'Lab Analysis'!E134/60)),"0")</f>
        <v>0</v>
      </c>
      <c r="D134" s="187" t="str">
        <f>IFERROR(((2*('Lab Analysis'!E134/60)+('Lab Analysis'!C134/17))/(('Lab Analysis'!D134/44)+('Lab Analysis'!E134/60))),"0")</f>
        <v>0</v>
      </c>
      <c r="E134" s="187" t="str">
        <f>IFERROR((('Lab Analysis'!F134/18)-('Lab Analysis'!E134/60))/(('Lab Analysis'!D134/44)+('Lab Analysis'!E134/60)),"0")</f>
        <v>0</v>
      </c>
      <c r="F134" s="187" t="str">
        <f>IFERROR((('Lab Analysis'!F134/18)/('Lab Analysis'!E134/60)),"0")</f>
        <v>0</v>
      </c>
      <c r="G134" s="188" t="str">
        <f>IFERROR(('Lab Analysis'!I134/('Lab Analysis'!I134+(1.765*'Lab Analysis'!G134))),"0")</f>
        <v>0</v>
      </c>
      <c r="H134" s="189" t="str">
        <f>IFERROR(((2*('Lab Analysis'!I134/60))+('Lab Analysis'!G134/17))/(('Lab Analysis'!H134/44)+('Lab Analysis'!I134/60)),"0")</f>
        <v>0</v>
      </c>
      <c r="I134" s="189" t="str">
        <f>IFERROR((('Lab Analysis'!J134/18)-('Lab Analysis'!I134/60))/(('Lab Analysis'!H134/44)+('Lab Analysis'!I134/60)),"0")</f>
        <v>0</v>
      </c>
      <c r="J134" s="186" t="str">
        <f>IFERROR(('Lab Analysis'!M134/('Lab Analysis'!M134+(1.765*'Lab Analysis'!K134))),"0")</f>
        <v>0</v>
      </c>
      <c r="K134" s="190" t="str">
        <f>IFERROR(((2*('Lab Analysis'!M134/60))+('Lab Analysis'!K134/17))/(('Lab Analysis'!L134/44)+('Lab Analysis'!M134/60)),"0")</f>
        <v>0</v>
      </c>
      <c r="L134" s="190" t="str">
        <f>IFERROR((('Lab Analysis'!N134/18)-('Lab Analysis'!M134/60))/(('Lab Analysis'!L134/44)+('Lab Analysis'!M134/60)),"0")</f>
        <v>0</v>
      </c>
      <c r="M134" s="187" t="str">
        <f>IFERROR(((2*('Lab Analysis'!U134/60))+('Lab Analysis'!S134/17))/(('Lab Analysis'!T134/44)+('Lab Analysis'!U134/60)),"0")</f>
        <v>0</v>
      </c>
      <c r="N134" s="187" t="str">
        <f>IFERROR((('Lab Analysis'!V134/18)-('Lab Analysis'!U134/60))/(('Lab Analysis'!T134/44)+('Lab Analysis'!U134/60)),"0")</f>
        <v>0</v>
      </c>
      <c r="O134" s="187" t="str">
        <f>IFERROR(((2*('Lab Analysis'!Y134/60)+('Lab Analysis'!W134/17))/(('Lab Analysis'!X134/44)+('Lab Analysis'!Y134/60))),"0")</f>
        <v>0</v>
      </c>
      <c r="P134" s="187" t="str">
        <f>IFERROR((('Lab Analysis'!Z134/18)-('Lab Analysis'!Y134/60))/(('Lab Analysis'!X134/44)+('Lab Analysis'!Y134/60)),"0")</f>
        <v>0</v>
      </c>
      <c r="Q134" s="191"/>
    </row>
    <row r="135" spans="1:17">
      <c r="A135" s="185">
        <v>45949</v>
      </c>
      <c r="B135" s="186" t="str">
        <f>IFERROR(('Lab Analysis'!E135/('Lab Analysis'!E135+(1.364*'Lab Analysis'!D135))),"0")</f>
        <v>0</v>
      </c>
      <c r="C135" s="186" t="str">
        <f>IFERROR((2*'Lab Analysis'!E135/60)/('Lab Analysis'!C135/17+(2*'Lab Analysis'!E135/60)),"0")</f>
        <v>0</v>
      </c>
      <c r="D135" s="187" t="str">
        <f>IFERROR(((2*('Lab Analysis'!E135/60)+('Lab Analysis'!C135/17))/(('Lab Analysis'!D135/44)+('Lab Analysis'!E135/60))),"0")</f>
        <v>0</v>
      </c>
      <c r="E135" s="187" t="str">
        <f>IFERROR((('Lab Analysis'!F135/18)-('Lab Analysis'!E135/60))/(('Lab Analysis'!D135/44)+('Lab Analysis'!E135/60)),"0")</f>
        <v>0</v>
      </c>
      <c r="F135" s="187" t="str">
        <f>IFERROR((('Lab Analysis'!F135/18)/('Lab Analysis'!E135/60)),"0")</f>
        <v>0</v>
      </c>
      <c r="G135" s="188" t="str">
        <f>IFERROR(('Lab Analysis'!I135/('Lab Analysis'!I135+(1.765*'Lab Analysis'!G135))),"0")</f>
        <v>0</v>
      </c>
      <c r="H135" s="189" t="str">
        <f>IFERROR(((2*('Lab Analysis'!I135/60))+('Lab Analysis'!G135/17))/(('Lab Analysis'!H135/44)+('Lab Analysis'!I135/60)),"0")</f>
        <v>0</v>
      </c>
      <c r="I135" s="189" t="str">
        <f>IFERROR((('Lab Analysis'!J135/18)-('Lab Analysis'!I135/60))/(('Lab Analysis'!H135/44)+('Lab Analysis'!I135/60)),"0")</f>
        <v>0</v>
      </c>
      <c r="J135" s="186" t="str">
        <f>IFERROR(('Lab Analysis'!M135/('Lab Analysis'!M135+(1.765*'Lab Analysis'!K135))),"0")</f>
        <v>0</v>
      </c>
      <c r="K135" s="190" t="str">
        <f>IFERROR(((2*('Lab Analysis'!M135/60))+('Lab Analysis'!K135/17))/(('Lab Analysis'!L135/44)+('Lab Analysis'!M135/60)),"0")</f>
        <v>0</v>
      </c>
      <c r="L135" s="190" t="str">
        <f>IFERROR((('Lab Analysis'!N135/18)-('Lab Analysis'!M135/60))/(('Lab Analysis'!L135/44)+('Lab Analysis'!M135/60)),"0")</f>
        <v>0</v>
      </c>
      <c r="M135" s="187" t="str">
        <f>IFERROR(((2*('Lab Analysis'!U135/60))+('Lab Analysis'!S135/17))/(('Lab Analysis'!T135/44)+('Lab Analysis'!U135/60)),"0")</f>
        <v>0</v>
      </c>
      <c r="N135" s="187" t="str">
        <f>IFERROR((('Lab Analysis'!V135/18)-('Lab Analysis'!U135/60))/(('Lab Analysis'!T135/44)+('Lab Analysis'!U135/60)),"0")</f>
        <v>0</v>
      </c>
      <c r="O135" s="187" t="str">
        <f>IFERROR(((2*('Lab Analysis'!Y135/60)+('Lab Analysis'!W135/17))/(('Lab Analysis'!X135/44)+('Lab Analysis'!Y135/60))),"0")</f>
        <v>0</v>
      </c>
      <c r="P135" s="187" t="str">
        <f>IFERROR((('Lab Analysis'!Z135/18)-('Lab Analysis'!Y135/60))/(('Lab Analysis'!X135/44)+('Lab Analysis'!Y135/60)),"0")</f>
        <v>0</v>
      </c>
      <c r="Q135" s="191"/>
    </row>
    <row r="136" spans="1:17">
      <c r="A136" s="185">
        <v>45950</v>
      </c>
      <c r="B136" s="186">
        <f>IFERROR(('Lab Analysis'!E136/('Lab Analysis'!E136+(1.364*'Lab Analysis'!D136))),"0")</f>
        <v>0.56118351668553401</v>
      </c>
      <c r="C136" s="186">
        <f>IFERROR((2*'Lab Analysis'!E136/60)/('Lab Analysis'!C136/17+(2*'Lab Analysis'!E136/60)),"0")</f>
        <v>0.38891080182566068</v>
      </c>
      <c r="D136" s="187">
        <f>IFERROR(((2*('Lab Analysis'!E136/60)+('Lab Analysis'!C136/17))/(('Lab Analysis'!D136/44)+('Lab Analysis'!E136/60))),"0")</f>
        <v>2.8862616962333645</v>
      </c>
      <c r="E136" s="187">
        <f>IFERROR((('Lab Analysis'!F136/18)-('Lab Analysis'!E136/60))/(('Lab Analysis'!D136/44)+('Lab Analysis'!E136/60)),"0")</f>
        <v>0.58958811147067081</v>
      </c>
      <c r="F136" s="187">
        <f>IFERROR((('Lab Analysis'!F136/18)/('Lab Analysis'!E136/60)),"0")</f>
        <v>2.0504926108374373</v>
      </c>
      <c r="G136" s="188">
        <f>IFERROR(('Lab Analysis'!I136/('Lab Analysis'!I136+(1.765*'Lab Analysis'!G136))),"0")</f>
        <v>0.7401806962190558</v>
      </c>
      <c r="H136" s="189">
        <f>IFERROR(((2*('Lab Analysis'!I136/60))+('Lab Analysis'!G136/17))/(('Lab Analysis'!H136/44)+('Lab Analysis'!I136/60)),"0")</f>
        <v>2.1446141326105361</v>
      </c>
      <c r="I136" s="189">
        <f>IFERROR((('Lab Analysis'!J136/18)-('Lab Analysis'!I136/60))/(('Lab Analysis'!H136/44)+('Lab Analysis'!I136/60)),"0")</f>
        <v>0.64370188552939844</v>
      </c>
      <c r="J136" s="186">
        <f>IFERROR(('Lab Analysis'!M136/('Lab Analysis'!M136+(1.765*'Lab Analysis'!K136))),"0")</f>
        <v>0.60591723834543088</v>
      </c>
      <c r="K136" s="190">
        <f>IFERROR(((2*('Lab Analysis'!M136/60))+('Lab Analysis'!K136/17))/(('Lab Analysis'!L136/44)+('Lab Analysis'!M136/60)),"0")</f>
        <v>2.3828751999788449</v>
      </c>
      <c r="L136" s="190">
        <f>IFERROR((('Lab Analysis'!N136/18)-('Lab Analysis'!M136/60))/(('Lab Analysis'!L136/44)+('Lab Analysis'!M136/60)),"0")</f>
        <v>0.79943058365175668</v>
      </c>
      <c r="M136" s="187">
        <f>IFERROR(((2*('Lab Analysis'!U136/60))+('Lab Analysis'!S136/17))/(('Lab Analysis'!T136/44)+('Lab Analysis'!U136/60)),"0")</f>
        <v>2.3728218330084374</v>
      </c>
      <c r="N136" s="187">
        <f>IFERROR((('Lab Analysis'!V136/18)-('Lab Analysis'!U136/60))/(('Lab Analysis'!T136/44)+('Lab Analysis'!U136/60)),"0")</f>
        <v>1.4983275711836292</v>
      </c>
      <c r="O136" s="187">
        <f>IFERROR(((2*('Lab Analysis'!Y136/60)+('Lab Analysis'!W136/17))/(('Lab Analysis'!X136/44)+('Lab Analysis'!Y136/60))),"0")</f>
        <v>2.4794361553600566</v>
      </c>
      <c r="P136" s="187">
        <f>IFERROR((('Lab Analysis'!Z136/18)-('Lab Analysis'!Y136/60))/(('Lab Analysis'!X136/44)+('Lab Analysis'!Y136/60)),"0")</f>
        <v>2.203984367553141</v>
      </c>
      <c r="Q136" s="191"/>
    </row>
    <row r="137" spans="1:17">
      <c r="A137" s="185">
        <v>45951</v>
      </c>
      <c r="B137" s="186" t="str">
        <f>IFERROR(('Lab Analysis'!E137/('Lab Analysis'!E137+(1.364*'Lab Analysis'!D137))),"0")</f>
        <v>0</v>
      </c>
      <c r="C137" s="186" t="str">
        <f>IFERROR((2*'Lab Analysis'!E137/60)/('Lab Analysis'!C137/17+(2*'Lab Analysis'!E137/60)),"0")</f>
        <v>0</v>
      </c>
      <c r="D137" s="187" t="str">
        <f>IFERROR(((2*('Lab Analysis'!E137/60)+('Lab Analysis'!C137/17))/(('Lab Analysis'!D137/44)+('Lab Analysis'!E137/60))),"0")</f>
        <v>0</v>
      </c>
      <c r="E137" s="187" t="str">
        <f>IFERROR((('Lab Analysis'!F137/18)-('Lab Analysis'!E137/60))/(('Lab Analysis'!D137/44)+('Lab Analysis'!E137/60)),"0")</f>
        <v>0</v>
      </c>
      <c r="F137" s="187" t="str">
        <f>IFERROR((('Lab Analysis'!F137/18)/('Lab Analysis'!E137/60)),"0")</f>
        <v>0</v>
      </c>
      <c r="G137" s="188" t="str">
        <f>IFERROR(('Lab Analysis'!I137/('Lab Analysis'!I137+(1.765*'Lab Analysis'!G137))),"0")</f>
        <v>0</v>
      </c>
      <c r="H137" s="189" t="str">
        <f>IFERROR(((2*('Lab Analysis'!I137/60))+('Lab Analysis'!G137/17))/(('Lab Analysis'!H137/44)+('Lab Analysis'!I137/60)),"0")</f>
        <v>0</v>
      </c>
      <c r="I137" s="189" t="str">
        <f>IFERROR((('Lab Analysis'!J137/18)-('Lab Analysis'!I137/60))/(('Lab Analysis'!H137/44)+('Lab Analysis'!I137/60)),"0")</f>
        <v>0</v>
      </c>
      <c r="J137" s="186" t="str">
        <f>IFERROR(('Lab Analysis'!M137/('Lab Analysis'!M137+(1.765*'Lab Analysis'!K137))),"0")</f>
        <v>0</v>
      </c>
      <c r="K137" s="190" t="str">
        <f>IFERROR(((2*('Lab Analysis'!M137/60))+('Lab Analysis'!K137/17))/(('Lab Analysis'!L137/44)+('Lab Analysis'!M137/60)),"0")</f>
        <v>0</v>
      </c>
      <c r="L137" s="190" t="str">
        <f>IFERROR((('Lab Analysis'!N137/18)-('Lab Analysis'!M137/60))/(('Lab Analysis'!L137/44)+('Lab Analysis'!M137/60)),"0")</f>
        <v>0</v>
      </c>
      <c r="M137" s="187" t="str">
        <f>IFERROR(((2*('Lab Analysis'!U137/60))+('Lab Analysis'!S137/17))/(('Lab Analysis'!T137/44)+('Lab Analysis'!U137/60)),"0")</f>
        <v>0</v>
      </c>
      <c r="N137" s="187" t="str">
        <f>IFERROR((('Lab Analysis'!V137/18)-('Lab Analysis'!U137/60))/(('Lab Analysis'!T137/44)+('Lab Analysis'!U137/60)),"0")</f>
        <v>0</v>
      </c>
      <c r="O137" s="187" t="str">
        <f>IFERROR(((2*('Lab Analysis'!Y137/60)+('Lab Analysis'!W137/17))/(('Lab Analysis'!X137/44)+('Lab Analysis'!Y137/60))),"0")</f>
        <v>0</v>
      </c>
      <c r="P137" s="187" t="str">
        <f>IFERROR((('Lab Analysis'!Z137/18)-('Lab Analysis'!Y137/60))/(('Lab Analysis'!X137/44)+('Lab Analysis'!Y137/60)),"0")</f>
        <v>0</v>
      </c>
      <c r="Q137" s="191"/>
    </row>
    <row r="138" spans="1:17">
      <c r="A138" s="185">
        <v>45952</v>
      </c>
      <c r="B138" s="186" t="str">
        <f>IFERROR(('Lab Analysis'!E138/('Lab Analysis'!E138+(1.364*'Lab Analysis'!D138))),"0")</f>
        <v>0</v>
      </c>
      <c r="C138" s="186" t="str">
        <f>IFERROR((2*'Lab Analysis'!E138/60)/('Lab Analysis'!C138/17+(2*'Lab Analysis'!E138/60)),"0")</f>
        <v>0</v>
      </c>
      <c r="D138" s="187" t="str">
        <f>IFERROR(((2*('Lab Analysis'!E138/60)+('Lab Analysis'!C138/17))/(('Lab Analysis'!D138/44)+('Lab Analysis'!E138/60))),"0")</f>
        <v>0</v>
      </c>
      <c r="E138" s="187" t="str">
        <f>IFERROR((('Lab Analysis'!F138/18)-('Lab Analysis'!E138/60))/(('Lab Analysis'!D138/44)+('Lab Analysis'!E138/60)),"0")</f>
        <v>0</v>
      </c>
      <c r="F138" s="187" t="str">
        <f>IFERROR((('Lab Analysis'!F138/18)/('Lab Analysis'!E138/60)),"0")</f>
        <v>0</v>
      </c>
      <c r="G138" s="188" t="str">
        <f>IFERROR(('Lab Analysis'!I138/('Lab Analysis'!I138+(1.765*'Lab Analysis'!G138))),"0")</f>
        <v>0</v>
      </c>
      <c r="H138" s="189" t="str">
        <f>IFERROR(((2*('Lab Analysis'!I138/60))+('Lab Analysis'!G138/17))/(('Lab Analysis'!H138/44)+('Lab Analysis'!I138/60)),"0")</f>
        <v>0</v>
      </c>
      <c r="I138" s="189" t="str">
        <f>IFERROR((('Lab Analysis'!J138/18)-('Lab Analysis'!I138/60))/(('Lab Analysis'!H138/44)+('Lab Analysis'!I138/60)),"0")</f>
        <v>0</v>
      </c>
      <c r="J138" s="186" t="str">
        <f>IFERROR(('Lab Analysis'!M138/('Lab Analysis'!M138+(1.765*'Lab Analysis'!K138))),"0")</f>
        <v>0</v>
      </c>
      <c r="K138" s="190" t="str">
        <f>IFERROR(((2*('Lab Analysis'!M138/60))+('Lab Analysis'!K138/17))/(('Lab Analysis'!L138/44)+('Lab Analysis'!M138/60)),"0")</f>
        <v>0</v>
      </c>
      <c r="L138" s="190" t="str">
        <f>IFERROR((('Lab Analysis'!N138/18)-('Lab Analysis'!M138/60))/(('Lab Analysis'!L138/44)+('Lab Analysis'!M138/60)),"0")</f>
        <v>0</v>
      </c>
      <c r="M138" s="187" t="str">
        <f>IFERROR(((2*('Lab Analysis'!U138/60))+('Lab Analysis'!S138/17))/(('Lab Analysis'!T138/44)+('Lab Analysis'!U138/60)),"0")</f>
        <v>0</v>
      </c>
      <c r="N138" s="187" t="str">
        <f>IFERROR((('Lab Analysis'!V138/18)-('Lab Analysis'!U138/60))/(('Lab Analysis'!T138/44)+('Lab Analysis'!U138/60)),"0")</f>
        <v>0</v>
      </c>
      <c r="O138" s="187" t="str">
        <f>IFERROR(((2*('Lab Analysis'!Y138/60)+('Lab Analysis'!W138/17))/(('Lab Analysis'!X138/44)+('Lab Analysis'!Y138/60))),"0")</f>
        <v>0</v>
      </c>
      <c r="P138" s="187" t="str">
        <f>IFERROR((('Lab Analysis'!Z138/18)-('Lab Analysis'!Y138/60))/(('Lab Analysis'!X138/44)+('Lab Analysis'!Y138/60)),"0")</f>
        <v>0</v>
      </c>
      <c r="Q138" s="191"/>
    </row>
    <row r="139" spans="1:17">
      <c r="A139" s="185">
        <v>45953</v>
      </c>
      <c r="B139" s="186">
        <f>IFERROR(('Lab Analysis'!E139/('Lab Analysis'!E139+(1.364*'Lab Analysis'!D139))),"0")</f>
        <v>0.56005573707741096</v>
      </c>
      <c r="C139" s="186">
        <f>IFERROR((2*'Lab Analysis'!E139/60)/('Lab Analysis'!C139/17+(2*'Lab Analysis'!E139/60)),"0")</f>
        <v>0.3896786373434396</v>
      </c>
      <c r="D139" s="187">
        <f>IFERROR(((2*('Lab Analysis'!E139/60)+('Lab Analysis'!C139/17))/(('Lab Analysis'!D139/44)+('Lab Analysis'!E139/60))),"0")</f>
        <v>2.8747864443724414</v>
      </c>
      <c r="E139" s="187">
        <f>IFERROR((('Lab Analysis'!F139/18)-('Lab Analysis'!E139/60))/(('Lab Analysis'!D139/44)+('Lab Analysis'!E139/60)),"0")</f>
        <v>0.57825279586045764</v>
      </c>
      <c r="F139" s="187">
        <f>IFERROR((('Lab Analysis'!F139/18)/('Lab Analysis'!E139/60)),"0")</f>
        <v>2.0323704158983817</v>
      </c>
      <c r="G139" s="188">
        <f>IFERROR(('Lab Analysis'!I139/('Lab Analysis'!I139+(1.765*'Lab Analysis'!G139))),"0")</f>
        <v>0.73745954750304421</v>
      </c>
      <c r="H139" s="189">
        <f>IFERROR(((2*('Lab Analysis'!I139/60))+('Lab Analysis'!G139/17))/(('Lab Analysis'!H139/44)+('Lab Analysis'!I139/60)),"0")</f>
        <v>2.1545468451620224</v>
      </c>
      <c r="I139" s="189">
        <f>IFERROR((('Lab Analysis'!J139/18)-('Lab Analysis'!I139/60))/(('Lab Analysis'!H139/44)+('Lab Analysis'!I139/60)),"0")</f>
        <v>0.64704676155057861</v>
      </c>
      <c r="J139" s="186">
        <f>IFERROR(('Lab Analysis'!M139/('Lab Analysis'!M139+(1.765*'Lab Analysis'!K139))),"0")</f>
        <v>0.60253500201901589</v>
      </c>
      <c r="K139" s="190">
        <f>IFERROR(((2*('Lab Analysis'!M139/60))+('Lab Analysis'!K139/17))/(('Lab Analysis'!L139/44)+('Lab Analysis'!M139/60)),"0")</f>
        <v>2.3923390644588518</v>
      </c>
      <c r="L139" s="190">
        <f>IFERROR((('Lab Analysis'!N139/18)-('Lab Analysis'!M139/60))/(('Lab Analysis'!L139/44)+('Lab Analysis'!M139/60)),"0")</f>
        <v>0.79156300270775304</v>
      </c>
      <c r="M139" s="187">
        <f>IFERROR(((2*('Lab Analysis'!U139/60))+('Lab Analysis'!S139/17))/(('Lab Analysis'!T139/44)+('Lab Analysis'!U139/60)),"0")</f>
        <v>2.3768975332068312</v>
      </c>
      <c r="N139" s="187">
        <f>IFERROR((('Lab Analysis'!V139/18)-('Lab Analysis'!U139/60))/(('Lab Analysis'!T139/44)+('Lab Analysis'!U139/60)),"0")</f>
        <v>1.471102150537634</v>
      </c>
      <c r="O139" s="187">
        <f>IFERROR(((2*('Lab Analysis'!Y139/60)+('Lab Analysis'!W139/17))/(('Lab Analysis'!X139/44)+('Lab Analysis'!Y139/60))),"0")</f>
        <v>2.5124603228202878</v>
      </c>
      <c r="P139" s="187">
        <f>IFERROR((('Lab Analysis'!Z139/18)-('Lab Analysis'!Y139/60))/(('Lab Analysis'!X139/44)+('Lab Analysis'!Y139/60)),"0")</f>
        <v>2.1988774078326316</v>
      </c>
      <c r="Q139" s="191"/>
    </row>
    <row r="140" spans="1:17">
      <c r="A140" s="185">
        <v>45954</v>
      </c>
      <c r="B140" s="186">
        <f>IFERROR(('Lab Analysis'!E140/('Lab Analysis'!E140+(1.364*'Lab Analysis'!D140))),"0")</f>
        <v>0.56064928526750979</v>
      </c>
      <c r="C140" s="186">
        <f>IFERROR((2*'Lab Analysis'!E140/60)/('Lab Analysis'!C140/17+(2*'Lab Analysis'!E140/60)),"0")</f>
        <v>0.39011410081743869</v>
      </c>
      <c r="D140" s="187">
        <f>IFERROR(((2*('Lab Analysis'!E140/60)+('Lab Analysis'!C140/17))/(('Lab Analysis'!D140/44)+('Lab Analysis'!E140/60))),"0")</f>
        <v>2.874620322878537</v>
      </c>
      <c r="E140" s="187">
        <f>IFERROR((('Lab Analysis'!F140/18)-('Lab Analysis'!E140/60))/(('Lab Analysis'!D140/44)+('Lab Analysis'!E140/60)),"0")</f>
        <v>0.62001134859088369</v>
      </c>
      <c r="F140" s="187">
        <f>IFERROR((('Lab Analysis'!F140/18)/('Lab Analysis'!E140/60)),"0")</f>
        <v>2.1057513914656778</v>
      </c>
      <c r="G140" s="188" t="str">
        <f>IFERROR(('Lab Analysis'!I140/('Lab Analysis'!I140+(1.765*'Lab Analysis'!G140))),"0")</f>
        <v>0</v>
      </c>
      <c r="H140" s="189" t="str">
        <f>IFERROR(((2*('Lab Analysis'!I140/60))+('Lab Analysis'!G140/17))/(('Lab Analysis'!H140/44)+('Lab Analysis'!I140/60)),"0")</f>
        <v>0</v>
      </c>
      <c r="I140" s="189" t="str">
        <f>IFERROR((('Lab Analysis'!J140/18)-('Lab Analysis'!I140/60))/(('Lab Analysis'!H140/44)+('Lab Analysis'!I140/60)),"0")</f>
        <v>0</v>
      </c>
      <c r="J140" s="186" t="str">
        <f>IFERROR(('Lab Analysis'!M140/('Lab Analysis'!M140+(1.765*'Lab Analysis'!K140))),"0")</f>
        <v>0</v>
      </c>
      <c r="K140" s="190" t="str">
        <f>IFERROR(((2*('Lab Analysis'!M140/60))+('Lab Analysis'!K140/17))/(('Lab Analysis'!L140/44)+('Lab Analysis'!M140/60)),"0")</f>
        <v>0</v>
      </c>
      <c r="L140" s="190" t="str">
        <f>IFERROR((('Lab Analysis'!N140/18)-('Lab Analysis'!M140/60))/(('Lab Analysis'!L140/44)+('Lab Analysis'!M140/60)),"0")</f>
        <v>0</v>
      </c>
      <c r="M140" s="187" t="str">
        <f>IFERROR(((2*('Lab Analysis'!U140/60))+('Lab Analysis'!S140/17))/(('Lab Analysis'!T140/44)+('Lab Analysis'!U140/60)),"0")</f>
        <v>0</v>
      </c>
      <c r="N140" s="187" t="str">
        <f>IFERROR((('Lab Analysis'!V140/18)-('Lab Analysis'!U140/60))/(('Lab Analysis'!T140/44)+('Lab Analysis'!U140/60)),"0")</f>
        <v>0</v>
      </c>
      <c r="O140" s="187" t="str">
        <f>IFERROR(((2*('Lab Analysis'!Y140/60)+('Lab Analysis'!W140/17))/(('Lab Analysis'!X140/44)+('Lab Analysis'!Y140/60))),"0")</f>
        <v>0</v>
      </c>
      <c r="P140" s="187" t="str">
        <f>IFERROR((('Lab Analysis'!Z140/18)-('Lab Analysis'!Y140/60))/(('Lab Analysis'!X140/44)+('Lab Analysis'!Y140/60)),"0")</f>
        <v>0</v>
      </c>
      <c r="Q140" s="191"/>
    </row>
    <row r="141" spans="1:17">
      <c r="A141" s="185">
        <v>45955</v>
      </c>
      <c r="B141" s="186" t="str">
        <f>IFERROR(('Lab Analysis'!E141/('Lab Analysis'!E141+(1.364*'Lab Analysis'!D141))),"0")</f>
        <v>0</v>
      </c>
      <c r="C141" s="186" t="str">
        <f>IFERROR((2*'Lab Analysis'!E141/60)/('Lab Analysis'!C141/17+(2*'Lab Analysis'!E141/60)),"0")</f>
        <v>0</v>
      </c>
      <c r="D141" s="187" t="str">
        <f>IFERROR(((2*('Lab Analysis'!E141/60)+('Lab Analysis'!C141/17))/(('Lab Analysis'!D141/44)+('Lab Analysis'!E141/60))),"0")</f>
        <v>0</v>
      </c>
      <c r="E141" s="187" t="str">
        <f>IFERROR((('Lab Analysis'!F141/18)-('Lab Analysis'!E141/60))/(('Lab Analysis'!D141/44)+('Lab Analysis'!E141/60)),"0")</f>
        <v>0</v>
      </c>
      <c r="F141" s="187" t="str">
        <f>IFERROR((('Lab Analysis'!F141/18)/('Lab Analysis'!E141/60)),"0")</f>
        <v>0</v>
      </c>
      <c r="G141" s="188" t="str">
        <f>IFERROR(('Lab Analysis'!I141/('Lab Analysis'!I141+(1.765*'Lab Analysis'!G141))),"0")</f>
        <v>0</v>
      </c>
      <c r="H141" s="189" t="str">
        <f>IFERROR(((2*('Lab Analysis'!I141/60))+('Lab Analysis'!G141/17))/(('Lab Analysis'!H141/44)+('Lab Analysis'!I141/60)),"0")</f>
        <v>0</v>
      </c>
      <c r="I141" s="189" t="str">
        <f>IFERROR((('Lab Analysis'!J141/18)-('Lab Analysis'!I141/60))/(('Lab Analysis'!H141/44)+('Lab Analysis'!I141/60)),"0")</f>
        <v>0</v>
      </c>
      <c r="J141" s="186" t="str">
        <f>IFERROR(('Lab Analysis'!M141/('Lab Analysis'!M141+(1.765*'Lab Analysis'!K141))),"0")</f>
        <v>0</v>
      </c>
      <c r="K141" s="190" t="str">
        <f>IFERROR(((2*('Lab Analysis'!M141/60))+('Lab Analysis'!K141/17))/(('Lab Analysis'!L141/44)+('Lab Analysis'!M141/60)),"0")</f>
        <v>0</v>
      </c>
      <c r="L141" s="190" t="str">
        <f>IFERROR((('Lab Analysis'!N141/18)-('Lab Analysis'!M141/60))/(('Lab Analysis'!L141/44)+('Lab Analysis'!M141/60)),"0")</f>
        <v>0</v>
      </c>
      <c r="M141" s="187" t="str">
        <f>IFERROR(((2*('Lab Analysis'!U141/60))+('Lab Analysis'!S141/17))/(('Lab Analysis'!T141/44)+('Lab Analysis'!U141/60)),"0")</f>
        <v>0</v>
      </c>
      <c r="N141" s="187" t="str">
        <f>IFERROR((('Lab Analysis'!V141/18)-('Lab Analysis'!U141/60))/(('Lab Analysis'!T141/44)+('Lab Analysis'!U141/60)),"0")</f>
        <v>0</v>
      </c>
      <c r="O141" s="187" t="str">
        <f>IFERROR(((2*('Lab Analysis'!Y141/60)+('Lab Analysis'!W141/17))/(('Lab Analysis'!X141/44)+('Lab Analysis'!Y141/60))),"0")</f>
        <v>0</v>
      </c>
      <c r="P141" s="187" t="str">
        <f>IFERROR((('Lab Analysis'!Z141/18)-('Lab Analysis'!Y141/60))/(('Lab Analysis'!X141/44)+('Lab Analysis'!Y141/60)),"0")</f>
        <v>0</v>
      </c>
      <c r="Q141" s="191"/>
    </row>
    <row r="142" spans="1:17">
      <c r="A142" s="185">
        <v>45956</v>
      </c>
      <c r="B142" s="186" t="str">
        <f>IFERROR(('Lab Analysis'!E142/('Lab Analysis'!E142+(1.364*'Lab Analysis'!D142))),"0")</f>
        <v>0</v>
      </c>
      <c r="C142" s="186" t="str">
        <f>IFERROR((2*'Lab Analysis'!E142/60)/('Lab Analysis'!C142/17+(2*'Lab Analysis'!E142/60)),"0")</f>
        <v>0</v>
      </c>
      <c r="D142" s="187" t="str">
        <f>IFERROR(((2*('Lab Analysis'!E142/60)+('Lab Analysis'!C142/17))/(('Lab Analysis'!D142/44)+('Lab Analysis'!E142/60))),"0")</f>
        <v>0</v>
      </c>
      <c r="E142" s="187" t="str">
        <f>IFERROR((('Lab Analysis'!F142/18)-('Lab Analysis'!E142/60))/(('Lab Analysis'!D142/44)+('Lab Analysis'!E142/60)),"0")</f>
        <v>0</v>
      </c>
      <c r="F142" s="187" t="str">
        <f>IFERROR((('Lab Analysis'!F142/18)/('Lab Analysis'!E142/60)),"0")</f>
        <v>0</v>
      </c>
      <c r="G142" s="188" t="str">
        <f>IFERROR(('Lab Analysis'!I142/('Lab Analysis'!I142+(1.765*'Lab Analysis'!G142))),"0")</f>
        <v>0</v>
      </c>
      <c r="H142" s="189" t="str">
        <f>IFERROR(((2*('Lab Analysis'!I142/60))+('Lab Analysis'!G142/17))/(('Lab Analysis'!H142/44)+('Lab Analysis'!I142/60)),"0")</f>
        <v>0</v>
      </c>
      <c r="I142" s="189" t="str">
        <f>IFERROR((('Lab Analysis'!J142/18)-('Lab Analysis'!I142/60))/(('Lab Analysis'!H142/44)+('Lab Analysis'!I142/60)),"0")</f>
        <v>0</v>
      </c>
      <c r="J142" s="186" t="str">
        <f>IFERROR(('Lab Analysis'!M142/('Lab Analysis'!M142+(1.765*'Lab Analysis'!K142))),"0")</f>
        <v>0</v>
      </c>
      <c r="K142" s="190" t="str">
        <f>IFERROR(((2*('Lab Analysis'!M142/60))+('Lab Analysis'!K142/17))/(('Lab Analysis'!L142/44)+('Lab Analysis'!M142/60)),"0")</f>
        <v>0</v>
      </c>
      <c r="L142" s="190" t="str">
        <f>IFERROR((('Lab Analysis'!N142/18)-('Lab Analysis'!M142/60))/(('Lab Analysis'!L142/44)+('Lab Analysis'!M142/60)),"0")</f>
        <v>0</v>
      </c>
      <c r="M142" s="187" t="str">
        <f>IFERROR(((2*('Lab Analysis'!U142/60))+('Lab Analysis'!S142/17))/(('Lab Analysis'!T142/44)+('Lab Analysis'!U142/60)),"0")</f>
        <v>0</v>
      </c>
      <c r="N142" s="187" t="str">
        <f>IFERROR((('Lab Analysis'!V142/18)-('Lab Analysis'!U142/60))/(('Lab Analysis'!T142/44)+('Lab Analysis'!U142/60)),"0")</f>
        <v>0</v>
      </c>
      <c r="O142" s="187" t="str">
        <f>IFERROR(((2*('Lab Analysis'!Y142/60)+('Lab Analysis'!W142/17))/(('Lab Analysis'!X142/44)+('Lab Analysis'!Y142/60))),"0")</f>
        <v>0</v>
      </c>
      <c r="P142" s="187" t="str">
        <f>IFERROR((('Lab Analysis'!Z142/18)-('Lab Analysis'!Y142/60))/(('Lab Analysis'!X142/44)+('Lab Analysis'!Y142/60)),"0")</f>
        <v>0</v>
      </c>
      <c r="Q142" s="191"/>
    </row>
    <row r="143" spans="1:17">
      <c r="A143" s="185">
        <v>45957</v>
      </c>
      <c r="B143" s="186" t="str">
        <f>IFERROR(('Lab Analysis'!E143/('Lab Analysis'!E143+(1.364*'Lab Analysis'!D143))),"0")</f>
        <v>0</v>
      </c>
      <c r="C143" s="186" t="str">
        <f>IFERROR((2*'Lab Analysis'!E143/60)/('Lab Analysis'!C143/17+(2*'Lab Analysis'!E143/60)),"0")</f>
        <v>0</v>
      </c>
      <c r="D143" s="187" t="str">
        <f>IFERROR(((2*('Lab Analysis'!E143/60)+('Lab Analysis'!C143/17))/(('Lab Analysis'!D143/44)+('Lab Analysis'!E143/60))),"0")</f>
        <v>0</v>
      </c>
      <c r="E143" s="187" t="str">
        <f>IFERROR((('Lab Analysis'!F143/18)-('Lab Analysis'!E143/60))/(('Lab Analysis'!D143/44)+('Lab Analysis'!E143/60)),"0")</f>
        <v>0</v>
      </c>
      <c r="F143" s="187" t="str">
        <f>IFERROR((('Lab Analysis'!F143/18)/('Lab Analysis'!E143/60)),"0")</f>
        <v>0</v>
      </c>
      <c r="G143" s="188" t="str">
        <f>IFERROR(('Lab Analysis'!I143/('Lab Analysis'!I143+(1.765*'Lab Analysis'!G143))),"0")</f>
        <v>0</v>
      </c>
      <c r="H143" s="189" t="str">
        <f>IFERROR(((2*('Lab Analysis'!I143/60))+('Lab Analysis'!G143/17))/(('Lab Analysis'!H143/44)+('Lab Analysis'!I143/60)),"0")</f>
        <v>0</v>
      </c>
      <c r="I143" s="189" t="str">
        <f>IFERROR((('Lab Analysis'!J143/18)-('Lab Analysis'!I143/60))/(('Lab Analysis'!H143/44)+('Lab Analysis'!I143/60)),"0")</f>
        <v>0</v>
      </c>
      <c r="J143" s="186" t="str">
        <f>IFERROR(('Lab Analysis'!M143/('Lab Analysis'!M143+(1.765*'Lab Analysis'!K143))),"0")</f>
        <v>0</v>
      </c>
      <c r="K143" s="190" t="str">
        <f>IFERROR(((2*('Lab Analysis'!M143/60))+('Lab Analysis'!K143/17))/(('Lab Analysis'!L143/44)+('Lab Analysis'!M143/60)),"0")</f>
        <v>0</v>
      </c>
      <c r="L143" s="190" t="str">
        <f>IFERROR((('Lab Analysis'!N143/18)-('Lab Analysis'!M143/60))/(('Lab Analysis'!L143/44)+('Lab Analysis'!M143/60)),"0")</f>
        <v>0</v>
      </c>
      <c r="M143" s="187" t="str">
        <f>IFERROR(((2*('Lab Analysis'!U143/60))+('Lab Analysis'!S143/17))/(('Lab Analysis'!T143/44)+('Lab Analysis'!U143/60)),"0")</f>
        <v>0</v>
      </c>
      <c r="N143" s="187" t="str">
        <f>IFERROR((('Lab Analysis'!V143/18)-('Lab Analysis'!U143/60))/(('Lab Analysis'!T143/44)+('Lab Analysis'!U143/60)),"0")</f>
        <v>0</v>
      </c>
      <c r="O143" s="187" t="str">
        <f>IFERROR(((2*('Lab Analysis'!Y143/60)+('Lab Analysis'!W143/17))/(('Lab Analysis'!X143/44)+('Lab Analysis'!Y143/60))),"0")</f>
        <v>0</v>
      </c>
      <c r="P143" s="187" t="str">
        <f>IFERROR((('Lab Analysis'!Z143/18)-('Lab Analysis'!Y143/60))/(('Lab Analysis'!X143/44)+('Lab Analysis'!Y143/60)),"0")</f>
        <v>0</v>
      </c>
      <c r="Q143" s="191"/>
    </row>
    <row r="144" spans="1:17">
      <c r="A144" s="185">
        <v>45958</v>
      </c>
      <c r="B144" s="186">
        <f>IFERROR(('Lab Analysis'!E144/('Lab Analysis'!E144+(1.364*'Lab Analysis'!D144))),"0")</f>
        <v>0.56309229942336536</v>
      </c>
      <c r="C144" s="186">
        <f>IFERROR((2*'Lab Analysis'!E144/60)/('Lab Analysis'!C144/17+(2*'Lab Analysis'!E144/60)),"0")</f>
        <v>0.37793476002493254</v>
      </c>
      <c r="D144" s="187">
        <f>IFERROR(((2*('Lab Analysis'!E144/60)+('Lab Analysis'!C144/17))/(('Lab Analysis'!D144/44)+('Lab Analysis'!E144/60))),"0")</f>
        <v>2.9801857585139317</v>
      </c>
      <c r="E144" s="187">
        <f>IFERROR((('Lab Analysis'!F144/18)-('Lab Analysis'!E144/60))/(('Lab Analysis'!D144/44)+('Lab Analysis'!E144/60)),"0")</f>
        <v>0.58888888888888824</v>
      </c>
      <c r="F144" s="187">
        <f>IFERROR((('Lab Analysis'!F144/18)/('Lab Analysis'!E144/60)),"0")</f>
        <v>2.0456905503634464</v>
      </c>
      <c r="G144" s="188" t="str">
        <f>IFERROR(('Lab Analysis'!I144/('Lab Analysis'!I144+(1.765*'Lab Analysis'!G144))),"0")</f>
        <v>0</v>
      </c>
      <c r="H144" s="189" t="str">
        <f>IFERROR(((2*('Lab Analysis'!I144/60))+('Lab Analysis'!G144/17))/(('Lab Analysis'!H144/44)+('Lab Analysis'!I144/60)),"0")</f>
        <v>0</v>
      </c>
      <c r="I144" s="189" t="str">
        <f>IFERROR((('Lab Analysis'!J144/18)-('Lab Analysis'!I144/60))/(('Lab Analysis'!H144/44)+('Lab Analysis'!I144/60)),"0")</f>
        <v>0</v>
      </c>
      <c r="J144" s="186" t="str">
        <f>IFERROR(('Lab Analysis'!M144/('Lab Analysis'!M144+(1.765*'Lab Analysis'!K144))),"0")</f>
        <v>0</v>
      </c>
      <c r="K144" s="190" t="str">
        <f>IFERROR(((2*('Lab Analysis'!M144/60))+('Lab Analysis'!K144/17))/(('Lab Analysis'!L144/44)+('Lab Analysis'!M144/60)),"0")</f>
        <v>0</v>
      </c>
      <c r="L144" s="190" t="str">
        <f>IFERROR((('Lab Analysis'!N144/18)-('Lab Analysis'!M144/60))/(('Lab Analysis'!L144/44)+('Lab Analysis'!M144/60)),"0")</f>
        <v>0</v>
      </c>
      <c r="M144" s="187" t="str">
        <f>IFERROR(((2*('Lab Analysis'!U144/60))+('Lab Analysis'!S144/17))/(('Lab Analysis'!T144/44)+('Lab Analysis'!U144/60)),"0")</f>
        <v>0</v>
      </c>
      <c r="N144" s="187" t="str">
        <f>IFERROR((('Lab Analysis'!V144/18)-('Lab Analysis'!U144/60))/(('Lab Analysis'!T144/44)+('Lab Analysis'!U144/60)),"0")</f>
        <v>0</v>
      </c>
      <c r="O144" s="187" t="str">
        <f>IFERROR(((2*('Lab Analysis'!Y144/60)+('Lab Analysis'!W144/17))/(('Lab Analysis'!X144/44)+('Lab Analysis'!Y144/60))),"0")</f>
        <v>0</v>
      </c>
      <c r="P144" s="187" t="str">
        <f>IFERROR((('Lab Analysis'!Z144/18)-('Lab Analysis'!Y144/60))/(('Lab Analysis'!X144/44)+('Lab Analysis'!Y144/60)),"0")</f>
        <v>0</v>
      </c>
      <c r="Q144" s="191"/>
    </row>
    <row r="145" spans="1:17">
      <c r="A145" s="185">
        <v>45959</v>
      </c>
      <c r="B145" s="186" t="str">
        <f>IFERROR(('Lab Analysis'!E145/('Lab Analysis'!E145+(1.364*'Lab Analysis'!D145))),"0")</f>
        <v>0</v>
      </c>
      <c r="C145" s="186" t="str">
        <f>IFERROR((2*'Lab Analysis'!E145/60)/('Lab Analysis'!C145/17+(2*'Lab Analysis'!E145/60)),"0")</f>
        <v>0</v>
      </c>
      <c r="D145" s="187" t="str">
        <f>IFERROR(((2*('Lab Analysis'!E145/60)+('Lab Analysis'!C145/17))/(('Lab Analysis'!D145/44)+('Lab Analysis'!E145/60))),"0")</f>
        <v>0</v>
      </c>
      <c r="E145" s="187" t="str">
        <f>IFERROR((('Lab Analysis'!F145/18)-('Lab Analysis'!E145/60))/(('Lab Analysis'!D145/44)+('Lab Analysis'!E145/60)),"0")</f>
        <v>0</v>
      </c>
      <c r="F145" s="187" t="str">
        <f>IFERROR((('Lab Analysis'!F145/18)/('Lab Analysis'!E145/60)),"0")</f>
        <v>0</v>
      </c>
      <c r="G145" s="188" t="str">
        <f>IFERROR(('Lab Analysis'!I145/('Lab Analysis'!I145+(1.765*'Lab Analysis'!G145))),"0")</f>
        <v>0</v>
      </c>
      <c r="H145" s="189" t="str">
        <f>IFERROR(((2*('Lab Analysis'!I145/60))+('Lab Analysis'!G145/17))/(('Lab Analysis'!H145/44)+('Lab Analysis'!I145/60)),"0")</f>
        <v>0</v>
      </c>
      <c r="I145" s="189" t="str">
        <f>IFERROR((('Lab Analysis'!J145/18)-('Lab Analysis'!I145/60))/(('Lab Analysis'!H145/44)+('Lab Analysis'!I145/60)),"0")</f>
        <v>0</v>
      </c>
      <c r="J145" s="186" t="str">
        <f>IFERROR(('Lab Analysis'!M145/('Lab Analysis'!M145+(1.765*'Lab Analysis'!K145))),"0")</f>
        <v>0</v>
      </c>
      <c r="K145" s="190" t="str">
        <f>IFERROR(((2*('Lab Analysis'!M145/60))+('Lab Analysis'!K145/17))/(('Lab Analysis'!L145/44)+('Lab Analysis'!M145/60)),"0")</f>
        <v>0</v>
      </c>
      <c r="L145" s="190" t="str">
        <f>IFERROR((('Lab Analysis'!N145/18)-('Lab Analysis'!M145/60))/(('Lab Analysis'!L145/44)+('Lab Analysis'!M145/60)),"0")</f>
        <v>0</v>
      </c>
      <c r="M145" s="187" t="str">
        <f>IFERROR(((2*('Lab Analysis'!U145/60))+('Lab Analysis'!S145/17))/(('Lab Analysis'!T145/44)+('Lab Analysis'!U145/60)),"0")</f>
        <v>0</v>
      </c>
      <c r="N145" s="187" t="str">
        <f>IFERROR((('Lab Analysis'!V145/18)-('Lab Analysis'!U145/60))/(('Lab Analysis'!T145/44)+('Lab Analysis'!U145/60)),"0")</f>
        <v>0</v>
      </c>
      <c r="O145" s="187" t="str">
        <f>IFERROR(((2*('Lab Analysis'!Y145/60)+('Lab Analysis'!W145/17))/(('Lab Analysis'!X145/44)+('Lab Analysis'!Y145/60))),"0")</f>
        <v>0</v>
      </c>
      <c r="P145" s="187" t="str">
        <f>IFERROR((('Lab Analysis'!Z145/18)-('Lab Analysis'!Y145/60))/(('Lab Analysis'!X145/44)+('Lab Analysis'!Y145/60)),"0")</f>
        <v>0</v>
      </c>
      <c r="Q145" s="191"/>
    </row>
    <row r="146" spans="1:17">
      <c r="A146" s="185">
        <v>45960</v>
      </c>
      <c r="B146" s="186">
        <f>IFERROR(('Lab Analysis'!E146/('Lab Analysis'!E146+(1.364*'Lab Analysis'!D146))),"0")</f>
        <v>0.56315298133399372</v>
      </c>
      <c r="C146" s="186">
        <f>IFERROR((2*'Lab Analysis'!E146/60)/('Lab Analysis'!C146/17+(2*'Lab Analysis'!E146/60)),"0")</f>
        <v>0.37679975634068008</v>
      </c>
      <c r="D146" s="187">
        <f>IFERROR(((2*('Lab Analysis'!E146/60)+('Lab Analysis'!C146/17))/(('Lab Analysis'!D146/44)+('Lab Analysis'!E146/60))),"0")</f>
        <v>2.9894848132258645</v>
      </c>
      <c r="E146" s="187">
        <f>IFERROR((('Lab Analysis'!F146/18)-('Lab Analysis'!E146/60))/(('Lab Analysis'!D146/44)+('Lab Analysis'!E146/60)),"0")</f>
        <v>0.59534888679235165</v>
      </c>
      <c r="F146" s="187">
        <f>IFERROR((('Lab Analysis'!F146/18)/('Lab Analysis'!E146/60)),"0")</f>
        <v>2.0570476785342482</v>
      </c>
      <c r="G146" s="188">
        <f>IFERROR(('Lab Analysis'!I146/('Lab Analysis'!I146+(1.765*'Lab Analysis'!G146))),"0")</f>
        <v>0.7367961280701677</v>
      </c>
      <c r="H146" s="189">
        <f>IFERROR(((2*('Lab Analysis'!I146/60))+('Lab Analysis'!G146/17))/(('Lab Analysis'!H146/44)+('Lab Analysis'!I146/60)),"0")</f>
        <v>2.1754953290216608</v>
      </c>
      <c r="I146" s="189">
        <f>IFERROR((('Lab Analysis'!J146/18)-('Lab Analysis'!I146/60))/(('Lab Analysis'!H146/44)+('Lab Analysis'!I146/60)),"0")</f>
        <v>0.83347876672483967</v>
      </c>
      <c r="J146" s="186">
        <f>IFERROR(('Lab Analysis'!M146/('Lab Analysis'!M146+(1.765*'Lab Analysis'!K146))),"0")</f>
        <v>0.57918587954464584</v>
      </c>
      <c r="K146" s="190">
        <f>IFERROR(((2*('Lab Analysis'!M146/60))+('Lab Analysis'!K146/17))/(('Lab Analysis'!L146/44)+('Lab Analysis'!M146/60)),"0")</f>
        <v>2.4767108164661948</v>
      </c>
      <c r="L146" s="190">
        <f>IFERROR((('Lab Analysis'!N146/18)-('Lab Analysis'!M146/60))/(('Lab Analysis'!L146/44)+('Lab Analysis'!M146/60)),"0")</f>
        <v>1.0680327476420735</v>
      </c>
      <c r="M146" s="187" t="str">
        <f>IFERROR(((2*('Lab Analysis'!U146/60))+('Lab Analysis'!S146/17))/(('Lab Analysis'!T146/44)+('Lab Analysis'!U146/60)),"0")</f>
        <v>0</v>
      </c>
      <c r="N146" s="187" t="str">
        <f>IFERROR((('Lab Analysis'!V146/18)-('Lab Analysis'!U146/60))/(('Lab Analysis'!T146/44)+('Lab Analysis'!U146/60)),"0")</f>
        <v>0</v>
      </c>
      <c r="O146" s="187">
        <f>IFERROR(((2*('Lab Analysis'!Y146/60)+('Lab Analysis'!W146/17))/(('Lab Analysis'!X146/44)+('Lab Analysis'!Y146/60))),"0")</f>
        <v>2.5324983496583346</v>
      </c>
      <c r="P146" s="187">
        <f>IFERROR((('Lab Analysis'!Z146/18)-('Lab Analysis'!Y146/60))/(('Lab Analysis'!X146/44)+('Lab Analysis'!Y146/60)),"0")</f>
        <v>2.577899100192095</v>
      </c>
      <c r="Q146" s="191"/>
    </row>
    <row r="147" spans="1:17">
      <c r="A147" s="185">
        <v>45961</v>
      </c>
      <c r="B147" s="186">
        <f>IFERROR(('Lab Analysis'!E147/('Lab Analysis'!E147+(1.364*'Lab Analysis'!D147))),"0")</f>
        <v>0.56647772369372962</v>
      </c>
      <c r="C147" s="186">
        <f>IFERROR((2*'Lab Analysis'!E147/60)/('Lab Analysis'!C147/17+(2*'Lab Analysis'!E147/60)),"0")</f>
        <v>0.37808510051567712</v>
      </c>
      <c r="D147" s="187">
        <f>IFERROR(((2*('Lab Analysis'!E147/60)+('Lab Analysis'!C147/17))/(('Lab Analysis'!D147/44)+('Lab Analysis'!E147/60))),"0")</f>
        <v>2.9969083744360505</v>
      </c>
      <c r="E147" s="187">
        <f>IFERROR((('Lab Analysis'!F147/18)-('Lab Analysis'!E147/60))/(('Lab Analysis'!D147/44)+('Lab Analysis'!E147/60)),"0")</f>
        <v>0.5790706090214357</v>
      </c>
      <c r="F147" s="187">
        <f>IFERROR((('Lab Analysis'!F147/18)/('Lab Analysis'!E147/60)),"0")</f>
        <v>2.0221120066129359</v>
      </c>
      <c r="G147" s="188" t="str">
        <f>IFERROR(('Lab Analysis'!I147/('Lab Analysis'!I147+(1.765*'Lab Analysis'!G147))),"0")</f>
        <v>0</v>
      </c>
      <c r="H147" s="189" t="str">
        <f>IFERROR(((2*('Lab Analysis'!I147/60))+('Lab Analysis'!G147/17))/(('Lab Analysis'!H147/44)+('Lab Analysis'!I147/60)),"0")</f>
        <v>0</v>
      </c>
      <c r="I147" s="189" t="str">
        <f>IFERROR((('Lab Analysis'!J147/18)-('Lab Analysis'!I147/60))/(('Lab Analysis'!H147/44)+('Lab Analysis'!I147/60)),"0")</f>
        <v>0</v>
      </c>
      <c r="J147" s="186" t="str">
        <f>IFERROR(('Lab Analysis'!M147/('Lab Analysis'!M147+(1.765*'Lab Analysis'!K147))),"0")</f>
        <v>0</v>
      </c>
      <c r="K147" s="190" t="str">
        <f>IFERROR(((2*('Lab Analysis'!M147/60))+('Lab Analysis'!K147/17))/(('Lab Analysis'!L147/44)+('Lab Analysis'!M147/60)),"0")</f>
        <v>0</v>
      </c>
      <c r="L147" s="190" t="str">
        <f>IFERROR((('Lab Analysis'!N147/18)-('Lab Analysis'!M147/60))/(('Lab Analysis'!L147/44)+('Lab Analysis'!M147/60)),"0")</f>
        <v>0</v>
      </c>
      <c r="M147" s="187" t="str">
        <f>IFERROR(((2*('Lab Analysis'!U147/60))+('Lab Analysis'!S147/17))/(('Lab Analysis'!T147/44)+('Lab Analysis'!U147/60)),"0")</f>
        <v>0</v>
      </c>
      <c r="N147" s="187" t="str">
        <f>IFERROR((('Lab Analysis'!V147/18)-('Lab Analysis'!U147/60))/(('Lab Analysis'!T147/44)+('Lab Analysis'!U147/60)),"0")</f>
        <v>0</v>
      </c>
      <c r="O147" s="187" t="str">
        <f>IFERROR(((2*('Lab Analysis'!Y147/60)+('Lab Analysis'!W147/17))/(('Lab Analysis'!X147/44)+('Lab Analysis'!Y147/60))),"0")</f>
        <v>0</v>
      </c>
      <c r="P147" s="187" t="str">
        <f>IFERROR((('Lab Analysis'!Z147/18)-('Lab Analysis'!Y147/60))/(('Lab Analysis'!X147/44)+('Lab Analysis'!Y147/60)),"0")</f>
        <v>0</v>
      </c>
      <c r="Q147" s="191"/>
    </row>
    <row r="148" spans="1:17">
      <c r="A148" s="185">
        <v>45962</v>
      </c>
      <c r="B148" s="186">
        <f>IFERROR(('Lab Analysis'!E148/('Lab Analysis'!E148+(1.364*'Lab Analysis'!D148))),"0")</f>
        <v>0.56192072686736361</v>
      </c>
      <c r="C148" s="186">
        <f>IFERROR((2*'Lab Analysis'!E148/60)/('Lab Analysis'!C148/17+(2*'Lab Analysis'!E148/60)),"0")</f>
        <v>0.38147568911106766</v>
      </c>
      <c r="D148" s="187">
        <f>IFERROR(((2*('Lab Analysis'!E148/60)+('Lab Analysis'!C148/17))/(('Lab Analysis'!D148/44)+('Lab Analysis'!E148/60))),"0")</f>
        <v>2.9463810003805682</v>
      </c>
      <c r="E148" s="187">
        <f>IFERROR((('Lab Analysis'!F148/18)-('Lab Analysis'!E148/60))/(('Lab Analysis'!D148/44)+('Lab Analysis'!E148/60)),"0")</f>
        <v>0.60138718890248843</v>
      </c>
      <c r="F148" s="187">
        <f>IFERROR((('Lab Analysis'!F148/18)/('Lab Analysis'!E148/60)),"0")</f>
        <v>2.0701099356979875</v>
      </c>
      <c r="G148" s="188" t="str">
        <f>IFERROR(('Lab Analysis'!I148/('Lab Analysis'!I148+(1.765*'Lab Analysis'!G148))),"0")</f>
        <v>0</v>
      </c>
      <c r="H148" s="189" t="str">
        <f>IFERROR(((2*('Lab Analysis'!I148/60))+('Lab Analysis'!G148/17))/(('Lab Analysis'!H148/44)+('Lab Analysis'!I148/60)),"0")</f>
        <v>0</v>
      </c>
      <c r="I148" s="189" t="str">
        <f>IFERROR((('Lab Analysis'!J148/18)-('Lab Analysis'!I148/60))/(('Lab Analysis'!H148/44)+('Lab Analysis'!I148/60)),"0")</f>
        <v>0</v>
      </c>
      <c r="J148" s="186" t="str">
        <f>IFERROR(('Lab Analysis'!M148/('Lab Analysis'!M148+(1.765*'Lab Analysis'!K148))),"0")</f>
        <v>0</v>
      </c>
      <c r="K148" s="190" t="str">
        <f>IFERROR(((2*('Lab Analysis'!M148/60))+('Lab Analysis'!K148/17))/(('Lab Analysis'!L148/44)+('Lab Analysis'!M148/60)),"0")</f>
        <v>0</v>
      </c>
      <c r="L148" s="190" t="str">
        <f>IFERROR((('Lab Analysis'!N148/18)-('Lab Analysis'!M148/60))/(('Lab Analysis'!L148/44)+('Lab Analysis'!M148/60)),"0")</f>
        <v>0</v>
      </c>
      <c r="M148" s="187" t="str">
        <f>IFERROR(((2*('Lab Analysis'!U148/60))+('Lab Analysis'!S148/17))/(('Lab Analysis'!T148/44)+('Lab Analysis'!U148/60)),"0")</f>
        <v>0</v>
      </c>
      <c r="N148" s="187" t="str">
        <f>IFERROR((('Lab Analysis'!V148/18)-('Lab Analysis'!U148/60))/(('Lab Analysis'!T148/44)+('Lab Analysis'!U148/60)),"0")</f>
        <v>0</v>
      </c>
      <c r="O148" s="187" t="str">
        <f>IFERROR(((2*('Lab Analysis'!Y148/60)+('Lab Analysis'!W148/17))/(('Lab Analysis'!X148/44)+('Lab Analysis'!Y148/60))),"0")</f>
        <v>0</v>
      </c>
      <c r="P148" s="187" t="str">
        <f>IFERROR((('Lab Analysis'!Z148/18)-('Lab Analysis'!Y148/60))/(('Lab Analysis'!X148/44)+('Lab Analysis'!Y148/60)),"0")</f>
        <v>0</v>
      </c>
      <c r="Q148" s="191"/>
    </row>
    <row r="149" spans="1:17">
      <c r="A149" s="185">
        <v>45963</v>
      </c>
      <c r="B149" s="186" t="str">
        <f>IFERROR(('Lab Analysis'!E149/('Lab Analysis'!E149+(1.364*'Lab Analysis'!D149))),"0")</f>
        <v>0</v>
      </c>
      <c r="C149" s="186" t="str">
        <f>IFERROR((2*'Lab Analysis'!E149/60)/('Lab Analysis'!C149/17+(2*'Lab Analysis'!E149/60)),"0")</f>
        <v>0</v>
      </c>
      <c r="D149" s="187" t="str">
        <f>IFERROR(((2*('Lab Analysis'!E149/60)+('Lab Analysis'!C149/17))/(('Lab Analysis'!D149/44)+('Lab Analysis'!E149/60))),"0")</f>
        <v>0</v>
      </c>
      <c r="E149" s="187" t="str">
        <f>IFERROR((('Lab Analysis'!F149/18)-('Lab Analysis'!E149/60))/(('Lab Analysis'!D149/44)+('Lab Analysis'!E149/60)),"0")</f>
        <v>0</v>
      </c>
      <c r="F149" s="187" t="str">
        <f>IFERROR((('Lab Analysis'!F149/18)/('Lab Analysis'!E149/60)),"0")</f>
        <v>0</v>
      </c>
      <c r="G149" s="188" t="str">
        <f>IFERROR(('Lab Analysis'!I149/('Lab Analysis'!I149+(1.765*'Lab Analysis'!G149))),"0")</f>
        <v>0</v>
      </c>
      <c r="H149" s="189" t="str">
        <f>IFERROR(((2*('Lab Analysis'!I149/60))+('Lab Analysis'!G149/17))/(('Lab Analysis'!H149/44)+('Lab Analysis'!I149/60)),"0")</f>
        <v>0</v>
      </c>
      <c r="I149" s="189" t="str">
        <f>IFERROR((('Lab Analysis'!J149/18)-('Lab Analysis'!I149/60))/(('Lab Analysis'!H149/44)+('Lab Analysis'!I149/60)),"0")</f>
        <v>0</v>
      </c>
      <c r="J149" s="186" t="str">
        <f>IFERROR(('Lab Analysis'!M149/('Lab Analysis'!M149+(1.765*'Lab Analysis'!K149))),"0")</f>
        <v>0</v>
      </c>
      <c r="K149" s="190" t="str">
        <f>IFERROR(((2*('Lab Analysis'!M149/60))+('Lab Analysis'!K149/17))/(('Lab Analysis'!L149/44)+('Lab Analysis'!M149/60)),"0")</f>
        <v>0</v>
      </c>
      <c r="L149" s="190" t="str">
        <f>IFERROR((('Lab Analysis'!N149/18)-('Lab Analysis'!M149/60))/(('Lab Analysis'!L149/44)+('Lab Analysis'!M149/60)),"0")</f>
        <v>0</v>
      </c>
      <c r="M149" s="187" t="str">
        <f>IFERROR(((2*('Lab Analysis'!U149/60))+('Lab Analysis'!S149/17))/(('Lab Analysis'!T149/44)+('Lab Analysis'!U149/60)),"0")</f>
        <v>0</v>
      </c>
      <c r="N149" s="187" t="str">
        <f>IFERROR((('Lab Analysis'!V149/18)-('Lab Analysis'!U149/60))/(('Lab Analysis'!T149/44)+('Lab Analysis'!U149/60)),"0")</f>
        <v>0</v>
      </c>
      <c r="O149" s="187" t="str">
        <f>IFERROR(((2*('Lab Analysis'!Y149/60)+('Lab Analysis'!W149/17))/(('Lab Analysis'!X149/44)+('Lab Analysis'!Y149/60))),"0")</f>
        <v>0</v>
      </c>
      <c r="P149" s="187" t="str">
        <f>IFERROR((('Lab Analysis'!Z149/18)-('Lab Analysis'!Y149/60))/(('Lab Analysis'!X149/44)+('Lab Analysis'!Y149/60)),"0")</f>
        <v>0</v>
      </c>
      <c r="Q149" s="191"/>
    </row>
    <row r="150" spans="1:17">
      <c r="A150" s="185">
        <v>45964</v>
      </c>
      <c r="B150" s="186">
        <f>IFERROR(('Lab Analysis'!E150/('Lab Analysis'!E150+(1.364*'Lab Analysis'!D150))),"0")</f>
        <v>0.55813433643834842</v>
      </c>
      <c r="C150" s="186">
        <f>IFERROR((2*'Lab Analysis'!E150/60)/('Lab Analysis'!C150/17+(2*'Lab Analysis'!E150/60)),"0")</f>
        <v>0.38191505813217863</v>
      </c>
      <c r="D150" s="187">
        <f>IFERROR(((2*('Lab Analysis'!E150/60)+('Lab Analysis'!C150/17))/(('Lab Analysis'!D150/44)+('Lab Analysis'!E150/60))),"0")</f>
        <v>2.9231635684711637</v>
      </c>
      <c r="E150" s="187">
        <f>IFERROR((('Lab Analysis'!F150/18)-('Lab Analysis'!E150/60))/(('Lab Analysis'!D150/44)+('Lab Analysis'!E150/60)),"0")</f>
        <v>0.61665158275247045</v>
      </c>
      <c r="F150" s="187">
        <f>IFERROR((('Lab Analysis'!F150/18)/('Lab Analysis'!E150/60)),"0")</f>
        <v>2.1047142261159784</v>
      </c>
      <c r="G150" s="188">
        <f>IFERROR(('Lab Analysis'!I150/('Lab Analysis'!I150+(1.765*'Lab Analysis'!G150))),"0")</f>
        <v>0.72978837288272158</v>
      </c>
      <c r="H150" s="189">
        <f>IFERROR(((2*('Lab Analysis'!I150/60))+('Lab Analysis'!G150/17))/(('Lab Analysis'!H150/44)+('Lab Analysis'!I150/60)),"0")</f>
        <v>2.1670857706956239</v>
      </c>
      <c r="I150" s="189">
        <f>IFERROR((('Lab Analysis'!J150/18)-('Lab Analysis'!I150/60))/(('Lab Analysis'!H150/44)+('Lab Analysis'!I150/60)),"0")</f>
        <v>0.70597573421022786</v>
      </c>
      <c r="J150" s="186">
        <f>IFERROR(('Lab Analysis'!M150/('Lab Analysis'!M150+(1.765*'Lab Analysis'!K150))),"0")</f>
        <v>0.57432398763651582</v>
      </c>
      <c r="K150" s="190">
        <f>IFERROR(((2*('Lab Analysis'!M150/60))+('Lab Analysis'!K150/17))/(('Lab Analysis'!L150/44)+('Lab Analysis'!M150/60)),"0")</f>
        <v>2.4077517191312592</v>
      </c>
      <c r="L150" s="190">
        <f>IFERROR((('Lab Analysis'!N150/18)-('Lab Analysis'!M150/60))/(('Lab Analysis'!L150/44)+('Lab Analysis'!M150/60)),"0")</f>
        <v>0.99520054850874162</v>
      </c>
      <c r="M150" s="187" t="str">
        <f>IFERROR(((2*('Lab Analysis'!U150/60))+('Lab Analysis'!S150/17))/(('Lab Analysis'!T150/44)+('Lab Analysis'!U150/60)),"0")</f>
        <v>0</v>
      </c>
      <c r="N150" s="187" t="str">
        <f>IFERROR((('Lab Analysis'!V150/18)-('Lab Analysis'!U150/60))/(('Lab Analysis'!T150/44)+('Lab Analysis'!U150/60)),"0")</f>
        <v>0</v>
      </c>
      <c r="O150" s="187">
        <f>IFERROR(((2*('Lab Analysis'!Y150/60)+('Lab Analysis'!W150/17))/(('Lab Analysis'!X150/44)+('Lab Analysis'!Y150/60))),"0")</f>
        <v>2.5450348807165617</v>
      </c>
      <c r="P150" s="187">
        <f>IFERROR((('Lab Analysis'!Z150/18)-('Lab Analysis'!Y150/60))/(('Lab Analysis'!X150/44)+('Lab Analysis'!Y150/60)),"0")</f>
        <v>2.3098747356434037</v>
      </c>
      <c r="Q150" s="191"/>
    </row>
    <row r="151" spans="1:17">
      <c r="A151" s="185">
        <v>45965</v>
      </c>
      <c r="B151" s="186">
        <f>IFERROR(('Lab Analysis'!E151/('Lab Analysis'!E151+(1.364*'Lab Analysis'!D151))),"0")</f>
        <v>0.56080089840938396</v>
      </c>
      <c r="C151" s="186">
        <f>IFERROR((2*'Lab Analysis'!E151/60)/('Lab Analysis'!C151/17+(2*'Lab Analysis'!E151/60)),"0")</f>
        <v>0.38233298464844084</v>
      </c>
      <c r="D151" s="187">
        <f>IFERROR(((2*('Lab Analysis'!E151/60)+('Lab Analysis'!C151/17))/(('Lab Analysis'!D151/44)+('Lab Analysis'!E151/60))),"0")</f>
        <v>2.9339167269131758</v>
      </c>
      <c r="E151" s="187">
        <f>IFERROR((('Lab Analysis'!F151/18)-('Lab Analysis'!E151/60))/(('Lab Analysis'!D151/44)+('Lab Analysis'!E151/60)),"0")</f>
        <v>0.66004347802864005</v>
      </c>
      <c r="F151" s="187">
        <f>IFERROR((('Lab Analysis'!F151/18)/('Lab Analysis'!E151/60)),"0")</f>
        <v>2.1768279907814794</v>
      </c>
      <c r="G151" s="188" t="str">
        <f>IFERROR(('Lab Analysis'!I151/('Lab Analysis'!I151+(1.765*'Lab Analysis'!G151))),"0")</f>
        <v>0</v>
      </c>
      <c r="H151" s="189" t="str">
        <f>IFERROR(((2*('Lab Analysis'!I151/60))+('Lab Analysis'!G151/17))/(('Lab Analysis'!H151/44)+('Lab Analysis'!I151/60)),"0")</f>
        <v>0</v>
      </c>
      <c r="I151" s="189" t="str">
        <f>IFERROR((('Lab Analysis'!J151/18)-('Lab Analysis'!I151/60))/(('Lab Analysis'!H151/44)+('Lab Analysis'!I151/60)),"0")</f>
        <v>0</v>
      </c>
      <c r="J151" s="186" t="str">
        <f>IFERROR(('Lab Analysis'!M151/('Lab Analysis'!M151+(1.765*'Lab Analysis'!K151))),"0")</f>
        <v>0</v>
      </c>
      <c r="K151" s="190" t="str">
        <f>IFERROR(((2*('Lab Analysis'!M151/60))+('Lab Analysis'!K151/17))/(('Lab Analysis'!L151/44)+('Lab Analysis'!M151/60)),"0")</f>
        <v>0</v>
      </c>
      <c r="L151" s="190" t="str">
        <f>IFERROR((('Lab Analysis'!N151/18)-('Lab Analysis'!M151/60))/(('Lab Analysis'!L151/44)+('Lab Analysis'!M151/60)),"0")</f>
        <v>0</v>
      </c>
      <c r="M151" s="187" t="str">
        <f>IFERROR(((2*('Lab Analysis'!U151/60))+('Lab Analysis'!S151/17))/(('Lab Analysis'!T151/44)+('Lab Analysis'!U151/60)),"0")</f>
        <v>0</v>
      </c>
      <c r="N151" s="187" t="str">
        <f>IFERROR((('Lab Analysis'!V151/18)-('Lab Analysis'!U151/60))/(('Lab Analysis'!T151/44)+('Lab Analysis'!U151/60)),"0")</f>
        <v>0</v>
      </c>
      <c r="O151" s="187" t="str">
        <f>IFERROR(((2*('Lab Analysis'!Y151/60)+('Lab Analysis'!W151/17))/(('Lab Analysis'!X151/44)+('Lab Analysis'!Y151/60))),"0")</f>
        <v>0</v>
      </c>
      <c r="P151" s="187" t="str">
        <f>IFERROR((('Lab Analysis'!Z151/18)-('Lab Analysis'!Y151/60))/(('Lab Analysis'!X151/44)+('Lab Analysis'!Y151/60)),"0")</f>
        <v>0</v>
      </c>
      <c r="Q151" s="191"/>
    </row>
    <row r="152" spans="1:17">
      <c r="A152" s="185">
        <v>45966</v>
      </c>
      <c r="B152" s="186">
        <f>IFERROR(('Lab Analysis'!E152/('Lab Analysis'!E152+(1.364*'Lab Analysis'!D152))),"0")</f>
        <v>0.56003827834446163</v>
      </c>
      <c r="C152" s="186">
        <f>IFERROR((2*'Lab Analysis'!E152/60)/('Lab Analysis'!C152/17+(2*'Lab Analysis'!E152/60)),"0")</f>
        <v>0.3807296013915874</v>
      </c>
      <c r="D152" s="187">
        <f>IFERROR(((2*('Lab Analysis'!E152/60)+('Lab Analysis'!C152/17))/(('Lab Analysis'!D152/44)+('Lab Analysis'!E152/60))),"0")</f>
        <v>2.9422664900622491</v>
      </c>
      <c r="E152" s="187">
        <f>IFERROR((('Lab Analysis'!F152/18)-('Lab Analysis'!E152/60))/(('Lab Analysis'!D152/44)+('Lab Analysis'!E152/60)),"0")</f>
        <v>0.62395547617528857</v>
      </c>
      <c r="F152" s="187">
        <f>IFERROR((('Lab Analysis'!F152/18)/('Lab Analysis'!E152/60)),"0")</f>
        <v>2.1139993736298153</v>
      </c>
      <c r="G152" s="188" t="str">
        <f>IFERROR(('Lab Analysis'!I152/('Lab Analysis'!I152+(1.765*'Lab Analysis'!G152))),"0")</f>
        <v>0</v>
      </c>
      <c r="H152" s="189" t="str">
        <f>IFERROR(((2*('Lab Analysis'!I152/60))+('Lab Analysis'!G152/17))/(('Lab Analysis'!H152/44)+('Lab Analysis'!I152/60)),"0")</f>
        <v>0</v>
      </c>
      <c r="I152" s="189" t="str">
        <f>IFERROR((('Lab Analysis'!J152/18)-('Lab Analysis'!I152/60))/(('Lab Analysis'!H152/44)+('Lab Analysis'!I152/60)),"0")</f>
        <v>0</v>
      </c>
      <c r="J152" s="186" t="str">
        <f>IFERROR(('Lab Analysis'!M152/('Lab Analysis'!M152+(1.765*'Lab Analysis'!K152))),"0")</f>
        <v>0</v>
      </c>
      <c r="K152" s="190" t="str">
        <f>IFERROR(((2*('Lab Analysis'!M152/60))+('Lab Analysis'!K152/17))/(('Lab Analysis'!L152/44)+('Lab Analysis'!M152/60)),"0")</f>
        <v>0</v>
      </c>
      <c r="L152" s="190" t="str">
        <f>IFERROR((('Lab Analysis'!N152/18)-('Lab Analysis'!M152/60))/(('Lab Analysis'!L152/44)+('Lab Analysis'!M152/60)),"0")</f>
        <v>0</v>
      </c>
      <c r="M152" s="187" t="str">
        <f>IFERROR(((2*('Lab Analysis'!U152/60))+('Lab Analysis'!S152/17))/(('Lab Analysis'!T152/44)+('Lab Analysis'!U152/60)),"0")</f>
        <v>0</v>
      </c>
      <c r="N152" s="187" t="str">
        <f>IFERROR((('Lab Analysis'!V152/18)-('Lab Analysis'!U152/60))/(('Lab Analysis'!T152/44)+('Lab Analysis'!U152/60)),"0")</f>
        <v>0</v>
      </c>
      <c r="O152" s="187" t="str">
        <f>IFERROR(((2*('Lab Analysis'!Y152/60)+('Lab Analysis'!W152/17))/(('Lab Analysis'!X152/44)+('Lab Analysis'!Y152/60))),"0")</f>
        <v>0</v>
      </c>
      <c r="P152" s="187" t="str">
        <f>IFERROR((('Lab Analysis'!Z152/18)-('Lab Analysis'!Y152/60))/(('Lab Analysis'!X152/44)+('Lab Analysis'!Y152/60)),"0")</f>
        <v>0</v>
      </c>
      <c r="Q152" s="191"/>
    </row>
    <row r="153" spans="1:17">
      <c r="A153" s="185">
        <v>45967</v>
      </c>
      <c r="B153" s="186">
        <f>IFERROR(('Lab Analysis'!E153/('Lab Analysis'!E153+(1.364*'Lab Analysis'!D153))),"0")</f>
        <v>0.55856719595044058</v>
      </c>
      <c r="C153" s="186">
        <f>IFERROR((2*'Lab Analysis'!E153/60)/('Lab Analysis'!C153/17+(2*'Lab Analysis'!E153/60)),"0")</f>
        <v>0.38222543352601163</v>
      </c>
      <c r="D153" s="187">
        <f>IFERROR(((2*('Lab Analysis'!E153/60)+('Lab Analysis'!C153/17))/(('Lab Analysis'!D153/44)+('Lab Analysis'!E153/60))),"0")</f>
        <v>2.9230547688763018</v>
      </c>
      <c r="E153" s="187">
        <f>IFERROR((('Lab Analysis'!F153/18)-('Lab Analysis'!E153/60))/(('Lab Analysis'!D153/44)+('Lab Analysis'!E153/60)),"0")</f>
        <v>0.66165325311871637</v>
      </c>
      <c r="F153" s="187">
        <f>IFERROR((('Lab Analysis'!F153/18)/('Lab Analysis'!E153/60)),"0")</f>
        <v>2.1844150388573826</v>
      </c>
      <c r="G153" s="188">
        <f>IFERROR(('Lab Analysis'!I153/('Lab Analysis'!I153+(1.765*'Lab Analysis'!G153))),"0")</f>
        <v>0.73744195223725106</v>
      </c>
      <c r="H153" s="189">
        <f>IFERROR(((2*('Lab Analysis'!I153/60))+('Lab Analysis'!G153/17))/(('Lab Analysis'!H153/44)+('Lab Analysis'!I153/60)),"0")</f>
        <v>2.1353910844880239</v>
      </c>
      <c r="I153" s="189">
        <f>IFERROR((('Lab Analysis'!J153/18)-('Lab Analysis'!I153/60))/(('Lab Analysis'!H153/44)+('Lab Analysis'!I153/60)),"0")</f>
        <v>0.67411287423612221</v>
      </c>
      <c r="J153" s="186">
        <f>IFERROR(('Lab Analysis'!M153/('Lab Analysis'!M153+(1.765*'Lab Analysis'!K153))),"0")</f>
        <v>0.58172400110882228</v>
      </c>
      <c r="K153" s="190">
        <f>IFERROR(((2*('Lab Analysis'!M153/60))+('Lab Analysis'!K153/17))/(('Lab Analysis'!L153/44)+('Lab Analysis'!M153/60)),"0")</f>
        <v>2.3723309343960031</v>
      </c>
      <c r="L153" s="190">
        <f>IFERROR((('Lab Analysis'!N153/18)-('Lab Analysis'!M153/60))/(('Lab Analysis'!L153/44)+('Lab Analysis'!M153/60)),"0")</f>
        <v>0.68813469908119773</v>
      </c>
      <c r="M153" s="187" t="str">
        <f>IFERROR(((2*('Lab Analysis'!U153/60))+('Lab Analysis'!S153/17))/(('Lab Analysis'!T153/44)+('Lab Analysis'!U153/60)),"0")</f>
        <v>0</v>
      </c>
      <c r="N153" s="187" t="str">
        <f>IFERROR((('Lab Analysis'!V153/18)-('Lab Analysis'!U153/60))/(('Lab Analysis'!T153/44)+('Lab Analysis'!U153/60)),"0")</f>
        <v>0</v>
      </c>
      <c r="O153" s="187">
        <f>IFERROR(((2*('Lab Analysis'!Y153/60)+('Lab Analysis'!W153/17))/(('Lab Analysis'!X153/44)+('Lab Analysis'!Y153/60))),"0")</f>
        <v>2.4666801428475171</v>
      </c>
      <c r="P153" s="187">
        <f>IFERROR((('Lab Analysis'!Z153/18)-('Lab Analysis'!Y153/60))/(('Lab Analysis'!X153/44)+('Lab Analysis'!Y153/60)),"0")</f>
        <v>2.2260404734631538</v>
      </c>
      <c r="Q153" s="191"/>
    </row>
    <row r="154" spans="1:17">
      <c r="A154" s="185">
        <v>45968</v>
      </c>
      <c r="B154" s="186">
        <f>IFERROR(('Lab Analysis'!E154/('Lab Analysis'!E154+(1.364*'Lab Analysis'!D154))),"0")</f>
        <v>0.55723487251418713</v>
      </c>
      <c r="C154" s="186">
        <f>IFERROR((2*'Lab Analysis'!E154/60)/('Lab Analysis'!C154/17+(2*'Lab Analysis'!E154/60)),"0")</f>
        <v>0.38058558027635836</v>
      </c>
      <c r="D154" s="187">
        <f>IFERROR(((2*('Lab Analysis'!E154/60)+('Lab Analysis'!C154/17))/(('Lab Analysis'!D154/44)+('Lab Analysis'!E154/60))),"0")</f>
        <v>2.9286482974273591</v>
      </c>
      <c r="E154" s="187">
        <f>IFERROR((('Lab Analysis'!F154/18)-('Lab Analysis'!E154/60))/(('Lab Analysis'!D154/44)+('Lab Analysis'!E154/60)),"0")</f>
        <v>0.54268783799332665</v>
      </c>
      <c r="F154" s="187">
        <f>IFERROR((('Lab Analysis'!F154/18)/('Lab Analysis'!E154/60)),"0")</f>
        <v>1.9737792918344175</v>
      </c>
      <c r="G154" s="188" t="str">
        <f>IFERROR(('Lab Analysis'!I154/('Lab Analysis'!I154+(1.765*'Lab Analysis'!G154))),"0")</f>
        <v>0</v>
      </c>
      <c r="H154" s="189" t="str">
        <f>IFERROR(((2*('Lab Analysis'!I154/60))+('Lab Analysis'!G154/17))/(('Lab Analysis'!H154/44)+('Lab Analysis'!I154/60)),"0")</f>
        <v>0</v>
      </c>
      <c r="I154" s="189" t="str">
        <f>IFERROR((('Lab Analysis'!J154/18)-('Lab Analysis'!I154/60))/(('Lab Analysis'!H154/44)+('Lab Analysis'!I154/60)),"0")</f>
        <v>0</v>
      </c>
      <c r="J154" s="186" t="str">
        <f>IFERROR(('Lab Analysis'!M154/('Lab Analysis'!M154+(1.765*'Lab Analysis'!K154))),"0")</f>
        <v>0</v>
      </c>
      <c r="K154" s="190" t="str">
        <f>IFERROR(((2*('Lab Analysis'!M154/60))+('Lab Analysis'!K154/17))/(('Lab Analysis'!L154/44)+('Lab Analysis'!M154/60)),"0")</f>
        <v>0</v>
      </c>
      <c r="L154" s="190" t="str">
        <f>IFERROR((('Lab Analysis'!N154/18)-('Lab Analysis'!M154/60))/(('Lab Analysis'!L154/44)+('Lab Analysis'!M154/60)),"0")</f>
        <v>0</v>
      </c>
      <c r="M154" s="187" t="str">
        <f>IFERROR(((2*('Lab Analysis'!U154/60))+('Lab Analysis'!S154/17))/(('Lab Analysis'!T154/44)+('Lab Analysis'!U154/60)),"0")</f>
        <v>0</v>
      </c>
      <c r="N154" s="187" t="str">
        <f>IFERROR((('Lab Analysis'!V154/18)-('Lab Analysis'!U154/60))/(('Lab Analysis'!T154/44)+('Lab Analysis'!U154/60)),"0")</f>
        <v>0</v>
      </c>
      <c r="O154" s="187" t="str">
        <f>IFERROR(((2*('Lab Analysis'!Y154/60)+('Lab Analysis'!W154/17))/(('Lab Analysis'!X154/44)+('Lab Analysis'!Y154/60))),"0")</f>
        <v>0</v>
      </c>
      <c r="P154" s="187" t="str">
        <f>IFERROR((('Lab Analysis'!Z154/18)-('Lab Analysis'!Y154/60))/(('Lab Analysis'!X154/44)+('Lab Analysis'!Y154/60)),"0")</f>
        <v>0</v>
      </c>
      <c r="Q154" s="191"/>
    </row>
    <row r="155" spans="1:17">
      <c r="A155" s="185">
        <v>45969</v>
      </c>
      <c r="B155" s="186" t="str">
        <f>IFERROR(('Lab Analysis'!E155/('Lab Analysis'!E155+(1.364*'Lab Analysis'!D155))),"0")</f>
        <v>0</v>
      </c>
      <c r="C155" s="186" t="str">
        <f>IFERROR((2*'Lab Analysis'!E155/60)/('Lab Analysis'!C155/17+(2*'Lab Analysis'!E155/60)),"0")</f>
        <v>0</v>
      </c>
      <c r="D155" s="187" t="str">
        <f>IFERROR(((2*('Lab Analysis'!E155/60)+('Lab Analysis'!C155/17))/(('Lab Analysis'!D155/44)+('Lab Analysis'!E155/60))),"0")</f>
        <v>0</v>
      </c>
      <c r="E155" s="187" t="str">
        <f>IFERROR((('Lab Analysis'!F155/18)-('Lab Analysis'!E155/60))/(('Lab Analysis'!D155/44)+('Lab Analysis'!E155/60)),"0")</f>
        <v>0</v>
      </c>
      <c r="F155" s="187" t="str">
        <f>IFERROR((('Lab Analysis'!F155/18)/('Lab Analysis'!E155/60)),"0")</f>
        <v>0</v>
      </c>
      <c r="G155" s="188" t="str">
        <f>IFERROR(('Lab Analysis'!I155/('Lab Analysis'!I155+(1.765*'Lab Analysis'!G155))),"0")</f>
        <v>0</v>
      </c>
      <c r="H155" s="189" t="str">
        <f>IFERROR(((2*('Lab Analysis'!I155/60))+('Lab Analysis'!G155/17))/(('Lab Analysis'!H155/44)+('Lab Analysis'!I155/60)),"0")</f>
        <v>0</v>
      </c>
      <c r="I155" s="189" t="str">
        <f>IFERROR((('Lab Analysis'!J155/18)-('Lab Analysis'!I155/60))/(('Lab Analysis'!H155/44)+('Lab Analysis'!I155/60)),"0")</f>
        <v>0</v>
      </c>
      <c r="J155" s="186" t="str">
        <f>IFERROR(('Lab Analysis'!M155/('Lab Analysis'!M155+(1.765*'Lab Analysis'!K155))),"0")</f>
        <v>0</v>
      </c>
      <c r="K155" s="190" t="str">
        <f>IFERROR(((2*('Lab Analysis'!M155/60))+('Lab Analysis'!K155/17))/(('Lab Analysis'!L155/44)+('Lab Analysis'!M155/60)),"0")</f>
        <v>0</v>
      </c>
      <c r="L155" s="190" t="str">
        <f>IFERROR((('Lab Analysis'!N155/18)-('Lab Analysis'!M155/60))/(('Lab Analysis'!L155/44)+('Lab Analysis'!M155/60)),"0")</f>
        <v>0</v>
      </c>
      <c r="M155" s="187" t="str">
        <f>IFERROR(((2*('Lab Analysis'!U155/60))+('Lab Analysis'!S155/17))/(('Lab Analysis'!T155/44)+('Lab Analysis'!U155/60)),"0")</f>
        <v>0</v>
      </c>
      <c r="N155" s="187" t="str">
        <f>IFERROR((('Lab Analysis'!V155/18)-('Lab Analysis'!U155/60))/(('Lab Analysis'!T155/44)+('Lab Analysis'!U155/60)),"0")</f>
        <v>0</v>
      </c>
      <c r="O155" s="187" t="str">
        <f>IFERROR(((2*('Lab Analysis'!Y155/60)+('Lab Analysis'!W155/17))/(('Lab Analysis'!X155/44)+('Lab Analysis'!Y155/60))),"0")</f>
        <v>0</v>
      </c>
      <c r="P155" s="187" t="str">
        <f>IFERROR((('Lab Analysis'!Z155/18)-('Lab Analysis'!Y155/60))/(('Lab Analysis'!X155/44)+('Lab Analysis'!Y155/60)),"0")</f>
        <v>0</v>
      </c>
      <c r="Q155" s="191"/>
    </row>
    <row r="156" spans="1:17">
      <c r="A156" s="185">
        <v>45970</v>
      </c>
      <c r="B156" s="186" t="str">
        <f>IFERROR(('Lab Analysis'!E156/('Lab Analysis'!E156+(1.364*'Lab Analysis'!D156))),"0")</f>
        <v>0</v>
      </c>
      <c r="C156" s="186" t="str">
        <f>IFERROR((2*'Lab Analysis'!E156/60)/('Lab Analysis'!C156/17+(2*'Lab Analysis'!E156/60)),"0")</f>
        <v>0</v>
      </c>
      <c r="D156" s="187" t="str">
        <f>IFERROR(((2*('Lab Analysis'!E156/60)+('Lab Analysis'!C156/17))/(('Lab Analysis'!D156/44)+('Lab Analysis'!E156/60))),"0")</f>
        <v>0</v>
      </c>
      <c r="E156" s="187" t="str">
        <f>IFERROR((('Lab Analysis'!F156/18)-('Lab Analysis'!E156/60))/(('Lab Analysis'!D156/44)+('Lab Analysis'!E156/60)),"0")</f>
        <v>0</v>
      </c>
      <c r="F156" s="187" t="str">
        <f>IFERROR((('Lab Analysis'!F156/18)/('Lab Analysis'!E156/60)),"0")</f>
        <v>0</v>
      </c>
      <c r="G156" s="188" t="str">
        <f>IFERROR(('Lab Analysis'!I156/('Lab Analysis'!I156+(1.765*'Lab Analysis'!G156))),"0")</f>
        <v>0</v>
      </c>
      <c r="H156" s="189" t="str">
        <f>IFERROR(((2*('Lab Analysis'!I156/60))+('Lab Analysis'!G156/17))/(('Lab Analysis'!H156/44)+('Lab Analysis'!I156/60)),"0")</f>
        <v>0</v>
      </c>
      <c r="I156" s="189" t="str">
        <f>IFERROR((('Lab Analysis'!J156/18)-('Lab Analysis'!I156/60))/(('Lab Analysis'!H156/44)+('Lab Analysis'!I156/60)),"0")</f>
        <v>0</v>
      </c>
      <c r="J156" s="186" t="str">
        <f>IFERROR(('Lab Analysis'!M156/('Lab Analysis'!M156+(1.765*'Lab Analysis'!K156))),"0")</f>
        <v>0</v>
      </c>
      <c r="K156" s="190" t="str">
        <f>IFERROR(((2*('Lab Analysis'!M156/60))+('Lab Analysis'!K156/17))/(('Lab Analysis'!L156/44)+('Lab Analysis'!M156/60)),"0")</f>
        <v>0</v>
      </c>
      <c r="L156" s="190" t="str">
        <f>IFERROR((('Lab Analysis'!N156/18)-('Lab Analysis'!M156/60))/(('Lab Analysis'!L156/44)+('Lab Analysis'!M156/60)),"0")</f>
        <v>0</v>
      </c>
      <c r="M156" s="187" t="str">
        <f>IFERROR(((2*('Lab Analysis'!U156/60))+('Lab Analysis'!S156/17))/(('Lab Analysis'!T156/44)+('Lab Analysis'!U156/60)),"0")</f>
        <v>0</v>
      </c>
      <c r="N156" s="187" t="str">
        <f>IFERROR((('Lab Analysis'!V156/18)-('Lab Analysis'!U156/60))/(('Lab Analysis'!T156/44)+('Lab Analysis'!U156/60)),"0")</f>
        <v>0</v>
      </c>
      <c r="O156" s="187" t="str">
        <f>IFERROR(((2*('Lab Analysis'!Y156/60)+('Lab Analysis'!W156/17))/(('Lab Analysis'!X156/44)+('Lab Analysis'!Y156/60))),"0")</f>
        <v>0</v>
      </c>
      <c r="P156" s="187" t="str">
        <f>IFERROR((('Lab Analysis'!Z156/18)-('Lab Analysis'!Y156/60))/(('Lab Analysis'!X156/44)+('Lab Analysis'!Y156/60)),"0")</f>
        <v>0</v>
      </c>
      <c r="Q156" s="191"/>
    </row>
    <row r="157" spans="1:17">
      <c r="A157" s="185">
        <v>45971</v>
      </c>
      <c r="B157" s="186">
        <f>IFERROR(('Lab Analysis'!E157/('Lab Analysis'!E157+(1.364*'Lab Analysis'!D157))),"0")</f>
        <v>0.54683188507738001</v>
      </c>
      <c r="C157" s="186">
        <f>IFERROR((2*'Lab Analysis'!E157/60)/('Lab Analysis'!C157/17+(2*'Lab Analysis'!E157/60)),"0")</f>
        <v>0.36540786427063909</v>
      </c>
      <c r="D157" s="187">
        <f>IFERROR(((2*('Lab Analysis'!E157/60)+('Lab Analysis'!C157/17))/(('Lab Analysis'!D157/44)+('Lab Analysis'!E157/60))),"0")</f>
        <v>2.9933562505053208</v>
      </c>
      <c r="E157" s="187">
        <f>IFERROR((('Lab Analysis'!F157/18)-('Lab Analysis'!E157/60))/(('Lab Analysis'!D157/44)+('Lab Analysis'!E157/60)),"0")</f>
        <v>0.52129379486126237</v>
      </c>
      <c r="F157" s="187">
        <f>IFERROR((('Lab Analysis'!F157/18)/('Lab Analysis'!E157/60)),"0")</f>
        <v>1.9531829255375488</v>
      </c>
      <c r="G157" s="188">
        <f>IFERROR(('Lab Analysis'!I157/('Lab Analysis'!I157+(1.765*'Lab Analysis'!G157))),"0")</f>
        <v>0.74808921358736791</v>
      </c>
      <c r="H157" s="189">
        <f>IFERROR(((2*('Lab Analysis'!I157/60))+('Lab Analysis'!G157/17))/(('Lab Analysis'!H157/44)+('Lab Analysis'!I157/60)),"0")</f>
        <v>2.15455756202073</v>
      </c>
      <c r="I157" s="189">
        <f>IFERROR((('Lab Analysis'!J157/18)-('Lab Analysis'!I157/60))/(('Lab Analysis'!H157/44)+('Lab Analysis'!I157/60)),"0")</f>
        <v>0.67702620353442977</v>
      </c>
      <c r="J157" s="186">
        <f>IFERROR(('Lab Analysis'!M157/('Lab Analysis'!M157+(1.765*'Lab Analysis'!K157))),"0")</f>
        <v>0.60046356096290743</v>
      </c>
      <c r="K157" s="190">
        <f>IFERROR(((2*('Lab Analysis'!M157/60))+('Lab Analysis'!K157/17))/(('Lab Analysis'!L157/44)+('Lab Analysis'!M157/60)),"0")</f>
        <v>2.3811201323751021</v>
      </c>
      <c r="L157" s="190">
        <f>IFERROR((('Lab Analysis'!N157/18)-('Lab Analysis'!M157/60))/(('Lab Analysis'!L157/44)+('Lab Analysis'!M157/60)),"0")</f>
        <v>0.4229037599300482</v>
      </c>
      <c r="M157" s="187" t="str">
        <f>IFERROR(((2*('Lab Analysis'!U157/60))+('Lab Analysis'!S157/17))/(('Lab Analysis'!T157/44)+('Lab Analysis'!U157/60)),"0")</f>
        <v>0</v>
      </c>
      <c r="N157" s="187" t="str">
        <f>IFERROR((('Lab Analysis'!V157/18)-('Lab Analysis'!U157/60))/(('Lab Analysis'!T157/44)+('Lab Analysis'!U157/60)),"0")</f>
        <v>0</v>
      </c>
      <c r="O157" s="187">
        <f>IFERROR(((2*('Lab Analysis'!Y157/60)+('Lab Analysis'!W157/17))/(('Lab Analysis'!X157/44)+('Lab Analysis'!Y157/60))),"0")</f>
        <v>2.4654384770005149</v>
      </c>
      <c r="P157" s="187">
        <f>IFERROR((('Lab Analysis'!Z157/18)-('Lab Analysis'!Y157/60))/(('Lab Analysis'!X157/44)+('Lab Analysis'!Y157/60)),"0")</f>
        <v>2.1303461043647443</v>
      </c>
      <c r="Q157" s="191"/>
    </row>
    <row r="158" spans="1:17">
      <c r="A158" s="185">
        <v>45972</v>
      </c>
      <c r="B158" s="186">
        <f>IFERROR(('Lab Analysis'!E158/('Lab Analysis'!E158+(1.364*'Lab Analysis'!D158))),"0")</f>
        <v>0.55068908160403418</v>
      </c>
      <c r="C158" s="186">
        <f>IFERROR((2*'Lab Analysis'!E158/60)/('Lab Analysis'!C158/17+(2*'Lab Analysis'!E158/60)),"0")</f>
        <v>0.37156870173795042</v>
      </c>
      <c r="D158" s="187">
        <f>IFERROR(((2*('Lab Analysis'!E158/60)+('Lab Analysis'!C158/17))/(('Lab Analysis'!D158/44)+('Lab Analysis'!E158/60))),"0")</f>
        <v>2.9644857106524301</v>
      </c>
      <c r="E158" s="187">
        <f>IFERROR((('Lab Analysis'!F158/18)-('Lab Analysis'!E158/60))/(('Lab Analysis'!D158/44)+('Lab Analysis'!E158/60)),"0")</f>
        <v>0.54161341054812995</v>
      </c>
      <c r="F158" s="187">
        <f>IFERROR((('Lab Analysis'!F158/18)/('Lab Analysis'!E158/60)),"0")</f>
        <v>1.9834016178169969</v>
      </c>
      <c r="G158" s="188" t="str">
        <f>IFERROR(('Lab Analysis'!I158/('Lab Analysis'!I158+(1.765*'Lab Analysis'!G158))),"0")</f>
        <v>0</v>
      </c>
      <c r="H158" s="189" t="str">
        <f>IFERROR(((2*('Lab Analysis'!I158/60))+('Lab Analysis'!G158/17))/(('Lab Analysis'!H158/44)+('Lab Analysis'!I158/60)),"0")</f>
        <v>0</v>
      </c>
      <c r="I158" s="189" t="str">
        <f>IFERROR((('Lab Analysis'!J158/18)-('Lab Analysis'!I158/60))/(('Lab Analysis'!H158/44)+('Lab Analysis'!I158/60)),"0")</f>
        <v>0</v>
      </c>
      <c r="J158" s="186" t="str">
        <f>IFERROR(('Lab Analysis'!M158/('Lab Analysis'!M158+(1.765*'Lab Analysis'!K158))),"0")</f>
        <v>0</v>
      </c>
      <c r="K158" s="190" t="str">
        <f>IFERROR(((2*('Lab Analysis'!M158/60))+('Lab Analysis'!K158/17))/(('Lab Analysis'!L158/44)+('Lab Analysis'!M158/60)),"0")</f>
        <v>0</v>
      </c>
      <c r="L158" s="190" t="str">
        <f>IFERROR((('Lab Analysis'!N158/18)-('Lab Analysis'!M158/60))/(('Lab Analysis'!L158/44)+('Lab Analysis'!M158/60)),"0")</f>
        <v>0</v>
      </c>
      <c r="M158" s="187" t="str">
        <f>IFERROR(((2*('Lab Analysis'!U158/60))+('Lab Analysis'!S158/17))/(('Lab Analysis'!T158/44)+('Lab Analysis'!U158/60)),"0")</f>
        <v>0</v>
      </c>
      <c r="N158" s="187" t="str">
        <f>IFERROR((('Lab Analysis'!V158/18)-('Lab Analysis'!U158/60))/(('Lab Analysis'!T158/44)+('Lab Analysis'!U158/60)),"0")</f>
        <v>0</v>
      </c>
      <c r="O158" s="187" t="str">
        <f>IFERROR(((2*('Lab Analysis'!Y158/60)+('Lab Analysis'!W158/17))/(('Lab Analysis'!X158/44)+('Lab Analysis'!Y158/60))),"0")</f>
        <v>0</v>
      </c>
      <c r="P158" s="187" t="str">
        <f>IFERROR((('Lab Analysis'!Z158/18)-('Lab Analysis'!Y158/60))/(('Lab Analysis'!X158/44)+('Lab Analysis'!Y158/60)),"0")</f>
        <v>0</v>
      </c>
      <c r="Q158" s="191"/>
    </row>
    <row r="159" spans="1:17">
      <c r="A159" s="185">
        <v>45973</v>
      </c>
      <c r="B159" s="186">
        <f>IFERROR(('Lab Analysis'!E159/('Lab Analysis'!E159+(1.364*'Lab Analysis'!D159))),"0")</f>
        <v>0.56070296091486693</v>
      </c>
      <c r="C159" s="186">
        <f>IFERROR((2*'Lab Analysis'!E159/60)/('Lab Analysis'!C159/17+(2*'Lab Analysis'!E159/60)),"0")</f>
        <v>0.37886868575218302</v>
      </c>
      <c r="D159" s="187">
        <f>IFERROR(((2*('Lab Analysis'!E159/60)+('Lab Analysis'!C159/17))/(('Lab Analysis'!D159/44)+('Lab Analysis'!E159/60))),"0")</f>
        <v>2.9602268871708541</v>
      </c>
      <c r="E159" s="187">
        <f>IFERROR((('Lab Analysis'!F159/18)-('Lab Analysis'!E159/60))/(('Lab Analysis'!D159/44)+('Lab Analysis'!E159/60)),"0")</f>
        <v>0.55404729170946587</v>
      </c>
      <c r="F159" s="187">
        <f>IFERROR((('Lab Analysis'!F159/18)/('Lab Analysis'!E159/60)),"0")</f>
        <v>1.988014052490185</v>
      </c>
      <c r="G159" s="188" t="str">
        <f>IFERROR(('Lab Analysis'!I159/('Lab Analysis'!I159+(1.765*'Lab Analysis'!G159))),"0")</f>
        <v>0</v>
      </c>
      <c r="H159" s="189" t="str">
        <f>IFERROR(((2*('Lab Analysis'!I159/60))+('Lab Analysis'!G159/17))/(('Lab Analysis'!H159/44)+('Lab Analysis'!I159/60)),"0")</f>
        <v>0</v>
      </c>
      <c r="I159" s="189" t="str">
        <f>IFERROR((('Lab Analysis'!J159/18)-('Lab Analysis'!I159/60))/(('Lab Analysis'!H159/44)+('Lab Analysis'!I159/60)),"0")</f>
        <v>0</v>
      </c>
      <c r="J159" s="186" t="str">
        <f>IFERROR(('Lab Analysis'!M159/('Lab Analysis'!M159+(1.765*'Lab Analysis'!K159))),"0")</f>
        <v>0</v>
      </c>
      <c r="K159" s="190" t="str">
        <f>IFERROR(((2*('Lab Analysis'!M159/60))+('Lab Analysis'!K159/17))/(('Lab Analysis'!L159/44)+('Lab Analysis'!M159/60)),"0")</f>
        <v>0</v>
      </c>
      <c r="L159" s="190" t="str">
        <f>IFERROR((('Lab Analysis'!N159/18)-('Lab Analysis'!M159/60))/(('Lab Analysis'!L159/44)+('Lab Analysis'!M159/60)),"0")</f>
        <v>0</v>
      </c>
      <c r="M159" s="187" t="str">
        <f>IFERROR(((2*('Lab Analysis'!U159/60))+('Lab Analysis'!S159/17))/(('Lab Analysis'!T159/44)+('Lab Analysis'!U159/60)),"0")</f>
        <v>0</v>
      </c>
      <c r="N159" s="187" t="str">
        <f>IFERROR((('Lab Analysis'!V159/18)-('Lab Analysis'!U159/60))/(('Lab Analysis'!T159/44)+('Lab Analysis'!U159/60)),"0")</f>
        <v>0</v>
      </c>
      <c r="O159" s="187" t="str">
        <f>IFERROR(((2*('Lab Analysis'!Y159/60)+('Lab Analysis'!W159/17))/(('Lab Analysis'!X159/44)+('Lab Analysis'!Y159/60))),"0")</f>
        <v>0</v>
      </c>
      <c r="P159" s="187" t="str">
        <f>IFERROR((('Lab Analysis'!Z159/18)-('Lab Analysis'!Y159/60))/(('Lab Analysis'!X159/44)+('Lab Analysis'!Y159/60)),"0")</f>
        <v>0</v>
      </c>
      <c r="Q159" s="191"/>
    </row>
    <row r="160" spans="1:17">
      <c r="A160" s="185">
        <v>45974</v>
      </c>
      <c r="B160" s="186">
        <f>IFERROR(('Lab Analysis'!E160/('Lab Analysis'!E160+(1.364*'Lab Analysis'!D160))),"0")</f>
        <v>0.54694785786832956</v>
      </c>
      <c r="C160" s="186">
        <f>IFERROR((2*'Lab Analysis'!E160/60)/('Lab Analysis'!C160/17+(2*'Lab Analysis'!E160/60)),"0")</f>
        <v>0.37038058466629897</v>
      </c>
      <c r="D160" s="187">
        <f>IFERROR(((2*('Lab Analysis'!E160/60)+('Lab Analysis'!C160/17))/(('Lab Analysis'!D160/44)+('Lab Analysis'!E160/60))),"0")</f>
        <v>2.9537937450532969</v>
      </c>
      <c r="E160" s="187">
        <f>IFERROR((('Lab Analysis'!F160/18)-('Lab Analysis'!E160/60))/(('Lab Analysis'!D160/44)+('Lab Analysis'!E160/60)),"0")</f>
        <v>0.53605056783906391</v>
      </c>
      <c r="F160" s="187">
        <f>IFERROR((('Lab Analysis'!F160/18)/('Lab Analysis'!E160/60)),"0")</f>
        <v>1.9799578059071723</v>
      </c>
      <c r="G160" s="188">
        <f>IFERROR(('Lab Analysis'!I160/('Lab Analysis'!I160+(1.765*'Lab Analysis'!G160))),"0")</f>
        <v>0.73872765526421591</v>
      </c>
      <c r="H160" s="189">
        <f>IFERROR(((2*('Lab Analysis'!I160/60))+('Lab Analysis'!G160/17))/(('Lab Analysis'!H160/44)+('Lab Analysis'!I160/60)),"0")</f>
        <v>2.1586968376254103</v>
      </c>
      <c r="I160" s="189">
        <f>IFERROR((('Lab Analysis'!J160/18)-('Lab Analysis'!I160/60))/(('Lab Analysis'!H160/44)+('Lab Analysis'!I160/60)),"0")</f>
        <v>0.62819172416997737</v>
      </c>
      <c r="J160" s="186">
        <f>IFERROR(('Lab Analysis'!M160/('Lab Analysis'!M160+(1.765*'Lab Analysis'!K160))),"0")</f>
        <v>0.60018418350604952</v>
      </c>
      <c r="K160" s="190">
        <f>IFERROR(((2*('Lab Analysis'!M160/60))+('Lab Analysis'!K160/17))/(('Lab Analysis'!L160/44)+('Lab Analysis'!M160/60)),"0")</f>
        <v>2.3859858835685652</v>
      </c>
      <c r="L160" s="190">
        <f>IFERROR((('Lab Analysis'!N160/18)-('Lab Analysis'!M160/60))/(('Lab Analysis'!L160/44)+('Lab Analysis'!M160/60)),"0")</f>
        <v>0.5641997101074897</v>
      </c>
      <c r="M160" s="187" t="str">
        <f>IFERROR(((2*('Lab Analysis'!U160/60))+('Lab Analysis'!S160/17))/(('Lab Analysis'!T160/44)+('Lab Analysis'!U160/60)),"0")</f>
        <v>0</v>
      </c>
      <c r="N160" s="187" t="str">
        <f>IFERROR((('Lab Analysis'!V160/18)-('Lab Analysis'!U160/60))/(('Lab Analysis'!T160/44)+('Lab Analysis'!U160/60)),"0")</f>
        <v>0</v>
      </c>
      <c r="O160" s="187">
        <f>IFERROR(((2*('Lab Analysis'!Y160/60)+('Lab Analysis'!W160/17))/(('Lab Analysis'!X160/44)+('Lab Analysis'!Y160/60))),"0")</f>
        <v>2.4304608148901745</v>
      </c>
      <c r="P160" s="187">
        <f>IFERROR((('Lab Analysis'!Z160/18)-('Lab Analysis'!Y160/60))/(('Lab Analysis'!X160/44)+('Lab Analysis'!Y160/60)),"0")</f>
        <v>2.1907822197019815</v>
      </c>
      <c r="Q160" s="191"/>
    </row>
    <row r="161" spans="1:17">
      <c r="A161" s="185">
        <v>45975</v>
      </c>
      <c r="B161" s="186">
        <f>IFERROR(('Lab Analysis'!E161/('Lab Analysis'!E161+(1.364*'Lab Analysis'!D161))),"0")</f>
        <v>0.55754269935829792</v>
      </c>
      <c r="C161" s="186">
        <f>IFERROR((2*'Lab Analysis'!E161/60)/('Lab Analysis'!C161/17+(2*'Lab Analysis'!E161/60)),"0")</f>
        <v>0.37624109333021843</v>
      </c>
      <c r="D161" s="187">
        <f>IFERROR(((2*('Lab Analysis'!E161/60)+('Lab Analysis'!C161/17))/(('Lab Analysis'!D161/44)+('Lab Analysis'!E161/60))),"0")</f>
        <v>2.9641019184463575</v>
      </c>
      <c r="E161" s="187">
        <f>IFERROR((('Lab Analysis'!F161/18)-('Lab Analysis'!E161/60))/(('Lab Analysis'!D161/44)+('Lab Analysis'!E161/60)),"0")</f>
        <v>0.52667831269049326</v>
      </c>
      <c r="F161" s="187">
        <f>IFERROR((('Lab Analysis'!F161/18)/('Lab Analysis'!E161/60)),"0")</f>
        <v>1.9445306840525707</v>
      </c>
      <c r="G161" s="188" t="str">
        <f>IFERROR(('Lab Analysis'!I161/('Lab Analysis'!I161+(1.765*'Lab Analysis'!G161))),"0")</f>
        <v>0</v>
      </c>
      <c r="H161" s="189" t="str">
        <f>IFERROR(((2*('Lab Analysis'!I161/60))+('Lab Analysis'!G161/17))/(('Lab Analysis'!H161/44)+('Lab Analysis'!I161/60)),"0")</f>
        <v>0</v>
      </c>
      <c r="I161" s="189" t="str">
        <f>IFERROR((('Lab Analysis'!J161/18)-('Lab Analysis'!I161/60))/(('Lab Analysis'!H161/44)+('Lab Analysis'!I161/60)),"0")</f>
        <v>0</v>
      </c>
      <c r="J161" s="186" t="str">
        <f>IFERROR(('Lab Analysis'!M161/('Lab Analysis'!M161+(1.765*'Lab Analysis'!K161))),"0")</f>
        <v>0</v>
      </c>
      <c r="K161" s="190" t="str">
        <f>IFERROR(((2*('Lab Analysis'!M161/60))+('Lab Analysis'!K161/17))/(('Lab Analysis'!L161/44)+('Lab Analysis'!M161/60)),"0")</f>
        <v>0</v>
      </c>
      <c r="L161" s="190" t="str">
        <f>IFERROR((('Lab Analysis'!N161/18)-('Lab Analysis'!M161/60))/(('Lab Analysis'!L161/44)+('Lab Analysis'!M161/60)),"0")</f>
        <v>0</v>
      </c>
      <c r="M161" s="187" t="str">
        <f>IFERROR(((2*('Lab Analysis'!U161/60))+('Lab Analysis'!S161/17))/(('Lab Analysis'!T161/44)+('Lab Analysis'!U161/60)),"0")</f>
        <v>0</v>
      </c>
      <c r="N161" s="187" t="str">
        <f>IFERROR((('Lab Analysis'!V161/18)-('Lab Analysis'!U161/60))/(('Lab Analysis'!T161/44)+('Lab Analysis'!U161/60)),"0")</f>
        <v>0</v>
      </c>
      <c r="O161" s="187" t="str">
        <f>IFERROR(((2*('Lab Analysis'!Y161/60)+('Lab Analysis'!W161/17))/(('Lab Analysis'!X161/44)+('Lab Analysis'!Y161/60))),"0")</f>
        <v>0</v>
      </c>
      <c r="P161" s="187" t="str">
        <f>IFERROR((('Lab Analysis'!Z161/18)-('Lab Analysis'!Y161/60))/(('Lab Analysis'!X161/44)+('Lab Analysis'!Y161/60)),"0")</f>
        <v>0</v>
      </c>
      <c r="Q161" s="191"/>
    </row>
    <row r="162" spans="1:17">
      <c r="A162" s="185">
        <v>45976</v>
      </c>
      <c r="B162" s="186" t="str">
        <f>IFERROR(('Lab Analysis'!E162/('Lab Analysis'!E162+(1.364*'Lab Analysis'!D162))),"0")</f>
        <v>0</v>
      </c>
      <c r="C162" s="186" t="str">
        <f>IFERROR((2*'Lab Analysis'!E162/60)/('Lab Analysis'!C162/17+(2*'Lab Analysis'!E162/60)),"0")</f>
        <v>0</v>
      </c>
      <c r="D162" s="187" t="str">
        <f>IFERROR(((2*('Lab Analysis'!E162/60)+('Lab Analysis'!C162/17))/(('Lab Analysis'!D162/44)+('Lab Analysis'!E162/60))),"0")</f>
        <v>0</v>
      </c>
      <c r="E162" s="187" t="str">
        <f>IFERROR((('Lab Analysis'!F162/18)-('Lab Analysis'!E162/60))/(('Lab Analysis'!D162/44)+('Lab Analysis'!E162/60)),"0")</f>
        <v>0</v>
      </c>
      <c r="F162" s="187" t="str">
        <f>IFERROR((('Lab Analysis'!F162/18)/('Lab Analysis'!E162/60)),"0")</f>
        <v>0</v>
      </c>
      <c r="G162" s="188" t="str">
        <f>IFERROR(('Lab Analysis'!I162/('Lab Analysis'!I162+(1.765*'Lab Analysis'!G162))),"0")</f>
        <v>0</v>
      </c>
      <c r="H162" s="189" t="str">
        <f>IFERROR(((2*('Lab Analysis'!I162/60))+('Lab Analysis'!G162/17))/(('Lab Analysis'!H162/44)+('Lab Analysis'!I162/60)),"0")</f>
        <v>0</v>
      </c>
      <c r="I162" s="189" t="str">
        <f>IFERROR((('Lab Analysis'!J162/18)-('Lab Analysis'!I162/60))/(('Lab Analysis'!H162/44)+('Lab Analysis'!I162/60)),"0")</f>
        <v>0</v>
      </c>
      <c r="J162" s="186" t="str">
        <f>IFERROR(('Lab Analysis'!M162/('Lab Analysis'!M162+(1.765*'Lab Analysis'!K162))),"0")</f>
        <v>0</v>
      </c>
      <c r="K162" s="190" t="str">
        <f>IFERROR(((2*('Lab Analysis'!M162/60))+('Lab Analysis'!K162/17))/(('Lab Analysis'!L162/44)+('Lab Analysis'!M162/60)),"0")</f>
        <v>0</v>
      </c>
      <c r="L162" s="190" t="str">
        <f>IFERROR((('Lab Analysis'!N162/18)-('Lab Analysis'!M162/60))/(('Lab Analysis'!L162/44)+('Lab Analysis'!M162/60)),"0")</f>
        <v>0</v>
      </c>
      <c r="M162" s="187" t="str">
        <f>IFERROR(((2*('Lab Analysis'!U162/60))+('Lab Analysis'!S162/17))/(('Lab Analysis'!T162/44)+('Lab Analysis'!U162/60)),"0")</f>
        <v>0</v>
      </c>
      <c r="N162" s="187" t="str">
        <f>IFERROR((('Lab Analysis'!V162/18)-('Lab Analysis'!U162/60))/(('Lab Analysis'!T162/44)+('Lab Analysis'!U162/60)),"0")</f>
        <v>0</v>
      </c>
      <c r="O162" s="187" t="str">
        <f>IFERROR(((2*('Lab Analysis'!Y162/60)+('Lab Analysis'!W162/17))/(('Lab Analysis'!X162/44)+('Lab Analysis'!Y162/60))),"0")</f>
        <v>0</v>
      </c>
      <c r="P162" s="187" t="str">
        <f>IFERROR((('Lab Analysis'!Z162/18)-('Lab Analysis'!Y162/60))/(('Lab Analysis'!X162/44)+('Lab Analysis'!Y162/60)),"0")</f>
        <v>0</v>
      </c>
      <c r="Q162" s="191"/>
    </row>
    <row r="163" spans="1:17">
      <c r="A163" s="185">
        <v>45977</v>
      </c>
      <c r="B163" s="186" t="str">
        <f>IFERROR(('Lab Analysis'!E163/('Lab Analysis'!E163+(1.364*'Lab Analysis'!D163))),"0")</f>
        <v>0</v>
      </c>
      <c r="C163" s="186" t="str">
        <f>IFERROR((2*'Lab Analysis'!E163/60)/('Lab Analysis'!C163/17+(2*'Lab Analysis'!E163/60)),"0")</f>
        <v>0</v>
      </c>
      <c r="D163" s="187" t="str">
        <f>IFERROR(((2*('Lab Analysis'!E163/60)+('Lab Analysis'!C163/17))/(('Lab Analysis'!D163/44)+('Lab Analysis'!E163/60))),"0")</f>
        <v>0</v>
      </c>
      <c r="E163" s="187" t="str">
        <f>IFERROR((('Lab Analysis'!F163/18)-('Lab Analysis'!E163/60))/(('Lab Analysis'!D163/44)+('Lab Analysis'!E163/60)),"0")</f>
        <v>0</v>
      </c>
      <c r="F163" s="187" t="str">
        <f>IFERROR((('Lab Analysis'!F163/18)/('Lab Analysis'!E163/60)),"0")</f>
        <v>0</v>
      </c>
      <c r="G163" s="188" t="str">
        <f>IFERROR(('Lab Analysis'!I163/('Lab Analysis'!I163+(1.765*'Lab Analysis'!G163))),"0")</f>
        <v>0</v>
      </c>
      <c r="H163" s="189" t="str">
        <f>IFERROR(((2*('Lab Analysis'!I163/60))+('Lab Analysis'!G163/17))/(('Lab Analysis'!H163/44)+('Lab Analysis'!I163/60)),"0")</f>
        <v>0</v>
      </c>
      <c r="I163" s="189" t="str">
        <f>IFERROR((('Lab Analysis'!J163/18)-('Lab Analysis'!I163/60))/(('Lab Analysis'!H163/44)+('Lab Analysis'!I163/60)),"0")</f>
        <v>0</v>
      </c>
      <c r="J163" s="186" t="str">
        <f>IFERROR(('Lab Analysis'!M163/('Lab Analysis'!M163+(1.765*'Lab Analysis'!K163))),"0")</f>
        <v>0</v>
      </c>
      <c r="K163" s="190" t="str">
        <f>IFERROR(((2*('Lab Analysis'!M163/60))+('Lab Analysis'!K163/17))/(('Lab Analysis'!L163/44)+('Lab Analysis'!M163/60)),"0")</f>
        <v>0</v>
      </c>
      <c r="L163" s="190" t="str">
        <f>IFERROR((('Lab Analysis'!N163/18)-('Lab Analysis'!M163/60))/(('Lab Analysis'!L163/44)+('Lab Analysis'!M163/60)),"0")</f>
        <v>0</v>
      </c>
      <c r="M163" s="187" t="str">
        <f>IFERROR(((2*('Lab Analysis'!U163/60))+('Lab Analysis'!S163/17))/(('Lab Analysis'!T163/44)+('Lab Analysis'!U163/60)),"0")</f>
        <v>0</v>
      </c>
      <c r="N163" s="187" t="str">
        <f>IFERROR((('Lab Analysis'!V163/18)-('Lab Analysis'!U163/60))/(('Lab Analysis'!T163/44)+('Lab Analysis'!U163/60)),"0")</f>
        <v>0</v>
      </c>
      <c r="O163" s="187" t="str">
        <f>IFERROR(((2*('Lab Analysis'!Y163/60)+('Lab Analysis'!W163/17))/(('Lab Analysis'!X163/44)+('Lab Analysis'!Y163/60))),"0")</f>
        <v>0</v>
      </c>
      <c r="P163" s="187" t="str">
        <f>IFERROR((('Lab Analysis'!Z163/18)-('Lab Analysis'!Y163/60))/(('Lab Analysis'!X163/44)+('Lab Analysis'!Y163/60)),"0")</f>
        <v>0</v>
      </c>
      <c r="Q163" s="191"/>
    </row>
    <row r="164" spans="1:17">
      <c r="A164" s="185">
        <v>45978</v>
      </c>
      <c r="B164" s="186">
        <f>IFERROR(('Lab Analysis'!E164/('Lab Analysis'!E164+(1.364*'Lab Analysis'!D164))),"0")</f>
        <v>0.55792038178663961</v>
      </c>
      <c r="C164" s="186">
        <f>IFERROR((2*'Lab Analysis'!E164/60)/('Lab Analysis'!C164/17+(2*'Lab Analysis'!E164/60)),"0")</f>
        <v>0.37599569652204495</v>
      </c>
      <c r="D164" s="187">
        <f>IFERROR(((2*('Lab Analysis'!E164/60)+('Lab Analysis'!C164/17))/(('Lab Analysis'!D164/44)+('Lab Analysis'!E164/60))),"0")</f>
        <v>2.9680453751207234</v>
      </c>
      <c r="E164" s="187">
        <f>IFERROR((('Lab Analysis'!F164/18)-('Lab Analysis'!E164/60))/(('Lab Analysis'!D164/44)+('Lab Analysis'!E164/60)),"0")</f>
        <v>0.55207048179431228</v>
      </c>
      <c r="F164" s="187">
        <f>IFERROR((('Lab Analysis'!F164/18)/('Lab Analysis'!E164/60)),"0")</f>
        <v>1.98939819145619</v>
      </c>
      <c r="G164" s="188">
        <f>IFERROR(('Lab Analysis'!I164/('Lab Analysis'!I164+(1.765*'Lab Analysis'!G164))),"0")</f>
        <v>0.74272205413408521</v>
      </c>
      <c r="H164" s="189">
        <f>IFERROR(((2*('Lab Analysis'!I164/60))+('Lab Analysis'!G164/17))/(('Lab Analysis'!H164/44)+('Lab Analysis'!I164/60)),"0")</f>
        <v>2.1500532199949127</v>
      </c>
      <c r="I164" s="189">
        <f>IFERROR((('Lab Analysis'!J164/18)-('Lab Analysis'!I164/60))/(('Lab Analysis'!H164/44)+('Lab Analysis'!I164/60)),"0")</f>
        <v>0.65624081615517016</v>
      </c>
      <c r="J164" s="186">
        <f>IFERROR(('Lab Analysis'!M164/('Lab Analysis'!M164+(1.765*'Lab Analysis'!K164))),"0")</f>
        <v>0.59799590913758949</v>
      </c>
      <c r="K164" s="190">
        <f>IFERROR(((2*('Lab Analysis'!M164/60))+('Lab Analysis'!K164/17))/(('Lab Analysis'!L164/44)+('Lab Analysis'!M164/60)),"0")</f>
        <v>2.4066317171055562</v>
      </c>
      <c r="L164" s="190">
        <f>IFERROR((('Lab Analysis'!N164/18)-('Lab Analysis'!M164/60))/(('Lab Analysis'!L164/44)+('Lab Analysis'!M164/60)),"0")</f>
        <v>0.53039172188747796</v>
      </c>
      <c r="M164" s="187" t="str">
        <f>IFERROR(((2*('Lab Analysis'!U164/60))+('Lab Analysis'!S164/17))/(('Lab Analysis'!T164/44)+('Lab Analysis'!U164/60)),"0")</f>
        <v>0</v>
      </c>
      <c r="N164" s="187" t="str">
        <f>IFERROR((('Lab Analysis'!V164/18)-('Lab Analysis'!U164/60))/(('Lab Analysis'!T164/44)+('Lab Analysis'!U164/60)),"0")</f>
        <v>0</v>
      </c>
      <c r="O164" s="187">
        <f>IFERROR(((2*('Lab Analysis'!Y164/60)+('Lab Analysis'!W164/17))/(('Lab Analysis'!X164/44)+('Lab Analysis'!Y164/60))),"0")</f>
        <v>2.4495798319327733</v>
      </c>
      <c r="P164" s="187">
        <f>IFERROR((('Lab Analysis'!Z164/18)-('Lab Analysis'!Y164/60))/(('Lab Analysis'!X164/44)+('Lab Analysis'!Y164/60)),"0")</f>
        <v>2.2825140809011777</v>
      </c>
      <c r="Q164" s="191"/>
    </row>
    <row r="165" spans="1:17">
      <c r="A165" s="185">
        <v>45979</v>
      </c>
      <c r="B165" s="186" t="str">
        <f>IFERROR(('Lab Analysis'!E165/('Lab Analysis'!E165+(1.364*'Lab Analysis'!D165))),"0")</f>
        <v>0</v>
      </c>
      <c r="C165" s="186" t="str">
        <f>IFERROR((2*'Lab Analysis'!E165/60)/('Lab Analysis'!C165/17+(2*'Lab Analysis'!E165/60)),"0")</f>
        <v>0</v>
      </c>
      <c r="D165" s="187" t="str">
        <f>IFERROR(((2*('Lab Analysis'!E165/60)+('Lab Analysis'!C165/17))/(('Lab Analysis'!D165/44)+('Lab Analysis'!E165/60))),"0")</f>
        <v>0</v>
      </c>
      <c r="E165" s="187" t="str">
        <f>IFERROR((('Lab Analysis'!F165/18)-('Lab Analysis'!E165/60))/(('Lab Analysis'!D165/44)+('Lab Analysis'!E165/60)),"0")</f>
        <v>0</v>
      </c>
      <c r="F165" s="187" t="str">
        <f>IFERROR((('Lab Analysis'!F165/18)/('Lab Analysis'!E165/60)),"0")</f>
        <v>0</v>
      </c>
      <c r="G165" s="188" t="str">
        <f>IFERROR(('Lab Analysis'!I165/('Lab Analysis'!I165+(1.765*'Lab Analysis'!G165))),"0")</f>
        <v>0</v>
      </c>
      <c r="H165" s="189" t="str">
        <f>IFERROR(((2*('Lab Analysis'!I165/60))+('Lab Analysis'!G165/17))/(('Lab Analysis'!H165/44)+('Lab Analysis'!I165/60)),"0")</f>
        <v>0</v>
      </c>
      <c r="I165" s="189" t="str">
        <f>IFERROR((('Lab Analysis'!J165/18)-('Lab Analysis'!I165/60))/(('Lab Analysis'!H165/44)+('Lab Analysis'!I165/60)),"0")</f>
        <v>0</v>
      </c>
      <c r="J165" s="186" t="str">
        <f>IFERROR(('Lab Analysis'!M165/('Lab Analysis'!M165+(1.765*'Lab Analysis'!K165))),"0")</f>
        <v>0</v>
      </c>
      <c r="K165" s="190" t="str">
        <f>IFERROR(((2*('Lab Analysis'!M165/60))+('Lab Analysis'!K165/17))/(('Lab Analysis'!L165/44)+('Lab Analysis'!M165/60)),"0")</f>
        <v>0</v>
      </c>
      <c r="L165" s="190" t="str">
        <f>IFERROR((('Lab Analysis'!N165/18)-('Lab Analysis'!M165/60))/(('Lab Analysis'!L165/44)+('Lab Analysis'!M165/60)),"0")</f>
        <v>0</v>
      </c>
      <c r="M165" s="187" t="str">
        <f>IFERROR(((2*('Lab Analysis'!U165/60))+('Lab Analysis'!S165/17))/(('Lab Analysis'!T165/44)+('Lab Analysis'!U165/60)),"0")</f>
        <v>0</v>
      </c>
      <c r="N165" s="187" t="str">
        <f>IFERROR((('Lab Analysis'!V165/18)-('Lab Analysis'!U165/60))/(('Lab Analysis'!T165/44)+('Lab Analysis'!U165/60)),"0")</f>
        <v>0</v>
      </c>
      <c r="O165" s="187" t="str">
        <f>IFERROR(((2*('Lab Analysis'!Y165/60)+('Lab Analysis'!W165/17))/(('Lab Analysis'!X165/44)+('Lab Analysis'!Y165/60))),"0")</f>
        <v>0</v>
      </c>
      <c r="P165" s="187" t="str">
        <f>IFERROR((('Lab Analysis'!Z165/18)-('Lab Analysis'!Y165/60))/(('Lab Analysis'!X165/44)+('Lab Analysis'!Y165/60)),"0")</f>
        <v>0</v>
      </c>
      <c r="Q165" s="191"/>
    </row>
    <row r="166" spans="1:17">
      <c r="A166" s="185">
        <v>45980</v>
      </c>
      <c r="B166" s="186">
        <f>IFERROR(('Lab Analysis'!E166/('Lab Analysis'!E166+(1.364*'Lab Analysis'!D166))),"0")</f>
        <v>0.55468316789662886</v>
      </c>
      <c r="C166" s="186">
        <f>IFERROR((2*'Lab Analysis'!E166/60)/('Lab Analysis'!C166/17+(2*'Lab Analysis'!E166/60)),"0")</f>
        <v>0.37312878115256753</v>
      </c>
      <c r="D166" s="187">
        <f>IFERROR(((2*('Lab Analysis'!E166/60)+('Lab Analysis'!C166/17))/(('Lab Analysis'!D166/44)+('Lab Analysis'!E166/60))),"0")</f>
        <v>2.9734989925375217</v>
      </c>
      <c r="E166" s="187">
        <f>IFERROR((('Lab Analysis'!F166/18)-('Lab Analysis'!E166/60))/(('Lab Analysis'!D166/44)+('Lab Analysis'!E166/60)),"0")</f>
        <v>0.54581923226955997</v>
      </c>
      <c r="F166" s="187">
        <f>IFERROR((('Lab Analysis'!F166/18)/('Lab Analysis'!E166/60)),"0")</f>
        <v>1.9839029998954747</v>
      </c>
      <c r="G166" s="188" t="str">
        <f>IFERROR(('Lab Analysis'!I166/('Lab Analysis'!I166+(1.765*'Lab Analysis'!G166))),"0")</f>
        <v>0</v>
      </c>
      <c r="H166" s="189" t="str">
        <f>IFERROR(((2*('Lab Analysis'!I166/60))+('Lab Analysis'!G166/17))/(('Lab Analysis'!H166/44)+('Lab Analysis'!I166/60)),"0")</f>
        <v>0</v>
      </c>
      <c r="I166" s="189" t="str">
        <f>IFERROR((('Lab Analysis'!J166/18)-('Lab Analysis'!I166/60))/(('Lab Analysis'!H166/44)+('Lab Analysis'!I166/60)),"0")</f>
        <v>0</v>
      </c>
      <c r="J166" s="186" t="str">
        <f>IFERROR(('Lab Analysis'!M166/('Lab Analysis'!M166+(1.765*'Lab Analysis'!K166))),"0")</f>
        <v>0</v>
      </c>
      <c r="K166" s="190" t="str">
        <f>IFERROR(((2*('Lab Analysis'!M166/60))+('Lab Analysis'!K166/17))/(('Lab Analysis'!L166/44)+('Lab Analysis'!M166/60)),"0")</f>
        <v>0</v>
      </c>
      <c r="L166" s="190" t="str">
        <f>IFERROR((('Lab Analysis'!N166/18)-('Lab Analysis'!M166/60))/(('Lab Analysis'!L166/44)+('Lab Analysis'!M166/60)),"0")</f>
        <v>0</v>
      </c>
      <c r="M166" s="187" t="str">
        <f>IFERROR(((2*('Lab Analysis'!U166/60))+('Lab Analysis'!S166/17))/(('Lab Analysis'!T166/44)+('Lab Analysis'!U166/60)),"0")</f>
        <v>0</v>
      </c>
      <c r="N166" s="187" t="str">
        <f>IFERROR((('Lab Analysis'!V166/18)-('Lab Analysis'!U166/60))/(('Lab Analysis'!T166/44)+('Lab Analysis'!U166/60)),"0")</f>
        <v>0</v>
      </c>
      <c r="O166" s="187" t="str">
        <f>IFERROR(((2*('Lab Analysis'!Y166/60)+('Lab Analysis'!W166/17))/(('Lab Analysis'!X166/44)+('Lab Analysis'!Y166/60))),"0")</f>
        <v>0</v>
      </c>
      <c r="P166" s="187" t="str">
        <f>IFERROR((('Lab Analysis'!Z166/18)-('Lab Analysis'!Y166/60))/(('Lab Analysis'!X166/44)+('Lab Analysis'!Y166/60)),"0")</f>
        <v>0</v>
      </c>
      <c r="Q166" s="191"/>
    </row>
    <row r="167" spans="1:17">
      <c r="A167" s="185">
        <v>45981</v>
      </c>
      <c r="B167" s="186">
        <f>IFERROR(('Lab Analysis'!E167/('Lab Analysis'!E167+(1.364*'Lab Analysis'!D167))),"0")</f>
        <v>0.5772379069623772</v>
      </c>
      <c r="C167" s="186">
        <f>IFERROR((2*'Lab Analysis'!E167/60)/('Lab Analysis'!C167/17+(2*'Lab Analysis'!E167/60)),"0")</f>
        <v>0.3786014639464258</v>
      </c>
      <c r="D167" s="187">
        <f>IFERROR(((2*('Lab Analysis'!E167/60)+('Lab Analysis'!C167/17))/(('Lab Analysis'!D167/44)+('Lab Analysis'!E167/60))),"0")</f>
        <v>3.0496605414253972</v>
      </c>
      <c r="E167" s="187">
        <f>IFERROR((('Lab Analysis'!F167/18)-('Lab Analysis'!E167/60))/(('Lab Analysis'!D167/44)+('Lab Analysis'!E167/60)),"0")</f>
        <v>0.52616657890397689</v>
      </c>
      <c r="F167" s="187">
        <f>IFERROR((('Lab Analysis'!F167/18)/('Lab Analysis'!E167/60)),"0")</f>
        <v>1.9114219114219111</v>
      </c>
      <c r="G167" s="188">
        <f>IFERROR(('Lab Analysis'!I167/('Lab Analysis'!I167+(1.765*'Lab Analysis'!G167))),"0")</f>
        <v>0.74075801881157821</v>
      </c>
      <c r="H167" s="189">
        <f>IFERROR(((2*('Lab Analysis'!I167/60))+('Lab Analysis'!G167/17))/(('Lab Analysis'!H167/44)+('Lab Analysis'!I167/60)),"0")</f>
        <v>2.1449710139052178</v>
      </c>
      <c r="I167" s="189">
        <f>IFERROR((('Lab Analysis'!J167/18)-('Lab Analysis'!I167/60))/(('Lab Analysis'!H167/44)+('Lab Analysis'!I167/60)),"0")</f>
        <v>0.58373535492763673</v>
      </c>
      <c r="J167" s="186">
        <f>IFERROR(('Lab Analysis'!M167/('Lab Analysis'!M167+(1.765*'Lab Analysis'!K167))),"0")</f>
        <v>0.58939030861760278</v>
      </c>
      <c r="K167" s="190">
        <f>IFERROR(((2*('Lab Analysis'!M167/60))+('Lab Analysis'!K167/17))/(('Lab Analysis'!L167/44)+('Lab Analysis'!M167/60)),"0")</f>
        <v>2.4243363889927201</v>
      </c>
      <c r="L167" s="190">
        <f>IFERROR((('Lab Analysis'!N167/18)-('Lab Analysis'!M167/60))/(('Lab Analysis'!L167/44)+('Lab Analysis'!M167/60)),"0")</f>
        <v>0.64690372414063058</v>
      </c>
      <c r="M167" s="187" t="str">
        <f>IFERROR(((2*('Lab Analysis'!U167/60))+('Lab Analysis'!S167/17))/(('Lab Analysis'!T167/44)+('Lab Analysis'!U167/60)),"0")</f>
        <v>0</v>
      </c>
      <c r="N167" s="187" t="str">
        <f>IFERROR((('Lab Analysis'!V167/18)-('Lab Analysis'!U167/60))/(('Lab Analysis'!T167/44)+('Lab Analysis'!U167/60)),"0")</f>
        <v>0</v>
      </c>
      <c r="O167" s="187">
        <f>IFERROR(((2*('Lab Analysis'!Y167/60)+('Lab Analysis'!W167/17))/(('Lab Analysis'!X167/44)+('Lab Analysis'!Y167/60))),"0")</f>
        <v>2.4562426680073739</v>
      </c>
      <c r="P167" s="187">
        <f>IFERROR((('Lab Analysis'!Z167/18)-('Lab Analysis'!Y167/60))/(('Lab Analysis'!X167/44)+('Lab Analysis'!Y167/60)),"0")</f>
        <v>2.2000000000000002</v>
      </c>
      <c r="Q167" s="191"/>
    </row>
    <row r="168" spans="1:17">
      <c r="A168" s="185">
        <v>45982</v>
      </c>
      <c r="B168" s="186">
        <f>IFERROR(('Lab Analysis'!E168/('Lab Analysis'!E168+(1.364*'Lab Analysis'!D168))),"0")</f>
        <v>0.57249411148913898</v>
      </c>
      <c r="C168" s="186">
        <f>IFERROR((2*'Lab Analysis'!E168/60)/('Lab Analysis'!C168/17+(2*'Lab Analysis'!E168/60)),"0")</f>
        <v>0.37739130434782608</v>
      </c>
      <c r="D168" s="187">
        <f>IFERROR(((2*('Lab Analysis'!E168/60)+('Lab Analysis'!C168/17))/(('Lab Analysis'!D168/44)+('Lab Analysis'!E168/60))),"0")</f>
        <v>3.0343007915567282</v>
      </c>
      <c r="E168" s="187">
        <f>IFERROR((('Lab Analysis'!F168/18)-('Lab Analysis'!E168/60))/(('Lab Analysis'!D168/44)+('Lab Analysis'!E168/60)),"0")</f>
        <v>0.55321020228671969</v>
      </c>
      <c r="F168" s="187">
        <f>IFERROR((('Lab Analysis'!F168/18)/('Lab Analysis'!E168/60)),"0")</f>
        <v>1.9662058371735796</v>
      </c>
      <c r="G168" s="188" t="str">
        <f>IFERROR(('Lab Analysis'!I168/('Lab Analysis'!I168+(1.765*'Lab Analysis'!G168))),"0")</f>
        <v>0</v>
      </c>
      <c r="H168" s="189" t="str">
        <f>IFERROR(((2*('Lab Analysis'!I168/60))+('Lab Analysis'!G168/17))/(('Lab Analysis'!H168/44)+('Lab Analysis'!I168/60)),"0")</f>
        <v>0</v>
      </c>
      <c r="I168" s="189" t="str">
        <f>IFERROR((('Lab Analysis'!J168/18)-('Lab Analysis'!I168/60))/(('Lab Analysis'!H168/44)+('Lab Analysis'!I168/60)),"0")</f>
        <v>0</v>
      </c>
      <c r="J168" s="186" t="str">
        <f>IFERROR(('Lab Analysis'!M168/('Lab Analysis'!M168+(1.765*'Lab Analysis'!K168))),"0")</f>
        <v>0</v>
      </c>
      <c r="K168" s="190" t="str">
        <f>IFERROR(((2*('Lab Analysis'!M168/60))+('Lab Analysis'!K168/17))/(('Lab Analysis'!L168/44)+('Lab Analysis'!M168/60)),"0")</f>
        <v>0</v>
      </c>
      <c r="L168" s="190" t="str">
        <f>IFERROR((('Lab Analysis'!N168/18)-('Lab Analysis'!M168/60))/(('Lab Analysis'!L168/44)+('Lab Analysis'!M168/60)),"0")</f>
        <v>0</v>
      </c>
      <c r="M168" s="187" t="str">
        <f>IFERROR(((2*('Lab Analysis'!U168/60))+('Lab Analysis'!S168/17))/(('Lab Analysis'!T168/44)+('Lab Analysis'!U168/60)),"0")</f>
        <v>0</v>
      </c>
      <c r="N168" s="187" t="str">
        <f>IFERROR((('Lab Analysis'!V168/18)-('Lab Analysis'!U168/60))/(('Lab Analysis'!T168/44)+('Lab Analysis'!U168/60)),"0")</f>
        <v>0</v>
      </c>
      <c r="O168" s="187" t="str">
        <f>IFERROR(((2*('Lab Analysis'!Y168/60)+('Lab Analysis'!W168/17))/(('Lab Analysis'!X168/44)+('Lab Analysis'!Y168/60))),"0")</f>
        <v>0</v>
      </c>
      <c r="P168" s="187" t="str">
        <f>IFERROR((('Lab Analysis'!Z168/18)-('Lab Analysis'!Y168/60))/(('Lab Analysis'!X168/44)+('Lab Analysis'!Y168/60)),"0")</f>
        <v>0</v>
      </c>
      <c r="Q168" s="191"/>
    </row>
    <row r="169" spans="1:17">
      <c r="A169" s="185">
        <v>45983</v>
      </c>
      <c r="B169" s="186" t="str">
        <f>IFERROR(('Lab Analysis'!E169/('Lab Analysis'!E169+(1.364*'Lab Analysis'!D169))),"0")</f>
        <v>0</v>
      </c>
      <c r="C169" s="186" t="str">
        <f>IFERROR((2*'Lab Analysis'!E169/60)/('Lab Analysis'!C169/17+(2*'Lab Analysis'!E169/60)),"0")</f>
        <v>0</v>
      </c>
      <c r="D169" s="187" t="str">
        <f>IFERROR(((2*('Lab Analysis'!E169/60)+('Lab Analysis'!C169/17))/(('Lab Analysis'!D169/44)+('Lab Analysis'!E169/60))),"0")</f>
        <v>0</v>
      </c>
      <c r="E169" s="187" t="str">
        <f>IFERROR((('Lab Analysis'!F169/18)-('Lab Analysis'!E169/60))/(('Lab Analysis'!D169/44)+('Lab Analysis'!E169/60)),"0")</f>
        <v>0</v>
      </c>
      <c r="F169" s="187" t="str">
        <f>IFERROR((('Lab Analysis'!F169/18)/('Lab Analysis'!E169/60)),"0")</f>
        <v>0</v>
      </c>
      <c r="G169" s="188" t="str">
        <f>IFERROR(('Lab Analysis'!I169/('Lab Analysis'!I169+(1.765*'Lab Analysis'!G169))),"0")</f>
        <v>0</v>
      </c>
      <c r="H169" s="189" t="str">
        <f>IFERROR(((2*('Lab Analysis'!I169/60))+('Lab Analysis'!G169/17))/(('Lab Analysis'!H169/44)+('Lab Analysis'!I169/60)),"0")</f>
        <v>0</v>
      </c>
      <c r="I169" s="189" t="str">
        <f>IFERROR((('Lab Analysis'!J169/18)-('Lab Analysis'!I169/60))/(('Lab Analysis'!H169/44)+('Lab Analysis'!I169/60)),"0")</f>
        <v>0</v>
      </c>
      <c r="J169" s="186" t="str">
        <f>IFERROR(('Lab Analysis'!M169/('Lab Analysis'!M169+(1.765*'Lab Analysis'!K169))),"0")</f>
        <v>0</v>
      </c>
      <c r="K169" s="190" t="str">
        <f>IFERROR(((2*('Lab Analysis'!M169/60))+('Lab Analysis'!K169/17))/(('Lab Analysis'!L169/44)+('Lab Analysis'!M169/60)),"0")</f>
        <v>0</v>
      </c>
      <c r="L169" s="190" t="str">
        <f>IFERROR((('Lab Analysis'!N169/18)-('Lab Analysis'!M169/60))/(('Lab Analysis'!L169/44)+('Lab Analysis'!M169/60)),"0")</f>
        <v>0</v>
      </c>
      <c r="M169" s="187" t="str">
        <f>IFERROR(((2*('Lab Analysis'!U169/60))+('Lab Analysis'!S169/17))/(('Lab Analysis'!T169/44)+('Lab Analysis'!U169/60)),"0")</f>
        <v>0</v>
      </c>
      <c r="N169" s="187" t="str">
        <f>IFERROR((('Lab Analysis'!V169/18)-('Lab Analysis'!U169/60))/(('Lab Analysis'!T169/44)+('Lab Analysis'!U169/60)),"0")</f>
        <v>0</v>
      </c>
      <c r="O169" s="187" t="str">
        <f>IFERROR(((2*('Lab Analysis'!Y169/60)+('Lab Analysis'!W169/17))/(('Lab Analysis'!X169/44)+('Lab Analysis'!Y169/60))),"0")</f>
        <v>0</v>
      </c>
      <c r="P169" s="187" t="str">
        <f>IFERROR((('Lab Analysis'!Z169/18)-('Lab Analysis'!Y169/60))/(('Lab Analysis'!X169/44)+('Lab Analysis'!Y169/60)),"0")</f>
        <v>0</v>
      </c>
      <c r="Q169" s="191"/>
    </row>
    <row r="170" spans="1:17">
      <c r="A170" s="185">
        <v>45984</v>
      </c>
      <c r="B170" s="186" t="str">
        <f>IFERROR(('Lab Analysis'!E170/('Lab Analysis'!E170+(1.364*'Lab Analysis'!D170))),"0")</f>
        <v>0</v>
      </c>
      <c r="C170" s="186" t="str">
        <f>IFERROR((2*'Lab Analysis'!E170/60)/('Lab Analysis'!C170/17+(2*'Lab Analysis'!E170/60)),"0")</f>
        <v>0</v>
      </c>
      <c r="D170" s="187" t="str">
        <f>IFERROR(((2*('Lab Analysis'!E170/60)+('Lab Analysis'!C170/17))/(('Lab Analysis'!D170/44)+('Lab Analysis'!E170/60))),"0")</f>
        <v>0</v>
      </c>
      <c r="E170" s="187" t="str">
        <f>IFERROR((('Lab Analysis'!F170/18)-('Lab Analysis'!E170/60))/(('Lab Analysis'!D170/44)+('Lab Analysis'!E170/60)),"0")</f>
        <v>0</v>
      </c>
      <c r="F170" s="187" t="str">
        <f>IFERROR((('Lab Analysis'!F170/18)/('Lab Analysis'!E170/60)),"0")</f>
        <v>0</v>
      </c>
      <c r="G170" s="188" t="str">
        <f>IFERROR(('Lab Analysis'!I170/('Lab Analysis'!I170+(1.765*'Lab Analysis'!G170))),"0")</f>
        <v>0</v>
      </c>
      <c r="H170" s="189" t="str">
        <f>IFERROR(((2*('Lab Analysis'!I170/60))+('Lab Analysis'!G170/17))/(('Lab Analysis'!H170/44)+('Lab Analysis'!I170/60)),"0")</f>
        <v>0</v>
      </c>
      <c r="I170" s="189" t="str">
        <f>IFERROR((('Lab Analysis'!J170/18)-('Lab Analysis'!I170/60))/(('Lab Analysis'!H170/44)+('Lab Analysis'!I170/60)),"0")</f>
        <v>0</v>
      </c>
      <c r="J170" s="186" t="str">
        <f>IFERROR(('Lab Analysis'!M170/('Lab Analysis'!M170+(1.765*'Lab Analysis'!K170))),"0")</f>
        <v>0</v>
      </c>
      <c r="K170" s="190" t="str">
        <f>IFERROR(((2*('Lab Analysis'!M170/60))+('Lab Analysis'!K170/17))/(('Lab Analysis'!L170/44)+('Lab Analysis'!M170/60)),"0")</f>
        <v>0</v>
      </c>
      <c r="L170" s="190" t="str">
        <f>IFERROR((('Lab Analysis'!N170/18)-('Lab Analysis'!M170/60))/(('Lab Analysis'!L170/44)+('Lab Analysis'!M170/60)),"0")</f>
        <v>0</v>
      </c>
      <c r="M170" s="187" t="str">
        <f>IFERROR(((2*('Lab Analysis'!U170/60))+('Lab Analysis'!S170/17))/(('Lab Analysis'!T170/44)+('Lab Analysis'!U170/60)),"0")</f>
        <v>0</v>
      </c>
      <c r="N170" s="187" t="str">
        <f>IFERROR((('Lab Analysis'!V170/18)-('Lab Analysis'!U170/60))/(('Lab Analysis'!T170/44)+('Lab Analysis'!U170/60)),"0")</f>
        <v>0</v>
      </c>
      <c r="O170" s="187" t="str">
        <f>IFERROR(((2*('Lab Analysis'!Y170/60)+('Lab Analysis'!W170/17))/(('Lab Analysis'!X170/44)+('Lab Analysis'!Y170/60))),"0")</f>
        <v>0</v>
      </c>
      <c r="P170" s="187" t="str">
        <f>IFERROR((('Lab Analysis'!Z170/18)-('Lab Analysis'!Y170/60))/(('Lab Analysis'!X170/44)+('Lab Analysis'!Y170/60)),"0")</f>
        <v>0</v>
      </c>
      <c r="Q170" s="191"/>
    </row>
    <row r="171" spans="1:17">
      <c r="A171" s="185">
        <v>45985</v>
      </c>
      <c r="B171" s="186">
        <f>IFERROR(('Lab Analysis'!E171/('Lab Analysis'!E171+(1.364*'Lab Analysis'!D171))),"0")</f>
        <v>0.56195908171181275</v>
      </c>
      <c r="C171" s="186">
        <f>IFERROR((2*'Lab Analysis'!E171/60)/('Lab Analysis'!C171/17+(2*'Lab Analysis'!E171/60)),"0")</f>
        <v>0.37537229126014171</v>
      </c>
      <c r="D171" s="187">
        <f>IFERROR(((2*('Lab Analysis'!E171/60)+('Lab Analysis'!C171/17))/(('Lab Analysis'!D171/44)+('Lab Analysis'!E171/60))),"0")</f>
        <v>2.9944922836054575</v>
      </c>
      <c r="E171" s="187">
        <f>IFERROR((('Lab Analysis'!F171/18)-('Lab Analysis'!E171/60))/(('Lab Analysis'!D171/44)+('Lab Analysis'!E171/60)),"0")</f>
        <v>0.53646493451626531</v>
      </c>
      <c r="F171" s="187">
        <f>IFERROR((('Lab Analysis'!F171/18)/('Lab Analysis'!E171/60)),"0")</f>
        <v>1.9545219638242892</v>
      </c>
      <c r="G171" s="188">
        <f>IFERROR(('Lab Analysis'!I171/('Lab Analysis'!I171+(1.765*'Lab Analysis'!G171))),"0")</f>
        <v>0.73540777726900219</v>
      </c>
      <c r="H171" s="189">
        <f>IFERROR(((2*('Lab Analysis'!I171/60))+('Lab Analysis'!G171/17))/(('Lab Analysis'!H171/44)+('Lab Analysis'!I171/60)),"0")</f>
        <v>2.1744153511962598</v>
      </c>
      <c r="I171" s="189">
        <f>IFERROR((('Lab Analysis'!J171/18)-('Lab Analysis'!I171/60))/(('Lab Analysis'!H171/44)+('Lab Analysis'!I171/60)),"0")</f>
        <v>0.78699779949455684</v>
      </c>
      <c r="J171" s="186">
        <f>IFERROR(('Lab Analysis'!M171/('Lab Analysis'!M171+(1.765*'Lab Analysis'!K171))),"0")</f>
        <v>0.56660736947843737</v>
      </c>
      <c r="K171" s="190">
        <f>IFERROR(((2*('Lab Analysis'!M171/60))+('Lab Analysis'!K171/17))/(('Lab Analysis'!L171/44)+('Lab Analysis'!M171/60)),"0")</f>
        <v>2.4486944094324081</v>
      </c>
      <c r="L171" s="190">
        <f>IFERROR((('Lab Analysis'!N171/18)-('Lab Analysis'!M171/60))/(('Lab Analysis'!L171/44)+('Lab Analysis'!M171/60)),"0")</f>
        <v>0.86688037793150019</v>
      </c>
      <c r="M171" s="187" t="str">
        <f>IFERROR(((2*('Lab Analysis'!U171/60))+('Lab Analysis'!S171/17))/(('Lab Analysis'!T171/44)+('Lab Analysis'!U171/60)),"0")</f>
        <v>0</v>
      </c>
      <c r="N171" s="187" t="str">
        <f>IFERROR((('Lab Analysis'!V171/18)-('Lab Analysis'!U171/60))/(('Lab Analysis'!T171/44)+('Lab Analysis'!U171/60)),"0")</f>
        <v>0</v>
      </c>
      <c r="O171" s="187">
        <f>IFERROR(((2*('Lab Analysis'!Y171/60)+('Lab Analysis'!W171/17))/(('Lab Analysis'!X171/44)+('Lab Analysis'!Y171/60))),"0")</f>
        <v>2.4864054877541166</v>
      </c>
      <c r="P171" s="187">
        <f>IFERROR((('Lab Analysis'!Z171/18)-('Lab Analysis'!Y171/60))/(('Lab Analysis'!X171/44)+('Lab Analysis'!Y171/60)),"0")</f>
        <v>2.1261754253545937</v>
      </c>
      <c r="Q171" s="191"/>
    </row>
    <row r="172" spans="1:17">
      <c r="A172" s="185">
        <v>45986</v>
      </c>
      <c r="B172" s="186">
        <f>IFERROR(('Lab Analysis'!E172/('Lab Analysis'!E172+(1.364*'Lab Analysis'!D172))),"0")</f>
        <v>0.56387130392750595</v>
      </c>
      <c r="C172" s="186">
        <f>IFERROR((2*'Lab Analysis'!E172/60)/('Lab Analysis'!C172/17+(2*'Lab Analysis'!E172/60)),"0")</f>
        <v>0.37682343330610335</v>
      </c>
      <c r="D172" s="187">
        <f>IFERROR(((2*('Lab Analysis'!E172/60)+('Lab Analysis'!C172/17))/(('Lab Analysis'!D172/44)+('Lab Analysis'!E172/60))),"0")</f>
        <v>2.9931093611075834</v>
      </c>
      <c r="E172" s="187">
        <f>IFERROR((('Lab Analysis'!F172/18)-('Lab Analysis'!E172/60))/(('Lab Analysis'!D172/44)+('Lab Analysis'!E172/60)),"0")</f>
        <v>0.55031436555315649</v>
      </c>
      <c r="F172" s="187">
        <f>IFERROR((('Lab Analysis'!F172/18)/('Lab Analysis'!E172/60)),"0")</f>
        <v>1.9758439145246207</v>
      </c>
      <c r="G172" s="188" t="str">
        <f>IFERROR(('Lab Analysis'!I172/('Lab Analysis'!I172+(1.765*'Lab Analysis'!G172))),"0")</f>
        <v>0</v>
      </c>
      <c r="H172" s="189" t="str">
        <f>IFERROR(((2*('Lab Analysis'!I172/60))+('Lab Analysis'!G172/17))/(('Lab Analysis'!H172/44)+('Lab Analysis'!I172/60)),"0")</f>
        <v>0</v>
      </c>
      <c r="I172" s="189" t="str">
        <f>IFERROR((('Lab Analysis'!J172/18)-('Lab Analysis'!I172/60))/(('Lab Analysis'!H172/44)+('Lab Analysis'!I172/60)),"0")</f>
        <v>0</v>
      </c>
      <c r="J172" s="186" t="str">
        <f>IFERROR(('Lab Analysis'!M172/('Lab Analysis'!M172+(1.765*'Lab Analysis'!K172))),"0")</f>
        <v>0</v>
      </c>
      <c r="K172" s="190" t="str">
        <f>IFERROR(((2*('Lab Analysis'!M172/60))+('Lab Analysis'!K172/17))/(('Lab Analysis'!L172/44)+('Lab Analysis'!M172/60)),"0")</f>
        <v>0</v>
      </c>
      <c r="L172" s="190" t="str">
        <f>IFERROR((('Lab Analysis'!N172/18)-('Lab Analysis'!M172/60))/(('Lab Analysis'!L172/44)+('Lab Analysis'!M172/60)),"0")</f>
        <v>0</v>
      </c>
      <c r="M172" s="187" t="str">
        <f>IFERROR(((2*('Lab Analysis'!U172/60))+('Lab Analysis'!S172/17))/(('Lab Analysis'!T172/44)+('Lab Analysis'!U172/60)),"0")</f>
        <v>0</v>
      </c>
      <c r="N172" s="187" t="str">
        <f>IFERROR((('Lab Analysis'!V172/18)-('Lab Analysis'!U172/60))/(('Lab Analysis'!T172/44)+('Lab Analysis'!U172/60)),"0")</f>
        <v>0</v>
      </c>
      <c r="O172" s="187" t="str">
        <f>IFERROR(((2*('Lab Analysis'!Y172/60)+('Lab Analysis'!W172/17))/(('Lab Analysis'!X172/44)+('Lab Analysis'!Y172/60))),"0")</f>
        <v>0</v>
      </c>
      <c r="P172" s="187" t="str">
        <f>IFERROR((('Lab Analysis'!Z172/18)-('Lab Analysis'!Y172/60))/(('Lab Analysis'!X172/44)+('Lab Analysis'!Y172/60)),"0")</f>
        <v>0</v>
      </c>
      <c r="Q172" s="191"/>
    </row>
    <row r="173" spans="1:17">
      <c r="A173" s="185">
        <v>45987</v>
      </c>
      <c r="B173" s="186">
        <f>IFERROR(('Lab Analysis'!E173/('Lab Analysis'!E173+(1.364*'Lab Analysis'!D173))),"0")</f>
        <v>0.55965185266703532</v>
      </c>
      <c r="C173" s="186">
        <f>IFERROR((2*'Lab Analysis'!E173/60)/('Lab Analysis'!C173/17+(2*'Lab Analysis'!E173/60)),"0")</f>
        <v>0.37503431991653391</v>
      </c>
      <c r="D173" s="187">
        <f>IFERROR(((2*('Lab Analysis'!E173/60)+('Lab Analysis'!C173/17))/(('Lab Analysis'!D173/44)+('Lab Analysis'!E173/60))),"0")</f>
        <v>2.984887147183616</v>
      </c>
      <c r="E173" s="187">
        <f>IFERROR((('Lab Analysis'!F173/18)-('Lab Analysis'!E173/60))/(('Lab Analysis'!D173/44)+('Lab Analysis'!E173/60)),"0")</f>
        <v>0.54148987820066297</v>
      </c>
      <c r="F173" s="187">
        <f>IFERROR((('Lab Analysis'!F173/18)/('Lab Analysis'!E173/60)),"0")</f>
        <v>1.9674341422941299</v>
      </c>
      <c r="G173" s="188" t="str">
        <f>IFERROR(('Lab Analysis'!I173/('Lab Analysis'!I173+(1.765*'Lab Analysis'!G173))),"0")</f>
        <v>0</v>
      </c>
      <c r="H173" s="189" t="str">
        <f>IFERROR(((2*('Lab Analysis'!I173/60))+('Lab Analysis'!G173/17))/(('Lab Analysis'!H173/44)+('Lab Analysis'!I173/60)),"0")</f>
        <v>0</v>
      </c>
      <c r="I173" s="189" t="str">
        <f>IFERROR((('Lab Analysis'!J173/18)-('Lab Analysis'!I173/60))/(('Lab Analysis'!H173/44)+('Lab Analysis'!I173/60)),"0")</f>
        <v>0</v>
      </c>
      <c r="J173" s="186" t="str">
        <f>IFERROR(('Lab Analysis'!M173/('Lab Analysis'!M173+(1.765*'Lab Analysis'!K173))),"0")</f>
        <v>0</v>
      </c>
      <c r="K173" s="190" t="str">
        <f>IFERROR(((2*('Lab Analysis'!M173/60))+('Lab Analysis'!K173/17))/(('Lab Analysis'!L173/44)+('Lab Analysis'!M173/60)),"0")</f>
        <v>0</v>
      </c>
      <c r="L173" s="190" t="str">
        <f>IFERROR((('Lab Analysis'!N173/18)-('Lab Analysis'!M173/60))/(('Lab Analysis'!L173/44)+('Lab Analysis'!M173/60)),"0")</f>
        <v>0</v>
      </c>
      <c r="M173" s="187" t="str">
        <f>IFERROR(((2*('Lab Analysis'!U173/60))+('Lab Analysis'!S173/17))/(('Lab Analysis'!T173/44)+('Lab Analysis'!U173/60)),"0")</f>
        <v>0</v>
      </c>
      <c r="N173" s="187" t="str">
        <f>IFERROR((('Lab Analysis'!V173/18)-('Lab Analysis'!U173/60))/(('Lab Analysis'!T173/44)+('Lab Analysis'!U173/60)),"0")</f>
        <v>0</v>
      </c>
      <c r="O173" s="187" t="str">
        <f>IFERROR(((2*('Lab Analysis'!Y173/60)+('Lab Analysis'!W173/17))/(('Lab Analysis'!X173/44)+('Lab Analysis'!Y173/60))),"0")</f>
        <v>0</v>
      </c>
      <c r="P173" s="187" t="str">
        <f>IFERROR((('Lab Analysis'!Z173/18)-('Lab Analysis'!Y173/60))/(('Lab Analysis'!X173/44)+('Lab Analysis'!Y173/60)),"0")</f>
        <v>0</v>
      </c>
      <c r="Q173" s="191"/>
    </row>
    <row r="174" spans="1:17">
      <c r="A174" s="185">
        <v>45988</v>
      </c>
      <c r="B174" s="186">
        <f>IFERROR(('Lab Analysis'!E174/('Lab Analysis'!E174+(1.364*'Lab Analysis'!D174))),"0")</f>
        <v>0.56010750751123839</v>
      </c>
      <c r="C174" s="186">
        <f>IFERROR((2*'Lab Analysis'!E174/60)/('Lab Analysis'!C174/17+(2*'Lab Analysis'!E174/60)),"0")</f>
        <v>0.37813502179097119</v>
      </c>
      <c r="D174" s="187">
        <f>IFERROR(((2*('Lab Analysis'!E174/60)+('Lab Analysis'!C174/17))/(('Lab Analysis'!D174/44)+('Lab Analysis'!E174/60))),"0")</f>
        <v>2.9628210487847415</v>
      </c>
      <c r="E174" s="187">
        <f>IFERROR((('Lab Analysis'!F174/18)-('Lab Analysis'!E174/60))/(('Lab Analysis'!D174/44)+('Lab Analysis'!E174/60)),"0")</f>
        <v>0.50978177311306649</v>
      </c>
      <c r="F174" s="187">
        <f>IFERROR((('Lab Analysis'!F174/18)/('Lab Analysis'!E174/60)),"0")</f>
        <v>1.9100431300061607</v>
      </c>
      <c r="G174" s="188">
        <f>IFERROR(('Lab Analysis'!I174/('Lab Analysis'!I174+(1.765*'Lab Analysis'!G174))),"0")</f>
        <v>0.73402893369343925</v>
      </c>
      <c r="H174" s="189">
        <f>IFERROR(((2*('Lab Analysis'!I174/60))+('Lab Analysis'!G174/17))/(('Lab Analysis'!H174/44)+('Lab Analysis'!I174/60)),"0")</f>
        <v>2.1694448271111724</v>
      </c>
      <c r="I174" s="189">
        <f>IFERROR((('Lab Analysis'!J174/18)-('Lab Analysis'!I174/60))/(('Lab Analysis'!H174/44)+('Lab Analysis'!I174/60)),"0")</f>
        <v>0.71090294041113755</v>
      </c>
      <c r="J174" s="186">
        <f>IFERROR(('Lab Analysis'!M174/('Lab Analysis'!M174+(1.765*'Lab Analysis'!K174))),"0")</f>
        <v>0.58038740177862858</v>
      </c>
      <c r="K174" s="190">
        <f>IFERROR(((2*('Lab Analysis'!M174/60))+('Lab Analysis'!K174/17))/(('Lab Analysis'!L174/44)+('Lab Analysis'!M174/60)),"0")</f>
        <v>2.4271636050135945</v>
      </c>
      <c r="L174" s="190">
        <f>IFERROR((('Lab Analysis'!N174/18)-('Lab Analysis'!M174/60))/(('Lab Analysis'!L174/44)+('Lab Analysis'!M174/60)),"0")</f>
        <v>0.7749467618689716</v>
      </c>
      <c r="M174" s="187" t="str">
        <f>IFERROR(((2*('Lab Analysis'!U174/60))+('Lab Analysis'!S174/17))/(('Lab Analysis'!T174/44)+('Lab Analysis'!U174/60)),"0")</f>
        <v>0</v>
      </c>
      <c r="N174" s="187" t="str">
        <f>IFERROR((('Lab Analysis'!V174/18)-('Lab Analysis'!U174/60))/(('Lab Analysis'!T174/44)+('Lab Analysis'!U174/60)),"0")</f>
        <v>0</v>
      </c>
      <c r="O174" s="187">
        <f>IFERROR(((2*('Lab Analysis'!Y174/60)+('Lab Analysis'!W174/17))/(('Lab Analysis'!X174/44)+('Lab Analysis'!Y174/60))),"0")</f>
        <v>2.4612322086194882</v>
      </c>
      <c r="P174" s="187">
        <f>IFERROR((('Lab Analysis'!Z174/18)-('Lab Analysis'!Y174/60))/(('Lab Analysis'!X174/44)+('Lab Analysis'!Y174/60)),"0")</f>
        <v>2.1245848217083405</v>
      </c>
      <c r="Q174" s="191"/>
    </row>
    <row r="175" spans="1:17">
      <c r="A175" s="185">
        <v>45989</v>
      </c>
      <c r="B175" s="186">
        <f>IFERROR(('Lab Analysis'!E175/('Lab Analysis'!E175+(1.364*'Lab Analysis'!D175))),"0")</f>
        <v>0.56144700536189684</v>
      </c>
      <c r="C175" s="186">
        <f>IFERROR((2*'Lab Analysis'!E175/60)/('Lab Analysis'!C175/17+(2*'Lab Analysis'!E175/60)),"0")</f>
        <v>0.37823940906313708</v>
      </c>
      <c r="D175" s="187">
        <f>IFERROR(((2*('Lab Analysis'!E175/60)+('Lab Analysis'!C175/17))/(('Lab Analysis'!D175/44)+('Lab Analysis'!E175/60))),"0")</f>
        <v>2.969085938071816</v>
      </c>
      <c r="E175" s="187">
        <f>IFERROR((('Lab Analysis'!F175/18)-('Lab Analysis'!E175/60))/(('Lab Analysis'!D175/44)+('Lab Analysis'!E175/60)),"0")</f>
        <v>0.52651556913578346</v>
      </c>
      <c r="F175" s="187">
        <f>IFERROR((('Lab Analysis'!F175/18)/('Lab Analysis'!E175/60)),"0")</f>
        <v>1.9376735575439685</v>
      </c>
      <c r="G175" s="188" t="str">
        <f>IFERROR(('Lab Analysis'!I175/('Lab Analysis'!I175+(1.765*'Lab Analysis'!G175))),"0")</f>
        <v>0</v>
      </c>
      <c r="H175" s="189" t="str">
        <f>IFERROR(((2*('Lab Analysis'!I175/60))+('Lab Analysis'!G175/17))/(('Lab Analysis'!H175/44)+('Lab Analysis'!I175/60)),"0")</f>
        <v>0</v>
      </c>
      <c r="I175" s="189" t="str">
        <f>IFERROR((('Lab Analysis'!J175/18)-('Lab Analysis'!I175/60))/(('Lab Analysis'!H175/44)+('Lab Analysis'!I175/60)),"0")</f>
        <v>0</v>
      </c>
      <c r="J175" s="186" t="str">
        <f>IFERROR(('Lab Analysis'!M175/('Lab Analysis'!M175+(1.765*'Lab Analysis'!K175))),"0")</f>
        <v>0</v>
      </c>
      <c r="K175" s="190" t="str">
        <f>IFERROR(((2*('Lab Analysis'!M175/60))+('Lab Analysis'!K175/17))/(('Lab Analysis'!L175/44)+('Lab Analysis'!M175/60)),"0")</f>
        <v>0</v>
      </c>
      <c r="L175" s="190" t="str">
        <f>IFERROR((('Lab Analysis'!N175/18)-('Lab Analysis'!M175/60))/(('Lab Analysis'!L175/44)+('Lab Analysis'!M175/60)),"0")</f>
        <v>0</v>
      </c>
      <c r="M175" s="187" t="str">
        <f>IFERROR(((2*('Lab Analysis'!U175/60))+('Lab Analysis'!S175/17))/(('Lab Analysis'!T175/44)+('Lab Analysis'!U175/60)),"0")</f>
        <v>0</v>
      </c>
      <c r="N175" s="187" t="str">
        <f>IFERROR((('Lab Analysis'!V175/18)-('Lab Analysis'!U175/60))/(('Lab Analysis'!T175/44)+('Lab Analysis'!U175/60)),"0")</f>
        <v>0</v>
      </c>
      <c r="O175" s="187" t="str">
        <f>IFERROR(((2*('Lab Analysis'!Y175/60)+('Lab Analysis'!W175/17))/(('Lab Analysis'!X175/44)+('Lab Analysis'!Y175/60))),"0")</f>
        <v>0</v>
      </c>
      <c r="P175" s="187" t="str">
        <f>IFERROR((('Lab Analysis'!Z175/18)-('Lab Analysis'!Y175/60))/(('Lab Analysis'!X175/44)+('Lab Analysis'!Y175/60)),"0")</f>
        <v>0</v>
      </c>
      <c r="Q175" s="191"/>
    </row>
    <row r="176" spans="1:17">
      <c r="A176" s="185">
        <v>45990</v>
      </c>
      <c r="B176" s="186" t="str">
        <f>IFERROR(('Lab Analysis'!E176/('Lab Analysis'!E176+(1.364*'Lab Analysis'!D176))),"0")</f>
        <v>0</v>
      </c>
      <c r="C176" s="186" t="str">
        <f>IFERROR((2*'Lab Analysis'!E176/60)/('Lab Analysis'!C176/17+(2*'Lab Analysis'!E176/60)),"0")</f>
        <v>0</v>
      </c>
      <c r="D176" s="187" t="str">
        <f>IFERROR(((2*('Lab Analysis'!E176/60)+('Lab Analysis'!C176/17))/(('Lab Analysis'!D176/44)+('Lab Analysis'!E176/60))),"0")</f>
        <v>0</v>
      </c>
      <c r="E176" s="187" t="str">
        <f>IFERROR((('Lab Analysis'!F176/18)-('Lab Analysis'!E176/60))/(('Lab Analysis'!D176/44)+('Lab Analysis'!E176/60)),"0")</f>
        <v>0</v>
      </c>
      <c r="F176" s="187" t="str">
        <f>IFERROR((('Lab Analysis'!F176/18)/('Lab Analysis'!E176/60)),"0")</f>
        <v>0</v>
      </c>
      <c r="G176" s="188" t="str">
        <f>IFERROR(('Lab Analysis'!I176/('Lab Analysis'!I176+(1.765*'Lab Analysis'!G176))),"0")</f>
        <v>0</v>
      </c>
      <c r="H176" s="189" t="str">
        <f>IFERROR(((2*('Lab Analysis'!I176/60))+('Lab Analysis'!G176/17))/(('Lab Analysis'!H176/44)+('Lab Analysis'!I176/60)),"0")</f>
        <v>0</v>
      </c>
      <c r="I176" s="189" t="str">
        <f>IFERROR((('Lab Analysis'!J176/18)-('Lab Analysis'!I176/60))/(('Lab Analysis'!H176/44)+('Lab Analysis'!I176/60)),"0")</f>
        <v>0</v>
      </c>
      <c r="J176" s="186" t="str">
        <f>IFERROR(('Lab Analysis'!M176/('Lab Analysis'!M176+(1.765*'Lab Analysis'!K176))),"0")</f>
        <v>0</v>
      </c>
      <c r="K176" s="190" t="str">
        <f>IFERROR(((2*('Lab Analysis'!M176/60))+('Lab Analysis'!K176/17))/(('Lab Analysis'!L176/44)+('Lab Analysis'!M176/60)),"0")</f>
        <v>0</v>
      </c>
      <c r="L176" s="190" t="str">
        <f>IFERROR((('Lab Analysis'!N176/18)-('Lab Analysis'!M176/60))/(('Lab Analysis'!L176/44)+('Lab Analysis'!M176/60)),"0")</f>
        <v>0</v>
      </c>
      <c r="M176" s="187" t="str">
        <f>IFERROR(((2*('Lab Analysis'!U176/60))+('Lab Analysis'!S176/17))/(('Lab Analysis'!T176/44)+('Lab Analysis'!U176/60)),"0")</f>
        <v>0</v>
      </c>
      <c r="N176" s="187" t="str">
        <f>IFERROR((('Lab Analysis'!V176/18)-('Lab Analysis'!U176/60))/(('Lab Analysis'!T176/44)+('Lab Analysis'!U176/60)),"0")</f>
        <v>0</v>
      </c>
      <c r="O176" s="187" t="str">
        <f>IFERROR(((2*('Lab Analysis'!Y176/60)+('Lab Analysis'!W176/17))/(('Lab Analysis'!X176/44)+('Lab Analysis'!Y176/60))),"0")</f>
        <v>0</v>
      </c>
      <c r="P176" s="187" t="str">
        <f>IFERROR((('Lab Analysis'!Z176/18)-('Lab Analysis'!Y176/60))/(('Lab Analysis'!X176/44)+('Lab Analysis'!Y176/60)),"0")</f>
        <v>0</v>
      </c>
      <c r="Q176" s="191"/>
    </row>
    <row r="177" spans="1:17">
      <c r="A177" s="185">
        <v>45991</v>
      </c>
      <c r="B177" s="186" t="str">
        <f>IFERROR(('Lab Analysis'!E177/('Lab Analysis'!E177+(1.364*'Lab Analysis'!D177))),"0")</f>
        <v>0</v>
      </c>
      <c r="C177" s="186" t="str">
        <f>IFERROR((2*'Lab Analysis'!E177/60)/('Lab Analysis'!C177/17+(2*'Lab Analysis'!E177/60)),"0")</f>
        <v>0</v>
      </c>
      <c r="D177" s="187" t="str">
        <f>IFERROR(((2*('Lab Analysis'!E177/60)+('Lab Analysis'!C177/17))/(('Lab Analysis'!D177/44)+('Lab Analysis'!E177/60))),"0")</f>
        <v>0</v>
      </c>
      <c r="E177" s="187" t="str">
        <f>IFERROR((('Lab Analysis'!F177/18)-('Lab Analysis'!E177/60))/(('Lab Analysis'!D177/44)+('Lab Analysis'!E177/60)),"0")</f>
        <v>0</v>
      </c>
      <c r="F177" s="187" t="str">
        <f>IFERROR((('Lab Analysis'!F177/18)/('Lab Analysis'!E177/60)),"0")</f>
        <v>0</v>
      </c>
      <c r="G177" s="188" t="str">
        <f>IFERROR(('Lab Analysis'!I177/('Lab Analysis'!I177+(1.765*'Lab Analysis'!G177))),"0")</f>
        <v>0</v>
      </c>
      <c r="H177" s="189" t="str">
        <f>IFERROR(((2*('Lab Analysis'!I177/60))+('Lab Analysis'!G177/17))/(('Lab Analysis'!H177/44)+('Lab Analysis'!I177/60)),"0")</f>
        <v>0</v>
      </c>
      <c r="I177" s="189" t="str">
        <f>IFERROR((('Lab Analysis'!J177/18)-('Lab Analysis'!I177/60))/(('Lab Analysis'!H177/44)+('Lab Analysis'!I177/60)),"0")</f>
        <v>0</v>
      </c>
      <c r="J177" s="186" t="str">
        <f>IFERROR(('Lab Analysis'!M177/('Lab Analysis'!M177+(1.765*'Lab Analysis'!K177))),"0")</f>
        <v>0</v>
      </c>
      <c r="K177" s="190" t="str">
        <f>IFERROR(((2*('Lab Analysis'!M177/60))+('Lab Analysis'!K177/17))/(('Lab Analysis'!L177/44)+('Lab Analysis'!M177/60)),"0")</f>
        <v>0</v>
      </c>
      <c r="L177" s="190" t="str">
        <f>IFERROR((('Lab Analysis'!N177/18)-('Lab Analysis'!M177/60))/(('Lab Analysis'!L177/44)+('Lab Analysis'!M177/60)),"0")</f>
        <v>0</v>
      </c>
      <c r="M177" s="187" t="str">
        <f>IFERROR(((2*('Lab Analysis'!U177/60))+('Lab Analysis'!S177/17))/(('Lab Analysis'!T177/44)+('Lab Analysis'!U177/60)),"0")</f>
        <v>0</v>
      </c>
      <c r="N177" s="187" t="str">
        <f>IFERROR((('Lab Analysis'!V177/18)-('Lab Analysis'!U177/60))/(('Lab Analysis'!T177/44)+('Lab Analysis'!U177/60)),"0")</f>
        <v>0</v>
      </c>
      <c r="O177" s="187" t="str">
        <f>IFERROR(((2*('Lab Analysis'!Y177/60)+('Lab Analysis'!W177/17))/(('Lab Analysis'!X177/44)+('Lab Analysis'!Y177/60))),"0")</f>
        <v>0</v>
      </c>
      <c r="P177" s="187" t="str">
        <f>IFERROR((('Lab Analysis'!Z177/18)-('Lab Analysis'!Y177/60))/(('Lab Analysis'!X177/44)+('Lab Analysis'!Y177/60)),"0")</f>
        <v>0</v>
      </c>
      <c r="Q177" s="191"/>
    </row>
    <row r="178" spans="1:17">
      <c r="A178" s="185">
        <v>45992</v>
      </c>
      <c r="B178" s="186">
        <f>IFERROR(('Lab Analysis'!E178/('Lab Analysis'!E178+(1.364*'Lab Analysis'!D178))),"0")</f>
        <v>0.56161493710680843</v>
      </c>
      <c r="C178" s="186">
        <f>IFERROR((2*'Lab Analysis'!E178/60)/('Lab Analysis'!C178/17+(2*'Lab Analysis'!E178/60)),"0")</f>
        <v>0.37821146757584767</v>
      </c>
      <c r="D178" s="187">
        <f>IFERROR(((2*('Lab Analysis'!E178/60)+('Lab Analysis'!C178/17))/(('Lab Analysis'!D178/44)+('Lab Analysis'!E178/60))),"0")</f>
        <v>2.9701932898488752</v>
      </c>
      <c r="E178" s="187">
        <f>IFERROR((('Lab Analysis'!F178/18)-('Lab Analysis'!E178/60))/(('Lab Analysis'!D178/44)+('Lab Analysis'!E178/60)),"0")</f>
        <v>0.57029406473868571</v>
      </c>
      <c r="F178" s="187">
        <f>IFERROR((('Lab Analysis'!F178/18)/('Lab Analysis'!E178/60)),"0")</f>
        <v>2.0153351984250341</v>
      </c>
      <c r="G178" s="188">
        <f>IFERROR(('Lab Analysis'!I178/('Lab Analysis'!I178+(1.765*'Lab Analysis'!G178))),"0")</f>
        <v>0.72848972024800496</v>
      </c>
      <c r="H178" s="189">
        <f>IFERROR(((2*('Lab Analysis'!I178/60))+('Lab Analysis'!G178/17))/(('Lab Analysis'!H178/44)+('Lab Analysis'!I178/60)),"0")</f>
        <v>2.202979239788855</v>
      </c>
      <c r="I178" s="189">
        <f>IFERROR((('Lab Analysis'!J178/18)-('Lab Analysis'!I178/60))/(('Lab Analysis'!H178/44)+('Lab Analysis'!I178/60)),"0")</f>
        <v>0.69523579018304149</v>
      </c>
      <c r="J178" s="186">
        <f>IFERROR(('Lab Analysis'!M178/('Lab Analysis'!M178+(1.765*'Lab Analysis'!K178))),"0")</f>
        <v>0.58667593165068099</v>
      </c>
      <c r="K178" s="190">
        <f>IFERROR(((2*('Lab Analysis'!M178/60))+('Lab Analysis'!K178/17))/(('Lab Analysis'!L178/44)+('Lab Analysis'!M178/60)),"0")</f>
        <v>2.4233602910153271</v>
      </c>
      <c r="L178" s="190">
        <f>IFERROR((('Lab Analysis'!N178/18)-('Lab Analysis'!M178/60))/(('Lab Analysis'!L178/44)+('Lab Analysis'!M178/60)),"0")</f>
        <v>0.79191027263777569</v>
      </c>
      <c r="M178" s="187" t="str">
        <f>IFERROR(((2*('Lab Analysis'!U178/60))+('Lab Analysis'!S178/17))/(('Lab Analysis'!T178/44)+('Lab Analysis'!U178/60)),"0")</f>
        <v>0</v>
      </c>
      <c r="N178" s="187" t="str">
        <f>IFERROR((('Lab Analysis'!V178/18)-('Lab Analysis'!U178/60))/(('Lab Analysis'!T178/44)+('Lab Analysis'!U178/60)),"0")</f>
        <v>0</v>
      </c>
      <c r="O178" s="187">
        <f>IFERROR(((2*('Lab Analysis'!Y178/60)+('Lab Analysis'!W178/17))/(('Lab Analysis'!X178/44)+('Lab Analysis'!Y178/60))),"0")</f>
        <v>2.4701601883406594</v>
      </c>
      <c r="P178" s="187">
        <f>IFERROR((('Lab Analysis'!Z178/18)-('Lab Analysis'!Y178/60))/(('Lab Analysis'!X178/44)+('Lab Analysis'!Y178/60)),"0")</f>
        <v>2.0640607021799298</v>
      </c>
      <c r="Q178" s="191"/>
    </row>
    <row r="179" spans="1:17">
      <c r="A179" s="185">
        <v>45993</v>
      </c>
      <c r="B179" s="186">
        <f>IFERROR(('Lab Analysis'!E179/('Lab Analysis'!E179+(1.364*'Lab Analysis'!D179))),"0")</f>
        <v>0.56144700536189684</v>
      </c>
      <c r="C179" s="186">
        <f>IFERROR((2*'Lab Analysis'!E179/60)/('Lab Analysis'!C179/17+(2*'Lab Analysis'!E179/60)),"0")</f>
        <v>0.37823940906313708</v>
      </c>
      <c r="D179" s="187">
        <f>IFERROR(((2*('Lab Analysis'!E179/60)+('Lab Analysis'!C179/17))/(('Lab Analysis'!D179/44)+('Lab Analysis'!E179/60))),"0")</f>
        <v>2.969085938071816</v>
      </c>
      <c r="E179" s="187">
        <f>IFERROR((('Lab Analysis'!F179/18)-('Lab Analysis'!E179/60))/(('Lab Analysis'!D179/44)+('Lab Analysis'!E179/60)),"0")</f>
        <v>0.52651556913578346</v>
      </c>
      <c r="F179" s="187">
        <f>IFERROR((('Lab Analysis'!F179/18)/('Lab Analysis'!E179/60)),"0")</f>
        <v>1.9376735575439685</v>
      </c>
      <c r="G179" s="188" t="str">
        <f>IFERROR(('Lab Analysis'!I179/('Lab Analysis'!I179+(1.765*'Lab Analysis'!G179))),"0")</f>
        <v>0</v>
      </c>
      <c r="H179" s="189" t="str">
        <f>IFERROR(((2*('Lab Analysis'!I179/60))+('Lab Analysis'!G179/17))/(('Lab Analysis'!H179/44)+('Lab Analysis'!I179/60)),"0")</f>
        <v>0</v>
      </c>
      <c r="I179" s="189" t="str">
        <f>IFERROR((('Lab Analysis'!J179/18)-('Lab Analysis'!I179/60))/(('Lab Analysis'!H179/44)+('Lab Analysis'!I179/60)),"0")</f>
        <v>0</v>
      </c>
      <c r="J179" s="186" t="str">
        <f>IFERROR(('Lab Analysis'!M179/('Lab Analysis'!M179+(1.765*'Lab Analysis'!K179))),"0")</f>
        <v>0</v>
      </c>
      <c r="K179" s="190" t="str">
        <f>IFERROR(((2*('Lab Analysis'!M179/60))+('Lab Analysis'!K179/17))/(('Lab Analysis'!L179/44)+('Lab Analysis'!M179/60)),"0")</f>
        <v>0</v>
      </c>
      <c r="L179" s="190" t="str">
        <f>IFERROR((('Lab Analysis'!N179/18)-('Lab Analysis'!M179/60))/(('Lab Analysis'!L179/44)+('Lab Analysis'!M179/60)),"0")</f>
        <v>0</v>
      </c>
      <c r="M179" s="187" t="str">
        <f>IFERROR(((2*('Lab Analysis'!U179/60))+('Lab Analysis'!S179/17))/(('Lab Analysis'!T179/44)+('Lab Analysis'!U179/60)),"0")</f>
        <v>0</v>
      </c>
      <c r="N179" s="187" t="str">
        <f>IFERROR((('Lab Analysis'!V179/18)-('Lab Analysis'!U179/60))/(('Lab Analysis'!T179/44)+('Lab Analysis'!U179/60)),"0")</f>
        <v>0</v>
      </c>
      <c r="O179" s="187" t="str">
        <f>IFERROR(((2*('Lab Analysis'!Y179/60)+('Lab Analysis'!W179/17))/(('Lab Analysis'!X179/44)+('Lab Analysis'!Y179/60))),"0")</f>
        <v>0</v>
      </c>
      <c r="P179" s="187" t="str">
        <f>IFERROR((('Lab Analysis'!Z179/18)-('Lab Analysis'!Y179/60))/(('Lab Analysis'!X179/44)+('Lab Analysis'!Y179/60)),"0")</f>
        <v>0</v>
      </c>
      <c r="Q179" s="191"/>
    </row>
    <row r="180" spans="1:17">
      <c r="A180" s="185">
        <v>45994</v>
      </c>
      <c r="B180" s="186">
        <f>IFERROR(('Lab Analysis'!E180/('Lab Analysis'!E180+(1.364*'Lab Analysis'!D180))),"0")</f>
        <v>0.55661013649290414</v>
      </c>
      <c r="C180" s="186">
        <f>IFERROR((2*'Lab Analysis'!E180/60)/('Lab Analysis'!C180/17+(2*'Lab Analysis'!E180/60)),"0")</f>
        <v>0.37254472535143796</v>
      </c>
      <c r="D180" s="187">
        <f>IFERROR(((2*('Lab Analysis'!E180/60)+('Lab Analysis'!C180/17))/(('Lab Analysis'!D180/44)+('Lab Analysis'!E180/60))),"0")</f>
        <v>2.9885052769369218</v>
      </c>
      <c r="E180" s="187">
        <f>IFERROR((('Lab Analysis'!F180/18)-('Lab Analysis'!E180/60))/(('Lab Analysis'!D180/44)+('Lab Analysis'!E180/60)),"0")</f>
        <v>0.52816411682892894</v>
      </c>
      <c r="F180" s="187">
        <f>IFERROR((('Lab Analysis'!F180/18)/('Lab Analysis'!E180/60)),"0")</f>
        <v>1.948782011242973</v>
      </c>
      <c r="G180" s="188" t="str">
        <f>IFERROR(('Lab Analysis'!I180/('Lab Analysis'!I180+(1.765*'Lab Analysis'!G180))),"0")</f>
        <v>0</v>
      </c>
      <c r="H180" s="189" t="str">
        <f>IFERROR(((2*('Lab Analysis'!I180/60))+('Lab Analysis'!G180/17))/(('Lab Analysis'!H180/44)+('Lab Analysis'!I180/60)),"0")</f>
        <v>0</v>
      </c>
      <c r="I180" s="189" t="str">
        <f>IFERROR((('Lab Analysis'!J180/18)-('Lab Analysis'!I180/60))/(('Lab Analysis'!H180/44)+('Lab Analysis'!I180/60)),"0")</f>
        <v>0</v>
      </c>
      <c r="J180" s="186" t="str">
        <f>IFERROR(('Lab Analysis'!M180/('Lab Analysis'!M180+(1.765*'Lab Analysis'!K180))),"0")</f>
        <v>0</v>
      </c>
      <c r="K180" s="190" t="str">
        <f>IFERROR(((2*('Lab Analysis'!M180/60))+('Lab Analysis'!K180/17))/(('Lab Analysis'!L180/44)+('Lab Analysis'!M180/60)),"0")</f>
        <v>0</v>
      </c>
      <c r="L180" s="190" t="str">
        <f>IFERROR((('Lab Analysis'!N180/18)-('Lab Analysis'!M180/60))/(('Lab Analysis'!L180/44)+('Lab Analysis'!M180/60)),"0")</f>
        <v>0</v>
      </c>
      <c r="M180" s="187" t="str">
        <f>IFERROR(((2*('Lab Analysis'!U180/60))+('Lab Analysis'!S180/17))/(('Lab Analysis'!T180/44)+('Lab Analysis'!U180/60)),"0")</f>
        <v>0</v>
      </c>
      <c r="N180" s="187" t="str">
        <f>IFERROR((('Lab Analysis'!V180/18)-('Lab Analysis'!U180/60))/(('Lab Analysis'!T180/44)+('Lab Analysis'!U180/60)),"0")</f>
        <v>0</v>
      </c>
      <c r="O180" s="187" t="str">
        <f>IFERROR(((2*('Lab Analysis'!Y180/60)+('Lab Analysis'!W180/17))/(('Lab Analysis'!X180/44)+('Lab Analysis'!Y180/60))),"0")</f>
        <v>0</v>
      </c>
      <c r="P180" s="187" t="str">
        <f>IFERROR((('Lab Analysis'!Z180/18)-('Lab Analysis'!Y180/60))/(('Lab Analysis'!X180/44)+('Lab Analysis'!Y180/60)),"0")</f>
        <v>0</v>
      </c>
      <c r="Q180" s="191"/>
    </row>
    <row r="181" spans="1:17">
      <c r="A181" s="185">
        <v>45995</v>
      </c>
      <c r="B181" s="186">
        <f>IFERROR(('Lab Analysis'!E181/('Lab Analysis'!E181+(1.364*'Lab Analysis'!D181))),"0")</f>
        <v>0.55824901971958629</v>
      </c>
      <c r="C181" s="186">
        <f>IFERROR((2*'Lab Analysis'!E181/60)/('Lab Analysis'!C181/17+(2*'Lab Analysis'!E181/60)),"0")</f>
        <v>0.37596795176244657</v>
      </c>
      <c r="D181" s="187">
        <f>IFERROR(((2*('Lab Analysis'!E181/60)+('Lab Analysis'!C181/17))/(('Lab Analysis'!D181/44)+('Lab Analysis'!E181/60))),"0")</f>
        <v>2.9700125725850741</v>
      </c>
      <c r="E181" s="187">
        <f>IFERROR((('Lab Analysis'!F181/18)-('Lab Analysis'!E181/60))/(('Lab Analysis'!D181/44)+('Lab Analysis'!E181/60)),"0")</f>
        <v>0.54279154753065872</v>
      </c>
      <c r="F181" s="187">
        <f>IFERROR((('Lab Analysis'!F181/18)/('Lab Analysis'!E181/60)),"0")</f>
        <v>1.9721962859217748</v>
      </c>
      <c r="G181" s="188">
        <f>IFERROR(('Lab Analysis'!I181/('Lab Analysis'!I181+(1.765*'Lab Analysis'!G181))),"0")</f>
        <v>0.72508392109397524</v>
      </c>
      <c r="H181" s="189">
        <f>IFERROR(((2*('Lab Analysis'!I181/60))+('Lab Analysis'!G181/17))/(('Lab Analysis'!H181/44)+('Lab Analysis'!I181/60)),"0")</f>
        <v>2.206979266945293</v>
      </c>
      <c r="I181" s="189">
        <f>IFERROR((('Lab Analysis'!J181/18)-('Lab Analysis'!I181/60))/(('Lab Analysis'!H181/44)+('Lab Analysis'!I181/60)),"0")</f>
        <v>0.6846293478930584</v>
      </c>
      <c r="J181" s="186">
        <f>IFERROR(('Lab Analysis'!M181/('Lab Analysis'!M181+(1.765*'Lab Analysis'!K181))),"0")</f>
        <v>0.57587837534484687</v>
      </c>
      <c r="K181" s="190">
        <f>IFERROR(((2*('Lab Analysis'!M181/60))+('Lab Analysis'!K181/17))/(('Lab Analysis'!L181/44)+('Lab Analysis'!M181/60)),"0")</f>
        <v>2.4628953776658231</v>
      </c>
      <c r="L181" s="190">
        <f>IFERROR((('Lab Analysis'!N181/18)-('Lab Analysis'!M181/60))/(('Lab Analysis'!L181/44)+('Lab Analysis'!M181/60)),"0")</f>
        <v>0.73111067764990723</v>
      </c>
      <c r="M181" s="187">
        <f>IFERROR(((2*('Lab Analysis'!Q181/60))+('Lab Analysis'!O181/17))/(('Lab Analysis'!P181/44)+('Lab Analysis'!Q181/60)),"0")</f>
        <v>2.0266662500878718</v>
      </c>
      <c r="N181" s="187">
        <f>IFERROR((('Lab Analysis'!V181/18)-('Lab Analysis'!Q181/60))/(('Lab Analysis'!P181/44)+('Lab Analysis'!Q181/60)),"0")</f>
        <v>0.51024653653786545</v>
      </c>
      <c r="O181" s="187">
        <f>IFERROR(((2*('Lab Analysis'!Y181/60)+('Lab Analysis'!W181/17))/(('Lab Analysis'!X181/44)+('Lab Analysis'!Y181/60))),"0")</f>
        <v>2.5096509913157465</v>
      </c>
      <c r="P181" s="187">
        <f>IFERROR((('Lab Analysis'!Z181/18)-('Lab Analysis'!Y181/60))/(('Lab Analysis'!X181/44)+('Lab Analysis'!Y181/60)),"0")</f>
        <v>1.9943670690188788</v>
      </c>
      <c r="Q181" s="191"/>
    </row>
    <row r="182" spans="1:17">
      <c r="A182" s="185">
        <v>45996</v>
      </c>
      <c r="B182" s="186">
        <f>IFERROR(('Lab Analysis'!E182/('Lab Analysis'!E182+(1.364*'Lab Analysis'!D182))),"0")</f>
        <v>0.55978480854802193</v>
      </c>
      <c r="C182" s="186">
        <f>IFERROR((2*'Lab Analysis'!E182/60)/('Lab Analysis'!C182/17+(2*'Lab Analysis'!E182/60)),"0")</f>
        <v>0.37650739398282773</v>
      </c>
      <c r="D182" s="187">
        <f>IFERROR(((2*('Lab Analysis'!E182/60)+('Lab Analysis'!C182/17))/(('Lab Analysis'!D182/44)+('Lab Analysis'!E182/60))),"0")</f>
        <v>2.9739151008865123</v>
      </c>
      <c r="E182" s="187">
        <f>IFERROR((('Lab Analysis'!F182/18)-('Lab Analysis'!E182/60))/(('Lab Analysis'!D182/44)+('Lab Analysis'!E182/60)),"0")</f>
        <v>0.55323124673391522</v>
      </c>
      <c r="F182" s="187">
        <f>IFERROR((('Lab Analysis'!F182/18)/('Lab Analysis'!E182/60)),"0")</f>
        <v>1.9881767268201622</v>
      </c>
      <c r="G182" s="188" t="str">
        <f>IFERROR(('Lab Analysis'!I182/('Lab Analysis'!I182+(1.765*'Lab Analysis'!G182))),"0")</f>
        <v>0</v>
      </c>
      <c r="H182" s="189" t="str">
        <f>IFERROR(((2*('Lab Analysis'!I182/60))+('Lab Analysis'!G182/17))/(('Lab Analysis'!H182/44)+('Lab Analysis'!I182/60)),"0")</f>
        <v>0</v>
      </c>
      <c r="I182" s="189" t="str">
        <f>IFERROR((('Lab Analysis'!J182/18)-('Lab Analysis'!I182/60))/(('Lab Analysis'!H182/44)+('Lab Analysis'!I182/60)),"0")</f>
        <v>0</v>
      </c>
      <c r="J182" s="186" t="str">
        <f>IFERROR(('Lab Analysis'!M182/('Lab Analysis'!M182+(1.765*'Lab Analysis'!K182))),"0")</f>
        <v>0</v>
      </c>
      <c r="K182" s="190" t="str">
        <f>IFERROR(((2*('Lab Analysis'!M182/60))+('Lab Analysis'!K182/17))/(('Lab Analysis'!L182/44)+('Lab Analysis'!M182/60)),"0")</f>
        <v>0</v>
      </c>
      <c r="L182" s="190" t="str">
        <f>IFERROR((('Lab Analysis'!N182/18)-('Lab Analysis'!M182/60))/(('Lab Analysis'!L182/44)+('Lab Analysis'!M182/60)),"0")</f>
        <v>0</v>
      </c>
      <c r="M182" s="187" t="str">
        <f>IFERROR(((2*('Lab Analysis'!U182/60))+('Lab Analysis'!S182/17))/(('Lab Analysis'!T182/44)+('Lab Analysis'!U182/60)),"0")</f>
        <v>0</v>
      </c>
      <c r="N182" s="187" t="str">
        <f>IFERROR((('Lab Analysis'!V182/18)-('Lab Analysis'!U182/60))/(('Lab Analysis'!T182/44)+('Lab Analysis'!U182/60)),"0")</f>
        <v>0</v>
      </c>
      <c r="O182" s="187" t="str">
        <f>IFERROR(((2*('Lab Analysis'!Y182/60)+('Lab Analysis'!W182/17))/(('Lab Analysis'!X182/44)+('Lab Analysis'!Y182/60))),"0")</f>
        <v>0</v>
      </c>
      <c r="P182" s="187" t="str">
        <f>IFERROR((('Lab Analysis'!Z182/18)-('Lab Analysis'!Y182/60))/(('Lab Analysis'!X182/44)+('Lab Analysis'!Y182/60)),"0")</f>
        <v>0</v>
      </c>
      <c r="Q182" s="191"/>
    </row>
    <row r="183" spans="1:17">
      <c r="A183" s="185">
        <v>45997</v>
      </c>
      <c r="B183" s="186">
        <f>IFERROR(('Lab Analysis'!E183/('Lab Analysis'!E183+(1.364*'Lab Analysis'!D183))),"0")</f>
        <v>0.55581536196996295</v>
      </c>
      <c r="C183" s="186">
        <f>IFERROR((2*'Lab Analysis'!E183/60)/('Lab Analysis'!C183/17+(2*'Lab Analysis'!E183/60)),"0")</f>
        <v>0.37374224672639561</v>
      </c>
      <c r="D183" s="187">
        <f>IFERROR(((2*('Lab Analysis'!E183/60)+('Lab Analysis'!C183/17))/(('Lab Analysis'!D183/44)+('Lab Analysis'!E183/60))),"0")</f>
        <v>2.9746767617938263</v>
      </c>
      <c r="E183" s="187">
        <f>IFERROR((('Lab Analysis'!F183/18)-('Lab Analysis'!E183/60))/(('Lab Analysis'!D183/44)+('Lab Analysis'!E183/60)),"0")</f>
        <v>0.55471947194719495</v>
      </c>
      <c r="F183" s="187">
        <f>IFERROR((('Lab Analysis'!F183/18)/('Lab Analysis'!E183/60)),"0")</f>
        <v>1.9979101358411708</v>
      </c>
      <c r="G183" s="188" t="str">
        <f>IFERROR(('Lab Analysis'!I183/('Lab Analysis'!I183+(1.765*'Lab Analysis'!G183))),"0")</f>
        <v>0</v>
      </c>
      <c r="H183" s="189" t="str">
        <f>IFERROR(((2*('Lab Analysis'!I183/60))+('Lab Analysis'!G183/17))/(('Lab Analysis'!H183/44)+('Lab Analysis'!I183/60)),"0")</f>
        <v>0</v>
      </c>
      <c r="I183" s="189" t="str">
        <f>IFERROR((('Lab Analysis'!J183/18)-('Lab Analysis'!I183/60))/(('Lab Analysis'!H183/44)+('Lab Analysis'!I183/60)),"0")</f>
        <v>0</v>
      </c>
      <c r="J183" s="186" t="str">
        <f>IFERROR(('Lab Analysis'!M183/('Lab Analysis'!M183+(1.765*'Lab Analysis'!K183))),"0")</f>
        <v>0</v>
      </c>
      <c r="K183" s="190" t="str">
        <f>IFERROR(((2*('Lab Analysis'!M183/60))+('Lab Analysis'!K183/17))/(('Lab Analysis'!L183/44)+('Lab Analysis'!M183/60)),"0")</f>
        <v>0</v>
      </c>
      <c r="L183" s="190" t="str">
        <f>IFERROR((('Lab Analysis'!N183/18)-('Lab Analysis'!M183/60))/(('Lab Analysis'!L183/44)+('Lab Analysis'!M183/60)),"0")</f>
        <v>0</v>
      </c>
      <c r="M183" s="187" t="str">
        <f>IFERROR(((2*('Lab Analysis'!U183/60))+('Lab Analysis'!S183/17))/(('Lab Analysis'!T183/44)+('Lab Analysis'!U183/60)),"0")</f>
        <v>0</v>
      </c>
      <c r="N183" s="187" t="str">
        <f>IFERROR((('Lab Analysis'!V183/18)-('Lab Analysis'!U183/60))/(('Lab Analysis'!T183/44)+('Lab Analysis'!U183/60)),"0")</f>
        <v>0</v>
      </c>
      <c r="O183" s="187" t="str">
        <f>IFERROR(((2*('Lab Analysis'!Y183/60)+('Lab Analysis'!W183/17))/(('Lab Analysis'!X183/44)+('Lab Analysis'!Y183/60))),"0")</f>
        <v>0</v>
      </c>
      <c r="P183" s="187" t="str">
        <f>IFERROR((('Lab Analysis'!Z183/18)-('Lab Analysis'!Y183/60))/(('Lab Analysis'!X183/44)+('Lab Analysis'!Y183/60)),"0")</f>
        <v>0</v>
      </c>
      <c r="Q183" s="191"/>
    </row>
    <row r="184" spans="1:17">
      <c r="A184" s="185">
        <v>45998</v>
      </c>
      <c r="B184" s="186" t="str">
        <f>IFERROR(('Lab Analysis'!E184/('Lab Analysis'!E184+(1.364*'Lab Analysis'!D184))),"0")</f>
        <v>0</v>
      </c>
      <c r="C184" s="186" t="str">
        <f>IFERROR((2*'Lab Analysis'!E184/60)/('Lab Analysis'!C184/17+(2*'Lab Analysis'!E184/60)),"0")</f>
        <v>0</v>
      </c>
      <c r="D184" s="187" t="str">
        <f>IFERROR(((2*('Lab Analysis'!E184/60)+('Lab Analysis'!C184/17))/(('Lab Analysis'!D184/44)+('Lab Analysis'!E184/60))),"0")</f>
        <v>0</v>
      </c>
      <c r="E184" s="187" t="str">
        <f>IFERROR((('Lab Analysis'!F184/18)-('Lab Analysis'!E184/60))/(('Lab Analysis'!D184/44)+('Lab Analysis'!E184/60)),"0")</f>
        <v>0</v>
      </c>
      <c r="F184" s="187" t="str">
        <f>IFERROR((('Lab Analysis'!F184/18)/('Lab Analysis'!E184/60)),"0")</f>
        <v>0</v>
      </c>
      <c r="G184" s="188" t="str">
        <f>IFERROR(('Lab Analysis'!I184/('Lab Analysis'!I184+(1.765*'Lab Analysis'!G184))),"0")</f>
        <v>0</v>
      </c>
      <c r="H184" s="189" t="str">
        <f>IFERROR(((2*('Lab Analysis'!I184/60))+('Lab Analysis'!G184/17))/(('Lab Analysis'!H184/44)+('Lab Analysis'!I184/60)),"0")</f>
        <v>0</v>
      </c>
      <c r="I184" s="189" t="str">
        <f>IFERROR((('Lab Analysis'!J184/18)-('Lab Analysis'!I184/60))/(('Lab Analysis'!H184/44)+('Lab Analysis'!I184/60)),"0")</f>
        <v>0</v>
      </c>
      <c r="J184" s="186" t="str">
        <f>IFERROR(('Lab Analysis'!M184/('Lab Analysis'!M184+(1.765*'Lab Analysis'!K184))),"0")</f>
        <v>0</v>
      </c>
      <c r="K184" s="190" t="str">
        <f>IFERROR(((2*('Lab Analysis'!M184/60))+('Lab Analysis'!K184/17))/(('Lab Analysis'!L184/44)+('Lab Analysis'!M184/60)),"0")</f>
        <v>0</v>
      </c>
      <c r="L184" s="190" t="str">
        <f>IFERROR((('Lab Analysis'!N184/18)-('Lab Analysis'!M184/60))/(('Lab Analysis'!L184/44)+('Lab Analysis'!M184/60)),"0")</f>
        <v>0</v>
      </c>
      <c r="M184" s="187" t="str">
        <f>IFERROR(((2*('Lab Analysis'!U184/60))+('Lab Analysis'!S184/17))/(('Lab Analysis'!T184/44)+('Lab Analysis'!U184/60)),"0")</f>
        <v>0</v>
      </c>
      <c r="N184" s="187" t="str">
        <f>IFERROR((('Lab Analysis'!V184/18)-('Lab Analysis'!U184/60))/(('Lab Analysis'!T184/44)+('Lab Analysis'!U184/60)),"0")</f>
        <v>0</v>
      </c>
      <c r="O184" s="187" t="str">
        <f>IFERROR(((2*('Lab Analysis'!Y184/60)+('Lab Analysis'!W184/17))/(('Lab Analysis'!X184/44)+('Lab Analysis'!Y184/60))),"0")</f>
        <v>0</v>
      </c>
      <c r="P184" s="187" t="str">
        <f>IFERROR((('Lab Analysis'!Z184/18)-('Lab Analysis'!Y184/60))/(('Lab Analysis'!X184/44)+('Lab Analysis'!Y184/60)),"0")</f>
        <v>0</v>
      </c>
      <c r="Q184" s="191"/>
    </row>
    <row r="185" spans="1:17">
      <c r="A185" s="185">
        <v>45999</v>
      </c>
      <c r="B185" s="186">
        <f>IFERROR(('Lab Analysis'!E185/('Lab Analysis'!E185+(1.364*'Lab Analysis'!D185))),"0")</f>
        <v>0.559748887288115</v>
      </c>
      <c r="C185" s="186">
        <f>IFERROR((2*'Lab Analysis'!E185/60)/('Lab Analysis'!C185/17+(2*'Lab Analysis'!E185/60)),"0")</f>
        <v>0.37525302081117612</v>
      </c>
      <c r="D185" s="187">
        <f>IFERROR(((2*('Lab Analysis'!E185/60)+('Lab Analysis'!C185/17))/(('Lab Analysis'!D185/44)+('Lab Analysis'!E185/60))),"0")</f>
        <v>2.9836646801984732</v>
      </c>
      <c r="E185" s="187">
        <f>IFERROR((('Lab Analysis'!F185/18)-('Lab Analysis'!E185/60))/(('Lab Analysis'!D185/44)+('Lab Analysis'!E185/60)),"0")</f>
        <v>0.53823641080807405</v>
      </c>
      <c r="F185" s="187">
        <f>IFERROR((('Lab Analysis'!F185/18)/('Lab Analysis'!E185/60)),"0")</f>
        <v>1.961454771526266</v>
      </c>
      <c r="G185" s="188">
        <f>IFERROR(('Lab Analysis'!I185/('Lab Analysis'!I185+(1.765*'Lab Analysis'!G185))),"0")</f>
        <v>0.72264776117516616</v>
      </c>
      <c r="H185" s="189">
        <f>IFERROR(((2*('Lab Analysis'!I185/60))+('Lab Analysis'!G185/17))/(('Lab Analysis'!H185/44)+('Lab Analysis'!I185/60)),"0")</f>
        <v>2.207628548241495</v>
      </c>
      <c r="I185" s="189">
        <f>IFERROR((('Lab Analysis'!J185/18)-('Lab Analysis'!I185/60))/(('Lab Analysis'!H185/44)+('Lab Analysis'!I185/60)),"0")</f>
        <v>0.63773058440551866</v>
      </c>
      <c r="J185" s="186">
        <f>IFERROR(('Lab Analysis'!M185/('Lab Analysis'!M185+(1.765*'Lab Analysis'!K185))),"0")</f>
        <v>0.58580513953002611</v>
      </c>
      <c r="K185" s="190">
        <f>IFERROR(((2*('Lab Analysis'!M185/60))+('Lab Analysis'!K185/17))/(('Lab Analysis'!L185/44)+('Lab Analysis'!M185/60)),"0")</f>
        <v>2.4218320622639853</v>
      </c>
      <c r="L185" s="190">
        <f>IFERROR((('Lab Analysis'!N185/18)-('Lab Analysis'!M185/60))/(('Lab Analysis'!L185/44)+('Lab Analysis'!M185/60)),"0")</f>
        <v>0.69064836860344125</v>
      </c>
      <c r="M185" s="187" t="str">
        <f>IFERROR(((2*('Lab Analysis'!U185/60))+('Lab Analysis'!S185/17))/(('Lab Analysis'!T185/44)+('Lab Analysis'!U185/60)),"0")</f>
        <v>0</v>
      </c>
      <c r="N185" s="187" t="str">
        <f>IFERROR((('Lab Analysis'!V185/18)-('Lab Analysis'!U185/60))/(('Lab Analysis'!T185/44)+('Lab Analysis'!U185/60)),"0")</f>
        <v>0</v>
      </c>
      <c r="O185" s="187">
        <f>IFERROR(((2*('Lab Analysis'!Y185/60)+('Lab Analysis'!W185/17))/(('Lab Analysis'!X185/44)+('Lab Analysis'!Y185/60))),"0")</f>
        <v>2.4729001481577964</v>
      </c>
      <c r="P185" s="187">
        <f>IFERROR((('Lab Analysis'!Z185/18)-('Lab Analysis'!Y185/60))/(('Lab Analysis'!X185/44)+('Lab Analysis'!Y185/60)),"0")</f>
        <v>1.9857305409478117</v>
      </c>
      <c r="Q185" s="191"/>
    </row>
    <row r="186" spans="1:17">
      <c r="A186" s="185">
        <v>46000</v>
      </c>
      <c r="B186" s="186" t="str">
        <f>IFERROR(('Lab Analysis'!E186/('Lab Analysis'!E186+(1.364*'Lab Analysis'!D186))),"0")</f>
        <v>0</v>
      </c>
      <c r="C186" s="186" t="str">
        <f>IFERROR((2*'Lab Analysis'!E186/60)/('Lab Analysis'!C186/17+(2*'Lab Analysis'!E186/60)),"0")</f>
        <v>0</v>
      </c>
      <c r="D186" s="187" t="str">
        <f>IFERROR(((2*('Lab Analysis'!E186/60)+('Lab Analysis'!C186/17))/(('Lab Analysis'!D186/44)+('Lab Analysis'!E186/60))),"0")</f>
        <v>0</v>
      </c>
      <c r="E186" s="187" t="str">
        <f>IFERROR((('Lab Analysis'!F186/18)-('Lab Analysis'!E186/60))/(('Lab Analysis'!D186/44)+('Lab Analysis'!E186/60)),"0")</f>
        <v>0</v>
      </c>
      <c r="F186" s="187" t="str">
        <f>IFERROR((('Lab Analysis'!F186/18)/('Lab Analysis'!E186/60)),"0")</f>
        <v>0</v>
      </c>
      <c r="G186" s="188" t="str">
        <f>IFERROR(('Lab Analysis'!I186/('Lab Analysis'!I186+(1.765*'Lab Analysis'!G186))),"0")</f>
        <v>0</v>
      </c>
      <c r="H186" s="189" t="str">
        <f>IFERROR(((2*('Lab Analysis'!I186/60))+('Lab Analysis'!G186/17))/(('Lab Analysis'!H186/44)+('Lab Analysis'!I186/60)),"0")</f>
        <v>0</v>
      </c>
      <c r="I186" s="189" t="str">
        <f>IFERROR((('Lab Analysis'!J186/18)-('Lab Analysis'!I186/60))/(('Lab Analysis'!H186/44)+('Lab Analysis'!I186/60)),"0")</f>
        <v>0</v>
      </c>
      <c r="J186" s="186" t="str">
        <f>IFERROR(('Lab Analysis'!M186/('Lab Analysis'!M186+(1.765*'Lab Analysis'!K186))),"0")</f>
        <v>0</v>
      </c>
      <c r="K186" s="190" t="str">
        <f>IFERROR(((2*('Lab Analysis'!M186/60))+('Lab Analysis'!K186/17))/(('Lab Analysis'!L186/44)+('Lab Analysis'!M186/60)),"0")</f>
        <v>0</v>
      </c>
      <c r="L186" s="190" t="str">
        <f>IFERROR((('Lab Analysis'!N186/18)-('Lab Analysis'!M186/60))/(('Lab Analysis'!L186/44)+('Lab Analysis'!M186/60)),"0")</f>
        <v>0</v>
      </c>
      <c r="M186" s="187" t="str">
        <f>IFERROR(((2*('Lab Analysis'!U186/60))+('Lab Analysis'!S186/17))/(('Lab Analysis'!T186/44)+('Lab Analysis'!U186/60)),"0")</f>
        <v>0</v>
      </c>
      <c r="N186" s="187" t="str">
        <f>IFERROR((('Lab Analysis'!V186/18)-('Lab Analysis'!U186/60))/(('Lab Analysis'!T186/44)+('Lab Analysis'!U186/60)),"0")</f>
        <v>0</v>
      </c>
      <c r="O186" s="187" t="str">
        <f>IFERROR(((2*('Lab Analysis'!Y186/60)+('Lab Analysis'!W186/17))/(('Lab Analysis'!X186/44)+('Lab Analysis'!Y186/60))),"0")</f>
        <v>0</v>
      </c>
      <c r="P186" s="187" t="str">
        <f>IFERROR((('Lab Analysis'!Z186/18)-('Lab Analysis'!Y186/60))/(('Lab Analysis'!X186/44)+('Lab Analysis'!Y186/60)),"0")</f>
        <v>0</v>
      </c>
      <c r="Q186" s="191"/>
    </row>
    <row r="187" spans="1:17">
      <c r="A187" s="185">
        <v>46001</v>
      </c>
      <c r="B187" s="186" t="str">
        <f>IFERROR(('Lab Analysis'!E187/('Lab Analysis'!E187+(1.364*'Lab Analysis'!D187))),"0")</f>
        <v>0</v>
      </c>
      <c r="C187" s="186" t="str">
        <f>IFERROR((2*'Lab Analysis'!E187/60)/('Lab Analysis'!C187/17+(2*'Lab Analysis'!E187/60)),"0")</f>
        <v>0</v>
      </c>
      <c r="D187" s="187" t="str">
        <f>IFERROR(((2*('Lab Analysis'!E187/60)+('Lab Analysis'!C187/17))/(('Lab Analysis'!D187/44)+('Lab Analysis'!E187/60))),"0")</f>
        <v>0</v>
      </c>
      <c r="E187" s="187" t="str">
        <f>IFERROR((('Lab Analysis'!F187/18)-('Lab Analysis'!E187/60))/(('Lab Analysis'!D187/44)+('Lab Analysis'!E187/60)),"0")</f>
        <v>0</v>
      </c>
      <c r="F187" s="187" t="str">
        <f>IFERROR((('Lab Analysis'!F187/18)/('Lab Analysis'!E187/60)),"0")</f>
        <v>0</v>
      </c>
      <c r="G187" s="188" t="str">
        <f>IFERROR(('Lab Analysis'!I187/('Lab Analysis'!I187+(1.765*'Lab Analysis'!G187))),"0")</f>
        <v>0</v>
      </c>
      <c r="H187" s="189" t="str">
        <f>IFERROR(((2*('Lab Analysis'!I187/60))+('Lab Analysis'!G187/17))/(('Lab Analysis'!H187/44)+('Lab Analysis'!I187/60)),"0")</f>
        <v>0</v>
      </c>
      <c r="I187" s="189" t="str">
        <f>IFERROR((('Lab Analysis'!J187/18)-('Lab Analysis'!I187/60))/(('Lab Analysis'!H187/44)+('Lab Analysis'!I187/60)),"0")</f>
        <v>0</v>
      </c>
      <c r="J187" s="186" t="str">
        <f>IFERROR(('Lab Analysis'!M187/('Lab Analysis'!M187+(1.765*'Lab Analysis'!K187))),"0")</f>
        <v>0</v>
      </c>
      <c r="K187" s="190" t="str">
        <f>IFERROR(((2*('Lab Analysis'!M187/60))+('Lab Analysis'!K187/17))/(('Lab Analysis'!L187/44)+('Lab Analysis'!M187/60)),"0")</f>
        <v>0</v>
      </c>
      <c r="L187" s="190" t="str">
        <f>IFERROR((('Lab Analysis'!N187/18)-('Lab Analysis'!M187/60))/(('Lab Analysis'!L187/44)+('Lab Analysis'!M187/60)),"0")</f>
        <v>0</v>
      </c>
      <c r="M187" s="187" t="str">
        <f>IFERROR(((2*('Lab Analysis'!U187/60))+('Lab Analysis'!S187/17))/(('Lab Analysis'!T187/44)+('Lab Analysis'!U187/60)),"0")</f>
        <v>0</v>
      </c>
      <c r="N187" s="187" t="str">
        <f>IFERROR((('Lab Analysis'!V187/18)-('Lab Analysis'!U187/60))/(('Lab Analysis'!T187/44)+('Lab Analysis'!U187/60)),"0")</f>
        <v>0</v>
      </c>
      <c r="O187" s="187" t="str">
        <f>IFERROR(((2*('Lab Analysis'!Y187/60)+('Lab Analysis'!W187/17))/(('Lab Analysis'!X187/44)+('Lab Analysis'!Y187/60))),"0")</f>
        <v>0</v>
      </c>
      <c r="P187" s="187" t="str">
        <f>IFERROR((('Lab Analysis'!Z187/18)-('Lab Analysis'!Y187/60))/(('Lab Analysis'!X187/44)+('Lab Analysis'!Y187/60)),"0")</f>
        <v>0</v>
      </c>
      <c r="Q187" s="191"/>
    </row>
    <row r="188" spans="1:17">
      <c r="A188" s="185">
        <v>46002</v>
      </c>
      <c r="B188" s="186" t="str">
        <f>IFERROR(('Lab Analysis'!E188/('Lab Analysis'!E188+(1.364*'Lab Analysis'!D188))),"0")</f>
        <v>0</v>
      </c>
      <c r="C188" s="186" t="str">
        <f>IFERROR((2*'Lab Analysis'!E188/60)/('Lab Analysis'!C188/17+(2*'Lab Analysis'!E188/60)),"0")</f>
        <v>0</v>
      </c>
      <c r="D188" s="187" t="str">
        <f>IFERROR(((2*('Lab Analysis'!E188/60)+('Lab Analysis'!C188/17))/(('Lab Analysis'!D188/44)+('Lab Analysis'!E188/60))),"0")</f>
        <v>0</v>
      </c>
      <c r="E188" s="187" t="str">
        <f>IFERROR((('Lab Analysis'!F188/18)-('Lab Analysis'!E188/60))/(('Lab Analysis'!D188/44)+('Lab Analysis'!E188/60)),"0")</f>
        <v>0</v>
      </c>
      <c r="F188" s="187" t="str">
        <f>IFERROR((('Lab Analysis'!F188/18)/('Lab Analysis'!E188/60)),"0")</f>
        <v>0</v>
      </c>
      <c r="G188" s="188" t="str">
        <f>IFERROR(('Lab Analysis'!I188/('Lab Analysis'!I188+(1.765*'Lab Analysis'!G188))),"0")</f>
        <v>0</v>
      </c>
      <c r="H188" s="189" t="str">
        <f>IFERROR(((2*('Lab Analysis'!I188/60))+('Lab Analysis'!G188/17))/(('Lab Analysis'!H188/44)+('Lab Analysis'!I188/60)),"0")</f>
        <v>0</v>
      </c>
      <c r="I188" s="189" t="str">
        <f>IFERROR((('Lab Analysis'!J188/18)-('Lab Analysis'!I188/60))/(('Lab Analysis'!H188/44)+('Lab Analysis'!I188/60)),"0")</f>
        <v>0</v>
      </c>
      <c r="J188" s="186" t="str">
        <f>IFERROR(('Lab Analysis'!M188/('Lab Analysis'!M188+(1.765*'Lab Analysis'!K188))),"0")</f>
        <v>0</v>
      </c>
      <c r="K188" s="190" t="str">
        <f>IFERROR(((2*('Lab Analysis'!M188/60))+('Lab Analysis'!K188/17))/(('Lab Analysis'!L188/44)+('Lab Analysis'!M188/60)),"0")</f>
        <v>0</v>
      </c>
      <c r="L188" s="190" t="str">
        <f>IFERROR((('Lab Analysis'!N188/18)-('Lab Analysis'!M188/60))/(('Lab Analysis'!L188/44)+('Lab Analysis'!M188/60)),"0")</f>
        <v>0</v>
      </c>
      <c r="M188" s="187" t="str">
        <f>IFERROR(((2*('Lab Analysis'!U188/60))+('Lab Analysis'!S188/17))/(('Lab Analysis'!T188/44)+('Lab Analysis'!U188/60)),"0")</f>
        <v>0</v>
      </c>
      <c r="N188" s="187" t="str">
        <f>IFERROR((('Lab Analysis'!V188/18)-('Lab Analysis'!U188/60))/(('Lab Analysis'!T188/44)+('Lab Analysis'!U188/60)),"0")</f>
        <v>0</v>
      </c>
      <c r="O188" s="187" t="str">
        <f>IFERROR(((2*('Lab Analysis'!Y188/60)+('Lab Analysis'!W188/17))/(('Lab Analysis'!X188/44)+('Lab Analysis'!Y188/60))),"0")</f>
        <v>0</v>
      </c>
      <c r="P188" s="187" t="str">
        <f>IFERROR((('Lab Analysis'!Z188/18)-('Lab Analysis'!Y188/60))/(('Lab Analysis'!X188/44)+('Lab Analysis'!Y188/60)),"0")</f>
        <v>0</v>
      </c>
      <c r="Q188" s="191"/>
    </row>
    <row r="189" spans="1:17">
      <c r="A189" s="185">
        <v>46003</v>
      </c>
      <c r="B189" s="186" t="str">
        <f>IFERROR(('Lab Analysis'!E189/('Lab Analysis'!E189+(1.364*'Lab Analysis'!D189))),"0")</f>
        <v>0</v>
      </c>
      <c r="C189" s="186" t="str">
        <f>IFERROR((2*'Lab Analysis'!E189/60)/('Lab Analysis'!C189/17+(2*'Lab Analysis'!E189/60)),"0")</f>
        <v>0</v>
      </c>
      <c r="D189" s="187" t="str">
        <f>IFERROR(((2*('Lab Analysis'!E189/60)+('Lab Analysis'!C189/17))/(('Lab Analysis'!D189/44)+('Lab Analysis'!E189/60))),"0")</f>
        <v>0</v>
      </c>
      <c r="E189" s="187" t="str">
        <f>IFERROR((('Lab Analysis'!F189/18)-('Lab Analysis'!E189/60))/(('Lab Analysis'!D189/44)+('Lab Analysis'!E189/60)),"0")</f>
        <v>0</v>
      </c>
      <c r="F189" s="187" t="str">
        <f>IFERROR((('Lab Analysis'!F189/18)/('Lab Analysis'!E189/60)),"0")</f>
        <v>0</v>
      </c>
      <c r="G189" s="188" t="str">
        <f>IFERROR(('Lab Analysis'!I189/('Lab Analysis'!I189+(1.765*'Lab Analysis'!G189))),"0")</f>
        <v>0</v>
      </c>
      <c r="H189" s="189" t="str">
        <f>IFERROR(((2*('Lab Analysis'!I189/60))+('Lab Analysis'!G189/17))/(('Lab Analysis'!H189/44)+('Lab Analysis'!I189/60)),"0")</f>
        <v>0</v>
      </c>
      <c r="I189" s="189" t="str">
        <f>IFERROR((('Lab Analysis'!J189/18)-('Lab Analysis'!I189/60))/(('Lab Analysis'!H189/44)+('Lab Analysis'!I189/60)),"0")</f>
        <v>0</v>
      </c>
      <c r="J189" s="186" t="str">
        <f>IFERROR(('Lab Analysis'!M189/('Lab Analysis'!M189+(1.765*'Lab Analysis'!K189))),"0")</f>
        <v>0</v>
      </c>
      <c r="K189" s="190" t="str">
        <f>IFERROR(((2*('Lab Analysis'!M189/60))+('Lab Analysis'!K189/17))/(('Lab Analysis'!L189/44)+('Lab Analysis'!M189/60)),"0")</f>
        <v>0</v>
      </c>
      <c r="L189" s="190" t="str">
        <f>IFERROR((('Lab Analysis'!N189/18)-('Lab Analysis'!M189/60))/(('Lab Analysis'!L189/44)+('Lab Analysis'!M189/60)),"0")</f>
        <v>0</v>
      </c>
      <c r="M189" s="187" t="str">
        <f>IFERROR(((2*('Lab Analysis'!U189/60))+('Lab Analysis'!S189/17))/(('Lab Analysis'!T189/44)+('Lab Analysis'!U189/60)),"0")</f>
        <v>0</v>
      </c>
      <c r="N189" s="187" t="str">
        <f>IFERROR((('Lab Analysis'!V189/18)-('Lab Analysis'!U189/60))/(('Lab Analysis'!T189/44)+('Lab Analysis'!U189/60)),"0")</f>
        <v>0</v>
      </c>
      <c r="O189" s="187" t="str">
        <f>IFERROR(((2*('Lab Analysis'!Y189/60)+('Lab Analysis'!W189/17))/(('Lab Analysis'!X189/44)+('Lab Analysis'!Y189/60))),"0")</f>
        <v>0</v>
      </c>
      <c r="P189" s="187" t="str">
        <f>IFERROR((('Lab Analysis'!Z189/18)-('Lab Analysis'!Y189/60))/(('Lab Analysis'!X189/44)+('Lab Analysis'!Y189/60)),"0")</f>
        <v>0</v>
      </c>
      <c r="Q189" s="191"/>
    </row>
    <row r="190" spans="1:17">
      <c r="A190" s="185">
        <v>46004</v>
      </c>
      <c r="B190" s="186" t="str">
        <f>IFERROR(('Lab Analysis'!E190/('Lab Analysis'!E190+(1.364*'Lab Analysis'!D190))),"0")</f>
        <v>0</v>
      </c>
      <c r="C190" s="186" t="str">
        <f>IFERROR((2*'Lab Analysis'!E190/60)/('Lab Analysis'!C190/17+(2*'Lab Analysis'!E190/60)),"0")</f>
        <v>0</v>
      </c>
      <c r="D190" s="187" t="str">
        <f>IFERROR(((2*('Lab Analysis'!E190/60)+('Lab Analysis'!C190/17))/(('Lab Analysis'!D190/44)+('Lab Analysis'!E190/60))),"0")</f>
        <v>0</v>
      </c>
      <c r="E190" s="187" t="str">
        <f>IFERROR((('Lab Analysis'!F190/18)-('Lab Analysis'!E190/60))/(('Lab Analysis'!D190/44)+('Lab Analysis'!E190/60)),"0")</f>
        <v>0</v>
      </c>
      <c r="F190" s="187" t="str">
        <f>IFERROR((('Lab Analysis'!F190/18)/('Lab Analysis'!E190/60)),"0")</f>
        <v>0</v>
      </c>
      <c r="G190" s="188" t="str">
        <f>IFERROR(('Lab Analysis'!I190/('Lab Analysis'!I190+(1.765*'Lab Analysis'!G190))),"0")</f>
        <v>0</v>
      </c>
      <c r="H190" s="189" t="str">
        <f>IFERROR(((2*('Lab Analysis'!I190/60))+('Lab Analysis'!G190/17))/(('Lab Analysis'!H190/44)+('Lab Analysis'!I190/60)),"0")</f>
        <v>0</v>
      </c>
      <c r="I190" s="189" t="str">
        <f>IFERROR((('Lab Analysis'!J190/18)-('Lab Analysis'!I190/60))/(('Lab Analysis'!H190/44)+('Lab Analysis'!I190/60)),"0")</f>
        <v>0</v>
      </c>
      <c r="J190" s="186" t="str">
        <f>IFERROR(('Lab Analysis'!M190/('Lab Analysis'!M190+(1.765*'Lab Analysis'!K190))),"0")</f>
        <v>0</v>
      </c>
      <c r="K190" s="190" t="str">
        <f>IFERROR(((2*('Lab Analysis'!M190/60))+('Lab Analysis'!K190/17))/(('Lab Analysis'!L190/44)+('Lab Analysis'!M190/60)),"0")</f>
        <v>0</v>
      </c>
      <c r="L190" s="190" t="str">
        <f>IFERROR((('Lab Analysis'!N190/18)-('Lab Analysis'!M190/60))/(('Lab Analysis'!L190/44)+('Lab Analysis'!M190/60)),"0")</f>
        <v>0</v>
      </c>
      <c r="M190" s="187" t="str">
        <f>IFERROR(((2*('Lab Analysis'!U190/60))+('Lab Analysis'!S190/17))/(('Lab Analysis'!T190/44)+('Lab Analysis'!U190/60)),"0")</f>
        <v>0</v>
      </c>
      <c r="N190" s="187" t="str">
        <f>IFERROR((('Lab Analysis'!V190/18)-('Lab Analysis'!U190/60))/(('Lab Analysis'!T190/44)+('Lab Analysis'!U190/60)),"0")</f>
        <v>0</v>
      </c>
      <c r="O190" s="187" t="str">
        <f>IFERROR(((2*('Lab Analysis'!Y190/60)+('Lab Analysis'!W190/17))/(('Lab Analysis'!X190/44)+('Lab Analysis'!Y190/60))),"0")</f>
        <v>0</v>
      </c>
      <c r="P190" s="187" t="str">
        <f>IFERROR((('Lab Analysis'!Z190/18)-('Lab Analysis'!Y190/60))/(('Lab Analysis'!X190/44)+('Lab Analysis'!Y190/60)),"0")</f>
        <v>0</v>
      </c>
      <c r="Q190" s="191"/>
    </row>
    <row r="191" spans="1:17">
      <c r="A191" s="185">
        <v>46005</v>
      </c>
      <c r="B191" s="186" t="str">
        <f>IFERROR(('Lab Analysis'!E191/('Lab Analysis'!E191+(1.364*'Lab Analysis'!D191))),"0")</f>
        <v>0</v>
      </c>
      <c r="C191" s="186" t="str">
        <f>IFERROR((2*'Lab Analysis'!E191/60)/('Lab Analysis'!C191/17+(2*'Lab Analysis'!E191/60)),"0")</f>
        <v>0</v>
      </c>
      <c r="D191" s="187" t="str">
        <f>IFERROR(((2*('Lab Analysis'!E191/60)+('Lab Analysis'!C191/17))/(('Lab Analysis'!D191/44)+('Lab Analysis'!E191/60))),"0")</f>
        <v>0</v>
      </c>
      <c r="E191" s="187" t="str">
        <f>IFERROR((('Lab Analysis'!F191/18)-('Lab Analysis'!E191/60))/(('Lab Analysis'!D191/44)+('Lab Analysis'!E191/60)),"0")</f>
        <v>0</v>
      </c>
      <c r="F191" s="187" t="str">
        <f>IFERROR((('Lab Analysis'!F191/18)/('Lab Analysis'!E191/60)),"0")</f>
        <v>0</v>
      </c>
      <c r="G191" s="188" t="str">
        <f>IFERROR(('Lab Analysis'!I191/('Lab Analysis'!I191+(1.765*'Lab Analysis'!G191))),"0")</f>
        <v>0</v>
      </c>
      <c r="H191" s="189" t="str">
        <f>IFERROR(((2*('Lab Analysis'!I191/60))+('Lab Analysis'!G191/17))/(('Lab Analysis'!H191/44)+('Lab Analysis'!I191/60)),"0")</f>
        <v>0</v>
      </c>
      <c r="I191" s="189" t="str">
        <f>IFERROR((('Lab Analysis'!J191/18)-('Lab Analysis'!I191/60))/(('Lab Analysis'!H191/44)+('Lab Analysis'!I191/60)),"0")</f>
        <v>0</v>
      </c>
      <c r="J191" s="186" t="str">
        <f>IFERROR(('Lab Analysis'!M191/('Lab Analysis'!M191+(1.765*'Lab Analysis'!K191))),"0")</f>
        <v>0</v>
      </c>
      <c r="K191" s="190" t="str">
        <f>IFERROR(((2*('Lab Analysis'!M191/60))+('Lab Analysis'!K191/17))/(('Lab Analysis'!L191/44)+('Lab Analysis'!M191/60)),"0")</f>
        <v>0</v>
      </c>
      <c r="L191" s="190" t="str">
        <f>IFERROR((('Lab Analysis'!N191/18)-('Lab Analysis'!M191/60))/(('Lab Analysis'!L191/44)+('Lab Analysis'!M191/60)),"0")</f>
        <v>0</v>
      </c>
      <c r="M191" s="187" t="str">
        <f>IFERROR(((2*('Lab Analysis'!U191/60))+('Lab Analysis'!S191/17))/(('Lab Analysis'!T191/44)+('Lab Analysis'!U191/60)),"0")</f>
        <v>0</v>
      </c>
      <c r="N191" s="187" t="str">
        <f>IFERROR((('Lab Analysis'!V191/18)-('Lab Analysis'!U191/60))/(('Lab Analysis'!T191/44)+('Lab Analysis'!U191/60)),"0")</f>
        <v>0</v>
      </c>
      <c r="O191" s="187" t="str">
        <f>IFERROR(((2*('Lab Analysis'!Y191/60)+('Lab Analysis'!W191/17))/(('Lab Analysis'!X191/44)+('Lab Analysis'!Y191/60))),"0")</f>
        <v>0</v>
      </c>
      <c r="P191" s="187" t="str">
        <f>IFERROR((('Lab Analysis'!Z191/18)-('Lab Analysis'!Y191/60))/(('Lab Analysis'!X191/44)+('Lab Analysis'!Y191/60)),"0")</f>
        <v>0</v>
      </c>
      <c r="Q191" s="191"/>
    </row>
    <row r="192" spans="1:17">
      <c r="A192" s="185">
        <v>46006</v>
      </c>
      <c r="B192" s="186" t="str">
        <f>IFERROR(('Lab Analysis'!E192/('Lab Analysis'!E192+(1.364*'Lab Analysis'!D192))),"0")</f>
        <v>0</v>
      </c>
      <c r="C192" s="186" t="str">
        <f>IFERROR((2*'Lab Analysis'!E192/60)/('Lab Analysis'!C192/17+(2*'Lab Analysis'!E192/60)),"0")</f>
        <v>0</v>
      </c>
      <c r="D192" s="187" t="str">
        <f>IFERROR(((2*('Lab Analysis'!E192/60)+('Lab Analysis'!C192/17))/(('Lab Analysis'!D192/44)+('Lab Analysis'!E192/60))),"0")</f>
        <v>0</v>
      </c>
      <c r="E192" s="187" t="str">
        <f>IFERROR((('Lab Analysis'!F192/18)-('Lab Analysis'!E192/60))/(('Lab Analysis'!D192/44)+('Lab Analysis'!E192/60)),"0")</f>
        <v>0</v>
      </c>
      <c r="F192" s="187" t="str">
        <f>IFERROR((('Lab Analysis'!F192/18)/('Lab Analysis'!E192/60)),"0")</f>
        <v>0</v>
      </c>
      <c r="G192" s="188" t="str">
        <f>IFERROR(('Lab Analysis'!I192/('Lab Analysis'!I192+(1.765*'Lab Analysis'!G192))),"0")</f>
        <v>0</v>
      </c>
      <c r="H192" s="189" t="str">
        <f>IFERROR(((2*('Lab Analysis'!I192/60))+('Lab Analysis'!G192/17))/(('Lab Analysis'!H192/44)+('Lab Analysis'!I192/60)),"0")</f>
        <v>0</v>
      </c>
      <c r="I192" s="189" t="str">
        <f>IFERROR((('Lab Analysis'!J192/18)-('Lab Analysis'!I192/60))/(('Lab Analysis'!H192/44)+('Lab Analysis'!I192/60)),"0")</f>
        <v>0</v>
      </c>
      <c r="J192" s="186" t="str">
        <f>IFERROR(('Lab Analysis'!M192/('Lab Analysis'!M192+(1.765*'Lab Analysis'!K192))),"0")</f>
        <v>0</v>
      </c>
      <c r="K192" s="190" t="str">
        <f>IFERROR(((2*('Lab Analysis'!M192/60))+('Lab Analysis'!K192/17))/(('Lab Analysis'!L192/44)+('Lab Analysis'!M192/60)),"0")</f>
        <v>0</v>
      </c>
      <c r="L192" s="190" t="str">
        <f>IFERROR((('Lab Analysis'!N192/18)-('Lab Analysis'!M192/60))/(('Lab Analysis'!L192/44)+('Lab Analysis'!M192/60)),"0")</f>
        <v>0</v>
      </c>
      <c r="M192" s="187" t="str">
        <f>IFERROR(((2*('Lab Analysis'!U192/60))+('Lab Analysis'!S192/17))/(('Lab Analysis'!T192/44)+('Lab Analysis'!U192/60)),"0")</f>
        <v>0</v>
      </c>
      <c r="N192" s="187" t="str">
        <f>IFERROR((('Lab Analysis'!V192/18)-('Lab Analysis'!U192/60))/(('Lab Analysis'!T192/44)+('Lab Analysis'!U192/60)),"0")</f>
        <v>0</v>
      </c>
      <c r="O192" s="187" t="str">
        <f>IFERROR(((2*('Lab Analysis'!Y192/60)+('Lab Analysis'!W192/17))/(('Lab Analysis'!X192/44)+('Lab Analysis'!Y192/60))),"0")</f>
        <v>0</v>
      </c>
      <c r="P192" s="187" t="str">
        <f>IFERROR((('Lab Analysis'!Z192/18)-('Lab Analysis'!Y192/60))/(('Lab Analysis'!X192/44)+('Lab Analysis'!Y192/60)),"0")</f>
        <v>0</v>
      </c>
      <c r="Q192" s="191"/>
    </row>
    <row r="193" spans="1:17">
      <c r="A193" s="185">
        <v>46007</v>
      </c>
      <c r="B193" s="186" t="str">
        <f>IFERROR(('Lab Analysis'!E193/('Lab Analysis'!E193+(1.364*'Lab Analysis'!D193))),"0")</f>
        <v>0</v>
      </c>
      <c r="C193" s="186" t="str">
        <f>IFERROR((2*'Lab Analysis'!E193/60)/('Lab Analysis'!C193/17+(2*'Lab Analysis'!E193/60)),"0")</f>
        <v>0</v>
      </c>
      <c r="D193" s="187" t="str">
        <f>IFERROR(((2*('Lab Analysis'!E193/60)+('Lab Analysis'!C193/17))/(('Lab Analysis'!D193/44)+('Lab Analysis'!E193/60))),"0")</f>
        <v>0</v>
      </c>
      <c r="E193" s="187" t="str">
        <f>IFERROR((('Lab Analysis'!F193/18)-('Lab Analysis'!E193/60))/(('Lab Analysis'!D193/44)+('Lab Analysis'!E193/60)),"0")</f>
        <v>0</v>
      </c>
      <c r="F193" s="187" t="str">
        <f>IFERROR((('Lab Analysis'!F193/18)/('Lab Analysis'!E193/60)),"0")</f>
        <v>0</v>
      </c>
      <c r="G193" s="188" t="str">
        <f>IFERROR(('Lab Analysis'!I193/('Lab Analysis'!I193+(1.765*'Lab Analysis'!G193))),"0")</f>
        <v>0</v>
      </c>
      <c r="H193" s="189" t="str">
        <f>IFERROR(((2*('Lab Analysis'!I193/60))+('Lab Analysis'!G193/17))/(('Lab Analysis'!H193/44)+('Lab Analysis'!I193/60)),"0")</f>
        <v>0</v>
      </c>
      <c r="I193" s="189" t="str">
        <f>IFERROR((('Lab Analysis'!J193/18)-('Lab Analysis'!I193/60))/(('Lab Analysis'!H193/44)+('Lab Analysis'!I193/60)),"0")</f>
        <v>0</v>
      </c>
      <c r="J193" s="186" t="str">
        <f>IFERROR(('Lab Analysis'!M193/('Lab Analysis'!M193+(1.765*'Lab Analysis'!K193))),"0")</f>
        <v>0</v>
      </c>
      <c r="K193" s="190" t="str">
        <f>IFERROR(((2*('Lab Analysis'!M193/60))+('Lab Analysis'!K193/17))/(('Lab Analysis'!L193/44)+('Lab Analysis'!M193/60)),"0")</f>
        <v>0</v>
      </c>
      <c r="L193" s="190" t="str">
        <f>IFERROR((('Lab Analysis'!N193/18)-('Lab Analysis'!M193/60))/(('Lab Analysis'!L193/44)+('Lab Analysis'!M193/60)),"0")</f>
        <v>0</v>
      </c>
      <c r="M193" s="187" t="str">
        <f>IFERROR(((2*('Lab Analysis'!U193/60))+('Lab Analysis'!S193/17))/(('Lab Analysis'!T193/44)+('Lab Analysis'!U193/60)),"0")</f>
        <v>0</v>
      </c>
      <c r="N193" s="187" t="str">
        <f>IFERROR((('Lab Analysis'!V193/18)-('Lab Analysis'!U193/60))/(('Lab Analysis'!T193/44)+('Lab Analysis'!U193/60)),"0")</f>
        <v>0</v>
      </c>
      <c r="O193" s="187" t="str">
        <f>IFERROR(((2*('Lab Analysis'!Y193/60)+('Lab Analysis'!W193/17))/(('Lab Analysis'!X193/44)+('Lab Analysis'!Y193/60))),"0")</f>
        <v>0</v>
      </c>
      <c r="P193" s="187" t="str">
        <f>IFERROR((('Lab Analysis'!Z193/18)-('Lab Analysis'!Y193/60))/(('Lab Analysis'!X193/44)+('Lab Analysis'!Y193/60)),"0")</f>
        <v>0</v>
      </c>
      <c r="Q193" s="191"/>
    </row>
    <row r="194" spans="1:17">
      <c r="A194" s="185">
        <v>46008</v>
      </c>
      <c r="B194" s="186">
        <f>IFERROR(('Lab Analysis'!E194/('Lab Analysis'!E194+(1.364*'Lab Analysis'!D194))),"0")</f>
        <v>0.55781851333040544</v>
      </c>
      <c r="C194" s="186">
        <f>IFERROR((2*'Lab Analysis'!E194/60)/('Lab Analysis'!C194/17+(2*'Lab Analysis'!E194/60)),"0")</f>
        <v>0.37688712412623565</v>
      </c>
      <c r="D194" s="187">
        <f>IFERROR(((2*('Lab Analysis'!E194/60)+('Lab Analysis'!C194/17))/(('Lab Analysis'!D194/44)+('Lab Analysis'!E194/60))),"0")</f>
        <v>2.9604846811696244</v>
      </c>
      <c r="E194" s="187">
        <f>IFERROR((('Lab Analysis'!F194/18)-('Lab Analysis'!E194/60))/(('Lab Analysis'!D194/44)+('Lab Analysis'!E194/60)),"0")</f>
        <v>0.54192490261942017</v>
      </c>
      <c r="F194" s="187">
        <f>IFERROR((('Lab Analysis'!F194/18)/('Lab Analysis'!E194/60)),"0")</f>
        <v>1.9713930348258721</v>
      </c>
      <c r="G194" s="188" t="str">
        <f>IFERROR(('Lab Analysis'!I194/('Lab Analysis'!I194+(1.765*'Lab Analysis'!G194))),"0")</f>
        <v>0</v>
      </c>
      <c r="H194" s="189" t="str">
        <f>IFERROR(((2*('Lab Analysis'!I194/60))+('Lab Analysis'!G194/17))/(('Lab Analysis'!H194/44)+('Lab Analysis'!I194/60)),"0")</f>
        <v>0</v>
      </c>
      <c r="I194" s="189" t="str">
        <f>IFERROR((('Lab Analysis'!J194/18)-('Lab Analysis'!I194/60))/(('Lab Analysis'!H194/44)+('Lab Analysis'!I194/60)),"0")</f>
        <v>0</v>
      </c>
      <c r="J194" s="186" t="str">
        <f>IFERROR(('Lab Analysis'!M194/('Lab Analysis'!M194+(1.765*'Lab Analysis'!K194))),"0")</f>
        <v>0</v>
      </c>
      <c r="K194" s="190" t="str">
        <f>IFERROR(((2*('Lab Analysis'!M194/60))+('Lab Analysis'!K194/17))/(('Lab Analysis'!L194/44)+('Lab Analysis'!M194/60)),"0")</f>
        <v>0</v>
      </c>
      <c r="L194" s="190" t="str">
        <f>IFERROR((('Lab Analysis'!N194/18)-('Lab Analysis'!M194/60))/(('Lab Analysis'!L194/44)+('Lab Analysis'!M194/60)),"0")</f>
        <v>0</v>
      </c>
      <c r="M194" s="187" t="str">
        <f>IFERROR(((2*('Lab Analysis'!U194/60))+('Lab Analysis'!S194/17))/(('Lab Analysis'!T194/44)+('Lab Analysis'!U194/60)),"0")</f>
        <v>0</v>
      </c>
      <c r="N194" s="187" t="str">
        <f>IFERROR((('Lab Analysis'!V194/18)-('Lab Analysis'!U194/60))/(('Lab Analysis'!T194/44)+('Lab Analysis'!U194/60)),"0")</f>
        <v>0</v>
      </c>
      <c r="O194" s="187" t="str">
        <f>IFERROR(((2*('Lab Analysis'!Y194/60)+('Lab Analysis'!W194/17))/(('Lab Analysis'!X194/44)+('Lab Analysis'!Y194/60))),"0")</f>
        <v>0</v>
      </c>
      <c r="P194" s="187" t="str">
        <f>IFERROR((('Lab Analysis'!Z194/18)-('Lab Analysis'!Y194/60))/(('Lab Analysis'!X194/44)+('Lab Analysis'!Y194/60)),"0")</f>
        <v>0</v>
      </c>
      <c r="Q194" s="191"/>
    </row>
    <row r="195" spans="1:17">
      <c r="A195" s="185">
        <v>46009</v>
      </c>
      <c r="B195" s="186">
        <f>IFERROR(('Lab Analysis'!E195/('Lab Analysis'!E195+(1.364*'Lab Analysis'!D195))),"0")</f>
        <v>0.55253250415352018</v>
      </c>
      <c r="C195" s="186">
        <f>IFERROR((2*'Lab Analysis'!E195/60)/('Lab Analysis'!C195/17+(2*'Lab Analysis'!E195/60)),"0")</f>
        <v>0.37428393954034095</v>
      </c>
      <c r="D195" s="187">
        <f>IFERROR(((2*('Lab Analysis'!E195/60)+('Lab Analysis'!C195/17))/(('Lab Analysis'!D195/44)+('Lab Analysis'!E195/60))),"0")</f>
        <v>2.9528300138953218</v>
      </c>
      <c r="E195" s="187">
        <f>IFERROR((('Lab Analysis'!F195/18)-('Lab Analysis'!E195/60))/(('Lab Analysis'!D195/44)+('Lab Analysis'!E195/60)),"0")</f>
        <v>0.54104986876640415</v>
      </c>
      <c r="F195" s="187">
        <f>IFERROR((('Lab Analysis'!F195/18)/('Lab Analysis'!E195/60)),"0")</f>
        <v>1.9791013584117032</v>
      </c>
      <c r="G195" s="188">
        <f>IFERROR(('Lab Analysis'!I195/('Lab Analysis'!I195+(1.765*'Lab Analysis'!G195))),"0")</f>
        <v>0.72261605951654118</v>
      </c>
      <c r="H195" s="189">
        <f>IFERROR(((2*('Lab Analysis'!I195/60))+('Lab Analysis'!G195/17))/(('Lab Analysis'!H195/44)+('Lab Analysis'!I195/60)),"0")</f>
        <v>2.2266087530165697</v>
      </c>
      <c r="I195" s="189">
        <f>IFERROR((('Lab Analysis'!J195/18)-('Lab Analysis'!I195/60))/(('Lab Analysis'!H195/44)+('Lab Analysis'!I195/60)),"0")</f>
        <v>0.69763594056951028</v>
      </c>
      <c r="J195" s="186">
        <f>IFERROR(('Lab Analysis'!M195/('Lab Analysis'!M195+(1.765*'Lab Analysis'!K195))),"0")</f>
        <v>0.58132112303197203</v>
      </c>
      <c r="K195" s="190">
        <f>IFERROR(((2*('Lab Analysis'!M195/60))+('Lab Analysis'!K195/17))/(('Lab Analysis'!L195/44)+('Lab Analysis'!M195/60)),"0")</f>
        <v>2.4102188498933761</v>
      </c>
      <c r="L195" s="190">
        <f>IFERROR((('Lab Analysis'!N195/18)-('Lab Analysis'!M195/60))/(('Lab Analysis'!L195/44)+('Lab Analysis'!M195/60)),"0")</f>
        <v>0.5940947107509893</v>
      </c>
      <c r="M195" s="187" t="str">
        <f>IFERROR(((2*('Lab Analysis'!U195/60))+('Lab Analysis'!S195/17))/(('Lab Analysis'!T195/44)+('Lab Analysis'!U195/60)),"0")</f>
        <v>0</v>
      </c>
      <c r="N195" s="187" t="str">
        <f>IFERROR((('Lab Analysis'!V195/18)-('Lab Analysis'!U195/60))/(('Lab Analysis'!T195/44)+('Lab Analysis'!U195/60)),"0")</f>
        <v>0</v>
      </c>
      <c r="O195" s="187">
        <f>IFERROR(((2*('Lab Analysis'!Y195/60)+('Lab Analysis'!W195/17))/(('Lab Analysis'!X195/44)+('Lab Analysis'!Y195/60))),"0")</f>
        <v>2.4842634489693314</v>
      </c>
      <c r="P195" s="187">
        <f>IFERROR((('Lab Analysis'!Z195/18)-('Lab Analysis'!Y195/60))/(('Lab Analysis'!X195/44)+('Lab Analysis'!Y195/60)),"0")</f>
        <v>2.1735359290914853</v>
      </c>
      <c r="Q195" s="191"/>
    </row>
    <row r="196" spans="1:17">
      <c r="A196" s="185">
        <v>46010</v>
      </c>
      <c r="B196" s="186" t="str">
        <f>IFERROR(('Lab Analysis'!E196/('Lab Analysis'!E196+(1.364*'Lab Analysis'!D196))),"0")</f>
        <v>0</v>
      </c>
      <c r="C196" s="186" t="str">
        <f>IFERROR((2*'Lab Analysis'!E196/60)/('Lab Analysis'!C196/17+(2*'Lab Analysis'!E196/60)),"0")</f>
        <v>0</v>
      </c>
      <c r="D196" s="187" t="str">
        <f>IFERROR(((2*('Lab Analysis'!E196/60)+('Lab Analysis'!C196/17))/(('Lab Analysis'!D196/44)+('Lab Analysis'!E196/60))),"0")</f>
        <v>0</v>
      </c>
      <c r="E196" s="187" t="str">
        <f>IFERROR((('Lab Analysis'!F196/18)-('Lab Analysis'!E196/60))/(('Lab Analysis'!D196/44)+('Lab Analysis'!E196/60)),"0")</f>
        <v>0</v>
      </c>
      <c r="F196" s="187" t="str">
        <f>IFERROR((('Lab Analysis'!F196/18)/('Lab Analysis'!E196/60)),"0")</f>
        <v>0</v>
      </c>
      <c r="G196" s="188" t="str">
        <f>IFERROR(('Lab Analysis'!I196/('Lab Analysis'!I196+(1.765*'Lab Analysis'!G196))),"0")</f>
        <v>0</v>
      </c>
      <c r="H196" s="189" t="str">
        <f>IFERROR(((2*('Lab Analysis'!I196/60))+('Lab Analysis'!G196/17))/(('Lab Analysis'!H196/44)+('Lab Analysis'!I196/60)),"0")</f>
        <v>0</v>
      </c>
      <c r="I196" s="189" t="str">
        <f>IFERROR((('Lab Analysis'!J196/18)-('Lab Analysis'!I196/60))/(('Lab Analysis'!H196/44)+('Lab Analysis'!I196/60)),"0")</f>
        <v>0</v>
      </c>
      <c r="J196" s="186" t="str">
        <f>IFERROR(('Lab Analysis'!M196/('Lab Analysis'!M196+(1.765*'Lab Analysis'!K196))),"0")</f>
        <v>0</v>
      </c>
      <c r="K196" s="190" t="str">
        <f>IFERROR(((2*('Lab Analysis'!M196/60))+('Lab Analysis'!K196/17))/(('Lab Analysis'!L196/44)+('Lab Analysis'!M196/60)),"0")</f>
        <v>0</v>
      </c>
      <c r="L196" s="190" t="str">
        <f>IFERROR((('Lab Analysis'!N196/18)-('Lab Analysis'!M196/60))/(('Lab Analysis'!L196/44)+('Lab Analysis'!M196/60)),"0")</f>
        <v>0</v>
      </c>
      <c r="M196" s="187" t="str">
        <f>IFERROR(((2*('Lab Analysis'!U196/60))+('Lab Analysis'!S196/17))/(('Lab Analysis'!T196/44)+('Lab Analysis'!U196/60)),"0")</f>
        <v>0</v>
      </c>
      <c r="N196" s="187" t="str">
        <f>IFERROR((('Lab Analysis'!V196/18)-('Lab Analysis'!U196/60))/(('Lab Analysis'!T196/44)+('Lab Analysis'!U196/60)),"0")</f>
        <v>0</v>
      </c>
      <c r="O196" s="187" t="str">
        <f>IFERROR(((2*('Lab Analysis'!Y196/60)+('Lab Analysis'!W196/17))/(('Lab Analysis'!X196/44)+('Lab Analysis'!Y196/60))),"0")</f>
        <v>0</v>
      </c>
      <c r="P196" s="187" t="str">
        <f>IFERROR((('Lab Analysis'!Z196/18)-('Lab Analysis'!Y196/60))/(('Lab Analysis'!X196/44)+('Lab Analysis'!Y196/60)),"0")</f>
        <v>0</v>
      </c>
      <c r="Q196" s="191"/>
    </row>
    <row r="197" spans="1:17">
      <c r="A197" s="185">
        <v>46011</v>
      </c>
      <c r="B197" s="186" t="str">
        <f>IFERROR(('Lab Analysis'!E197/('Lab Analysis'!E197+(1.364*'Lab Analysis'!D197))),"0")</f>
        <v>0</v>
      </c>
      <c r="C197" s="186" t="str">
        <f>IFERROR((2*'Lab Analysis'!E197/60)/('Lab Analysis'!C197/17+(2*'Lab Analysis'!E197/60)),"0")</f>
        <v>0</v>
      </c>
      <c r="D197" s="187" t="str">
        <f>IFERROR(((2*('Lab Analysis'!E197/60)+('Lab Analysis'!C197/17))/(('Lab Analysis'!D197/44)+('Lab Analysis'!E197/60))),"0")</f>
        <v>0</v>
      </c>
      <c r="E197" s="187" t="str">
        <f>IFERROR((('Lab Analysis'!F197/18)-('Lab Analysis'!E197/60))/(('Lab Analysis'!D197/44)+('Lab Analysis'!E197/60)),"0")</f>
        <v>0</v>
      </c>
      <c r="F197" s="187" t="str">
        <f>IFERROR((('Lab Analysis'!F197/18)/('Lab Analysis'!E197/60)),"0")</f>
        <v>0</v>
      </c>
      <c r="G197" s="188" t="str">
        <f>IFERROR(('Lab Analysis'!I197/('Lab Analysis'!I197+(1.765*'Lab Analysis'!G197))),"0")</f>
        <v>0</v>
      </c>
      <c r="H197" s="189" t="str">
        <f>IFERROR(((2*('Lab Analysis'!I197/60))+('Lab Analysis'!G197/17))/(('Lab Analysis'!H197/44)+('Lab Analysis'!I197/60)),"0")</f>
        <v>0</v>
      </c>
      <c r="I197" s="189" t="str">
        <f>IFERROR((('Lab Analysis'!J197/18)-('Lab Analysis'!I197/60))/(('Lab Analysis'!H197/44)+('Lab Analysis'!I197/60)),"0")</f>
        <v>0</v>
      </c>
      <c r="J197" s="186" t="str">
        <f>IFERROR(('Lab Analysis'!M197/('Lab Analysis'!M197+(1.765*'Lab Analysis'!K197))),"0")</f>
        <v>0</v>
      </c>
      <c r="K197" s="190" t="str">
        <f>IFERROR(((2*('Lab Analysis'!M197/60))+('Lab Analysis'!K197/17))/(('Lab Analysis'!L197/44)+('Lab Analysis'!M197/60)),"0")</f>
        <v>0</v>
      </c>
      <c r="L197" s="190" t="str">
        <f>IFERROR((('Lab Analysis'!N197/18)-('Lab Analysis'!M197/60))/(('Lab Analysis'!L197/44)+('Lab Analysis'!M197/60)),"0")</f>
        <v>0</v>
      </c>
      <c r="M197" s="187" t="str">
        <f>IFERROR(((2*('Lab Analysis'!U197/60))+('Lab Analysis'!S197/17))/(('Lab Analysis'!T197/44)+('Lab Analysis'!U197/60)),"0")</f>
        <v>0</v>
      </c>
      <c r="N197" s="187" t="str">
        <f>IFERROR((('Lab Analysis'!V197/18)-('Lab Analysis'!U197/60))/(('Lab Analysis'!T197/44)+('Lab Analysis'!U197/60)),"0")</f>
        <v>0</v>
      </c>
      <c r="O197" s="187" t="str">
        <f>IFERROR(((2*('Lab Analysis'!Y197/60)+('Lab Analysis'!W197/17))/(('Lab Analysis'!X197/44)+('Lab Analysis'!Y197/60))),"0")</f>
        <v>0</v>
      </c>
      <c r="P197" s="187" t="str">
        <f>IFERROR((('Lab Analysis'!Z197/18)-('Lab Analysis'!Y197/60))/(('Lab Analysis'!X197/44)+('Lab Analysis'!Y197/60)),"0")</f>
        <v>0</v>
      </c>
      <c r="Q197" s="191"/>
    </row>
    <row r="198" spans="1:17">
      <c r="A198" s="185">
        <v>46012</v>
      </c>
      <c r="B198" s="186" t="str">
        <f>IFERROR(('Lab Analysis'!E198/('Lab Analysis'!E198+(1.364*'Lab Analysis'!D198))),"0")</f>
        <v>0</v>
      </c>
      <c r="C198" s="186" t="str">
        <f>IFERROR((2*'Lab Analysis'!E198/60)/('Lab Analysis'!C198/17+(2*'Lab Analysis'!E198/60)),"0")</f>
        <v>0</v>
      </c>
      <c r="D198" s="187" t="str">
        <f>IFERROR(((2*('Lab Analysis'!E198/60)+('Lab Analysis'!C198/17))/(('Lab Analysis'!D198/44)+('Lab Analysis'!E198/60))),"0")</f>
        <v>0</v>
      </c>
      <c r="E198" s="187" t="str">
        <f>IFERROR((('Lab Analysis'!F198/18)-('Lab Analysis'!E198/60))/(('Lab Analysis'!D198/44)+('Lab Analysis'!E198/60)),"0")</f>
        <v>0</v>
      </c>
      <c r="F198" s="187" t="str">
        <f>IFERROR((('Lab Analysis'!F198/18)/('Lab Analysis'!E198/60)),"0")</f>
        <v>0</v>
      </c>
      <c r="G198" s="188" t="str">
        <f>IFERROR(('Lab Analysis'!I198/('Lab Analysis'!I198+(1.765*'Lab Analysis'!G198))),"0")</f>
        <v>0</v>
      </c>
      <c r="H198" s="189" t="str">
        <f>IFERROR(((2*('Lab Analysis'!I198/60))+('Lab Analysis'!G198/17))/(('Lab Analysis'!H198/44)+('Lab Analysis'!I198/60)),"0")</f>
        <v>0</v>
      </c>
      <c r="I198" s="189" t="str">
        <f>IFERROR((('Lab Analysis'!J198/18)-('Lab Analysis'!I198/60))/(('Lab Analysis'!H198/44)+('Lab Analysis'!I198/60)),"0")</f>
        <v>0</v>
      </c>
      <c r="J198" s="186" t="str">
        <f>IFERROR(('Lab Analysis'!M198/('Lab Analysis'!M198+(1.765*'Lab Analysis'!K198))),"0")</f>
        <v>0</v>
      </c>
      <c r="K198" s="190" t="str">
        <f>IFERROR(((2*('Lab Analysis'!M198/60))+('Lab Analysis'!K198/17))/(('Lab Analysis'!L198/44)+('Lab Analysis'!M198/60)),"0")</f>
        <v>0</v>
      </c>
      <c r="L198" s="190" t="str">
        <f>IFERROR((('Lab Analysis'!N198/18)-('Lab Analysis'!M198/60))/(('Lab Analysis'!L198/44)+('Lab Analysis'!M198/60)),"0")</f>
        <v>0</v>
      </c>
      <c r="M198" s="187" t="str">
        <f>IFERROR(((2*('Lab Analysis'!U198/60))+('Lab Analysis'!S198/17))/(('Lab Analysis'!T198/44)+('Lab Analysis'!U198/60)),"0")</f>
        <v>0</v>
      </c>
      <c r="N198" s="187" t="str">
        <f>IFERROR((('Lab Analysis'!V198/18)-('Lab Analysis'!U198/60))/(('Lab Analysis'!T198/44)+('Lab Analysis'!U198/60)),"0")</f>
        <v>0</v>
      </c>
      <c r="O198" s="187" t="str">
        <f>IFERROR(((2*('Lab Analysis'!Y198/60)+('Lab Analysis'!W198/17))/(('Lab Analysis'!X198/44)+('Lab Analysis'!Y198/60))),"0")</f>
        <v>0</v>
      </c>
      <c r="P198" s="187" t="str">
        <f>IFERROR((('Lab Analysis'!Z198/18)-('Lab Analysis'!Y198/60))/(('Lab Analysis'!X198/44)+('Lab Analysis'!Y198/60)),"0")</f>
        <v>0</v>
      </c>
      <c r="Q198" s="191"/>
    </row>
    <row r="199" spans="1:17">
      <c r="A199" s="185">
        <v>46013</v>
      </c>
      <c r="B199" s="186" t="str">
        <f>IFERROR(('Lab Analysis'!E199/('Lab Analysis'!E199+(1.364*'Lab Analysis'!D199))),"0")</f>
        <v>0</v>
      </c>
      <c r="C199" s="186" t="str">
        <f>IFERROR((2*'Lab Analysis'!E199/60)/('Lab Analysis'!C199/17+(2*'Lab Analysis'!E199/60)),"0")</f>
        <v>0</v>
      </c>
      <c r="D199" s="187" t="str">
        <f>IFERROR(((2*('Lab Analysis'!E199/60)+('Lab Analysis'!C199/17))/(('Lab Analysis'!D199/44)+('Lab Analysis'!E199/60))),"0")</f>
        <v>0</v>
      </c>
      <c r="E199" s="187" t="str">
        <f>IFERROR((('Lab Analysis'!F199/18)-('Lab Analysis'!E199/60))/(('Lab Analysis'!D199/44)+('Lab Analysis'!E199/60)),"0")</f>
        <v>0</v>
      </c>
      <c r="F199" s="187" t="str">
        <f>IFERROR((('Lab Analysis'!F199/18)/('Lab Analysis'!E199/60)),"0")</f>
        <v>0</v>
      </c>
      <c r="G199" s="188" t="str">
        <f>IFERROR(('Lab Analysis'!I199/('Lab Analysis'!I199+(1.765*'Lab Analysis'!G199))),"0")</f>
        <v>0</v>
      </c>
      <c r="H199" s="189" t="str">
        <f>IFERROR(((2*('Lab Analysis'!I199/60))+('Lab Analysis'!G199/17))/(('Lab Analysis'!H199/44)+('Lab Analysis'!I199/60)),"0")</f>
        <v>0</v>
      </c>
      <c r="I199" s="189" t="str">
        <f>IFERROR((('Lab Analysis'!J199/18)-('Lab Analysis'!I199/60))/(('Lab Analysis'!H199/44)+('Lab Analysis'!I199/60)),"0")</f>
        <v>0</v>
      </c>
      <c r="J199" s="186" t="str">
        <f>IFERROR(('Lab Analysis'!M199/('Lab Analysis'!M199+(1.765*'Lab Analysis'!K199))),"0")</f>
        <v>0</v>
      </c>
      <c r="K199" s="190" t="str">
        <f>IFERROR(((2*('Lab Analysis'!M199/60))+('Lab Analysis'!K199/17))/(('Lab Analysis'!L199/44)+('Lab Analysis'!M199/60)),"0")</f>
        <v>0</v>
      </c>
      <c r="L199" s="190" t="str">
        <f>IFERROR((('Lab Analysis'!N199/18)-('Lab Analysis'!M199/60))/(('Lab Analysis'!L199/44)+('Lab Analysis'!M199/60)),"0")</f>
        <v>0</v>
      </c>
      <c r="M199" s="187" t="str">
        <f>IFERROR(((2*('Lab Analysis'!U199/60))+('Lab Analysis'!S199/17))/(('Lab Analysis'!T199/44)+('Lab Analysis'!U199/60)),"0")</f>
        <v>0</v>
      </c>
      <c r="N199" s="187" t="str">
        <f>IFERROR((('Lab Analysis'!V199/18)-('Lab Analysis'!U199/60))/(('Lab Analysis'!T199/44)+('Lab Analysis'!U199/60)),"0")</f>
        <v>0</v>
      </c>
      <c r="O199" s="187" t="str">
        <f>IFERROR(((2*('Lab Analysis'!Y199/60)+('Lab Analysis'!W199/17))/(('Lab Analysis'!X199/44)+('Lab Analysis'!Y199/60))),"0")</f>
        <v>0</v>
      </c>
      <c r="P199" s="187" t="str">
        <f>IFERROR((('Lab Analysis'!Z199/18)-('Lab Analysis'!Y199/60))/(('Lab Analysis'!X199/44)+('Lab Analysis'!Y199/60)),"0")</f>
        <v>0</v>
      </c>
      <c r="Q199" s="191"/>
    </row>
    <row r="200" spans="1:17">
      <c r="A200" s="185">
        <v>46014</v>
      </c>
      <c r="B200" s="186" t="str">
        <f>IFERROR(('Lab Analysis'!E200/('Lab Analysis'!E200+(1.364*'Lab Analysis'!D200))),"0")</f>
        <v>0</v>
      </c>
      <c r="C200" s="186" t="str">
        <f>IFERROR((2*'Lab Analysis'!E200/60)/('Lab Analysis'!C200/17+(2*'Lab Analysis'!E200/60)),"0")</f>
        <v>0</v>
      </c>
      <c r="D200" s="187" t="str">
        <f>IFERROR(((2*('Lab Analysis'!E200/60)+('Lab Analysis'!C200/17))/(('Lab Analysis'!D200/44)+('Lab Analysis'!E200/60))),"0")</f>
        <v>0</v>
      </c>
      <c r="E200" s="187" t="str">
        <f>IFERROR((('Lab Analysis'!F200/18)-('Lab Analysis'!E200/60))/(('Lab Analysis'!D200/44)+('Lab Analysis'!E200/60)),"0")</f>
        <v>0</v>
      </c>
      <c r="F200" s="187" t="str">
        <f>IFERROR((('Lab Analysis'!F200/18)/('Lab Analysis'!E200/60)),"0")</f>
        <v>0</v>
      </c>
      <c r="G200" s="188" t="str">
        <f>IFERROR(('Lab Analysis'!I200/('Lab Analysis'!I200+(1.765*'Lab Analysis'!G200))),"0")</f>
        <v>0</v>
      </c>
      <c r="H200" s="189" t="str">
        <f>IFERROR(((2*('Lab Analysis'!I200/60))+('Lab Analysis'!G200/17))/(('Lab Analysis'!H200/44)+('Lab Analysis'!I200/60)),"0")</f>
        <v>0</v>
      </c>
      <c r="I200" s="189" t="str">
        <f>IFERROR((('Lab Analysis'!J200/18)-('Lab Analysis'!I200/60))/(('Lab Analysis'!H200/44)+('Lab Analysis'!I200/60)),"0")</f>
        <v>0</v>
      </c>
      <c r="J200" s="186" t="str">
        <f>IFERROR(('Lab Analysis'!M200/('Lab Analysis'!M200+(1.765*'Lab Analysis'!K200))),"0")</f>
        <v>0</v>
      </c>
      <c r="K200" s="190" t="str">
        <f>IFERROR(((2*('Lab Analysis'!M200/60))+('Lab Analysis'!K200/17))/(('Lab Analysis'!L200/44)+('Lab Analysis'!M200/60)),"0")</f>
        <v>0</v>
      </c>
      <c r="L200" s="190" t="str">
        <f>IFERROR((('Lab Analysis'!N200/18)-('Lab Analysis'!M200/60))/(('Lab Analysis'!L200/44)+('Lab Analysis'!M200/60)),"0")</f>
        <v>0</v>
      </c>
      <c r="M200" s="187" t="str">
        <f>IFERROR(((2*('Lab Analysis'!U200/60))+('Lab Analysis'!S200/17))/(('Lab Analysis'!T200/44)+('Lab Analysis'!U200/60)),"0")</f>
        <v>0</v>
      </c>
      <c r="N200" s="187" t="str">
        <f>IFERROR((('Lab Analysis'!V200/18)-('Lab Analysis'!U200/60))/(('Lab Analysis'!T200/44)+('Lab Analysis'!U200/60)),"0")</f>
        <v>0</v>
      </c>
      <c r="O200" s="187" t="str">
        <f>IFERROR(((2*('Lab Analysis'!Y200/60)+('Lab Analysis'!W200/17))/(('Lab Analysis'!X200/44)+('Lab Analysis'!Y200/60))),"0")</f>
        <v>0</v>
      </c>
      <c r="P200" s="187" t="str">
        <f>IFERROR((('Lab Analysis'!Z200/18)-('Lab Analysis'!Y200/60))/(('Lab Analysis'!X200/44)+('Lab Analysis'!Y200/60)),"0")</f>
        <v>0</v>
      </c>
      <c r="Q200" s="191"/>
    </row>
    <row r="201" spans="1:17">
      <c r="A201" s="185">
        <v>46015</v>
      </c>
      <c r="B201" s="186" t="str">
        <f>IFERROR(('Lab Analysis'!E201/('Lab Analysis'!E201+(1.364*'Lab Analysis'!D201))),"0")</f>
        <v>0</v>
      </c>
      <c r="C201" s="186" t="str">
        <f>IFERROR((2*'Lab Analysis'!E201/60)/('Lab Analysis'!C201/17+(2*'Lab Analysis'!E201/60)),"0")</f>
        <v>0</v>
      </c>
      <c r="D201" s="187" t="str">
        <f>IFERROR(((2*('Lab Analysis'!E201/60)+('Lab Analysis'!C201/17))/(('Lab Analysis'!D201/44)+('Lab Analysis'!E201/60))),"0")</f>
        <v>0</v>
      </c>
      <c r="E201" s="187" t="str">
        <f>IFERROR((('Lab Analysis'!F201/18)-('Lab Analysis'!E201/60))/(('Lab Analysis'!D201/44)+('Lab Analysis'!E201/60)),"0")</f>
        <v>0</v>
      </c>
      <c r="F201" s="187" t="str">
        <f>IFERROR((('Lab Analysis'!F201/18)/('Lab Analysis'!E201/60)),"0")</f>
        <v>0</v>
      </c>
      <c r="G201" s="188" t="str">
        <f>IFERROR(('Lab Analysis'!I201/('Lab Analysis'!I201+(1.765*'Lab Analysis'!G201))),"0")</f>
        <v>0</v>
      </c>
      <c r="H201" s="189" t="str">
        <f>IFERROR(((2*('Lab Analysis'!I201/60))+('Lab Analysis'!G201/17))/(('Lab Analysis'!H201/44)+('Lab Analysis'!I201/60)),"0")</f>
        <v>0</v>
      </c>
      <c r="I201" s="189" t="str">
        <f>IFERROR((('Lab Analysis'!J201/18)-('Lab Analysis'!I201/60))/(('Lab Analysis'!H201/44)+('Lab Analysis'!I201/60)),"0")</f>
        <v>0</v>
      </c>
      <c r="J201" s="186" t="str">
        <f>IFERROR(('Lab Analysis'!M201/('Lab Analysis'!M201+(1.765*'Lab Analysis'!K201))),"0")</f>
        <v>0</v>
      </c>
      <c r="K201" s="190" t="str">
        <f>IFERROR(((2*('Lab Analysis'!M201/60))+('Lab Analysis'!K201/17))/(('Lab Analysis'!L201/44)+('Lab Analysis'!M201/60)),"0")</f>
        <v>0</v>
      </c>
      <c r="L201" s="190" t="str">
        <f>IFERROR((('Lab Analysis'!N201/18)-('Lab Analysis'!M201/60))/(('Lab Analysis'!L201/44)+('Lab Analysis'!M201/60)),"0")</f>
        <v>0</v>
      </c>
      <c r="M201" s="187" t="str">
        <f>IFERROR(((2*('Lab Analysis'!U201/60))+('Lab Analysis'!S201/17))/(('Lab Analysis'!T201/44)+('Lab Analysis'!U201/60)),"0")</f>
        <v>0</v>
      </c>
      <c r="N201" s="187" t="str">
        <f>IFERROR((('Lab Analysis'!V201/18)-('Lab Analysis'!U201/60))/(('Lab Analysis'!T201/44)+('Lab Analysis'!U201/60)),"0")</f>
        <v>0</v>
      </c>
      <c r="O201" s="187" t="str">
        <f>IFERROR(((2*('Lab Analysis'!Y201/60)+('Lab Analysis'!W201/17))/(('Lab Analysis'!X201/44)+('Lab Analysis'!Y201/60))),"0")</f>
        <v>0</v>
      </c>
      <c r="P201" s="187" t="str">
        <f>IFERROR((('Lab Analysis'!Z201/18)-('Lab Analysis'!Y201/60))/(('Lab Analysis'!X201/44)+('Lab Analysis'!Y201/60)),"0")</f>
        <v>0</v>
      </c>
      <c r="Q201" s="191"/>
    </row>
    <row r="202" spans="1:17">
      <c r="A202" s="185">
        <v>46016</v>
      </c>
      <c r="B202" s="186" t="str">
        <f>IFERROR(('Lab Analysis'!E202/('Lab Analysis'!E202+(1.364*'Lab Analysis'!D202))),"0")</f>
        <v>0</v>
      </c>
      <c r="C202" s="186" t="str">
        <f>IFERROR((2*'Lab Analysis'!E202/60)/('Lab Analysis'!C202/17+(2*'Lab Analysis'!E202/60)),"0")</f>
        <v>0</v>
      </c>
      <c r="D202" s="187" t="str">
        <f>IFERROR(((2*('Lab Analysis'!E202/60)+('Lab Analysis'!C202/17))/(('Lab Analysis'!D202/44)+('Lab Analysis'!E202/60))),"0")</f>
        <v>0</v>
      </c>
      <c r="E202" s="187" t="str">
        <f>IFERROR((('Lab Analysis'!F202/18)-('Lab Analysis'!E202/60))/(('Lab Analysis'!D202/44)+('Lab Analysis'!E202/60)),"0")</f>
        <v>0</v>
      </c>
      <c r="F202" s="187" t="str">
        <f>IFERROR((('Lab Analysis'!F202/18)/('Lab Analysis'!E202/60)),"0")</f>
        <v>0</v>
      </c>
      <c r="G202" s="188" t="str">
        <f>IFERROR(('Lab Analysis'!I202/('Lab Analysis'!I202+(1.765*'Lab Analysis'!G202))),"0")</f>
        <v>0</v>
      </c>
      <c r="H202" s="189" t="str">
        <f>IFERROR(((2*('Lab Analysis'!I202/60))+('Lab Analysis'!G202/17))/(('Lab Analysis'!H202/44)+('Lab Analysis'!I202/60)),"0")</f>
        <v>0</v>
      </c>
      <c r="I202" s="189" t="str">
        <f>IFERROR((('Lab Analysis'!J202/18)-('Lab Analysis'!I202/60))/(('Lab Analysis'!H202/44)+('Lab Analysis'!I202/60)),"0")</f>
        <v>0</v>
      </c>
      <c r="J202" s="186" t="str">
        <f>IFERROR(('Lab Analysis'!M202/('Lab Analysis'!M202+(1.765*'Lab Analysis'!K202))),"0")</f>
        <v>0</v>
      </c>
      <c r="K202" s="190" t="str">
        <f>IFERROR(((2*('Lab Analysis'!M202/60))+('Lab Analysis'!K202/17))/(('Lab Analysis'!L202/44)+('Lab Analysis'!M202/60)),"0")</f>
        <v>0</v>
      </c>
      <c r="L202" s="190" t="str">
        <f>IFERROR((('Lab Analysis'!N202/18)-('Lab Analysis'!M202/60))/(('Lab Analysis'!L202/44)+('Lab Analysis'!M202/60)),"0")</f>
        <v>0</v>
      </c>
      <c r="M202" s="187" t="str">
        <f>IFERROR(((2*('Lab Analysis'!U202/60))+('Lab Analysis'!S202/17))/(('Lab Analysis'!T202/44)+('Lab Analysis'!U202/60)),"0")</f>
        <v>0</v>
      </c>
      <c r="N202" s="187" t="str">
        <f>IFERROR((('Lab Analysis'!V202/18)-('Lab Analysis'!U202/60))/(('Lab Analysis'!T202/44)+('Lab Analysis'!U202/60)),"0")</f>
        <v>0</v>
      </c>
      <c r="O202" s="187" t="str">
        <f>IFERROR(((2*('Lab Analysis'!Y202/60)+('Lab Analysis'!W202/17))/(('Lab Analysis'!X202/44)+('Lab Analysis'!Y202/60))),"0")</f>
        <v>0</v>
      </c>
      <c r="P202" s="187" t="str">
        <f>IFERROR((('Lab Analysis'!Z202/18)-('Lab Analysis'!Y202/60))/(('Lab Analysis'!X202/44)+('Lab Analysis'!Y202/60)),"0")</f>
        <v>0</v>
      </c>
      <c r="Q202" s="191"/>
    </row>
    <row r="203" spans="1:17">
      <c r="A203" s="185">
        <v>46017</v>
      </c>
      <c r="B203" s="186" t="str">
        <f>IFERROR(('Lab Analysis'!#REF!/('Lab Analysis'!#REF!+(1.364*'Lab Analysis'!E203))),"0")</f>
        <v>0</v>
      </c>
      <c r="C203" s="186" t="str">
        <f>IFERROR((2*'Lab Analysis'!#REF!/60)/('Lab Analysis'!D203/17+(2*'Lab Analysis'!#REF!/60)),"0")</f>
        <v>0</v>
      </c>
      <c r="D203" s="187" t="str">
        <f>IFERROR(((2*('Lab Analysis'!#REF!/60)+('Lab Analysis'!D203/17))/(('Lab Analysis'!E203/44)+('Lab Analysis'!#REF!/60))),"0")</f>
        <v>0</v>
      </c>
      <c r="E203" s="187" t="str">
        <f>IFERROR((('Lab Analysis'!F203/18)-('Lab Analysis'!#REF!/60))/(('Lab Analysis'!E203/44)+('Lab Analysis'!#REF!/60)),"0")</f>
        <v>0</v>
      </c>
      <c r="F203" s="187" t="str">
        <f>IFERROR((('Lab Analysis'!F203/18)/('Lab Analysis'!#REF!/60)),"0")</f>
        <v>0</v>
      </c>
      <c r="G203" s="188" t="str">
        <f>IFERROR(('Lab Analysis'!I203/('Lab Analysis'!I203+(1.765*'Lab Analysis'!G203))),"0")</f>
        <v>0</v>
      </c>
      <c r="H203" s="189" t="str">
        <f>IFERROR(((2*('Lab Analysis'!I203/60))+('Lab Analysis'!G203/17))/(('Lab Analysis'!H203/44)+('Lab Analysis'!I203/60)),"0")</f>
        <v>0</v>
      </c>
      <c r="I203" s="189" t="str">
        <f>IFERROR((('Lab Analysis'!J203/18)-('Lab Analysis'!I203/60))/(('Lab Analysis'!H203/44)+('Lab Analysis'!I203/60)),"0")</f>
        <v>0</v>
      </c>
      <c r="J203" s="186" t="str">
        <f>IFERROR(('Lab Analysis'!M203/('Lab Analysis'!M203+(1.765*'Lab Analysis'!K203))),"0")</f>
        <v>0</v>
      </c>
      <c r="K203" s="190" t="str">
        <f>IFERROR(((2*('Lab Analysis'!M203/60))+('Lab Analysis'!K203/17))/(('Lab Analysis'!L203/44)+('Lab Analysis'!M203/60)),"0")</f>
        <v>0</v>
      </c>
      <c r="L203" s="190" t="str">
        <f>IFERROR((('Lab Analysis'!N203/18)-('Lab Analysis'!M203/60))/(('Lab Analysis'!L203/44)+('Lab Analysis'!M203/60)),"0")</f>
        <v>0</v>
      </c>
      <c r="M203" s="187" t="str">
        <f>IFERROR(((2*('Lab Analysis'!U203/60))+('Lab Analysis'!S203/17))/(('Lab Analysis'!T203/44)+('Lab Analysis'!U203/60)),"0")</f>
        <v>0</v>
      </c>
      <c r="N203" s="187" t="str">
        <f>IFERROR((('Lab Analysis'!V203/18)-('Lab Analysis'!U203/60))/(('Lab Analysis'!T203/44)+('Lab Analysis'!U203/60)),"0")</f>
        <v>0</v>
      </c>
      <c r="O203" s="187" t="str">
        <f>IFERROR(((2*('Lab Analysis'!Y203/60)+('Lab Analysis'!W203/17))/(('Lab Analysis'!X203/44)+('Lab Analysis'!Y203/60))),"0")</f>
        <v>0</v>
      </c>
      <c r="P203" s="187" t="str">
        <f>IFERROR((('Lab Analysis'!Z203/18)-('Lab Analysis'!Y203/60))/(('Lab Analysis'!X203/44)+('Lab Analysis'!Y203/60)),"0")</f>
        <v>0</v>
      </c>
      <c r="Q203" s="191"/>
    </row>
    <row r="204" spans="1:17">
      <c r="A204" s="185">
        <v>46018</v>
      </c>
      <c r="B204" s="186" t="str">
        <f>IFERROR(('Lab Analysis'!E204/('Lab Analysis'!E204+(1.364*'Lab Analysis'!D204))),"0")</f>
        <v>0</v>
      </c>
      <c r="C204" s="186" t="str">
        <f>IFERROR((2*'Lab Analysis'!E204/60)/('Lab Analysis'!C204/17+(2*'Lab Analysis'!E204/60)),"0")</f>
        <v>0</v>
      </c>
      <c r="D204" s="187" t="str">
        <f>IFERROR(((2*('Lab Analysis'!E204/60)+('Lab Analysis'!C204/17))/(('Lab Analysis'!D204/44)+('Lab Analysis'!E204/60))),"0")</f>
        <v>0</v>
      </c>
      <c r="E204" s="187" t="str">
        <f>IFERROR((('Lab Analysis'!F204/18)-('Lab Analysis'!E204/60))/(('Lab Analysis'!D204/44)+('Lab Analysis'!E204/60)),"0")</f>
        <v>0</v>
      </c>
      <c r="F204" s="187" t="str">
        <f>IFERROR((('Lab Analysis'!F204/18)/('Lab Analysis'!E204/60)),"0")</f>
        <v>0</v>
      </c>
      <c r="G204" s="188" t="str">
        <f>IFERROR(('Lab Analysis'!I204/('Lab Analysis'!I204+(1.765*'Lab Analysis'!G204))),"0")</f>
        <v>0</v>
      </c>
      <c r="H204" s="189" t="str">
        <f>IFERROR(((2*('Lab Analysis'!I204/60))+('Lab Analysis'!G204/17))/(('Lab Analysis'!H204/44)+('Lab Analysis'!I204/60)),"0")</f>
        <v>0</v>
      </c>
      <c r="I204" s="189" t="str">
        <f>IFERROR((('Lab Analysis'!J204/18)-('Lab Analysis'!I204/60))/(('Lab Analysis'!H204/44)+('Lab Analysis'!I204/60)),"0")</f>
        <v>0</v>
      </c>
      <c r="J204" s="186" t="str">
        <f>IFERROR(('Lab Analysis'!M204/('Lab Analysis'!M204+(1.765*'Lab Analysis'!K204))),"0")</f>
        <v>0</v>
      </c>
      <c r="K204" s="190" t="str">
        <f>IFERROR(((2*('Lab Analysis'!M204/60))+('Lab Analysis'!K204/17))/(('Lab Analysis'!L204/44)+('Lab Analysis'!M204/60)),"0")</f>
        <v>0</v>
      </c>
      <c r="L204" s="190" t="str">
        <f>IFERROR((('Lab Analysis'!N204/18)-('Lab Analysis'!M204/60))/(('Lab Analysis'!L204/44)+('Lab Analysis'!M204/60)),"0")</f>
        <v>0</v>
      </c>
      <c r="M204" s="187" t="str">
        <f>IFERROR(((2*('Lab Analysis'!U204/60))+('Lab Analysis'!S204/17))/(('Lab Analysis'!T204/44)+('Lab Analysis'!U204/60)),"0")</f>
        <v>0</v>
      </c>
      <c r="N204" s="187" t="str">
        <f>IFERROR((('Lab Analysis'!V204/18)-('Lab Analysis'!U204/60))/(('Lab Analysis'!T204/44)+('Lab Analysis'!U204/60)),"0")</f>
        <v>0</v>
      </c>
      <c r="O204" s="187" t="str">
        <f>IFERROR(((2*('Lab Analysis'!Y204/60)+('Lab Analysis'!W204/17))/(('Lab Analysis'!X204/44)+('Lab Analysis'!Y204/60))),"0")</f>
        <v>0</v>
      </c>
      <c r="P204" s="187" t="str">
        <f>IFERROR((('Lab Analysis'!Z204/18)-('Lab Analysis'!Y204/60))/(('Lab Analysis'!X204/44)+('Lab Analysis'!Y204/60)),"0")</f>
        <v>0</v>
      </c>
      <c r="Q204" s="191"/>
    </row>
    <row r="205" spans="1:17">
      <c r="A205" s="185">
        <v>46019</v>
      </c>
      <c r="B205" s="186" t="str">
        <f>IFERROR(('Lab Analysis'!E205/('Lab Analysis'!E205+(1.364*'Lab Analysis'!D205))),"0")</f>
        <v>0</v>
      </c>
      <c r="C205" s="186" t="str">
        <f>IFERROR((2*'Lab Analysis'!E205/60)/('Lab Analysis'!C205/17+(2*'Lab Analysis'!E205/60)),"0")</f>
        <v>0</v>
      </c>
      <c r="D205" s="187" t="str">
        <f>IFERROR(((2*('Lab Analysis'!E205/60)+('Lab Analysis'!C205/17))/(('Lab Analysis'!D205/44)+('Lab Analysis'!E205/60))),"0")</f>
        <v>0</v>
      </c>
      <c r="E205" s="187" t="str">
        <f>IFERROR((('Lab Analysis'!F205/18)-('Lab Analysis'!E205/60))/(('Lab Analysis'!D205/44)+('Lab Analysis'!E205/60)),"0")</f>
        <v>0</v>
      </c>
      <c r="F205" s="187" t="str">
        <f>IFERROR((('Lab Analysis'!F205/18)/('Lab Analysis'!E205/60)),"0")</f>
        <v>0</v>
      </c>
      <c r="G205" s="188" t="str">
        <f>IFERROR(('Lab Analysis'!I205/('Lab Analysis'!I205+(1.765*'Lab Analysis'!G205))),"0")</f>
        <v>0</v>
      </c>
      <c r="H205" s="189" t="str">
        <f>IFERROR(((2*('Lab Analysis'!I205/60))+('Lab Analysis'!G205/17))/(('Lab Analysis'!H205/44)+('Lab Analysis'!I205/60)),"0")</f>
        <v>0</v>
      </c>
      <c r="I205" s="189" t="str">
        <f>IFERROR((('Lab Analysis'!J205/18)-('Lab Analysis'!I205/60))/(('Lab Analysis'!H205/44)+('Lab Analysis'!I205/60)),"0")</f>
        <v>0</v>
      </c>
      <c r="J205" s="186" t="str">
        <f>IFERROR(('Lab Analysis'!M205/('Lab Analysis'!M205+(1.765*'Lab Analysis'!K205))),"0")</f>
        <v>0</v>
      </c>
      <c r="K205" s="190" t="str">
        <f>IFERROR(((2*('Lab Analysis'!M205/60))+('Lab Analysis'!K205/17))/(('Lab Analysis'!L205/44)+('Lab Analysis'!M205/60)),"0")</f>
        <v>0</v>
      </c>
      <c r="L205" s="190" t="str">
        <f>IFERROR((('Lab Analysis'!N205/18)-('Lab Analysis'!M205/60))/(('Lab Analysis'!L205/44)+('Lab Analysis'!M205/60)),"0")</f>
        <v>0</v>
      </c>
      <c r="M205" s="187" t="str">
        <f>IFERROR(((2*('Lab Analysis'!U205/60))+('Lab Analysis'!S205/17))/(('Lab Analysis'!T205/44)+('Lab Analysis'!U205/60)),"0")</f>
        <v>0</v>
      </c>
      <c r="N205" s="187" t="str">
        <f>IFERROR((('Lab Analysis'!V205/18)-('Lab Analysis'!U205/60))/(('Lab Analysis'!T205/44)+('Lab Analysis'!U205/60)),"0")</f>
        <v>0</v>
      </c>
      <c r="O205" s="187" t="str">
        <f>IFERROR(((2*('Lab Analysis'!Y205/60)+('Lab Analysis'!W205/17))/(('Lab Analysis'!X205/44)+('Lab Analysis'!Y205/60))),"0")</f>
        <v>0</v>
      </c>
      <c r="P205" s="187" t="str">
        <f>IFERROR((('Lab Analysis'!Z205/18)-('Lab Analysis'!Y205/60))/(('Lab Analysis'!X205/44)+('Lab Analysis'!Y205/60)),"0")</f>
        <v>0</v>
      </c>
      <c r="Q205" s="191"/>
    </row>
    <row r="206" spans="1:17">
      <c r="A206" s="185">
        <v>46020</v>
      </c>
      <c r="B206" s="186" t="str">
        <f>IFERROR(('Lab Analysis'!E206/('Lab Analysis'!E206+(1.364*'Lab Analysis'!D206))),"0")</f>
        <v>0</v>
      </c>
      <c r="C206" s="186" t="str">
        <f>IFERROR((2*'Lab Analysis'!E206/60)/('Lab Analysis'!C206/17+(2*'Lab Analysis'!E206/60)),"0")</f>
        <v>0</v>
      </c>
      <c r="D206" s="187" t="str">
        <f>IFERROR(((2*('Lab Analysis'!E206/60)+('Lab Analysis'!C206/17))/(('Lab Analysis'!D206/44)+('Lab Analysis'!E206/60))),"0")</f>
        <v>0</v>
      </c>
      <c r="E206" s="187" t="str">
        <f>IFERROR((('Lab Analysis'!F206/18)-('Lab Analysis'!E206/60))/(('Lab Analysis'!D206/44)+('Lab Analysis'!E206/60)),"0")</f>
        <v>0</v>
      </c>
      <c r="F206" s="187" t="str">
        <f>IFERROR((('Lab Analysis'!F206/18)/('Lab Analysis'!E206/60)),"0")</f>
        <v>0</v>
      </c>
      <c r="G206" s="188" t="str">
        <f>IFERROR(('Lab Analysis'!I206/('Lab Analysis'!I206+(1.765*'Lab Analysis'!G206))),"0")</f>
        <v>0</v>
      </c>
      <c r="H206" s="189" t="str">
        <f>IFERROR(((2*('Lab Analysis'!I206/60))+('Lab Analysis'!G206/17))/(('Lab Analysis'!H206/44)+('Lab Analysis'!I206/60)),"0")</f>
        <v>0</v>
      </c>
      <c r="I206" s="189" t="str">
        <f>IFERROR((('Lab Analysis'!J206/18)-('Lab Analysis'!I206/60))/(('Lab Analysis'!H206/44)+('Lab Analysis'!I206/60)),"0")</f>
        <v>0</v>
      </c>
      <c r="J206" s="186" t="str">
        <f>IFERROR(('Lab Analysis'!M206/('Lab Analysis'!M206+(1.765*'Lab Analysis'!K206))),"0")</f>
        <v>0</v>
      </c>
      <c r="K206" s="190" t="str">
        <f>IFERROR(((2*('Lab Analysis'!M206/60))+('Lab Analysis'!K206/17))/(('Lab Analysis'!L206/44)+('Lab Analysis'!M206/60)),"0")</f>
        <v>0</v>
      </c>
      <c r="L206" s="190" t="str">
        <f>IFERROR((('Lab Analysis'!N206/18)-('Lab Analysis'!M206/60))/(('Lab Analysis'!L206/44)+('Lab Analysis'!M206/60)),"0")</f>
        <v>0</v>
      </c>
      <c r="M206" s="187" t="str">
        <f>IFERROR(((2*('Lab Analysis'!U206/60))+('Lab Analysis'!S206/17))/(('Lab Analysis'!T206/44)+('Lab Analysis'!U206/60)),"0")</f>
        <v>0</v>
      </c>
      <c r="N206" s="187" t="str">
        <f>IFERROR((('Lab Analysis'!V206/18)-('Lab Analysis'!U206/60))/(('Lab Analysis'!T206/44)+('Lab Analysis'!U206/60)),"0")</f>
        <v>0</v>
      </c>
      <c r="O206" s="187" t="str">
        <f>IFERROR(((2*('Lab Analysis'!Y206/60)+('Lab Analysis'!W206/17))/(('Lab Analysis'!X206/44)+('Lab Analysis'!Y206/60))),"0")</f>
        <v>0</v>
      </c>
      <c r="P206" s="187" t="str">
        <f>IFERROR((('Lab Analysis'!Z206/18)-('Lab Analysis'!Y206/60))/(('Lab Analysis'!X206/44)+('Lab Analysis'!Y206/60)),"0")</f>
        <v>0</v>
      </c>
      <c r="Q206" s="191"/>
    </row>
    <row r="207" spans="1:17">
      <c r="A207" s="185">
        <v>46021</v>
      </c>
      <c r="B207" s="186" t="str">
        <f>IFERROR(('Lab Analysis'!E207/('Lab Analysis'!E207+(1.364*'Lab Analysis'!D207))),"0")</f>
        <v>0</v>
      </c>
      <c r="C207" s="186" t="str">
        <f>IFERROR((2*'Lab Analysis'!E207/60)/('Lab Analysis'!C207/17+(2*'Lab Analysis'!E207/60)),"0")</f>
        <v>0</v>
      </c>
      <c r="D207" s="187" t="str">
        <f>IFERROR(((2*('Lab Analysis'!E207/60)+('Lab Analysis'!C207/17))/(('Lab Analysis'!D207/44)+('Lab Analysis'!E207/60))),"0")</f>
        <v>0</v>
      </c>
      <c r="E207" s="187" t="str">
        <f>IFERROR((('Lab Analysis'!F207/18)-('Lab Analysis'!E207/60))/(('Lab Analysis'!D207/44)+('Lab Analysis'!E207/60)),"0")</f>
        <v>0</v>
      </c>
      <c r="F207" s="187" t="str">
        <f>IFERROR((('Lab Analysis'!F207/18)/('Lab Analysis'!E207/60)),"0")</f>
        <v>0</v>
      </c>
      <c r="G207" s="188" t="str">
        <f>IFERROR(('Lab Analysis'!I207/('Lab Analysis'!I207+(1.765*'Lab Analysis'!G207))),"0")</f>
        <v>0</v>
      </c>
      <c r="H207" s="189" t="str">
        <f>IFERROR(((2*('Lab Analysis'!I207/60))+('Lab Analysis'!G207/17))/(('Lab Analysis'!H207/44)+('Lab Analysis'!I207/60)),"0")</f>
        <v>0</v>
      </c>
      <c r="I207" s="189" t="str">
        <f>IFERROR((('Lab Analysis'!J207/18)-('Lab Analysis'!I207/60))/(('Lab Analysis'!H207/44)+('Lab Analysis'!I207/60)),"0")</f>
        <v>0</v>
      </c>
      <c r="J207" s="186" t="str">
        <f>IFERROR(('Lab Analysis'!M207/('Lab Analysis'!M207+(1.765*'Lab Analysis'!K207))),"0")</f>
        <v>0</v>
      </c>
      <c r="K207" s="190" t="str">
        <f>IFERROR(((2*('Lab Analysis'!M207/60))+('Lab Analysis'!K207/17))/(('Lab Analysis'!L207/44)+('Lab Analysis'!M207/60)),"0")</f>
        <v>0</v>
      </c>
      <c r="L207" s="190" t="str">
        <f>IFERROR((('Lab Analysis'!N207/18)-('Lab Analysis'!M207/60))/(('Lab Analysis'!L207/44)+('Lab Analysis'!M207/60)),"0")</f>
        <v>0</v>
      </c>
      <c r="M207" s="187" t="str">
        <f>IFERROR(((2*('Lab Analysis'!U207/60))+('Lab Analysis'!S207/17))/(('Lab Analysis'!T207/44)+('Lab Analysis'!U207/60)),"0")</f>
        <v>0</v>
      </c>
      <c r="N207" s="187" t="str">
        <f>IFERROR((('Lab Analysis'!V207/18)-('Lab Analysis'!U207/60))/(('Lab Analysis'!T207/44)+('Lab Analysis'!U207/60)),"0")</f>
        <v>0</v>
      </c>
      <c r="O207" s="187" t="str">
        <f>IFERROR(((2*('Lab Analysis'!Y207/60)+('Lab Analysis'!W207/17))/(('Lab Analysis'!X207/44)+('Lab Analysis'!Y207/60))),"0")</f>
        <v>0</v>
      </c>
      <c r="P207" s="187" t="str">
        <f>IFERROR((('Lab Analysis'!Z207/18)-('Lab Analysis'!Y207/60))/(('Lab Analysis'!X207/44)+('Lab Analysis'!Y207/60)),"0")</f>
        <v>0</v>
      </c>
      <c r="Q207" s="191"/>
    </row>
    <row r="208" spans="1:17">
      <c r="A208" s="185">
        <v>46022</v>
      </c>
      <c r="B208" s="186" t="str">
        <f>IFERROR(('Lab Analysis'!E208/('Lab Analysis'!E208+(1.364*'Lab Analysis'!D208))),"0")</f>
        <v>0</v>
      </c>
      <c r="C208" s="186" t="str">
        <f>IFERROR((2*'Lab Analysis'!E208/60)/('Lab Analysis'!C208/17+(2*'Lab Analysis'!E208/60)),"0")</f>
        <v>0</v>
      </c>
      <c r="D208" s="187" t="str">
        <f>IFERROR(((2*('Lab Analysis'!E208/60)+('Lab Analysis'!C208/17))/(('Lab Analysis'!D208/44)+('Lab Analysis'!E208/60))),"0")</f>
        <v>0</v>
      </c>
      <c r="E208" s="187" t="str">
        <f>IFERROR((('Lab Analysis'!F208/18)-('Lab Analysis'!E208/60))/(('Lab Analysis'!D208/44)+('Lab Analysis'!E208/60)),"0")</f>
        <v>0</v>
      </c>
      <c r="F208" s="187" t="str">
        <f>IFERROR((('Lab Analysis'!F208/18)/('Lab Analysis'!E208/60)),"0")</f>
        <v>0</v>
      </c>
      <c r="G208" s="188" t="str">
        <f>IFERROR(('Lab Analysis'!I208/('Lab Analysis'!I208+(1.765*'Lab Analysis'!G208))),"0")</f>
        <v>0</v>
      </c>
      <c r="H208" s="189" t="str">
        <f>IFERROR(((2*('Lab Analysis'!I208/60))+('Lab Analysis'!G208/17))/(('Lab Analysis'!H208/44)+('Lab Analysis'!I208/60)),"0")</f>
        <v>0</v>
      </c>
      <c r="I208" s="189" t="str">
        <f>IFERROR((('Lab Analysis'!J208/18)-('Lab Analysis'!I208/60))/(('Lab Analysis'!H208/44)+('Lab Analysis'!I208/60)),"0")</f>
        <v>0</v>
      </c>
      <c r="J208" s="186" t="str">
        <f>IFERROR(('Lab Analysis'!M208/('Lab Analysis'!M208+(1.765*'Lab Analysis'!K208))),"0")</f>
        <v>0</v>
      </c>
      <c r="K208" s="190" t="str">
        <f>IFERROR(((2*('Lab Analysis'!M208/60))+('Lab Analysis'!K208/17))/(('Lab Analysis'!L208/44)+('Lab Analysis'!M208/60)),"0")</f>
        <v>0</v>
      </c>
      <c r="L208" s="190" t="str">
        <f>IFERROR((('Lab Analysis'!N208/18)-('Lab Analysis'!M208/60))/(('Lab Analysis'!L208/44)+('Lab Analysis'!M208/60)),"0")</f>
        <v>0</v>
      </c>
      <c r="M208" s="187" t="str">
        <f>IFERROR(((2*('Lab Analysis'!U208/60))+('Lab Analysis'!S208/17))/(('Lab Analysis'!T208/44)+('Lab Analysis'!U208/60)),"0")</f>
        <v>0</v>
      </c>
      <c r="N208" s="187" t="str">
        <f>IFERROR((('Lab Analysis'!V208/18)-('Lab Analysis'!U208/60))/(('Lab Analysis'!T208/44)+('Lab Analysis'!U208/60)),"0")</f>
        <v>0</v>
      </c>
      <c r="O208" s="187" t="str">
        <f>IFERROR(((2*('Lab Analysis'!Y208/60)+('Lab Analysis'!W208/17))/(('Lab Analysis'!X208/44)+('Lab Analysis'!Y208/60))),"0")</f>
        <v>0</v>
      </c>
      <c r="P208" s="187" t="str">
        <f>IFERROR((('Lab Analysis'!Z208/18)-('Lab Analysis'!Y208/60))/(('Lab Analysis'!X208/44)+('Lab Analysis'!Y208/60)),"0")</f>
        <v>0</v>
      </c>
      <c r="Q208" s="191"/>
    </row>
    <row r="209" spans="1:17">
      <c r="A209" s="185">
        <v>46023</v>
      </c>
      <c r="B209" s="186" t="str">
        <f>IFERROR(('Lab Analysis'!E209/('Lab Analysis'!E209+(1.364*'Lab Analysis'!D209))),"0")</f>
        <v>0</v>
      </c>
      <c r="C209" s="186" t="str">
        <f>IFERROR((2*'Lab Analysis'!E209/60)/('Lab Analysis'!C209/17+(2*'Lab Analysis'!E209/60)),"0")</f>
        <v>0</v>
      </c>
      <c r="D209" s="187" t="str">
        <f>IFERROR(((2*('Lab Analysis'!E209/60)+('Lab Analysis'!C209/17))/(('Lab Analysis'!D209/44)+('Lab Analysis'!E209/60))),"0")</f>
        <v>0</v>
      </c>
      <c r="E209" s="187" t="str">
        <f>IFERROR((('Lab Analysis'!F209/18)-('Lab Analysis'!E209/60))/(('Lab Analysis'!D209/44)+('Lab Analysis'!E209/60)),"0")</f>
        <v>0</v>
      </c>
      <c r="F209" s="187" t="str">
        <f>IFERROR((('Lab Analysis'!F209/18)/('Lab Analysis'!E209/60)),"0")</f>
        <v>0</v>
      </c>
      <c r="G209" s="188" t="str">
        <f>IFERROR(('Lab Analysis'!I209/('Lab Analysis'!I209+(1.765*'Lab Analysis'!G209))),"0")</f>
        <v>0</v>
      </c>
      <c r="H209" s="189" t="str">
        <f>IFERROR(((2*('Lab Analysis'!I209/60))+('Lab Analysis'!G209/17))/(('Lab Analysis'!H209/44)+('Lab Analysis'!I209/60)),"0")</f>
        <v>0</v>
      </c>
      <c r="I209" s="189" t="str">
        <f>IFERROR((('Lab Analysis'!J209/18)-('Lab Analysis'!I209/60))/(('Lab Analysis'!H209/44)+('Lab Analysis'!I209/60)),"0")</f>
        <v>0</v>
      </c>
      <c r="J209" s="186" t="str">
        <f>IFERROR(('Lab Analysis'!M209/('Lab Analysis'!M209+(1.765*'Lab Analysis'!K209))),"0")</f>
        <v>0</v>
      </c>
      <c r="K209" s="190" t="str">
        <f>IFERROR(((2*('Lab Analysis'!M209/60))+('Lab Analysis'!K209/17))/(('Lab Analysis'!L209/44)+('Lab Analysis'!M209/60)),"0")</f>
        <v>0</v>
      </c>
      <c r="L209" s="190" t="str">
        <f>IFERROR((('Lab Analysis'!N209/18)-('Lab Analysis'!M209/60))/(('Lab Analysis'!L209/44)+('Lab Analysis'!M209/60)),"0")</f>
        <v>0</v>
      </c>
      <c r="M209" s="187" t="str">
        <f>IFERROR(((2*('Lab Analysis'!U209/60))+('Lab Analysis'!S209/17))/(('Lab Analysis'!T209/44)+('Lab Analysis'!U209/60)),"0")</f>
        <v>0</v>
      </c>
      <c r="N209" s="187" t="str">
        <f>IFERROR((('Lab Analysis'!V209/18)-('Lab Analysis'!U209/60))/(('Lab Analysis'!T209/44)+('Lab Analysis'!U209/60)),"0")</f>
        <v>0</v>
      </c>
      <c r="O209" s="187" t="str">
        <f>IFERROR(((2*('Lab Analysis'!Y209/60)+('Lab Analysis'!W209/17))/(('Lab Analysis'!X209/44)+('Lab Analysis'!Y209/60))),"0")</f>
        <v>0</v>
      </c>
      <c r="P209" s="187" t="str">
        <f>IFERROR((('Lab Analysis'!Z209/18)-('Lab Analysis'!Y209/60))/(('Lab Analysis'!X209/44)+('Lab Analysis'!Y209/60)),"0")</f>
        <v>0</v>
      </c>
      <c r="Q209" s="191"/>
    </row>
    <row r="210" spans="1:17">
      <c r="A210" s="185">
        <v>46024</v>
      </c>
      <c r="B210" s="186" t="str">
        <f>IFERROR(('Lab Analysis'!E210/('Lab Analysis'!E210+(1.364*'Lab Analysis'!D210))),"0")</f>
        <v>0</v>
      </c>
      <c r="C210" s="186" t="str">
        <f>IFERROR((2*'Lab Analysis'!E210/60)/('Lab Analysis'!C210/17+(2*'Lab Analysis'!E210/60)),"0")</f>
        <v>0</v>
      </c>
      <c r="D210" s="187" t="str">
        <f>IFERROR(((2*('Lab Analysis'!E210/60)+('Lab Analysis'!C210/17))/(('Lab Analysis'!D210/44)+('Lab Analysis'!E210/60))),"0")</f>
        <v>0</v>
      </c>
      <c r="E210" s="187" t="str">
        <f>IFERROR((('Lab Analysis'!F210/18)-('Lab Analysis'!E210/60))/(('Lab Analysis'!D210/44)+('Lab Analysis'!E210/60)),"0")</f>
        <v>0</v>
      </c>
      <c r="F210" s="187" t="str">
        <f>IFERROR((('Lab Analysis'!F210/18)/('Lab Analysis'!E210/60)),"0")</f>
        <v>0</v>
      </c>
      <c r="G210" s="188" t="str">
        <f>IFERROR(('Lab Analysis'!I210/('Lab Analysis'!I210+(1.765*'Lab Analysis'!G210))),"0")</f>
        <v>0</v>
      </c>
      <c r="H210" s="189" t="str">
        <f>IFERROR(((2*('Lab Analysis'!I210/60))+('Lab Analysis'!G210/17))/(('Lab Analysis'!H210/44)+('Lab Analysis'!I210/60)),"0")</f>
        <v>0</v>
      </c>
      <c r="I210" s="189" t="str">
        <f>IFERROR((('Lab Analysis'!J210/18)-('Lab Analysis'!I210/60))/(('Lab Analysis'!H210/44)+('Lab Analysis'!I210/60)),"0")</f>
        <v>0</v>
      </c>
      <c r="J210" s="186" t="str">
        <f>IFERROR(('Lab Analysis'!M210/('Lab Analysis'!M210+(1.765*'Lab Analysis'!K210))),"0")</f>
        <v>0</v>
      </c>
      <c r="K210" s="190" t="str">
        <f>IFERROR(((2*('Lab Analysis'!M210/60))+('Lab Analysis'!K210/17))/(('Lab Analysis'!L210/44)+('Lab Analysis'!M210/60)),"0")</f>
        <v>0</v>
      </c>
      <c r="L210" s="190" t="str">
        <f>IFERROR((('Lab Analysis'!N210/18)-('Lab Analysis'!M210/60))/(('Lab Analysis'!L210/44)+('Lab Analysis'!M210/60)),"0")</f>
        <v>0</v>
      </c>
      <c r="M210" s="187" t="str">
        <f>IFERROR(((2*('Lab Analysis'!U210/60))+('Lab Analysis'!S210/17))/(('Lab Analysis'!T210/44)+('Lab Analysis'!U210/60)),"0")</f>
        <v>0</v>
      </c>
      <c r="N210" s="187" t="str">
        <f>IFERROR((('Lab Analysis'!V210/18)-('Lab Analysis'!U210/60))/(('Lab Analysis'!T210/44)+('Lab Analysis'!U210/60)),"0")</f>
        <v>0</v>
      </c>
      <c r="O210" s="187" t="str">
        <f>IFERROR(((2*('Lab Analysis'!Y210/60)+('Lab Analysis'!W210/17))/(('Lab Analysis'!X210/44)+('Lab Analysis'!Y210/60))),"0")</f>
        <v>0</v>
      </c>
      <c r="P210" s="187" t="str">
        <f>IFERROR((('Lab Analysis'!Z210/18)-('Lab Analysis'!Y210/60))/(('Lab Analysis'!X210/44)+('Lab Analysis'!Y210/60)),"0")</f>
        <v>0</v>
      </c>
      <c r="Q210" s="191"/>
    </row>
    <row r="211" spans="1:17">
      <c r="A211" s="185">
        <v>46025</v>
      </c>
      <c r="B211" s="186" t="str">
        <f>IFERROR(('Lab Analysis'!E211/('Lab Analysis'!E211+(1.364*'Lab Analysis'!D211))),"0")</f>
        <v>0</v>
      </c>
      <c r="C211" s="186" t="str">
        <f>IFERROR((2*'Lab Analysis'!E211/60)/('Lab Analysis'!C211/17+(2*'Lab Analysis'!E211/60)),"0")</f>
        <v>0</v>
      </c>
      <c r="D211" s="187" t="str">
        <f>IFERROR(((2*('Lab Analysis'!E211/60)+('Lab Analysis'!C211/17))/(('Lab Analysis'!D211/44)+('Lab Analysis'!E211/60))),"0")</f>
        <v>0</v>
      </c>
      <c r="E211" s="187" t="str">
        <f>IFERROR((('Lab Analysis'!F211/18)-('Lab Analysis'!E211/60))/(('Lab Analysis'!D211/44)+('Lab Analysis'!E211/60)),"0")</f>
        <v>0</v>
      </c>
      <c r="F211" s="187" t="str">
        <f>IFERROR((('Lab Analysis'!F211/18)/('Lab Analysis'!E211/60)),"0")</f>
        <v>0</v>
      </c>
      <c r="G211" s="188" t="str">
        <f>IFERROR(('Lab Analysis'!I211/('Lab Analysis'!I211+(1.765*'Lab Analysis'!G211))),"0")</f>
        <v>0</v>
      </c>
      <c r="H211" s="189" t="str">
        <f>IFERROR(((2*('Lab Analysis'!I211/60))+('Lab Analysis'!G211/17))/(('Lab Analysis'!H211/44)+('Lab Analysis'!I211/60)),"0")</f>
        <v>0</v>
      </c>
      <c r="I211" s="189" t="str">
        <f>IFERROR((('Lab Analysis'!J211/18)-('Lab Analysis'!I211/60))/(('Lab Analysis'!H211/44)+('Lab Analysis'!I211/60)),"0")</f>
        <v>0</v>
      </c>
      <c r="J211" s="186" t="str">
        <f>IFERROR(('Lab Analysis'!M211/('Lab Analysis'!M211+(1.765*'Lab Analysis'!K211))),"0")</f>
        <v>0</v>
      </c>
      <c r="K211" s="190" t="str">
        <f>IFERROR(((2*('Lab Analysis'!M211/60))+('Lab Analysis'!K211/17))/(('Lab Analysis'!L211/44)+('Lab Analysis'!M211/60)),"0")</f>
        <v>0</v>
      </c>
      <c r="L211" s="190" t="str">
        <f>IFERROR((('Lab Analysis'!N211/18)-('Lab Analysis'!M211/60))/(('Lab Analysis'!L211/44)+('Lab Analysis'!M211/60)),"0")</f>
        <v>0</v>
      </c>
      <c r="M211" s="187" t="str">
        <f>IFERROR(((2*('Lab Analysis'!U211/60))+('Lab Analysis'!S211/17))/(('Lab Analysis'!T211/44)+('Lab Analysis'!U211/60)),"0")</f>
        <v>0</v>
      </c>
      <c r="N211" s="187" t="str">
        <f>IFERROR((('Lab Analysis'!V211/18)-('Lab Analysis'!U211/60))/(('Lab Analysis'!T211/44)+('Lab Analysis'!U211/60)),"0")</f>
        <v>0</v>
      </c>
      <c r="O211" s="187" t="str">
        <f>IFERROR(((2*('Lab Analysis'!Y211/60)+('Lab Analysis'!W211/17))/(('Lab Analysis'!X211/44)+('Lab Analysis'!Y211/60))),"0")</f>
        <v>0</v>
      </c>
      <c r="P211" s="187" t="str">
        <f>IFERROR((('Lab Analysis'!Z211/18)-('Lab Analysis'!Y211/60))/(('Lab Analysis'!X211/44)+('Lab Analysis'!Y211/60)),"0")</f>
        <v>0</v>
      </c>
      <c r="Q211" s="191"/>
    </row>
    <row r="212" spans="1:17">
      <c r="A212" s="185">
        <v>46026</v>
      </c>
      <c r="B212" s="186" t="str">
        <f>IFERROR(('Lab Analysis'!E212/('Lab Analysis'!E212+(1.364*'Lab Analysis'!D212))),"0")</f>
        <v>0</v>
      </c>
      <c r="C212" s="186" t="str">
        <f>IFERROR((2*'Lab Analysis'!E212/60)/('Lab Analysis'!C212/17+(2*'Lab Analysis'!E212/60)),"0")</f>
        <v>0</v>
      </c>
      <c r="D212" s="187" t="str">
        <f>IFERROR(((2*('Lab Analysis'!E212/60)+('Lab Analysis'!C212/17))/(('Lab Analysis'!D212/44)+('Lab Analysis'!E212/60))),"0")</f>
        <v>0</v>
      </c>
      <c r="E212" s="187" t="str">
        <f>IFERROR((('Lab Analysis'!F212/18)-('Lab Analysis'!E212/60))/(('Lab Analysis'!D212/44)+('Lab Analysis'!E212/60)),"0")</f>
        <v>0</v>
      </c>
      <c r="F212" s="187" t="str">
        <f>IFERROR((('Lab Analysis'!F212/18)/('Lab Analysis'!E212/60)),"0")</f>
        <v>0</v>
      </c>
      <c r="G212" s="188" t="str">
        <f>IFERROR(('Lab Analysis'!I212/('Lab Analysis'!I212+(1.765*'Lab Analysis'!G212))),"0")</f>
        <v>0</v>
      </c>
      <c r="H212" s="189" t="str">
        <f>IFERROR(((2*('Lab Analysis'!I212/60))+('Lab Analysis'!G212/17))/(('Lab Analysis'!H212/44)+('Lab Analysis'!I212/60)),"0")</f>
        <v>0</v>
      </c>
      <c r="I212" s="189" t="str">
        <f>IFERROR((('Lab Analysis'!J212/18)-('Lab Analysis'!I212/60))/(('Lab Analysis'!H212/44)+('Lab Analysis'!I212/60)),"0")</f>
        <v>0</v>
      </c>
      <c r="J212" s="186" t="str">
        <f>IFERROR(('Lab Analysis'!M212/('Lab Analysis'!M212+(1.765*'Lab Analysis'!K212))),"0")</f>
        <v>0</v>
      </c>
      <c r="K212" s="190" t="str">
        <f>IFERROR(((2*('Lab Analysis'!M212/60))+('Lab Analysis'!K212/17))/(('Lab Analysis'!L212/44)+('Lab Analysis'!M212/60)),"0")</f>
        <v>0</v>
      </c>
      <c r="L212" s="190" t="str">
        <f>IFERROR((('Lab Analysis'!N212/18)-('Lab Analysis'!M212/60))/(('Lab Analysis'!L212/44)+('Lab Analysis'!M212/60)),"0")</f>
        <v>0</v>
      </c>
      <c r="M212" s="187" t="str">
        <f>IFERROR(((2*('Lab Analysis'!U212/60))+('Lab Analysis'!S212/17))/(('Lab Analysis'!T212/44)+('Lab Analysis'!U212/60)),"0")</f>
        <v>0</v>
      </c>
      <c r="N212" s="187" t="str">
        <f>IFERROR((('Lab Analysis'!V212/18)-('Lab Analysis'!U212/60))/(('Lab Analysis'!T212/44)+('Lab Analysis'!U212/60)),"0")</f>
        <v>0</v>
      </c>
      <c r="O212" s="187" t="str">
        <f>IFERROR(((2*('Lab Analysis'!Y212/60)+('Lab Analysis'!W212/17))/(('Lab Analysis'!X212/44)+('Lab Analysis'!Y212/60))),"0")</f>
        <v>0</v>
      </c>
      <c r="P212" s="187" t="str">
        <f>IFERROR((('Lab Analysis'!Z212/18)-('Lab Analysis'!Y212/60))/(('Lab Analysis'!X212/44)+('Lab Analysis'!Y212/60)),"0")</f>
        <v>0</v>
      </c>
      <c r="Q212" s="191"/>
    </row>
    <row r="213" spans="1:17">
      <c r="A213" s="185">
        <v>46027</v>
      </c>
      <c r="B213" s="186" t="str">
        <f>IFERROR(('Lab Analysis'!E213/('Lab Analysis'!E213+(1.364*'Lab Analysis'!D213))),"0")</f>
        <v>0</v>
      </c>
      <c r="C213" s="186" t="str">
        <f>IFERROR((2*'Lab Analysis'!E213/60)/('Lab Analysis'!C213/17+(2*'Lab Analysis'!E213/60)),"0")</f>
        <v>0</v>
      </c>
      <c r="D213" s="187" t="str">
        <f>IFERROR(((2*('Lab Analysis'!E213/60)+('Lab Analysis'!C213/17))/(('Lab Analysis'!D213/44)+('Lab Analysis'!E213/60))),"0")</f>
        <v>0</v>
      </c>
      <c r="E213" s="187" t="str">
        <f>IFERROR((('Lab Analysis'!F213/18)-('Lab Analysis'!E213/60))/(('Lab Analysis'!D213/44)+('Lab Analysis'!E213/60)),"0")</f>
        <v>0</v>
      </c>
      <c r="F213" s="187" t="str">
        <f>IFERROR((('Lab Analysis'!F213/18)/('Lab Analysis'!E213/60)),"0")</f>
        <v>0</v>
      </c>
      <c r="G213" s="188" t="str">
        <f>IFERROR(('Lab Analysis'!I213/('Lab Analysis'!I213+(1.765*'Lab Analysis'!G213))),"0")</f>
        <v>0</v>
      </c>
      <c r="H213" s="189" t="str">
        <f>IFERROR(((2*('Lab Analysis'!I213/60))+('Lab Analysis'!G213/17))/(('Lab Analysis'!H213/44)+('Lab Analysis'!I213/60)),"0")</f>
        <v>0</v>
      </c>
      <c r="I213" s="189" t="str">
        <f>IFERROR((('Lab Analysis'!J213/18)-('Lab Analysis'!I213/60))/(('Lab Analysis'!H213/44)+('Lab Analysis'!I213/60)),"0")</f>
        <v>0</v>
      </c>
      <c r="J213" s="186" t="str">
        <f>IFERROR(('Lab Analysis'!M213/('Lab Analysis'!M213+(1.765*'Lab Analysis'!K213))),"0")</f>
        <v>0</v>
      </c>
      <c r="K213" s="190" t="str">
        <f>IFERROR(((2*('Lab Analysis'!M213/60))+('Lab Analysis'!K213/17))/(('Lab Analysis'!L213/44)+('Lab Analysis'!M213/60)),"0")</f>
        <v>0</v>
      </c>
      <c r="L213" s="190" t="str">
        <f>IFERROR((('Lab Analysis'!N213/18)-('Lab Analysis'!M213/60))/(('Lab Analysis'!L213/44)+('Lab Analysis'!M213/60)),"0")</f>
        <v>0</v>
      </c>
      <c r="M213" s="187" t="str">
        <f>IFERROR(((2*('Lab Analysis'!U213/60))+('Lab Analysis'!S213/17))/(('Lab Analysis'!T213/44)+('Lab Analysis'!U213/60)),"0")</f>
        <v>0</v>
      </c>
      <c r="N213" s="187" t="str">
        <f>IFERROR((('Lab Analysis'!V213/18)-('Lab Analysis'!U213/60))/(('Lab Analysis'!T213/44)+('Lab Analysis'!U213/60)),"0")</f>
        <v>0</v>
      </c>
      <c r="O213" s="187" t="str">
        <f>IFERROR(((2*('Lab Analysis'!Y213/60)+('Lab Analysis'!W213/17))/(('Lab Analysis'!X213/44)+('Lab Analysis'!Y213/60))),"0")</f>
        <v>0</v>
      </c>
      <c r="P213" s="187" t="str">
        <f>IFERROR((('Lab Analysis'!Z213/18)-('Lab Analysis'!Y213/60))/(('Lab Analysis'!X213/44)+('Lab Analysis'!Y213/60)),"0")</f>
        <v>0</v>
      </c>
      <c r="Q213" s="191"/>
    </row>
    <row r="214" spans="1:17">
      <c r="A214" s="185">
        <v>46028</v>
      </c>
      <c r="B214" s="186" t="str">
        <f>IFERROR(('Lab Analysis'!E214/('Lab Analysis'!E214+(1.364*'Lab Analysis'!D214))),"0")</f>
        <v>0</v>
      </c>
      <c r="C214" s="186" t="str">
        <f>IFERROR((2*'Lab Analysis'!E214/60)/('Lab Analysis'!C214/17+(2*'Lab Analysis'!E214/60)),"0")</f>
        <v>0</v>
      </c>
      <c r="D214" s="187" t="str">
        <f>IFERROR(((2*('Lab Analysis'!E214/60)+('Lab Analysis'!C214/17))/(('Lab Analysis'!D214/44)+('Lab Analysis'!E214/60))),"0")</f>
        <v>0</v>
      </c>
      <c r="E214" s="187" t="str">
        <f>IFERROR((('Lab Analysis'!F214/18)-('Lab Analysis'!E214/60))/(('Lab Analysis'!D214/44)+('Lab Analysis'!E214/60)),"0")</f>
        <v>0</v>
      </c>
      <c r="F214" s="187" t="str">
        <f>IFERROR((('Lab Analysis'!F214/18)/('Lab Analysis'!E214/60)),"0")</f>
        <v>0</v>
      </c>
      <c r="G214" s="188" t="str">
        <f>IFERROR(('Lab Analysis'!I214/('Lab Analysis'!I214+(1.765*'Lab Analysis'!G214))),"0")</f>
        <v>0</v>
      </c>
      <c r="H214" s="189" t="str">
        <f>IFERROR(((2*('Lab Analysis'!I214/60))+('Lab Analysis'!G214/17))/(('Lab Analysis'!H214/44)+('Lab Analysis'!I214/60)),"0")</f>
        <v>0</v>
      </c>
      <c r="I214" s="189" t="str">
        <f>IFERROR((('Lab Analysis'!J214/18)-('Lab Analysis'!I214/60))/(('Lab Analysis'!H214/44)+('Lab Analysis'!I214/60)),"0")</f>
        <v>0</v>
      </c>
      <c r="J214" s="186" t="str">
        <f>IFERROR(('Lab Analysis'!M214/('Lab Analysis'!M214+(1.765*'Lab Analysis'!K214))),"0")</f>
        <v>0</v>
      </c>
      <c r="K214" s="190" t="str">
        <f>IFERROR(((2*('Lab Analysis'!M214/60))+('Lab Analysis'!K214/17))/(('Lab Analysis'!L214/44)+('Lab Analysis'!M214/60)),"0")</f>
        <v>0</v>
      </c>
      <c r="L214" s="190" t="str">
        <f>IFERROR((('Lab Analysis'!N214/18)-('Lab Analysis'!M214/60))/(('Lab Analysis'!L214/44)+('Lab Analysis'!M214/60)),"0")</f>
        <v>0</v>
      </c>
      <c r="M214" s="187" t="str">
        <f>IFERROR(((2*('Lab Analysis'!U214/60))+('Lab Analysis'!S214/17))/(('Lab Analysis'!T214/44)+('Lab Analysis'!U214/60)),"0")</f>
        <v>0</v>
      </c>
      <c r="N214" s="187" t="str">
        <f>IFERROR((('Lab Analysis'!V214/18)-('Lab Analysis'!U214/60))/(('Lab Analysis'!T214/44)+('Lab Analysis'!U214/60)),"0")</f>
        <v>0</v>
      </c>
      <c r="O214" s="187" t="str">
        <f>IFERROR(((2*('Lab Analysis'!Y214/60)+('Lab Analysis'!W214/17))/(('Lab Analysis'!X214/44)+('Lab Analysis'!Y214/60))),"0")</f>
        <v>0</v>
      </c>
      <c r="P214" s="187" t="str">
        <f>IFERROR((('Lab Analysis'!Z214/18)-('Lab Analysis'!Y214/60))/(('Lab Analysis'!X214/44)+('Lab Analysis'!Y214/60)),"0")</f>
        <v>0</v>
      </c>
      <c r="Q214" s="191"/>
    </row>
    <row r="215" spans="1:17">
      <c r="A215" s="185">
        <v>46029</v>
      </c>
      <c r="B215" s="186" t="str">
        <f>IFERROR(('Lab Analysis'!E215/('Lab Analysis'!E215+(1.364*'Lab Analysis'!D215))),"0")</f>
        <v>0</v>
      </c>
      <c r="C215" s="186" t="str">
        <f>IFERROR((2*'Lab Analysis'!E215/60)/('Lab Analysis'!C215/17+(2*'Lab Analysis'!E215/60)),"0")</f>
        <v>0</v>
      </c>
      <c r="D215" s="187" t="str">
        <f>IFERROR(((2*('Lab Analysis'!E215/60)+('Lab Analysis'!C215/17))/(('Lab Analysis'!D215/44)+('Lab Analysis'!E215/60))),"0")</f>
        <v>0</v>
      </c>
      <c r="E215" s="187" t="str">
        <f>IFERROR((('Lab Analysis'!F215/18)-('Lab Analysis'!E215/60))/(('Lab Analysis'!D215/44)+('Lab Analysis'!E215/60)),"0")</f>
        <v>0</v>
      </c>
      <c r="F215" s="187" t="str">
        <f>IFERROR((('Lab Analysis'!F215/18)/('Lab Analysis'!E215/60)),"0")</f>
        <v>0</v>
      </c>
      <c r="G215" s="188" t="str">
        <f>IFERROR(('Lab Analysis'!I215/('Lab Analysis'!I215+(1.765*'Lab Analysis'!G215))),"0")</f>
        <v>0</v>
      </c>
      <c r="H215" s="189" t="str">
        <f>IFERROR(((2*('Lab Analysis'!I215/60))+('Lab Analysis'!G215/17))/(('Lab Analysis'!H215/44)+('Lab Analysis'!I215/60)),"0")</f>
        <v>0</v>
      </c>
      <c r="I215" s="189" t="str">
        <f>IFERROR((('Lab Analysis'!J215/18)-('Lab Analysis'!I215/60))/(('Lab Analysis'!H215/44)+('Lab Analysis'!I215/60)),"0")</f>
        <v>0</v>
      </c>
      <c r="J215" s="186" t="str">
        <f>IFERROR(('Lab Analysis'!M215/('Lab Analysis'!M215+(1.765*'Lab Analysis'!K215))),"0")</f>
        <v>0</v>
      </c>
      <c r="K215" s="190" t="str">
        <f>IFERROR(((2*('Lab Analysis'!M215/60))+('Lab Analysis'!K215/17))/(('Lab Analysis'!L215/44)+('Lab Analysis'!M215/60)),"0")</f>
        <v>0</v>
      </c>
      <c r="L215" s="190" t="str">
        <f>IFERROR((('Lab Analysis'!N215/18)-('Lab Analysis'!M215/60))/(('Lab Analysis'!L215/44)+('Lab Analysis'!M215/60)),"0")</f>
        <v>0</v>
      </c>
      <c r="M215" s="187" t="str">
        <f>IFERROR(((2*('Lab Analysis'!U215/60))+('Lab Analysis'!S215/17))/(('Lab Analysis'!T215/44)+('Lab Analysis'!U215/60)),"0")</f>
        <v>0</v>
      </c>
      <c r="N215" s="187" t="str">
        <f>IFERROR((('Lab Analysis'!V215/18)-('Lab Analysis'!U215/60))/(('Lab Analysis'!T215/44)+('Lab Analysis'!U215/60)),"0")</f>
        <v>0</v>
      </c>
      <c r="O215" s="187" t="str">
        <f>IFERROR(((2*('Lab Analysis'!Y215/60)+('Lab Analysis'!W215/17))/(('Lab Analysis'!X215/44)+('Lab Analysis'!Y215/60))),"0")</f>
        <v>0</v>
      </c>
      <c r="P215" s="187" t="str">
        <f>IFERROR((('Lab Analysis'!Z215/18)-('Lab Analysis'!Y215/60))/(('Lab Analysis'!X215/44)+('Lab Analysis'!Y215/60)),"0")</f>
        <v>0</v>
      </c>
      <c r="Q215" s="191"/>
    </row>
    <row r="216" spans="1:17">
      <c r="A216" s="185">
        <v>46030</v>
      </c>
      <c r="B216" s="186" t="str">
        <f>IFERROR(('Lab Analysis'!E216/('Lab Analysis'!E216+(1.364*'Lab Analysis'!D216))),"0")</f>
        <v>0</v>
      </c>
      <c r="C216" s="186" t="str">
        <f>IFERROR((2*'Lab Analysis'!E216/60)/('Lab Analysis'!C216/17+(2*'Lab Analysis'!E216/60)),"0")</f>
        <v>0</v>
      </c>
      <c r="D216" s="187" t="str">
        <f>IFERROR(((2*('Lab Analysis'!E216/60)+('Lab Analysis'!C216/17))/(('Lab Analysis'!D216/44)+('Lab Analysis'!E216/60))),"0")</f>
        <v>0</v>
      </c>
      <c r="E216" s="187" t="str">
        <f>IFERROR((('Lab Analysis'!F216/18)-('Lab Analysis'!E216/60))/(('Lab Analysis'!D216/44)+('Lab Analysis'!E216/60)),"0")</f>
        <v>0</v>
      </c>
      <c r="F216" s="187" t="str">
        <f>IFERROR((('Lab Analysis'!F216/18)/('Lab Analysis'!E216/60)),"0")</f>
        <v>0</v>
      </c>
      <c r="G216" s="188" t="str">
        <f>IFERROR(('Lab Analysis'!I216/('Lab Analysis'!I216+(1.765*'Lab Analysis'!G216))),"0")</f>
        <v>0</v>
      </c>
      <c r="H216" s="189" t="str">
        <f>IFERROR(((2*('Lab Analysis'!I216/60))+('Lab Analysis'!G216/17))/(('Lab Analysis'!H216/44)+('Lab Analysis'!I216/60)),"0")</f>
        <v>0</v>
      </c>
      <c r="I216" s="189" t="str">
        <f>IFERROR((('Lab Analysis'!J216/18)-('Lab Analysis'!I216/60))/(('Lab Analysis'!H216/44)+('Lab Analysis'!I216/60)),"0")</f>
        <v>0</v>
      </c>
      <c r="J216" s="186" t="str">
        <f>IFERROR(('Lab Analysis'!M216/('Lab Analysis'!M216+(1.765*'Lab Analysis'!K216))),"0")</f>
        <v>0</v>
      </c>
      <c r="K216" s="190" t="str">
        <f>IFERROR(((2*('Lab Analysis'!M216/60))+('Lab Analysis'!K216/17))/(('Lab Analysis'!L216/44)+('Lab Analysis'!M216/60)),"0")</f>
        <v>0</v>
      </c>
      <c r="L216" s="190" t="str">
        <f>IFERROR((('Lab Analysis'!N216/18)-('Lab Analysis'!M216/60))/(('Lab Analysis'!L216/44)+('Lab Analysis'!M216/60)),"0")</f>
        <v>0</v>
      </c>
      <c r="M216" s="187" t="str">
        <f>IFERROR(((2*('Lab Analysis'!U216/60))+('Lab Analysis'!S216/17))/(('Lab Analysis'!T216/44)+('Lab Analysis'!U216/60)),"0")</f>
        <v>0</v>
      </c>
      <c r="N216" s="187" t="str">
        <f>IFERROR((('Lab Analysis'!V216/18)-('Lab Analysis'!U216/60))/(('Lab Analysis'!T216/44)+('Lab Analysis'!U216/60)),"0")</f>
        <v>0</v>
      </c>
      <c r="O216" s="187" t="str">
        <f>IFERROR(((2*('Lab Analysis'!Y216/60)+('Lab Analysis'!W216/17))/(('Lab Analysis'!X216/44)+('Lab Analysis'!Y216/60))),"0")</f>
        <v>0</v>
      </c>
      <c r="P216" s="187" t="str">
        <f>IFERROR((('Lab Analysis'!Z216/18)-('Lab Analysis'!Y216/60))/(('Lab Analysis'!X216/44)+('Lab Analysis'!Y216/60)),"0")</f>
        <v>0</v>
      </c>
      <c r="Q216" s="191"/>
    </row>
    <row r="217" spans="1:17">
      <c r="A217" s="185">
        <v>46031</v>
      </c>
      <c r="B217" s="186" t="str">
        <f>IFERROR(('Lab Analysis'!E217/('Lab Analysis'!E217+(1.364*'Lab Analysis'!D217))),"0")</f>
        <v>0</v>
      </c>
      <c r="C217" s="186" t="str">
        <f>IFERROR((2*'Lab Analysis'!E217/60)/('Lab Analysis'!C217/17+(2*'Lab Analysis'!E217/60)),"0")</f>
        <v>0</v>
      </c>
      <c r="D217" s="187" t="str">
        <f>IFERROR(((2*('Lab Analysis'!E217/60)+('Lab Analysis'!C217/17))/(('Lab Analysis'!D217/44)+('Lab Analysis'!E217/60))),"0")</f>
        <v>0</v>
      </c>
      <c r="E217" s="187" t="str">
        <f>IFERROR((('Lab Analysis'!F217/18)-('Lab Analysis'!E217/60))/(('Lab Analysis'!D217/44)+('Lab Analysis'!E217/60)),"0")</f>
        <v>0</v>
      </c>
      <c r="F217" s="187" t="str">
        <f>IFERROR((('Lab Analysis'!F217/18)/('Lab Analysis'!E217/60)),"0")</f>
        <v>0</v>
      </c>
      <c r="G217" s="188" t="str">
        <f>IFERROR(('Lab Analysis'!I217/('Lab Analysis'!I217+(1.765*'Lab Analysis'!G217))),"0")</f>
        <v>0</v>
      </c>
      <c r="H217" s="189" t="str">
        <f>IFERROR(((2*('Lab Analysis'!I217/60))+('Lab Analysis'!G217/17))/(('Lab Analysis'!H217/44)+('Lab Analysis'!I217/60)),"0")</f>
        <v>0</v>
      </c>
      <c r="I217" s="189" t="str">
        <f>IFERROR((('Lab Analysis'!J217/18)-('Lab Analysis'!I217/60))/(('Lab Analysis'!H217/44)+('Lab Analysis'!I217/60)),"0")</f>
        <v>0</v>
      </c>
      <c r="J217" s="186" t="str">
        <f>IFERROR(('Lab Analysis'!M217/('Lab Analysis'!M217+(1.765*'Lab Analysis'!K217))),"0")</f>
        <v>0</v>
      </c>
      <c r="K217" s="190" t="str">
        <f>IFERROR(((2*('Lab Analysis'!M217/60))+('Lab Analysis'!K217/17))/(('Lab Analysis'!L217/44)+('Lab Analysis'!M217/60)),"0")</f>
        <v>0</v>
      </c>
      <c r="L217" s="190" t="str">
        <f>IFERROR((('Lab Analysis'!N217/18)-('Lab Analysis'!M217/60))/(('Lab Analysis'!L217/44)+('Lab Analysis'!M217/60)),"0")</f>
        <v>0</v>
      </c>
      <c r="M217" s="187" t="str">
        <f>IFERROR(((2*('Lab Analysis'!U217/60))+('Lab Analysis'!S217/17))/(('Lab Analysis'!T217/44)+('Lab Analysis'!U217/60)),"0")</f>
        <v>0</v>
      </c>
      <c r="N217" s="187" t="str">
        <f>IFERROR((('Lab Analysis'!V217/18)-('Lab Analysis'!U217/60))/(('Lab Analysis'!T217/44)+('Lab Analysis'!U217/60)),"0")</f>
        <v>0</v>
      </c>
      <c r="O217" s="187" t="str">
        <f>IFERROR(((2*('Lab Analysis'!Y217/60)+('Lab Analysis'!W217/17))/(('Lab Analysis'!X217/44)+('Lab Analysis'!Y217/60))),"0")</f>
        <v>0</v>
      </c>
      <c r="P217" s="187" t="str">
        <f>IFERROR((('Lab Analysis'!Z217/18)-('Lab Analysis'!Y217/60))/(('Lab Analysis'!X217/44)+('Lab Analysis'!Y217/60)),"0")</f>
        <v>0</v>
      </c>
      <c r="Q217" s="191"/>
    </row>
    <row r="218" spans="1:17">
      <c r="A218" s="185">
        <v>46032</v>
      </c>
      <c r="B218" s="186" t="str">
        <f>IFERROR(('Lab Analysis'!E218/('Lab Analysis'!E218+(1.364*'Lab Analysis'!D218))),"0")</f>
        <v>0</v>
      </c>
      <c r="C218" s="186" t="str">
        <f>IFERROR((2*'Lab Analysis'!E218/60)/('Lab Analysis'!C218/17+(2*'Lab Analysis'!E218/60)),"0")</f>
        <v>0</v>
      </c>
      <c r="D218" s="187" t="str">
        <f>IFERROR(((2*('Lab Analysis'!E218/60)+('Lab Analysis'!C218/17))/(('Lab Analysis'!D218/44)+('Lab Analysis'!E218/60))),"0")</f>
        <v>0</v>
      </c>
      <c r="E218" s="187" t="str">
        <f>IFERROR((('Lab Analysis'!F218/18)-('Lab Analysis'!E218/60))/(('Lab Analysis'!D218/44)+('Lab Analysis'!E218/60)),"0")</f>
        <v>0</v>
      </c>
      <c r="F218" s="187" t="str">
        <f>IFERROR((('Lab Analysis'!F218/18)/('Lab Analysis'!E218/60)),"0")</f>
        <v>0</v>
      </c>
      <c r="G218" s="188" t="str">
        <f>IFERROR(('Lab Analysis'!I218/('Lab Analysis'!I218+(1.765*'Lab Analysis'!G218))),"0")</f>
        <v>0</v>
      </c>
      <c r="H218" s="189" t="str">
        <f>IFERROR(((2*('Lab Analysis'!I218/60))+('Lab Analysis'!G218/17))/(('Lab Analysis'!H218/44)+('Lab Analysis'!I218/60)),"0")</f>
        <v>0</v>
      </c>
      <c r="I218" s="189" t="str">
        <f>IFERROR((('Lab Analysis'!J218/18)-('Lab Analysis'!I218/60))/(('Lab Analysis'!H218/44)+('Lab Analysis'!I218/60)),"0")</f>
        <v>0</v>
      </c>
      <c r="J218" s="186" t="str">
        <f>IFERROR(('Lab Analysis'!M218/('Lab Analysis'!M218+(1.765*'Lab Analysis'!K218))),"0")</f>
        <v>0</v>
      </c>
      <c r="K218" s="190" t="str">
        <f>IFERROR(((2*('Lab Analysis'!M218/60))+('Lab Analysis'!K218/17))/(('Lab Analysis'!L218/44)+('Lab Analysis'!M218/60)),"0")</f>
        <v>0</v>
      </c>
      <c r="L218" s="190" t="str">
        <f>IFERROR((('Lab Analysis'!N218/18)-('Lab Analysis'!M218/60))/(('Lab Analysis'!L218/44)+('Lab Analysis'!M218/60)),"0")</f>
        <v>0</v>
      </c>
      <c r="M218" s="187" t="str">
        <f>IFERROR(((2*('Lab Analysis'!U218/60))+('Lab Analysis'!S218/17))/(('Lab Analysis'!T218/44)+('Lab Analysis'!U218/60)),"0")</f>
        <v>0</v>
      </c>
      <c r="N218" s="187" t="str">
        <f>IFERROR((('Lab Analysis'!V218/18)-('Lab Analysis'!U218/60))/(('Lab Analysis'!T218/44)+('Lab Analysis'!U218/60)),"0")</f>
        <v>0</v>
      </c>
      <c r="O218" s="187" t="str">
        <f>IFERROR(((2*('Lab Analysis'!Y218/60)+('Lab Analysis'!W218/17))/(('Lab Analysis'!X218/44)+('Lab Analysis'!Y218/60))),"0")</f>
        <v>0</v>
      </c>
      <c r="P218" s="187" t="str">
        <f>IFERROR((('Lab Analysis'!Z218/18)-('Lab Analysis'!Y218/60))/(('Lab Analysis'!X218/44)+('Lab Analysis'!Y218/60)),"0")</f>
        <v>0</v>
      </c>
      <c r="Q218" s="191"/>
    </row>
    <row r="219" spans="1:17">
      <c r="A219" s="185">
        <v>46033</v>
      </c>
      <c r="B219" s="186" t="str">
        <f>IFERROR(('Lab Analysis'!E219/('Lab Analysis'!E219+(1.364*'Lab Analysis'!D219))),"0")</f>
        <v>0</v>
      </c>
      <c r="C219" s="186" t="str">
        <f>IFERROR((2*'Lab Analysis'!E219/60)/('Lab Analysis'!C219/17+(2*'Lab Analysis'!E219/60)),"0")</f>
        <v>0</v>
      </c>
      <c r="D219" s="187" t="str">
        <f>IFERROR(((2*('Lab Analysis'!E219/60)+('Lab Analysis'!C219/17))/(('Lab Analysis'!D219/44)+('Lab Analysis'!E219/60))),"0")</f>
        <v>0</v>
      </c>
      <c r="E219" s="187" t="str">
        <f>IFERROR((('Lab Analysis'!F219/18)-('Lab Analysis'!E219/60))/(('Lab Analysis'!D219/44)+('Lab Analysis'!E219/60)),"0")</f>
        <v>0</v>
      </c>
      <c r="F219" s="187" t="str">
        <f>IFERROR((('Lab Analysis'!F219/18)/('Lab Analysis'!E219/60)),"0")</f>
        <v>0</v>
      </c>
      <c r="G219" s="188" t="str">
        <f>IFERROR(('Lab Analysis'!I219/('Lab Analysis'!I219+(1.765*'Lab Analysis'!G219))),"0")</f>
        <v>0</v>
      </c>
      <c r="H219" s="189" t="str">
        <f>IFERROR(((2*('Lab Analysis'!I219/60))+('Lab Analysis'!G219/17))/(('Lab Analysis'!H219/44)+('Lab Analysis'!I219/60)),"0")</f>
        <v>0</v>
      </c>
      <c r="I219" s="189" t="str">
        <f>IFERROR((('Lab Analysis'!J219/18)-('Lab Analysis'!I219/60))/(('Lab Analysis'!H219/44)+('Lab Analysis'!I219/60)),"0")</f>
        <v>0</v>
      </c>
      <c r="J219" s="186" t="str">
        <f>IFERROR(('Lab Analysis'!M219/('Lab Analysis'!M219+(1.765*'Lab Analysis'!K219))),"0")</f>
        <v>0</v>
      </c>
      <c r="K219" s="190" t="str">
        <f>IFERROR(((2*('Lab Analysis'!M219/60))+('Lab Analysis'!K219/17))/(('Lab Analysis'!L219/44)+('Lab Analysis'!M219/60)),"0")</f>
        <v>0</v>
      </c>
      <c r="L219" s="190" t="str">
        <f>IFERROR((('Lab Analysis'!N219/18)-('Lab Analysis'!M219/60))/(('Lab Analysis'!L219/44)+('Lab Analysis'!M219/60)),"0")</f>
        <v>0</v>
      </c>
      <c r="M219" s="187" t="str">
        <f>IFERROR(((2*('Lab Analysis'!U219/60))+('Lab Analysis'!S219/17))/(('Lab Analysis'!T219/44)+('Lab Analysis'!U219/60)),"0")</f>
        <v>0</v>
      </c>
      <c r="N219" s="187" t="str">
        <f>IFERROR((('Lab Analysis'!V219/18)-('Lab Analysis'!U219/60))/(('Lab Analysis'!T219/44)+('Lab Analysis'!U219/60)),"0")</f>
        <v>0</v>
      </c>
      <c r="O219" s="187" t="str">
        <f>IFERROR(((2*('Lab Analysis'!Y219/60)+('Lab Analysis'!W219/17))/(('Lab Analysis'!X219/44)+('Lab Analysis'!Y219/60))),"0")</f>
        <v>0</v>
      </c>
      <c r="P219" s="187" t="str">
        <f>IFERROR((('Lab Analysis'!Z219/18)-('Lab Analysis'!Y219/60))/(('Lab Analysis'!X219/44)+('Lab Analysis'!Y219/60)),"0")</f>
        <v>0</v>
      </c>
      <c r="Q219" s="191"/>
    </row>
    <row r="220" spans="1:17">
      <c r="A220" s="185">
        <v>46034</v>
      </c>
      <c r="B220" s="186" t="str">
        <f>IFERROR(('Lab Analysis'!E220/('Lab Analysis'!E220+(1.364*'Lab Analysis'!D220))),"0")</f>
        <v>0</v>
      </c>
      <c r="C220" s="186" t="str">
        <f>IFERROR((2*'Lab Analysis'!E220/60)/('Lab Analysis'!C220/17+(2*'Lab Analysis'!E220/60)),"0")</f>
        <v>0</v>
      </c>
      <c r="D220" s="187" t="str">
        <f>IFERROR(((2*('Lab Analysis'!E220/60)+('Lab Analysis'!C220/17))/(('Lab Analysis'!D220/44)+('Lab Analysis'!E220/60))),"0")</f>
        <v>0</v>
      </c>
      <c r="E220" s="187" t="str">
        <f>IFERROR((('Lab Analysis'!F220/18)-('Lab Analysis'!E220/60))/(('Lab Analysis'!D220/44)+('Lab Analysis'!E220/60)),"0")</f>
        <v>0</v>
      </c>
      <c r="F220" s="187" t="str">
        <f>IFERROR((('Lab Analysis'!F220/18)/('Lab Analysis'!E220/60)),"0")</f>
        <v>0</v>
      </c>
      <c r="G220" s="188" t="str">
        <f>IFERROR(('Lab Analysis'!I220/('Lab Analysis'!I220+(1.765*'Lab Analysis'!G220))),"0")</f>
        <v>0</v>
      </c>
      <c r="H220" s="189" t="str">
        <f>IFERROR(((2*('Lab Analysis'!I220/60))+('Lab Analysis'!G220/17))/(('Lab Analysis'!H220/44)+('Lab Analysis'!I220/60)),"0")</f>
        <v>0</v>
      </c>
      <c r="I220" s="189" t="str">
        <f>IFERROR((('Lab Analysis'!J220/18)-('Lab Analysis'!I220/60))/(('Lab Analysis'!H220/44)+('Lab Analysis'!I220/60)),"0")</f>
        <v>0</v>
      </c>
      <c r="J220" s="186" t="str">
        <f>IFERROR(('Lab Analysis'!M220/('Lab Analysis'!M220+(1.765*'Lab Analysis'!K220))),"0")</f>
        <v>0</v>
      </c>
      <c r="K220" s="190" t="str">
        <f>IFERROR(((2*('Lab Analysis'!M220/60))+('Lab Analysis'!K220/17))/(('Lab Analysis'!L220/44)+('Lab Analysis'!M220/60)),"0")</f>
        <v>0</v>
      </c>
      <c r="L220" s="190" t="str">
        <f>IFERROR((('Lab Analysis'!N220/18)-('Lab Analysis'!M220/60))/(('Lab Analysis'!L220/44)+('Lab Analysis'!M220/60)),"0")</f>
        <v>0</v>
      </c>
      <c r="M220" s="187" t="str">
        <f>IFERROR(((2*('Lab Analysis'!U220/60))+('Lab Analysis'!S220/17))/(('Lab Analysis'!T220/44)+('Lab Analysis'!U220/60)),"0")</f>
        <v>0</v>
      </c>
      <c r="N220" s="187" t="str">
        <f>IFERROR((('Lab Analysis'!V220/18)-('Lab Analysis'!U220/60))/(('Lab Analysis'!T220/44)+('Lab Analysis'!U220/60)),"0")</f>
        <v>0</v>
      </c>
      <c r="O220" s="187" t="str">
        <f>IFERROR(((2*('Lab Analysis'!Y220/60)+('Lab Analysis'!W220/17))/(('Lab Analysis'!X220/44)+('Lab Analysis'!Y220/60))),"0")</f>
        <v>0</v>
      </c>
      <c r="P220" s="187" t="str">
        <f>IFERROR((('Lab Analysis'!Z220/18)-('Lab Analysis'!Y220/60))/(('Lab Analysis'!X220/44)+('Lab Analysis'!Y220/60)),"0")</f>
        <v>0</v>
      </c>
      <c r="Q220" s="191"/>
    </row>
    <row r="221" spans="1:17">
      <c r="A221" s="185">
        <v>46035</v>
      </c>
      <c r="B221" s="186" t="str">
        <f>IFERROR(('Lab Analysis'!E221/('Lab Analysis'!E221+(1.364*'Lab Analysis'!D221))),"0")</f>
        <v>0</v>
      </c>
      <c r="C221" s="186" t="str">
        <f>IFERROR((2*'Lab Analysis'!E221/60)/('Lab Analysis'!C221/17+(2*'Lab Analysis'!E221/60)),"0")</f>
        <v>0</v>
      </c>
      <c r="D221" s="187" t="str">
        <f>IFERROR(((2*('Lab Analysis'!E221/60)+('Lab Analysis'!C221/17))/(('Lab Analysis'!D221/44)+('Lab Analysis'!E221/60))),"0")</f>
        <v>0</v>
      </c>
      <c r="E221" s="187" t="str">
        <f>IFERROR((('Lab Analysis'!F221/18)-('Lab Analysis'!E221/60))/(('Lab Analysis'!D221/44)+('Lab Analysis'!E221/60)),"0")</f>
        <v>0</v>
      </c>
      <c r="F221" s="187" t="str">
        <f>IFERROR((('Lab Analysis'!F221/18)/('Lab Analysis'!E221/60)),"0")</f>
        <v>0</v>
      </c>
      <c r="G221" s="188" t="str">
        <f>IFERROR(('Lab Analysis'!I221/('Lab Analysis'!I221+(1.765*'Lab Analysis'!G221))),"0")</f>
        <v>0</v>
      </c>
      <c r="H221" s="189" t="str">
        <f>IFERROR(((2*('Lab Analysis'!I221/60))+('Lab Analysis'!G221/17))/(('Lab Analysis'!H221/44)+('Lab Analysis'!I221/60)),"0")</f>
        <v>0</v>
      </c>
      <c r="I221" s="189" t="str">
        <f>IFERROR((('Lab Analysis'!J221/18)-('Lab Analysis'!I221/60))/(('Lab Analysis'!H221/44)+('Lab Analysis'!I221/60)),"0")</f>
        <v>0</v>
      </c>
      <c r="J221" s="186" t="str">
        <f>IFERROR(('Lab Analysis'!M221/('Lab Analysis'!M221+(1.765*'Lab Analysis'!K221))),"0")</f>
        <v>0</v>
      </c>
      <c r="K221" s="190" t="str">
        <f>IFERROR(((2*('Lab Analysis'!M221/60))+('Lab Analysis'!K221/17))/(('Lab Analysis'!L221/44)+('Lab Analysis'!M221/60)),"0")</f>
        <v>0</v>
      </c>
      <c r="L221" s="190" t="str">
        <f>IFERROR((('Lab Analysis'!N221/18)-('Lab Analysis'!M221/60))/(('Lab Analysis'!L221/44)+('Lab Analysis'!M221/60)),"0")</f>
        <v>0</v>
      </c>
      <c r="M221" s="187" t="str">
        <f>IFERROR(((2*('Lab Analysis'!U221/60))+('Lab Analysis'!S221/17))/(('Lab Analysis'!T221/44)+('Lab Analysis'!U221/60)),"0")</f>
        <v>0</v>
      </c>
      <c r="N221" s="187" t="str">
        <f>IFERROR((('Lab Analysis'!V221/18)-('Lab Analysis'!U221/60))/(('Lab Analysis'!T221/44)+('Lab Analysis'!U221/60)),"0")</f>
        <v>0</v>
      </c>
      <c r="O221" s="187" t="str">
        <f>IFERROR(((2*('Lab Analysis'!Y221/60)+('Lab Analysis'!W221/17))/(('Lab Analysis'!X221/44)+('Lab Analysis'!Y221/60))),"0")</f>
        <v>0</v>
      </c>
      <c r="P221" s="187" t="str">
        <f>IFERROR((('Lab Analysis'!Z221/18)-('Lab Analysis'!Y221/60))/(('Lab Analysis'!X221/44)+('Lab Analysis'!Y221/60)),"0")</f>
        <v>0</v>
      </c>
      <c r="Q221" s="191"/>
    </row>
    <row r="222" spans="1:17">
      <c r="A222" s="185">
        <v>46036</v>
      </c>
      <c r="B222" s="186" t="str">
        <f>IFERROR(('Lab Analysis'!E222/('Lab Analysis'!E222+(1.364*'Lab Analysis'!D222))),"0")</f>
        <v>0</v>
      </c>
      <c r="C222" s="186" t="str">
        <f>IFERROR((2*'Lab Analysis'!E222/60)/('Lab Analysis'!C222/17+(2*'Lab Analysis'!E222/60)),"0")</f>
        <v>0</v>
      </c>
      <c r="D222" s="187" t="str">
        <f>IFERROR(((2*('Lab Analysis'!E222/60)+('Lab Analysis'!C222/17))/(('Lab Analysis'!D222/44)+('Lab Analysis'!E222/60))),"0")</f>
        <v>0</v>
      </c>
      <c r="E222" s="187" t="str">
        <f>IFERROR((('Lab Analysis'!F222/18)-('Lab Analysis'!E222/60))/(('Lab Analysis'!D222/44)+('Lab Analysis'!E222/60)),"0")</f>
        <v>0</v>
      </c>
      <c r="F222" s="187" t="str">
        <f>IFERROR((('Lab Analysis'!F222/18)/('Lab Analysis'!E222/60)),"0")</f>
        <v>0</v>
      </c>
      <c r="G222" s="188" t="str">
        <f>IFERROR(('Lab Analysis'!I222/('Lab Analysis'!I222+(1.765*'Lab Analysis'!G222))),"0")</f>
        <v>0</v>
      </c>
      <c r="H222" s="189" t="str">
        <f>IFERROR(((2*('Lab Analysis'!I222/60))+('Lab Analysis'!G222/17))/(('Lab Analysis'!H222/44)+('Lab Analysis'!I222/60)),"0")</f>
        <v>0</v>
      </c>
      <c r="I222" s="189" t="str">
        <f>IFERROR((('Lab Analysis'!J222/18)-('Lab Analysis'!I222/60))/(('Lab Analysis'!H222/44)+('Lab Analysis'!I222/60)),"0")</f>
        <v>0</v>
      </c>
      <c r="J222" s="186" t="str">
        <f>IFERROR(('Lab Analysis'!M222/('Lab Analysis'!M222+(1.765*'Lab Analysis'!K222))),"0")</f>
        <v>0</v>
      </c>
      <c r="K222" s="190" t="str">
        <f>IFERROR(((2*('Lab Analysis'!M222/60))+('Lab Analysis'!K222/17))/(('Lab Analysis'!L222/44)+('Lab Analysis'!M222/60)),"0")</f>
        <v>0</v>
      </c>
      <c r="L222" s="190" t="str">
        <f>IFERROR((('Lab Analysis'!N222/18)-('Lab Analysis'!M222/60))/(('Lab Analysis'!L222/44)+('Lab Analysis'!M222/60)),"0")</f>
        <v>0</v>
      </c>
      <c r="M222" s="187" t="str">
        <f>IFERROR(((2*('Lab Analysis'!U222/60))+('Lab Analysis'!S222/17))/(('Lab Analysis'!T222/44)+('Lab Analysis'!U222/60)),"0")</f>
        <v>0</v>
      </c>
      <c r="N222" s="187" t="str">
        <f>IFERROR((('Lab Analysis'!V222/18)-('Lab Analysis'!U222/60))/(('Lab Analysis'!T222/44)+('Lab Analysis'!U222/60)),"0")</f>
        <v>0</v>
      </c>
      <c r="O222" s="187" t="str">
        <f>IFERROR(((2*('Lab Analysis'!Y222/60)+('Lab Analysis'!W222/17))/(('Lab Analysis'!X222/44)+('Lab Analysis'!Y222/60))),"0")</f>
        <v>0</v>
      </c>
      <c r="P222" s="187" t="str">
        <f>IFERROR((('Lab Analysis'!Z222/18)-('Lab Analysis'!Y222/60))/(('Lab Analysis'!X222/44)+('Lab Analysis'!Y222/60)),"0")</f>
        <v>0</v>
      </c>
      <c r="Q222" s="191"/>
    </row>
    <row r="223" spans="1:17">
      <c r="A223" s="185">
        <v>46037</v>
      </c>
      <c r="B223" s="186" t="str">
        <f>IFERROR(('Lab Analysis'!E223/('Lab Analysis'!E223+(1.364*'Lab Analysis'!D223))),"0")</f>
        <v>0</v>
      </c>
      <c r="C223" s="186" t="str">
        <f>IFERROR((2*'Lab Analysis'!E223/60)/('Lab Analysis'!C223/17+(2*'Lab Analysis'!E223/60)),"0")</f>
        <v>0</v>
      </c>
      <c r="D223" s="187" t="str">
        <f>IFERROR(((2*('Lab Analysis'!E223/60)+('Lab Analysis'!C223/17))/(('Lab Analysis'!D223/44)+('Lab Analysis'!E223/60))),"0")</f>
        <v>0</v>
      </c>
      <c r="E223" s="187" t="str">
        <f>IFERROR((('Lab Analysis'!F223/18)-('Lab Analysis'!E223/60))/(('Lab Analysis'!D223/44)+('Lab Analysis'!E223/60)),"0")</f>
        <v>0</v>
      </c>
      <c r="F223" s="187" t="str">
        <f>IFERROR((('Lab Analysis'!F223/18)/('Lab Analysis'!E223/60)),"0")</f>
        <v>0</v>
      </c>
      <c r="G223" s="188" t="str">
        <f>IFERROR(('Lab Analysis'!I223/('Lab Analysis'!I223+(1.765*'Lab Analysis'!G223))),"0")</f>
        <v>0</v>
      </c>
      <c r="H223" s="189" t="str">
        <f>IFERROR(((2*('Lab Analysis'!I223/60))+('Lab Analysis'!G223/17))/(('Lab Analysis'!H223/44)+('Lab Analysis'!I223/60)),"0")</f>
        <v>0</v>
      </c>
      <c r="I223" s="189" t="str">
        <f>IFERROR((('Lab Analysis'!J223/18)-('Lab Analysis'!I223/60))/(('Lab Analysis'!H223/44)+('Lab Analysis'!I223/60)),"0")</f>
        <v>0</v>
      </c>
      <c r="J223" s="186" t="str">
        <f>IFERROR(('Lab Analysis'!M223/('Lab Analysis'!M223+(1.765*'Lab Analysis'!K223))),"0")</f>
        <v>0</v>
      </c>
      <c r="K223" s="190" t="str">
        <f>IFERROR(((2*('Lab Analysis'!M223/60))+('Lab Analysis'!K223/17))/(('Lab Analysis'!L223/44)+('Lab Analysis'!M223/60)),"0")</f>
        <v>0</v>
      </c>
      <c r="L223" s="190" t="str">
        <f>IFERROR((('Lab Analysis'!N223/18)-('Lab Analysis'!M223/60))/(('Lab Analysis'!L223/44)+('Lab Analysis'!M223/60)),"0")</f>
        <v>0</v>
      </c>
      <c r="M223" s="187" t="str">
        <f>IFERROR(((2*('Lab Analysis'!U223/60))+('Lab Analysis'!S223/17))/(('Lab Analysis'!T223/44)+('Lab Analysis'!U223/60)),"0")</f>
        <v>0</v>
      </c>
      <c r="N223" s="187" t="str">
        <f>IFERROR((('Lab Analysis'!V223/18)-('Lab Analysis'!U223/60))/(('Lab Analysis'!T223/44)+('Lab Analysis'!U223/60)),"0")</f>
        <v>0</v>
      </c>
      <c r="O223" s="187" t="str">
        <f>IFERROR(((2*('Lab Analysis'!Y223/60)+('Lab Analysis'!W223/17))/(('Lab Analysis'!X223/44)+('Lab Analysis'!Y223/60))),"0")</f>
        <v>0</v>
      </c>
      <c r="P223" s="187" t="str">
        <f>IFERROR((('Lab Analysis'!Z223/18)-('Lab Analysis'!Y223/60))/(('Lab Analysis'!X223/44)+('Lab Analysis'!Y223/60)),"0")</f>
        <v>0</v>
      </c>
      <c r="Q223" s="191"/>
    </row>
    <row r="224" spans="1:17">
      <c r="A224" s="185">
        <v>46038</v>
      </c>
      <c r="B224" s="186" t="str">
        <f>IFERROR(('Lab Analysis'!E224/('Lab Analysis'!E224+(1.364*'Lab Analysis'!D224))),"0")</f>
        <v>0</v>
      </c>
      <c r="C224" s="186" t="str">
        <f>IFERROR((2*'Lab Analysis'!E224/60)/('Lab Analysis'!C224/17+(2*'Lab Analysis'!E224/60)),"0")</f>
        <v>0</v>
      </c>
      <c r="D224" s="187" t="str">
        <f>IFERROR(((2*('Lab Analysis'!E224/60)+('Lab Analysis'!C224/17))/(('Lab Analysis'!D224/44)+('Lab Analysis'!E224/60))),"0")</f>
        <v>0</v>
      </c>
      <c r="E224" s="187" t="str">
        <f>IFERROR((('Lab Analysis'!F224/18)-('Lab Analysis'!E224/60))/(('Lab Analysis'!D224/44)+('Lab Analysis'!E224/60)),"0")</f>
        <v>0</v>
      </c>
      <c r="F224" s="187" t="str">
        <f>IFERROR((('Lab Analysis'!F224/18)/('Lab Analysis'!E224/60)),"0")</f>
        <v>0</v>
      </c>
      <c r="G224" s="188" t="str">
        <f>IFERROR(('Lab Analysis'!I224/('Lab Analysis'!I224+(1.765*'Lab Analysis'!G224))),"0")</f>
        <v>0</v>
      </c>
      <c r="H224" s="189" t="str">
        <f>IFERROR(((2*('Lab Analysis'!I224/60))+('Lab Analysis'!G224/17))/(('Lab Analysis'!H224/44)+('Lab Analysis'!I224/60)),"0")</f>
        <v>0</v>
      </c>
      <c r="I224" s="189" t="str">
        <f>IFERROR((('Lab Analysis'!J224/18)-('Lab Analysis'!I224/60))/(('Lab Analysis'!H224/44)+('Lab Analysis'!I224/60)),"0")</f>
        <v>0</v>
      </c>
      <c r="J224" s="186" t="str">
        <f>IFERROR(('Lab Analysis'!M224/('Lab Analysis'!M224+(1.765*'Lab Analysis'!K224))),"0")</f>
        <v>0</v>
      </c>
      <c r="K224" s="190" t="str">
        <f>IFERROR(((2*('Lab Analysis'!M224/60))+('Lab Analysis'!K224/17))/(('Lab Analysis'!L224/44)+('Lab Analysis'!M224/60)),"0")</f>
        <v>0</v>
      </c>
      <c r="L224" s="190" t="str">
        <f>IFERROR((('Lab Analysis'!N224/18)-('Lab Analysis'!M224/60))/(('Lab Analysis'!L224/44)+('Lab Analysis'!M224/60)),"0")</f>
        <v>0</v>
      </c>
      <c r="M224" s="187" t="str">
        <f>IFERROR(((2*('Lab Analysis'!U224/60))+('Lab Analysis'!S224/17))/(('Lab Analysis'!T224/44)+('Lab Analysis'!U224/60)),"0")</f>
        <v>0</v>
      </c>
      <c r="N224" s="187" t="str">
        <f>IFERROR((('Lab Analysis'!V224/18)-('Lab Analysis'!U224/60))/(('Lab Analysis'!T224/44)+('Lab Analysis'!U224/60)),"0")</f>
        <v>0</v>
      </c>
      <c r="O224" s="187" t="str">
        <f>IFERROR(((2*('Lab Analysis'!Y224/60)+('Lab Analysis'!W224/17))/(('Lab Analysis'!X224/44)+('Lab Analysis'!Y224/60))),"0")</f>
        <v>0</v>
      </c>
      <c r="P224" s="187" t="str">
        <f>IFERROR((('Lab Analysis'!Z224/18)-('Lab Analysis'!Y224/60))/(('Lab Analysis'!X224/44)+('Lab Analysis'!Y224/60)),"0")</f>
        <v>0</v>
      </c>
      <c r="Q224" s="191"/>
    </row>
    <row r="225" spans="1:17">
      <c r="A225" s="185">
        <v>46039</v>
      </c>
      <c r="B225" s="186" t="str">
        <f>IFERROR(('Lab Analysis'!E225/('Lab Analysis'!E225+(1.364*'Lab Analysis'!D225))),"0")</f>
        <v>0</v>
      </c>
      <c r="C225" s="186" t="str">
        <f>IFERROR((2*'Lab Analysis'!E225/60)/('Lab Analysis'!C225/17+(2*'Lab Analysis'!E225/60)),"0")</f>
        <v>0</v>
      </c>
      <c r="D225" s="187" t="str">
        <f>IFERROR(((2*('Lab Analysis'!E225/60)+('Lab Analysis'!C225/17))/(('Lab Analysis'!D225/44)+('Lab Analysis'!E225/60))),"0")</f>
        <v>0</v>
      </c>
      <c r="E225" s="187" t="str">
        <f>IFERROR((('Lab Analysis'!F225/18)-('Lab Analysis'!E225/60))/(('Lab Analysis'!D225/44)+('Lab Analysis'!E225/60)),"0")</f>
        <v>0</v>
      </c>
      <c r="F225" s="187" t="str">
        <f>IFERROR((('Lab Analysis'!F225/18)/('Lab Analysis'!E225/60)),"0")</f>
        <v>0</v>
      </c>
      <c r="G225" s="188" t="str">
        <f>IFERROR(('Lab Analysis'!I225/('Lab Analysis'!I225+(1.765*'Lab Analysis'!G225))),"0")</f>
        <v>0</v>
      </c>
      <c r="H225" s="189" t="str">
        <f>IFERROR(((2*('Lab Analysis'!I225/60))+('Lab Analysis'!G225/17))/(('Lab Analysis'!H225/44)+('Lab Analysis'!I225/60)),"0")</f>
        <v>0</v>
      </c>
      <c r="I225" s="189" t="str">
        <f>IFERROR((('Lab Analysis'!J225/18)-('Lab Analysis'!I225/60))/(('Lab Analysis'!H225/44)+('Lab Analysis'!I225/60)),"0")</f>
        <v>0</v>
      </c>
      <c r="J225" s="186" t="str">
        <f>IFERROR(('Lab Analysis'!M225/('Lab Analysis'!M225+(1.765*'Lab Analysis'!K225))),"0")</f>
        <v>0</v>
      </c>
      <c r="K225" s="190" t="str">
        <f>IFERROR(((2*('Lab Analysis'!M225/60))+('Lab Analysis'!K225/17))/(('Lab Analysis'!L225/44)+('Lab Analysis'!M225/60)),"0")</f>
        <v>0</v>
      </c>
      <c r="L225" s="190" t="str">
        <f>IFERROR((('Lab Analysis'!N225/18)-('Lab Analysis'!M225/60))/(('Lab Analysis'!L225/44)+('Lab Analysis'!M225/60)),"0")</f>
        <v>0</v>
      </c>
      <c r="M225" s="187" t="str">
        <f>IFERROR(((2*('Lab Analysis'!U225/60))+('Lab Analysis'!S225/17))/(('Lab Analysis'!T225/44)+('Lab Analysis'!U225/60)),"0")</f>
        <v>0</v>
      </c>
      <c r="N225" s="187" t="str">
        <f>IFERROR((('Lab Analysis'!V225/18)-('Lab Analysis'!U225/60))/(('Lab Analysis'!T225/44)+('Lab Analysis'!U225/60)),"0")</f>
        <v>0</v>
      </c>
      <c r="O225" s="187" t="str">
        <f>IFERROR(((2*('Lab Analysis'!Y225/60)+('Lab Analysis'!W225/17))/(('Lab Analysis'!X225/44)+('Lab Analysis'!Y225/60))),"0")</f>
        <v>0</v>
      </c>
      <c r="P225" s="187" t="str">
        <f>IFERROR((('Lab Analysis'!Z225/18)-('Lab Analysis'!Y225/60))/(('Lab Analysis'!X225/44)+('Lab Analysis'!Y225/60)),"0")</f>
        <v>0</v>
      </c>
      <c r="Q225" s="191"/>
    </row>
    <row r="226" spans="1:17">
      <c r="A226" s="185">
        <v>46040</v>
      </c>
      <c r="B226" s="186" t="str">
        <f>IFERROR(('Lab Analysis'!E226/('Lab Analysis'!E226+(1.364*'Lab Analysis'!D226))),"0")</f>
        <v>0</v>
      </c>
      <c r="C226" s="186" t="str">
        <f>IFERROR((2*'Lab Analysis'!E226/60)/('Lab Analysis'!C226/17+(2*'Lab Analysis'!E226/60)),"0")</f>
        <v>0</v>
      </c>
      <c r="D226" s="187" t="str">
        <f>IFERROR(((2*('Lab Analysis'!E226/60)+('Lab Analysis'!C226/17))/(('Lab Analysis'!D226/44)+('Lab Analysis'!E226/60))),"0")</f>
        <v>0</v>
      </c>
      <c r="E226" s="187" t="str">
        <f>IFERROR((('Lab Analysis'!F226/18)-('Lab Analysis'!E226/60))/(('Lab Analysis'!D226/44)+('Lab Analysis'!E226/60)),"0")</f>
        <v>0</v>
      </c>
      <c r="F226" s="187" t="str">
        <f>IFERROR((('Lab Analysis'!F226/18)/('Lab Analysis'!E226/60)),"0")</f>
        <v>0</v>
      </c>
      <c r="G226" s="188" t="str">
        <f>IFERROR(('Lab Analysis'!I226/('Lab Analysis'!I226+(1.765*'Lab Analysis'!G226))),"0")</f>
        <v>0</v>
      </c>
      <c r="H226" s="189" t="str">
        <f>IFERROR(((2*('Lab Analysis'!I226/60))+('Lab Analysis'!G226/17))/(('Lab Analysis'!H226/44)+('Lab Analysis'!I226/60)),"0")</f>
        <v>0</v>
      </c>
      <c r="I226" s="189" t="str">
        <f>IFERROR((('Lab Analysis'!J226/18)-('Lab Analysis'!I226/60))/(('Lab Analysis'!H226/44)+('Lab Analysis'!I226/60)),"0")</f>
        <v>0</v>
      </c>
      <c r="J226" s="186" t="str">
        <f>IFERROR(('Lab Analysis'!M226/('Lab Analysis'!M226+(1.765*'Lab Analysis'!K226))),"0")</f>
        <v>0</v>
      </c>
      <c r="K226" s="190" t="str">
        <f>IFERROR(((2*('Lab Analysis'!M226/60))+('Lab Analysis'!K226/17))/(('Lab Analysis'!L226/44)+('Lab Analysis'!M226/60)),"0")</f>
        <v>0</v>
      </c>
      <c r="L226" s="190" t="str">
        <f>IFERROR((('Lab Analysis'!N226/18)-('Lab Analysis'!M226/60))/(('Lab Analysis'!L226/44)+('Lab Analysis'!M226/60)),"0")</f>
        <v>0</v>
      </c>
      <c r="M226" s="187" t="str">
        <f>IFERROR(((2*('Lab Analysis'!U226/60))+('Lab Analysis'!S226/17))/(('Lab Analysis'!T226/44)+('Lab Analysis'!U226/60)),"0")</f>
        <v>0</v>
      </c>
      <c r="N226" s="187" t="str">
        <f>IFERROR((('Lab Analysis'!V226/18)-('Lab Analysis'!U226/60))/(('Lab Analysis'!T226/44)+('Lab Analysis'!U226/60)),"0")</f>
        <v>0</v>
      </c>
      <c r="O226" s="187" t="str">
        <f>IFERROR(((2*('Lab Analysis'!Y226/60)+('Lab Analysis'!W226/17))/(('Lab Analysis'!X226/44)+('Lab Analysis'!Y226/60))),"0")</f>
        <v>0</v>
      </c>
      <c r="P226" s="187" t="str">
        <f>IFERROR((('Lab Analysis'!Z226/18)-('Lab Analysis'!Y226/60))/(('Lab Analysis'!X226/44)+('Lab Analysis'!Y226/60)),"0")</f>
        <v>0</v>
      </c>
      <c r="Q226" s="191"/>
    </row>
    <row r="227" spans="1:17">
      <c r="A227" s="185">
        <v>46041</v>
      </c>
      <c r="B227" s="186" t="str">
        <f>IFERROR(('Lab Analysis'!E227/('Lab Analysis'!E227+(1.364*'Lab Analysis'!D227))),"0")</f>
        <v>0</v>
      </c>
      <c r="C227" s="186" t="str">
        <f>IFERROR((2*'Lab Analysis'!E227/60)/('Lab Analysis'!C227/17+(2*'Lab Analysis'!E227/60)),"0")</f>
        <v>0</v>
      </c>
      <c r="D227" s="187" t="str">
        <f>IFERROR(((2*('Lab Analysis'!E227/60)+('Lab Analysis'!C227/17))/(('Lab Analysis'!D227/44)+('Lab Analysis'!E227/60))),"0")</f>
        <v>0</v>
      </c>
      <c r="E227" s="187" t="str">
        <f>IFERROR((('Lab Analysis'!F227/18)-('Lab Analysis'!E227/60))/(('Lab Analysis'!D227/44)+('Lab Analysis'!E227/60)),"0")</f>
        <v>0</v>
      </c>
      <c r="F227" s="187" t="str">
        <f>IFERROR((('Lab Analysis'!F227/18)/('Lab Analysis'!E227/60)),"0")</f>
        <v>0</v>
      </c>
      <c r="G227" s="188" t="str">
        <f>IFERROR(('Lab Analysis'!I227/('Lab Analysis'!I227+(1.765*'Lab Analysis'!G227))),"0")</f>
        <v>0</v>
      </c>
      <c r="H227" s="189" t="str">
        <f>IFERROR(((2*('Lab Analysis'!I227/60))+('Lab Analysis'!G227/17))/(('Lab Analysis'!H227/44)+('Lab Analysis'!I227/60)),"0")</f>
        <v>0</v>
      </c>
      <c r="I227" s="189" t="str">
        <f>IFERROR((('Lab Analysis'!J227/18)-('Lab Analysis'!I227/60))/(('Lab Analysis'!H227/44)+('Lab Analysis'!I227/60)),"0")</f>
        <v>0</v>
      </c>
      <c r="J227" s="186" t="str">
        <f>IFERROR(('Lab Analysis'!M227/('Lab Analysis'!M227+(1.765*'Lab Analysis'!K227))),"0")</f>
        <v>0</v>
      </c>
      <c r="K227" s="190" t="str">
        <f>IFERROR(((2*('Lab Analysis'!M227/60))+('Lab Analysis'!K227/17))/(('Lab Analysis'!L227/44)+('Lab Analysis'!M227/60)),"0")</f>
        <v>0</v>
      </c>
      <c r="L227" s="190" t="str">
        <f>IFERROR((('Lab Analysis'!N227/18)-('Lab Analysis'!M227/60))/(('Lab Analysis'!L227/44)+('Lab Analysis'!M227/60)),"0")</f>
        <v>0</v>
      </c>
      <c r="M227" s="187" t="str">
        <f>IFERROR(((2*('Lab Analysis'!U227/60))+('Lab Analysis'!S227/17))/(('Lab Analysis'!T227/44)+('Lab Analysis'!U227/60)),"0")</f>
        <v>0</v>
      </c>
      <c r="N227" s="187" t="str">
        <f>IFERROR((('Lab Analysis'!V227/18)-('Lab Analysis'!U227/60))/(('Lab Analysis'!T227/44)+('Lab Analysis'!U227/60)),"0")</f>
        <v>0</v>
      </c>
      <c r="O227" s="187" t="str">
        <f>IFERROR(((2*('Lab Analysis'!Y227/60)+('Lab Analysis'!W227/17))/(('Lab Analysis'!X227/44)+('Lab Analysis'!Y227/60))),"0")</f>
        <v>0</v>
      </c>
      <c r="P227" s="187" t="str">
        <f>IFERROR((('Lab Analysis'!Z227/18)-('Lab Analysis'!Y227/60))/(('Lab Analysis'!X227/44)+('Lab Analysis'!Y227/60)),"0")</f>
        <v>0</v>
      </c>
      <c r="Q227" s="191"/>
    </row>
    <row r="228" spans="1:17">
      <c r="A228" s="185">
        <v>46042</v>
      </c>
      <c r="B228" s="186" t="str">
        <f>IFERROR(('Lab Analysis'!E228/('Lab Analysis'!E228+(1.364*'Lab Analysis'!D228))),"0")</f>
        <v>0</v>
      </c>
      <c r="C228" s="186" t="str">
        <f>IFERROR((2*'Lab Analysis'!E228/60)/('Lab Analysis'!C228/17+(2*'Lab Analysis'!E228/60)),"0")</f>
        <v>0</v>
      </c>
      <c r="D228" s="187" t="str">
        <f>IFERROR(((2*('Lab Analysis'!E228/60)+('Lab Analysis'!C228/17))/(('Lab Analysis'!D228/44)+('Lab Analysis'!E228/60))),"0")</f>
        <v>0</v>
      </c>
      <c r="E228" s="187" t="str">
        <f>IFERROR((('Lab Analysis'!F228/18)-('Lab Analysis'!E228/60))/(('Lab Analysis'!D228/44)+('Lab Analysis'!E228/60)),"0")</f>
        <v>0</v>
      </c>
      <c r="F228" s="187" t="str">
        <f>IFERROR((('Lab Analysis'!F228/18)/('Lab Analysis'!E228/60)),"0")</f>
        <v>0</v>
      </c>
      <c r="G228" s="188" t="str">
        <f>IFERROR(('Lab Analysis'!I228/('Lab Analysis'!I228+(1.765*'Lab Analysis'!G228))),"0")</f>
        <v>0</v>
      </c>
      <c r="H228" s="189" t="str">
        <f>IFERROR(((2*('Lab Analysis'!I228/60))+('Lab Analysis'!G228/17))/(('Lab Analysis'!H228/44)+('Lab Analysis'!I228/60)),"0")</f>
        <v>0</v>
      </c>
      <c r="I228" s="189" t="str">
        <f>IFERROR((('Lab Analysis'!J228/18)-('Lab Analysis'!I228/60))/(('Lab Analysis'!H228/44)+('Lab Analysis'!I228/60)),"0")</f>
        <v>0</v>
      </c>
      <c r="J228" s="186" t="str">
        <f>IFERROR(('Lab Analysis'!M228/('Lab Analysis'!M228+(1.765*'Lab Analysis'!K228))),"0")</f>
        <v>0</v>
      </c>
      <c r="K228" s="190" t="str">
        <f>IFERROR(((2*('Lab Analysis'!M228/60))+('Lab Analysis'!K228/17))/(('Lab Analysis'!L228/44)+('Lab Analysis'!M228/60)),"0")</f>
        <v>0</v>
      </c>
      <c r="L228" s="190" t="str">
        <f>IFERROR((('Lab Analysis'!N228/18)-('Lab Analysis'!M228/60))/(('Lab Analysis'!L228/44)+('Lab Analysis'!M228/60)),"0")</f>
        <v>0</v>
      </c>
      <c r="M228" s="187" t="str">
        <f>IFERROR(((2*('Lab Analysis'!U228/60))+('Lab Analysis'!S228/17))/(('Lab Analysis'!T228/44)+('Lab Analysis'!U228/60)),"0")</f>
        <v>0</v>
      </c>
      <c r="N228" s="187" t="str">
        <f>IFERROR((('Lab Analysis'!V228/18)-('Lab Analysis'!U228/60))/(('Lab Analysis'!T228/44)+('Lab Analysis'!U228/60)),"0")</f>
        <v>0</v>
      </c>
      <c r="O228" s="187" t="str">
        <f>IFERROR(((2*('Lab Analysis'!Y228/60)+('Lab Analysis'!W228/17))/(('Lab Analysis'!X228/44)+('Lab Analysis'!Y228/60))),"0")</f>
        <v>0</v>
      </c>
      <c r="P228" s="187" t="str">
        <f>IFERROR((('Lab Analysis'!Z228/18)-('Lab Analysis'!Y228/60))/(('Lab Analysis'!X228/44)+('Lab Analysis'!Y228/60)),"0")</f>
        <v>0</v>
      </c>
      <c r="Q228" s="191"/>
    </row>
    <row r="229" spans="1:17">
      <c r="A229" s="185">
        <v>46043</v>
      </c>
      <c r="B229" s="186" t="str">
        <f>IFERROR(('Lab Analysis'!E229/('Lab Analysis'!E229+(1.364*'Lab Analysis'!D229))),"0")</f>
        <v>0</v>
      </c>
      <c r="C229" s="186" t="str">
        <f>IFERROR((2*'Lab Analysis'!E229/60)/('Lab Analysis'!C229/17+(2*'Lab Analysis'!E229/60)),"0")</f>
        <v>0</v>
      </c>
      <c r="D229" s="187" t="str">
        <f>IFERROR(((2*('Lab Analysis'!E229/60)+('Lab Analysis'!C229/17))/(('Lab Analysis'!D229/44)+('Lab Analysis'!E229/60))),"0")</f>
        <v>0</v>
      </c>
      <c r="E229" s="187" t="str">
        <f>IFERROR((('Lab Analysis'!F229/18)-('Lab Analysis'!E229/60))/(('Lab Analysis'!D229/44)+('Lab Analysis'!E229/60)),"0")</f>
        <v>0</v>
      </c>
      <c r="F229" s="187" t="str">
        <f>IFERROR((('Lab Analysis'!F229/18)/('Lab Analysis'!E229/60)),"0")</f>
        <v>0</v>
      </c>
      <c r="G229" s="188" t="str">
        <f>IFERROR(('Lab Analysis'!I229/('Lab Analysis'!I229+(1.765*'Lab Analysis'!G229))),"0")</f>
        <v>0</v>
      </c>
      <c r="H229" s="189" t="str">
        <f>IFERROR(((2*('Lab Analysis'!I229/60))+('Lab Analysis'!G229/17))/(('Lab Analysis'!H229/44)+('Lab Analysis'!I229/60)),"0")</f>
        <v>0</v>
      </c>
      <c r="I229" s="189" t="str">
        <f>IFERROR((('Lab Analysis'!J229/18)-('Lab Analysis'!I229/60))/(('Lab Analysis'!H229/44)+('Lab Analysis'!I229/60)),"0")</f>
        <v>0</v>
      </c>
      <c r="J229" s="186" t="str">
        <f>IFERROR(('Lab Analysis'!M229/('Lab Analysis'!M229+(1.765*'Lab Analysis'!K229))),"0")</f>
        <v>0</v>
      </c>
      <c r="K229" s="190" t="str">
        <f>IFERROR(((2*('Lab Analysis'!M229/60))+('Lab Analysis'!K229/17))/(('Lab Analysis'!L229/44)+('Lab Analysis'!M229/60)),"0")</f>
        <v>0</v>
      </c>
      <c r="L229" s="190" t="str">
        <f>IFERROR((('Lab Analysis'!N229/18)-('Lab Analysis'!M229/60))/(('Lab Analysis'!L229/44)+('Lab Analysis'!M229/60)),"0")</f>
        <v>0</v>
      </c>
      <c r="M229" s="187" t="str">
        <f>IFERROR(((2*('Lab Analysis'!U229/60))+('Lab Analysis'!S229/17))/(('Lab Analysis'!T229/44)+('Lab Analysis'!U229/60)),"0")</f>
        <v>0</v>
      </c>
      <c r="N229" s="187" t="str">
        <f>IFERROR((('Lab Analysis'!V229/18)-('Lab Analysis'!U229/60))/(('Lab Analysis'!T229/44)+('Lab Analysis'!U229/60)),"0")</f>
        <v>0</v>
      </c>
      <c r="O229" s="187" t="str">
        <f>IFERROR(((2*('Lab Analysis'!Y229/60)+('Lab Analysis'!W229/17))/(('Lab Analysis'!X229/44)+('Lab Analysis'!Y229/60))),"0")</f>
        <v>0</v>
      </c>
      <c r="P229" s="187" t="str">
        <f>IFERROR((('Lab Analysis'!Z229/18)-('Lab Analysis'!Y229/60))/(('Lab Analysis'!X229/44)+('Lab Analysis'!Y229/60)),"0")</f>
        <v>0</v>
      </c>
      <c r="Q229" s="191"/>
    </row>
    <row r="230" spans="1:17">
      <c r="A230" s="185">
        <v>46044</v>
      </c>
      <c r="B230" s="186">
        <f>IFERROR(('Lab Analysis'!E230/('Lab Analysis'!E230+(1.364*'Lab Analysis'!D230))),"0")</f>
        <v>0.56116934843892896</v>
      </c>
      <c r="C230" s="186">
        <f>IFERROR((2*'Lab Analysis'!E230/60)/('Lab Analysis'!C230/17+(2*'Lab Analysis'!E230/60)),"0")</f>
        <v>0.37779319633491826</v>
      </c>
      <c r="D230" s="187">
        <f>IFERROR(((2*('Lab Analysis'!E230/60)+('Lab Analysis'!C230/17))/(('Lab Analysis'!D230/44)+('Lab Analysis'!E230/60))),"0")</f>
        <v>2.9711228944351351</v>
      </c>
      <c r="E230" s="187">
        <f>IFERROR((('Lab Analysis'!F230/18)-('Lab Analysis'!E230/60))/(('Lab Analysis'!D230/44)+('Lab Analysis'!E230/60)),"0")</f>
        <v>0.47579855905380647</v>
      </c>
      <c r="F230" s="187">
        <f>IFERROR((('Lab Analysis'!F230/18)/('Lab Analysis'!E230/60)),"0")</f>
        <v>1.8477706356494237</v>
      </c>
      <c r="G230" s="188">
        <f>IFERROR(('Lab Analysis'!I230/('Lab Analysis'!I230+(1.765*'Lab Analysis'!G230))),"0")</f>
        <v>0.71661840175182723</v>
      </c>
      <c r="H230" s="189">
        <f>IFERROR(((2*('Lab Analysis'!I230/60))+('Lab Analysis'!G230/17))/(('Lab Analysis'!H230/44)+('Lab Analysis'!I230/60)),"0")</f>
        <v>2.2454134807075983</v>
      </c>
      <c r="I230" s="189">
        <f>IFERROR((('Lab Analysis'!J230/18)-('Lab Analysis'!I230/60))/(('Lab Analysis'!H230/44)+('Lab Analysis'!I230/60)),"0")</f>
        <v>0.67822584489251159</v>
      </c>
      <c r="J230" s="186">
        <f>IFERROR(('Lab Analysis'!M230/('Lab Analysis'!M230+(1.765*'Lab Analysis'!K230))),"0")</f>
        <v>0.58624781090690858</v>
      </c>
      <c r="K230" s="190">
        <f>IFERROR(((2*('Lab Analysis'!M230/60))+('Lab Analysis'!K230/17))/(('Lab Analysis'!L230/44)+('Lab Analysis'!M230/60)),"0")</f>
        <v>2.3854174415329439</v>
      </c>
      <c r="L230" s="190">
        <f>IFERROR((('Lab Analysis'!N230/18)-('Lab Analysis'!M230/60))/(('Lab Analysis'!L230/44)+('Lab Analysis'!M230/60)),"0")</f>
        <v>0.5125487242880209</v>
      </c>
      <c r="M230" s="187" t="str">
        <f>IFERROR(((2*('Lab Analysis'!U230/60))+('Lab Analysis'!S230/17))/(('Lab Analysis'!T230/44)+('Lab Analysis'!U230/60)),"0")</f>
        <v>0</v>
      </c>
      <c r="N230" s="187" t="str">
        <f>IFERROR((('Lab Analysis'!V230/18)-('Lab Analysis'!U230/60))/(('Lab Analysis'!T230/44)+('Lab Analysis'!U230/60)),"0")</f>
        <v>0</v>
      </c>
      <c r="O230" s="187">
        <f>IFERROR(((2*('Lab Analysis'!Y230/60)+('Lab Analysis'!W230/17))/(('Lab Analysis'!X230/44)+('Lab Analysis'!Y230/60))),"0")</f>
        <v>2.4632707953956925</v>
      </c>
      <c r="P230" s="187">
        <f>IFERROR((('Lab Analysis'!Z230/18)-('Lab Analysis'!Y230/60))/(('Lab Analysis'!X230/44)+('Lab Analysis'!Y230/60)),"0")</f>
        <v>2.1716052889015116</v>
      </c>
      <c r="Q230" s="191"/>
    </row>
    <row r="231" spans="1:17">
      <c r="A231" s="185">
        <v>46045</v>
      </c>
      <c r="B231" s="186" t="str">
        <f>IFERROR(('Lab Analysis'!E231/('Lab Analysis'!E231+(1.364*'Lab Analysis'!D231))),"0")</f>
        <v>0</v>
      </c>
      <c r="C231" s="186" t="str">
        <f>IFERROR((2*'Lab Analysis'!E231/60)/('Lab Analysis'!C231/17+(2*'Lab Analysis'!E231/60)),"0")</f>
        <v>0</v>
      </c>
      <c r="D231" s="187" t="str">
        <f>IFERROR(((2*('Lab Analysis'!E231/60)+('Lab Analysis'!C231/17))/(('Lab Analysis'!D231/44)+('Lab Analysis'!E231/60))),"0")</f>
        <v>0</v>
      </c>
      <c r="E231" s="187" t="str">
        <f>IFERROR((('Lab Analysis'!F231/18)-('Lab Analysis'!E231/60))/(('Lab Analysis'!D231/44)+('Lab Analysis'!E231/60)),"0")</f>
        <v>0</v>
      </c>
      <c r="F231" s="187" t="str">
        <f>IFERROR((('Lab Analysis'!F231/18)/('Lab Analysis'!E231/60)),"0")</f>
        <v>0</v>
      </c>
      <c r="G231" s="188" t="str">
        <f>IFERROR(('Lab Analysis'!I231/('Lab Analysis'!I231+(1.765*'Lab Analysis'!G231))),"0")</f>
        <v>0</v>
      </c>
      <c r="H231" s="189" t="str">
        <f>IFERROR(((2*('Lab Analysis'!I231/60))+('Lab Analysis'!G231/17))/(('Lab Analysis'!H231/44)+('Lab Analysis'!I231/60)),"0")</f>
        <v>0</v>
      </c>
      <c r="I231" s="189" t="str">
        <f>IFERROR((('Lab Analysis'!J231/18)-('Lab Analysis'!I231/60))/(('Lab Analysis'!H231/44)+('Lab Analysis'!I231/60)),"0")</f>
        <v>0</v>
      </c>
      <c r="J231" s="186" t="str">
        <f>IFERROR(('Lab Analysis'!M231/('Lab Analysis'!M231+(1.765*'Lab Analysis'!K231))),"0")</f>
        <v>0</v>
      </c>
      <c r="K231" s="190" t="str">
        <f>IFERROR(((2*('Lab Analysis'!M231/60))+('Lab Analysis'!K231/17))/(('Lab Analysis'!L231/44)+('Lab Analysis'!M231/60)),"0")</f>
        <v>0</v>
      </c>
      <c r="L231" s="190" t="str">
        <f>IFERROR((('Lab Analysis'!N231/18)-('Lab Analysis'!M231/60))/(('Lab Analysis'!L231/44)+('Lab Analysis'!M231/60)),"0")</f>
        <v>0</v>
      </c>
      <c r="M231" s="187" t="str">
        <f>IFERROR(((2*('Lab Analysis'!U231/60))+('Lab Analysis'!S231/17))/(('Lab Analysis'!T231/44)+('Lab Analysis'!U231/60)),"0")</f>
        <v>0</v>
      </c>
      <c r="N231" s="187" t="str">
        <f>IFERROR((('Lab Analysis'!V231/18)-('Lab Analysis'!U231/60))/(('Lab Analysis'!T231/44)+('Lab Analysis'!U231/60)),"0")</f>
        <v>0</v>
      </c>
      <c r="O231" s="187" t="str">
        <f>IFERROR(((2*('Lab Analysis'!Y231/60)+('Lab Analysis'!W231/17))/(('Lab Analysis'!X231/44)+('Lab Analysis'!Y231/60))),"0")</f>
        <v>0</v>
      </c>
      <c r="P231" s="187" t="str">
        <f>IFERROR((('Lab Analysis'!Z231/18)-('Lab Analysis'!Y231/60))/(('Lab Analysis'!X231/44)+('Lab Analysis'!Y231/60)),"0")</f>
        <v>0</v>
      </c>
      <c r="Q231" s="191"/>
    </row>
    <row r="232" spans="1:17">
      <c r="A232" s="185">
        <v>46046</v>
      </c>
      <c r="B232" s="186" t="str">
        <f>IFERROR(('Lab Analysis'!E232/('Lab Analysis'!E232+(1.364*'Lab Analysis'!D232))),"0")</f>
        <v>0</v>
      </c>
      <c r="C232" s="186" t="str">
        <f>IFERROR((2*'Lab Analysis'!E232/60)/('Lab Analysis'!C232/17+(2*'Lab Analysis'!E232/60)),"0")</f>
        <v>0</v>
      </c>
      <c r="D232" s="187" t="str">
        <f>IFERROR(((2*('Lab Analysis'!E232/60)+('Lab Analysis'!C232/17))/(('Lab Analysis'!D232/44)+('Lab Analysis'!E232/60))),"0")</f>
        <v>0</v>
      </c>
      <c r="E232" s="187" t="str">
        <f>IFERROR((('Lab Analysis'!F232/18)-('Lab Analysis'!E232/60))/(('Lab Analysis'!D232/44)+('Lab Analysis'!E232/60)),"0")</f>
        <v>0</v>
      </c>
      <c r="F232" s="187" t="str">
        <f>IFERROR((('Lab Analysis'!F232/18)/('Lab Analysis'!E232/60)),"0")</f>
        <v>0</v>
      </c>
      <c r="G232" s="188" t="str">
        <f>IFERROR(('Lab Analysis'!I232/('Lab Analysis'!I232+(1.765*'Lab Analysis'!G232))),"0")</f>
        <v>0</v>
      </c>
      <c r="H232" s="189" t="str">
        <f>IFERROR(((2*('Lab Analysis'!I232/60))+('Lab Analysis'!G232/17))/(('Lab Analysis'!H232/44)+('Lab Analysis'!I232/60)),"0")</f>
        <v>0</v>
      </c>
      <c r="I232" s="189" t="str">
        <f>IFERROR((('Lab Analysis'!J232/18)-('Lab Analysis'!I232/60))/(('Lab Analysis'!H232/44)+('Lab Analysis'!I232/60)),"0")</f>
        <v>0</v>
      </c>
      <c r="J232" s="186" t="str">
        <f>IFERROR(('Lab Analysis'!M232/('Lab Analysis'!M232+(1.765*'Lab Analysis'!K232))),"0")</f>
        <v>0</v>
      </c>
      <c r="K232" s="190" t="str">
        <f>IFERROR(((2*('Lab Analysis'!M232/60))+('Lab Analysis'!K232/17))/(('Lab Analysis'!L232/44)+('Lab Analysis'!M232/60)),"0")</f>
        <v>0</v>
      </c>
      <c r="L232" s="190" t="str">
        <f>IFERROR((('Lab Analysis'!N232/18)-('Lab Analysis'!M232/60))/(('Lab Analysis'!L232/44)+('Lab Analysis'!M232/60)),"0")</f>
        <v>0</v>
      </c>
      <c r="M232" s="187" t="str">
        <f>IFERROR(((2*('Lab Analysis'!U232/60))+('Lab Analysis'!S232/17))/(('Lab Analysis'!T232/44)+('Lab Analysis'!U232/60)),"0")</f>
        <v>0</v>
      </c>
      <c r="N232" s="187" t="str">
        <f>IFERROR((('Lab Analysis'!V232/18)-('Lab Analysis'!U232/60))/(('Lab Analysis'!T232/44)+('Lab Analysis'!U232/60)),"0")</f>
        <v>0</v>
      </c>
      <c r="O232" s="187" t="str">
        <f>IFERROR(((2*('Lab Analysis'!Y232/60)+('Lab Analysis'!W232/17))/(('Lab Analysis'!X232/44)+('Lab Analysis'!Y232/60))),"0")</f>
        <v>0</v>
      </c>
      <c r="P232" s="187" t="str">
        <f>IFERROR((('Lab Analysis'!Z232/18)-('Lab Analysis'!Y232/60))/(('Lab Analysis'!X232/44)+('Lab Analysis'!Y232/60)),"0")</f>
        <v>0</v>
      </c>
      <c r="Q232" s="191"/>
    </row>
    <row r="233" spans="1:17">
      <c r="A233" s="185">
        <v>46047</v>
      </c>
      <c r="B233" s="186" t="str">
        <f>IFERROR(('Lab Analysis'!E233/('Lab Analysis'!E233+(1.364*'Lab Analysis'!D233))),"0")</f>
        <v>0</v>
      </c>
      <c r="C233" s="186" t="str">
        <f>IFERROR((2*'Lab Analysis'!E233/60)/('Lab Analysis'!C233/17+(2*'Lab Analysis'!E233/60)),"0")</f>
        <v>0</v>
      </c>
      <c r="D233" s="187" t="str">
        <f>IFERROR(((2*('Lab Analysis'!E233/60)+('Lab Analysis'!C233/17))/(('Lab Analysis'!D233/44)+('Lab Analysis'!E233/60))),"0")</f>
        <v>0</v>
      </c>
      <c r="E233" s="187" t="str">
        <f>IFERROR((('Lab Analysis'!F233/18)-('Lab Analysis'!E233/60))/(('Lab Analysis'!D233/44)+('Lab Analysis'!E233/60)),"0")</f>
        <v>0</v>
      </c>
      <c r="F233" s="187" t="str">
        <f>IFERROR((('Lab Analysis'!F233/18)/('Lab Analysis'!E233/60)),"0")</f>
        <v>0</v>
      </c>
      <c r="G233" s="188" t="str">
        <f>IFERROR(('Lab Analysis'!I233/('Lab Analysis'!I233+(1.765*'Lab Analysis'!G233))),"0")</f>
        <v>0</v>
      </c>
      <c r="H233" s="189" t="str">
        <f>IFERROR(((2*('Lab Analysis'!I233/60))+('Lab Analysis'!G233/17))/(('Lab Analysis'!H233/44)+('Lab Analysis'!I233/60)),"0")</f>
        <v>0</v>
      </c>
      <c r="I233" s="189" t="str">
        <f>IFERROR((('Lab Analysis'!J233/18)-('Lab Analysis'!I233/60))/(('Lab Analysis'!H233/44)+('Lab Analysis'!I233/60)),"0")</f>
        <v>0</v>
      </c>
      <c r="J233" s="186" t="str">
        <f>IFERROR(('Lab Analysis'!M233/('Lab Analysis'!M233+(1.765*'Lab Analysis'!K233))),"0")</f>
        <v>0</v>
      </c>
      <c r="K233" s="190" t="str">
        <f>IFERROR(((2*('Lab Analysis'!M233/60))+('Lab Analysis'!K233/17))/(('Lab Analysis'!L233/44)+('Lab Analysis'!M233/60)),"0")</f>
        <v>0</v>
      </c>
      <c r="L233" s="190" t="str">
        <f>IFERROR((('Lab Analysis'!N233/18)-('Lab Analysis'!M233/60))/(('Lab Analysis'!L233/44)+('Lab Analysis'!M233/60)),"0")</f>
        <v>0</v>
      </c>
      <c r="M233" s="187" t="str">
        <f>IFERROR(((2*('Lab Analysis'!U233/60))+('Lab Analysis'!S233/17))/(('Lab Analysis'!T233/44)+('Lab Analysis'!U233/60)),"0")</f>
        <v>0</v>
      </c>
      <c r="N233" s="187" t="str">
        <f>IFERROR((('Lab Analysis'!V233/18)-('Lab Analysis'!U233/60))/(('Lab Analysis'!T233/44)+('Lab Analysis'!U233/60)),"0")</f>
        <v>0</v>
      </c>
      <c r="O233" s="187" t="str">
        <f>IFERROR(((2*('Lab Analysis'!Y233/60)+('Lab Analysis'!W233/17))/(('Lab Analysis'!X233/44)+('Lab Analysis'!Y233/60))),"0")</f>
        <v>0</v>
      </c>
      <c r="P233" s="187" t="str">
        <f>IFERROR((('Lab Analysis'!Z233/18)-('Lab Analysis'!Y233/60))/(('Lab Analysis'!X233/44)+('Lab Analysis'!Y233/60)),"0")</f>
        <v>0</v>
      </c>
      <c r="Q233" s="191"/>
    </row>
    <row r="234" spans="1:17">
      <c r="A234" s="185">
        <v>46048</v>
      </c>
      <c r="B234" s="186" t="str">
        <f>IFERROR(('Lab Analysis'!E234/('Lab Analysis'!E234+(1.364*'Lab Analysis'!D234))),"0")</f>
        <v>0</v>
      </c>
      <c r="C234" s="186" t="str">
        <f>IFERROR((2*'Lab Analysis'!E234/60)/('Lab Analysis'!C234/17+(2*'Lab Analysis'!E234/60)),"0")</f>
        <v>0</v>
      </c>
      <c r="D234" s="187" t="str">
        <f>IFERROR(((2*('Lab Analysis'!E234/60)+('Lab Analysis'!C234/17))/(('Lab Analysis'!D234/44)+('Lab Analysis'!E234/60))),"0")</f>
        <v>0</v>
      </c>
      <c r="E234" s="187" t="str">
        <f>IFERROR((('Lab Analysis'!F234/18)-('Lab Analysis'!E234/60))/(('Lab Analysis'!D234/44)+('Lab Analysis'!E234/60)),"0")</f>
        <v>0</v>
      </c>
      <c r="F234" s="187" t="str">
        <f>IFERROR((('Lab Analysis'!F234/18)/('Lab Analysis'!E234/60)),"0")</f>
        <v>0</v>
      </c>
      <c r="G234" s="188" t="str">
        <f>IFERROR(('Lab Analysis'!I234/('Lab Analysis'!I234+(1.765*'Lab Analysis'!G234))),"0")</f>
        <v>0</v>
      </c>
      <c r="H234" s="189" t="str">
        <f>IFERROR(((2*('Lab Analysis'!I234/60))+('Lab Analysis'!G234/17))/(('Lab Analysis'!H234/44)+('Lab Analysis'!I234/60)),"0")</f>
        <v>0</v>
      </c>
      <c r="I234" s="189" t="str">
        <f>IFERROR((('Lab Analysis'!J234/18)-('Lab Analysis'!I234/60))/(('Lab Analysis'!H234/44)+('Lab Analysis'!I234/60)),"0")</f>
        <v>0</v>
      </c>
      <c r="J234" s="186" t="str">
        <f>IFERROR(('Lab Analysis'!M234/('Lab Analysis'!M234+(1.765*'Lab Analysis'!K234))),"0")</f>
        <v>0</v>
      </c>
      <c r="K234" s="190" t="str">
        <f>IFERROR(((2*('Lab Analysis'!M234/60))+('Lab Analysis'!K234/17))/(('Lab Analysis'!L234/44)+('Lab Analysis'!M234/60)),"0")</f>
        <v>0</v>
      </c>
      <c r="L234" s="190" t="str">
        <f>IFERROR((('Lab Analysis'!N234/18)-('Lab Analysis'!M234/60))/(('Lab Analysis'!L234/44)+('Lab Analysis'!M234/60)),"0")</f>
        <v>0</v>
      </c>
      <c r="M234" s="187" t="str">
        <f>IFERROR(((2*('Lab Analysis'!U234/60))+('Lab Analysis'!S234/17))/(('Lab Analysis'!T234/44)+('Lab Analysis'!U234/60)),"0")</f>
        <v>0</v>
      </c>
      <c r="N234" s="187" t="str">
        <f>IFERROR((('Lab Analysis'!V234/18)-('Lab Analysis'!U234/60))/(('Lab Analysis'!T234/44)+('Lab Analysis'!U234/60)),"0")</f>
        <v>0</v>
      </c>
      <c r="O234" s="187" t="str">
        <f>IFERROR(((2*('Lab Analysis'!Y234/60)+('Lab Analysis'!W234/17))/(('Lab Analysis'!X234/44)+('Lab Analysis'!Y234/60))),"0")</f>
        <v>0</v>
      </c>
      <c r="P234" s="187" t="str">
        <f>IFERROR((('Lab Analysis'!Z234/18)-('Lab Analysis'!Y234/60))/(('Lab Analysis'!X234/44)+('Lab Analysis'!Y234/60)),"0")</f>
        <v>0</v>
      </c>
      <c r="Q234" s="191"/>
    </row>
    <row r="235" spans="1:17">
      <c r="A235" s="185">
        <v>46049</v>
      </c>
      <c r="B235" s="186" t="str">
        <f>IFERROR(('Lab Analysis'!E235/('Lab Analysis'!E235+(1.364*'Lab Analysis'!D235))),"0")</f>
        <v>0</v>
      </c>
      <c r="C235" s="186" t="str">
        <f>IFERROR((2*'Lab Analysis'!E235/60)/('Lab Analysis'!C235/17+(2*'Lab Analysis'!E235/60)),"0")</f>
        <v>0</v>
      </c>
      <c r="D235" s="187" t="str">
        <f>IFERROR(((2*('Lab Analysis'!E235/60)+('Lab Analysis'!C235/17))/(('Lab Analysis'!D235/44)+('Lab Analysis'!E235/60))),"0")</f>
        <v>0</v>
      </c>
      <c r="E235" s="187" t="str">
        <f>IFERROR((('Lab Analysis'!F235/18)-('Lab Analysis'!E235/60))/(('Lab Analysis'!D235/44)+('Lab Analysis'!E235/60)),"0")</f>
        <v>0</v>
      </c>
      <c r="F235" s="187" t="str">
        <f>IFERROR((('Lab Analysis'!F235/18)/('Lab Analysis'!E235/60)),"0")</f>
        <v>0</v>
      </c>
      <c r="G235" s="188" t="str">
        <f>IFERROR(('Lab Analysis'!I235/('Lab Analysis'!I235+(1.765*'Lab Analysis'!G235))),"0")</f>
        <v>0</v>
      </c>
      <c r="H235" s="189" t="str">
        <f>IFERROR(((2*('Lab Analysis'!I235/60))+('Lab Analysis'!G235/17))/(('Lab Analysis'!H235/44)+('Lab Analysis'!I235/60)),"0")</f>
        <v>0</v>
      </c>
      <c r="I235" s="189" t="str">
        <f>IFERROR((('Lab Analysis'!J235/18)-('Lab Analysis'!I235/60))/(('Lab Analysis'!H235/44)+('Lab Analysis'!I235/60)),"0")</f>
        <v>0</v>
      </c>
      <c r="J235" s="186" t="str">
        <f>IFERROR(('Lab Analysis'!M235/('Lab Analysis'!M235+(1.765*'Lab Analysis'!K235))),"0")</f>
        <v>0</v>
      </c>
      <c r="K235" s="190" t="str">
        <f>IFERROR(((2*('Lab Analysis'!M235/60))+('Lab Analysis'!K235/17))/(('Lab Analysis'!L235/44)+('Lab Analysis'!M235/60)),"0")</f>
        <v>0</v>
      </c>
      <c r="L235" s="190" t="str">
        <f>IFERROR((('Lab Analysis'!N235/18)-('Lab Analysis'!M235/60))/(('Lab Analysis'!L235/44)+('Lab Analysis'!M235/60)),"0")</f>
        <v>0</v>
      </c>
      <c r="M235" s="187" t="str">
        <f>IFERROR(((2*('Lab Analysis'!U235/60))+('Lab Analysis'!S235/17))/(('Lab Analysis'!T235/44)+('Lab Analysis'!U235/60)),"0")</f>
        <v>0</v>
      </c>
      <c r="N235" s="187" t="str">
        <f>IFERROR((('Lab Analysis'!V235/18)-('Lab Analysis'!U235/60))/(('Lab Analysis'!T235/44)+('Lab Analysis'!U235/60)),"0")</f>
        <v>0</v>
      </c>
      <c r="O235" s="187" t="str">
        <f>IFERROR(((2*('Lab Analysis'!Y235/60)+('Lab Analysis'!W235/17))/(('Lab Analysis'!X235/44)+('Lab Analysis'!Y235/60))),"0")</f>
        <v>0</v>
      </c>
      <c r="P235" s="187" t="str">
        <f>IFERROR((('Lab Analysis'!Z235/18)-('Lab Analysis'!Y235/60))/(('Lab Analysis'!X235/44)+('Lab Analysis'!Y235/60)),"0")</f>
        <v>0</v>
      </c>
      <c r="Q235" s="191"/>
    </row>
    <row r="236" spans="1:17">
      <c r="A236" s="185">
        <v>46050</v>
      </c>
      <c r="B236" s="186" t="str">
        <f>IFERROR(('Lab Analysis'!E236/('Lab Analysis'!E236+(1.364*'Lab Analysis'!D236))),"0")</f>
        <v>0</v>
      </c>
      <c r="C236" s="186" t="str">
        <f>IFERROR((2*'Lab Analysis'!E236/60)/('Lab Analysis'!C236/17+(2*'Lab Analysis'!E236/60)),"0")</f>
        <v>0</v>
      </c>
      <c r="D236" s="187" t="str">
        <f>IFERROR(((2*('Lab Analysis'!E236/60)+('Lab Analysis'!C236/17))/(('Lab Analysis'!D236/44)+('Lab Analysis'!E236/60))),"0")</f>
        <v>0</v>
      </c>
      <c r="E236" s="187" t="str">
        <f>IFERROR((('Lab Analysis'!F236/18)-('Lab Analysis'!E236/60))/(('Lab Analysis'!D236/44)+('Lab Analysis'!E236/60)),"0")</f>
        <v>0</v>
      </c>
      <c r="F236" s="187" t="str">
        <f>IFERROR((('Lab Analysis'!F236/18)/('Lab Analysis'!E236/60)),"0")</f>
        <v>0</v>
      </c>
      <c r="G236" s="188" t="str">
        <f>IFERROR(('Lab Analysis'!I236/('Lab Analysis'!I236+(1.765*'Lab Analysis'!G236))),"0")</f>
        <v>0</v>
      </c>
      <c r="H236" s="189" t="str">
        <f>IFERROR(((2*('Lab Analysis'!I236/60))+('Lab Analysis'!G236/17))/(('Lab Analysis'!H236/44)+('Lab Analysis'!I236/60)),"0")</f>
        <v>0</v>
      </c>
      <c r="I236" s="189" t="str">
        <f>IFERROR((('Lab Analysis'!J236/18)-('Lab Analysis'!I236/60))/(('Lab Analysis'!H236/44)+('Lab Analysis'!I236/60)),"0")</f>
        <v>0</v>
      </c>
      <c r="J236" s="186" t="str">
        <f>IFERROR(('Lab Analysis'!M236/('Lab Analysis'!M236+(1.765*'Lab Analysis'!K236))),"0")</f>
        <v>0</v>
      </c>
      <c r="K236" s="190" t="str">
        <f>IFERROR(((2*('Lab Analysis'!M236/60))+('Lab Analysis'!K236/17))/(('Lab Analysis'!L236/44)+('Lab Analysis'!M236/60)),"0")</f>
        <v>0</v>
      </c>
      <c r="L236" s="190" t="str">
        <f>IFERROR((('Lab Analysis'!N236/18)-('Lab Analysis'!M236/60))/(('Lab Analysis'!L236/44)+('Lab Analysis'!M236/60)),"0")</f>
        <v>0</v>
      </c>
      <c r="M236" s="187" t="str">
        <f>IFERROR(((2*('Lab Analysis'!U236/60))+('Lab Analysis'!S236/17))/(('Lab Analysis'!T236/44)+('Lab Analysis'!U236/60)),"0")</f>
        <v>0</v>
      </c>
      <c r="N236" s="187" t="str">
        <f>IFERROR((('Lab Analysis'!V236/18)-('Lab Analysis'!U236/60))/(('Lab Analysis'!T236/44)+('Lab Analysis'!U236/60)),"0")</f>
        <v>0</v>
      </c>
      <c r="O236" s="187" t="str">
        <f>IFERROR(((2*('Lab Analysis'!Y236/60)+('Lab Analysis'!W236/17))/(('Lab Analysis'!X236/44)+('Lab Analysis'!Y236/60))),"0")</f>
        <v>0</v>
      </c>
      <c r="P236" s="187" t="str">
        <f>IFERROR((('Lab Analysis'!Z236/18)-('Lab Analysis'!Y236/60))/(('Lab Analysis'!X236/44)+('Lab Analysis'!Y236/60)),"0")</f>
        <v>0</v>
      </c>
      <c r="Q236" s="191"/>
    </row>
    <row r="237" spans="1:17">
      <c r="A237" s="185">
        <v>46051</v>
      </c>
      <c r="B237" s="186" t="str">
        <f>IFERROR(('Lab Analysis'!E237/('Lab Analysis'!E237+(1.364*'Lab Analysis'!D237))),"0")</f>
        <v>0</v>
      </c>
      <c r="C237" s="186" t="str">
        <f>IFERROR((2*'Lab Analysis'!E237/60)/('Lab Analysis'!C237/17+(2*'Lab Analysis'!E237/60)),"0")</f>
        <v>0</v>
      </c>
      <c r="D237" s="187" t="str">
        <f>IFERROR(((2*('Lab Analysis'!E237/60)+('Lab Analysis'!C237/17))/(('Lab Analysis'!D237/44)+('Lab Analysis'!E237/60))),"0")</f>
        <v>0</v>
      </c>
      <c r="E237" s="187" t="str">
        <f>IFERROR((('Lab Analysis'!F237/18)-('Lab Analysis'!E237/60))/(('Lab Analysis'!D237/44)+('Lab Analysis'!E237/60)),"0")</f>
        <v>0</v>
      </c>
      <c r="F237" s="187" t="str">
        <f>IFERROR((('Lab Analysis'!F237/18)/('Lab Analysis'!E237/60)),"0")</f>
        <v>0</v>
      </c>
      <c r="G237" s="188" t="str">
        <f>IFERROR(('Lab Analysis'!I237/('Lab Analysis'!I237+(1.765*'Lab Analysis'!G237))),"0")</f>
        <v>0</v>
      </c>
      <c r="H237" s="189" t="str">
        <f>IFERROR(((2*('Lab Analysis'!I237/60))+('Lab Analysis'!G237/17))/(('Lab Analysis'!H237/44)+('Lab Analysis'!I237/60)),"0")</f>
        <v>0</v>
      </c>
      <c r="I237" s="189" t="str">
        <f>IFERROR((('Lab Analysis'!J237/18)-('Lab Analysis'!I237/60))/(('Lab Analysis'!H237/44)+('Lab Analysis'!I237/60)),"0")</f>
        <v>0</v>
      </c>
      <c r="J237" s="186" t="str">
        <f>IFERROR(('Lab Analysis'!M237/('Lab Analysis'!M237+(1.765*'Lab Analysis'!K237))),"0")</f>
        <v>0</v>
      </c>
      <c r="K237" s="190" t="str">
        <f>IFERROR(((2*('Lab Analysis'!M237/60))+('Lab Analysis'!K237/17))/(('Lab Analysis'!L237/44)+('Lab Analysis'!M237/60)),"0")</f>
        <v>0</v>
      </c>
      <c r="L237" s="190" t="str">
        <f>IFERROR((('Lab Analysis'!N237/18)-('Lab Analysis'!M237/60))/(('Lab Analysis'!L237/44)+('Lab Analysis'!M237/60)),"0")</f>
        <v>0</v>
      </c>
      <c r="M237" s="187" t="str">
        <f>IFERROR(((2*('Lab Analysis'!U237/60))+('Lab Analysis'!S237/17))/(('Lab Analysis'!T237/44)+('Lab Analysis'!U237/60)),"0")</f>
        <v>0</v>
      </c>
      <c r="N237" s="187" t="str">
        <f>IFERROR((('Lab Analysis'!V237/18)-('Lab Analysis'!U237/60))/(('Lab Analysis'!T237/44)+('Lab Analysis'!U237/60)),"0")</f>
        <v>0</v>
      </c>
      <c r="O237" s="187" t="str">
        <f>IFERROR(((2*('Lab Analysis'!Y237/60)+('Lab Analysis'!W237/17))/(('Lab Analysis'!X237/44)+('Lab Analysis'!Y237/60))),"0")</f>
        <v>0</v>
      </c>
      <c r="P237" s="187" t="str">
        <f>IFERROR((('Lab Analysis'!Z237/18)-('Lab Analysis'!Y237/60))/(('Lab Analysis'!X237/44)+('Lab Analysis'!Y237/60)),"0")</f>
        <v>0</v>
      </c>
      <c r="Q237" s="191"/>
    </row>
    <row r="238" spans="1:17">
      <c r="A238" s="185">
        <v>46052</v>
      </c>
      <c r="B238" s="186" t="str">
        <f>IFERROR(('Lab Analysis'!E238/('Lab Analysis'!E238+(1.364*'Lab Analysis'!D238))),"0")</f>
        <v>0</v>
      </c>
      <c r="C238" s="186" t="str">
        <f>IFERROR((2*'Lab Analysis'!E238/60)/('Lab Analysis'!C238/17+(2*'Lab Analysis'!E238/60)),"0")</f>
        <v>0</v>
      </c>
      <c r="D238" s="187" t="str">
        <f>IFERROR(((2*('Lab Analysis'!E238/60)+('Lab Analysis'!C238/17))/(('Lab Analysis'!D238/44)+('Lab Analysis'!E238/60))),"0")</f>
        <v>0</v>
      </c>
      <c r="E238" s="187" t="str">
        <f>IFERROR((('Lab Analysis'!F238/18)-('Lab Analysis'!E238/60))/(('Lab Analysis'!D238/44)+('Lab Analysis'!E238/60)),"0")</f>
        <v>0</v>
      </c>
      <c r="F238" s="187" t="str">
        <f>IFERROR((('Lab Analysis'!F238/18)/('Lab Analysis'!E238/60)),"0")</f>
        <v>0</v>
      </c>
      <c r="G238" s="188" t="str">
        <f>IFERROR(('Lab Analysis'!I238/('Lab Analysis'!I238+(1.765*'Lab Analysis'!G238))),"0")</f>
        <v>0</v>
      </c>
      <c r="H238" s="189" t="str">
        <f>IFERROR(((2*('Lab Analysis'!I238/60))+('Lab Analysis'!G238/17))/(('Lab Analysis'!H238/44)+('Lab Analysis'!I238/60)),"0")</f>
        <v>0</v>
      </c>
      <c r="I238" s="189" t="str">
        <f>IFERROR((('Lab Analysis'!J238/18)-('Lab Analysis'!I238/60))/(('Lab Analysis'!H238/44)+('Lab Analysis'!I238/60)),"0")</f>
        <v>0</v>
      </c>
      <c r="J238" s="186" t="str">
        <f>IFERROR(('Lab Analysis'!M238/('Lab Analysis'!M238+(1.765*'Lab Analysis'!K238))),"0")</f>
        <v>0</v>
      </c>
      <c r="K238" s="190" t="str">
        <f>IFERROR(((2*('Lab Analysis'!M238/60))+('Lab Analysis'!K238/17))/(('Lab Analysis'!L238/44)+('Lab Analysis'!M238/60)),"0")</f>
        <v>0</v>
      </c>
      <c r="L238" s="190" t="str">
        <f>IFERROR((('Lab Analysis'!N238/18)-('Lab Analysis'!M238/60))/(('Lab Analysis'!L238/44)+('Lab Analysis'!M238/60)),"0")</f>
        <v>0</v>
      </c>
      <c r="M238" s="187" t="str">
        <f>IFERROR(((2*('Lab Analysis'!U238/60))+('Lab Analysis'!S238/17))/(('Lab Analysis'!T238/44)+('Lab Analysis'!U238/60)),"0")</f>
        <v>0</v>
      </c>
      <c r="N238" s="187" t="str">
        <f>IFERROR((('Lab Analysis'!V238/18)-('Lab Analysis'!U238/60))/(('Lab Analysis'!T238/44)+('Lab Analysis'!U238/60)),"0")</f>
        <v>0</v>
      </c>
      <c r="O238" s="187" t="str">
        <f>IFERROR(((2*('Lab Analysis'!Y238/60)+('Lab Analysis'!W238/17))/(('Lab Analysis'!X238/44)+('Lab Analysis'!Y238/60))),"0")</f>
        <v>0</v>
      </c>
      <c r="P238" s="187" t="str">
        <f>IFERROR((('Lab Analysis'!Z238/18)-('Lab Analysis'!Y238/60))/(('Lab Analysis'!X238/44)+('Lab Analysis'!Y238/60)),"0")</f>
        <v>0</v>
      </c>
      <c r="Q238" s="191"/>
    </row>
    <row r="239" spans="1:17">
      <c r="A239" s="185">
        <v>46053</v>
      </c>
      <c r="B239" s="186" t="str">
        <f>IFERROR(('Lab Analysis'!E239/('Lab Analysis'!E239+(1.364*'Lab Analysis'!D239))),"0")</f>
        <v>0</v>
      </c>
      <c r="C239" s="186" t="str">
        <f>IFERROR((2*'Lab Analysis'!E239/60)/('Lab Analysis'!C239/17+(2*'Lab Analysis'!E239/60)),"0")</f>
        <v>0</v>
      </c>
      <c r="D239" s="187" t="str">
        <f>IFERROR(((2*('Lab Analysis'!E239/60)+('Lab Analysis'!C239/17))/(('Lab Analysis'!D239/44)+('Lab Analysis'!E239/60))),"0")</f>
        <v>0</v>
      </c>
      <c r="E239" s="187" t="str">
        <f>IFERROR((('Lab Analysis'!F239/18)-('Lab Analysis'!E239/60))/(('Lab Analysis'!D239/44)+('Lab Analysis'!E239/60)),"0")</f>
        <v>0</v>
      </c>
      <c r="F239" s="187" t="str">
        <f>IFERROR((('Lab Analysis'!F239/18)/('Lab Analysis'!E239/60)),"0")</f>
        <v>0</v>
      </c>
      <c r="G239" s="188" t="str">
        <f>IFERROR(('Lab Analysis'!I239/('Lab Analysis'!I239+(1.765*'Lab Analysis'!G239))),"0")</f>
        <v>0</v>
      </c>
      <c r="H239" s="189" t="str">
        <f>IFERROR(((2*('Lab Analysis'!I239/60))+('Lab Analysis'!G239/17))/(('Lab Analysis'!H239/44)+('Lab Analysis'!I239/60)),"0")</f>
        <v>0</v>
      </c>
      <c r="I239" s="189" t="str">
        <f>IFERROR((('Lab Analysis'!J239/18)-('Lab Analysis'!I239/60))/(('Lab Analysis'!H239/44)+('Lab Analysis'!I239/60)),"0")</f>
        <v>0</v>
      </c>
      <c r="J239" s="186" t="str">
        <f>IFERROR(('Lab Analysis'!M239/('Lab Analysis'!M239+(1.765*'Lab Analysis'!K239))),"0")</f>
        <v>0</v>
      </c>
      <c r="K239" s="190" t="str">
        <f>IFERROR(((2*('Lab Analysis'!M239/60))+('Lab Analysis'!K239/17))/(('Lab Analysis'!L239/44)+('Lab Analysis'!M239/60)),"0")</f>
        <v>0</v>
      </c>
      <c r="L239" s="190" t="str">
        <f>IFERROR((('Lab Analysis'!N239/18)-('Lab Analysis'!M239/60))/(('Lab Analysis'!L239/44)+('Lab Analysis'!M239/60)),"0")</f>
        <v>0</v>
      </c>
      <c r="M239" s="187" t="str">
        <f>IFERROR(((2*('Lab Analysis'!U239/60))+('Lab Analysis'!S239/17))/(('Lab Analysis'!T239/44)+('Lab Analysis'!U239/60)),"0")</f>
        <v>0</v>
      </c>
      <c r="N239" s="187" t="str">
        <f>IFERROR((('Lab Analysis'!V239/18)-('Lab Analysis'!U239/60))/(('Lab Analysis'!T239/44)+('Lab Analysis'!U239/60)),"0")</f>
        <v>0</v>
      </c>
      <c r="O239" s="187" t="str">
        <f>IFERROR(((2*('Lab Analysis'!Y239/60)+('Lab Analysis'!W239/17))/(('Lab Analysis'!X239/44)+('Lab Analysis'!Y239/60))),"0")</f>
        <v>0</v>
      </c>
      <c r="P239" s="187" t="str">
        <f>IFERROR((('Lab Analysis'!Z239/18)-('Lab Analysis'!Y239/60))/(('Lab Analysis'!X239/44)+('Lab Analysis'!Y239/60)),"0")</f>
        <v>0</v>
      </c>
      <c r="Q239" s="191"/>
    </row>
    <row r="240" spans="1:17">
      <c r="A240" s="185">
        <v>46054</v>
      </c>
      <c r="B240" s="186" t="str">
        <f>IFERROR(('Lab Analysis'!E240/('Lab Analysis'!E240+(1.364*'Lab Analysis'!D240))),"0")</f>
        <v>0</v>
      </c>
      <c r="C240" s="186" t="str">
        <f>IFERROR((2*'Lab Analysis'!E240/60)/('Lab Analysis'!C240/17+(2*'Lab Analysis'!E240/60)),"0")</f>
        <v>0</v>
      </c>
      <c r="D240" s="187" t="str">
        <f>IFERROR(((2*('Lab Analysis'!E240/60)+('Lab Analysis'!C240/17))/(('Lab Analysis'!D240/44)+('Lab Analysis'!E240/60))),"0")</f>
        <v>0</v>
      </c>
      <c r="E240" s="187" t="str">
        <f>IFERROR((('Lab Analysis'!F240/18)-('Lab Analysis'!E240/60))/(('Lab Analysis'!D240/44)+('Lab Analysis'!E240/60)),"0")</f>
        <v>0</v>
      </c>
      <c r="F240" s="187" t="str">
        <f>IFERROR((('Lab Analysis'!F240/18)/('Lab Analysis'!E240/60)),"0")</f>
        <v>0</v>
      </c>
      <c r="G240" s="188" t="str">
        <f>IFERROR(('Lab Analysis'!I240/('Lab Analysis'!I240+(1.765*'Lab Analysis'!G240))),"0")</f>
        <v>0</v>
      </c>
      <c r="H240" s="189" t="str">
        <f>IFERROR(((2*('Lab Analysis'!I240/60))+('Lab Analysis'!G240/17))/(('Lab Analysis'!H240/44)+('Lab Analysis'!I240/60)),"0")</f>
        <v>0</v>
      </c>
      <c r="I240" s="189" t="str">
        <f>IFERROR((('Lab Analysis'!J240/18)-('Lab Analysis'!I240/60))/(('Lab Analysis'!H240/44)+('Lab Analysis'!I240/60)),"0")</f>
        <v>0</v>
      </c>
      <c r="J240" s="186" t="str">
        <f>IFERROR(('Lab Analysis'!M240/('Lab Analysis'!M240+(1.765*'Lab Analysis'!K240))),"0")</f>
        <v>0</v>
      </c>
      <c r="K240" s="190" t="str">
        <f>IFERROR(((2*('Lab Analysis'!M240/60))+('Lab Analysis'!K240/17))/(('Lab Analysis'!L240/44)+('Lab Analysis'!M240/60)),"0")</f>
        <v>0</v>
      </c>
      <c r="L240" s="190" t="str">
        <f>IFERROR((('Lab Analysis'!N240/18)-('Lab Analysis'!M240/60))/(('Lab Analysis'!L240/44)+('Lab Analysis'!M240/60)),"0")</f>
        <v>0</v>
      </c>
      <c r="M240" s="187" t="str">
        <f>IFERROR(((2*('Lab Analysis'!U240/60))+('Lab Analysis'!S240/17))/(('Lab Analysis'!T240/44)+('Lab Analysis'!U240/60)),"0")</f>
        <v>0</v>
      </c>
      <c r="N240" s="187" t="str">
        <f>IFERROR((('Lab Analysis'!V240/18)-('Lab Analysis'!U240/60))/(('Lab Analysis'!T240/44)+('Lab Analysis'!U240/60)),"0")</f>
        <v>0</v>
      </c>
      <c r="O240" s="187" t="str">
        <f>IFERROR(((2*('Lab Analysis'!Y240/60)+('Lab Analysis'!W240/17))/(('Lab Analysis'!X240/44)+('Lab Analysis'!Y240/60))),"0")</f>
        <v>0</v>
      </c>
      <c r="P240" s="187" t="str">
        <f>IFERROR((('Lab Analysis'!Z240/18)-('Lab Analysis'!Y240/60))/(('Lab Analysis'!X240/44)+('Lab Analysis'!Y240/60)),"0")</f>
        <v>0</v>
      </c>
      <c r="Q240" s="191"/>
    </row>
    <row r="241" spans="1:17">
      <c r="A241" s="185">
        <v>46055</v>
      </c>
      <c r="B241" s="186" t="str">
        <f>IFERROR(('Lab Analysis'!E241/('Lab Analysis'!E241+(1.364*'Lab Analysis'!D241))),"0")</f>
        <v>0</v>
      </c>
      <c r="C241" s="186" t="str">
        <f>IFERROR((2*'Lab Analysis'!E241/60)/('Lab Analysis'!C241/17+(2*'Lab Analysis'!E241/60)),"0")</f>
        <v>0</v>
      </c>
      <c r="D241" s="187" t="str">
        <f>IFERROR(((2*('Lab Analysis'!E241/60)+('Lab Analysis'!C241/17))/(('Lab Analysis'!D241/44)+('Lab Analysis'!E241/60))),"0")</f>
        <v>0</v>
      </c>
      <c r="E241" s="187" t="str">
        <f>IFERROR((('Lab Analysis'!F241/18)-('Lab Analysis'!E241/60))/(('Lab Analysis'!D241/44)+('Lab Analysis'!E241/60)),"0")</f>
        <v>0</v>
      </c>
      <c r="F241" s="187" t="str">
        <f>IFERROR((('Lab Analysis'!F241/18)/('Lab Analysis'!E241/60)),"0")</f>
        <v>0</v>
      </c>
      <c r="G241" s="188" t="str">
        <f>IFERROR(('Lab Analysis'!I241/('Lab Analysis'!I241+(1.765*'Lab Analysis'!G241))),"0")</f>
        <v>0</v>
      </c>
      <c r="H241" s="189" t="str">
        <f>IFERROR(((2*('Lab Analysis'!I241/60))+('Lab Analysis'!G241/17))/(('Lab Analysis'!H241/44)+('Lab Analysis'!I241/60)),"0")</f>
        <v>0</v>
      </c>
      <c r="I241" s="189" t="str">
        <f>IFERROR((('Lab Analysis'!J241/18)-('Lab Analysis'!I241/60))/(('Lab Analysis'!H241/44)+('Lab Analysis'!I241/60)),"0")</f>
        <v>0</v>
      </c>
      <c r="J241" s="186" t="str">
        <f>IFERROR(('Lab Analysis'!M241/('Lab Analysis'!M241+(1.765*'Lab Analysis'!K241))),"0")</f>
        <v>0</v>
      </c>
      <c r="K241" s="190" t="str">
        <f>IFERROR(((2*('Lab Analysis'!M241/60))+('Lab Analysis'!K241/17))/(('Lab Analysis'!L241/44)+('Lab Analysis'!M241/60)),"0")</f>
        <v>0</v>
      </c>
      <c r="L241" s="190" t="str">
        <f>IFERROR((('Lab Analysis'!N241/18)-('Lab Analysis'!M241/60))/(('Lab Analysis'!L241/44)+('Lab Analysis'!M241/60)),"0")</f>
        <v>0</v>
      </c>
      <c r="M241" s="187" t="str">
        <f>IFERROR(((2*('Lab Analysis'!U241/60))+('Lab Analysis'!S241/17))/(('Lab Analysis'!T241/44)+('Lab Analysis'!U241/60)),"0")</f>
        <v>0</v>
      </c>
      <c r="N241" s="187" t="str">
        <f>IFERROR((('Lab Analysis'!V241/18)-('Lab Analysis'!U241/60))/(('Lab Analysis'!T241/44)+('Lab Analysis'!U241/60)),"0")</f>
        <v>0</v>
      </c>
      <c r="O241" s="187" t="str">
        <f>IFERROR(((2*('Lab Analysis'!Y241/60)+('Lab Analysis'!W241/17))/(('Lab Analysis'!X241/44)+('Lab Analysis'!Y241/60))),"0")</f>
        <v>0</v>
      </c>
      <c r="P241" s="187" t="str">
        <f>IFERROR((('Lab Analysis'!Z241/18)-('Lab Analysis'!Y241/60))/(('Lab Analysis'!X241/44)+('Lab Analysis'!Y241/60)),"0")</f>
        <v>0</v>
      </c>
      <c r="Q241" s="191"/>
    </row>
    <row r="242" spans="1:17">
      <c r="A242" s="185">
        <v>46056</v>
      </c>
      <c r="B242" s="186" t="str">
        <f>IFERROR(('Lab Analysis'!E242/('Lab Analysis'!E242+(1.364*'Lab Analysis'!D242))),"0")</f>
        <v>0</v>
      </c>
      <c r="C242" s="186" t="str">
        <f>IFERROR((2*'Lab Analysis'!E242/60)/('Lab Analysis'!C242/17+(2*'Lab Analysis'!E242/60)),"0")</f>
        <v>0</v>
      </c>
      <c r="D242" s="187" t="str">
        <f>IFERROR(((2*('Lab Analysis'!E242/60)+('Lab Analysis'!C242/17))/(('Lab Analysis'!D242/44)+('Lab Analysis'!E242/60))),"0")</f>
        <v>0</v>
      </c>
      <c r="E242" s="187" t="str">
        <f>IFERROR((('Lab Analysis'!F242/18)-('Lab Analysis'!E242/60))/(('Lab Analysis'!D242/44)+('Lab Analysis'!E242/60)),"0")</f>
        <v>0</v>
      </c>
      <c r="F242" s="187" t="str">
        <f>IFERROR((('Lab Analysis'!F242/18)/('Lab Analysis'!E242/60)),"0")</f>
        <v>0</v>
      </c>
      <c r="G242" s="188" t="str">
        <f>IFERROR(('Lab Analysis'!I242/('Lab Analysis'!I242+(1.765*'Lab Analysis'!G242))),"0")</f>
        <v>0</v>
      </c>
      <c r="H242" s="189" t="str">
        <f>IFERROR(((2*('Lab Analysis'!I242/60))+('Lab Analysis'!G242/17))/(('Lab Analysis'!H242/44)+('Lab Analysis'!I242/60)),"0")</f>
        <v>0</v>
      </c>
      <c r="I242" s="189" t="str">
        <f>IFERROR((('Lab Analysis'!J242/18)-('Lab Analysis'!I242/60))/(('Lab Analysis'!H242/44)+('Lab Analysis'!I242/60)),"0")</f>
        <v>0</v>
      </c>
      <c r="J242" s="186" t="str">
        <f>IFERROR(('Lab Analysis'!M242/('Lab Analysis'!M242+(1.765*'Lab Analysis'!K242))),"0")</f>
        <v>0</v>
      </c>
      <c r="K242" s="190" t="str">
        <f>IFERROR(((2*('Lab Analysis'!M242/60))+('Lab Analysis'!K242/17))/(('Lab Analysis'!L242/44)+('Lab Analysis'!M242/60)),"0")</f>
        <v>0</v>
      </c>
      <c r="L242" s="190" t="str">
        <f>IFERROR((('Lab Analysis'!N242/18)-('Lab Analysis'!M242/60))/(('Lab Analysis'!L242/44)+('Lab Analysis'!M242/60)),"0")</f>
        <v>0</v>
      </c>
      <c r="M242" s="187" t="str">
        <f>IFERROR(((2*('Lab Analysis'!U242/60))+('Lab Analysis'!S242/17))/(('Lab Analysis'!T242/44)+('Lab Analysis'!U242/60)),"0")</f>
        <v>0</v>
      </c>
      <c r="N242" s="187" t="str">
        <f>IFERROR((('Lab Analysis'!V242/18)-('Lab Analysis'!U242/60))/(('Lab Analysis'!T242/44)+('Lab Analysis'!U242/60)),"0")</f>
        <v>0</v>
      </c>
      <c r="O242" s="187" t="str">
        <f>IFERROR(((2*('Lab Analysis'!Y242/60)+('Lab Analysis'!W242/17))/(('Lab Analysis'!X242/44)+('Lab Analysis'!Y242/60))),"0")</f>
        <v>0</v>
      </c>
      <c r="P242" s="187" t="str">
        <f>IFERROR((('Lab Analysis'!Z242/18)-('Lab Analysis'!Y242/60))/(('Lab Analysis'!X242/44)+('Lab Analysis'!Y242/60)),"0")</f>
        <v>0</v>
      </c>
      <c r="Q242" s="191"/>
    </row>
    <row r="243" spans="1:17">
      <c r="A243" s="185">
        <v>46057</v>
      </c>
      <c r="B243" s="186" t="str">
        <f>IFERROR(('Lab Analysis'!E243/('Lab Analysis'!E243+(1.364*'Lab Analysis'!D243))),"0")</f>
        <v>0</v>
      </c>
      <c r="C243" s="186" t="str">
        <f>IFERROR((2*'Lab Analysis'!E243/60)/('Lab Analysis'!C243/17+(2*'Lab Analysis'!E243/60)),"0")</f>
        <v>0</v>
      </c>
      <c r="D243" s="187" t="str">
        <f>IFERROR(((2*('Lab Analysis'!E243/60)+('Lab Analysis'!C243/17))/(('Lab Analysis'!D243/44)+('Lab Analysis'!E243/60))),"0")</f>
        <v>0</v>
      </c>
      <c r="E243" s="187" t="str">
        <f>IFERROR((('Lab Analysis'!F243/18)-('Lab Analysis'!E243/60))/(('Lab Analysis'!D243/44)+('Lab Analysis'!E243/60)),"0")</f>
        <v>0</v>
      </c>
      <c r="F243" s="187" t="str">
        <f>IFERROR((('Lab Analysis'!F243/18)/('Lab Analysis'!E243/60)),"0")</f>
        <v>0</v>
      </c>
      <c r="G243" s="188" t="str">
        <f>IFERROR(('Lab Analysis'!I243/('Lab Analysis'!I243+(1.765*'Lab Analysis'!G243))),"0")</f>
        <v>0</v>
      </c>
      <c r="H243" s="189" t="str">
        <f>IFERROR(((2*('Lab Analysis'!I243/60))+('Lab Analysis'!G243/17))/(('Lab Analysis'!H243/44)+('Lab Analysis'!I243/60)),"0")</f>
        <v>0</v>
      </c>
      <c r="I243" s="189" t="str">
        <f>IFERROR((('Lab Analysis'!J243/18)-('Lab Analysis'!I243/60))/(('Lab Analysis'!H243/44)+('Lab Analysis'!I243/60)),"0")</f>
        <v>0</v>
      </c>
      <c r="J243" s="186" t="str">
        <f>IFERROR(('Lab Analysis'!M243/('Lab Analysis'!M243+(1.765*'Lab Analysis'!K243))),"0")</f>
        <v>0</v>
      </c>
      <c r="K243" s="190" t="str">
        <f>IFERROR(((2*('Lab Analysis'!M243/60))+('Lab Analysis'!K243/17))/(('Lab Analysis'!L243/44)+('Lab Analysis'!M243/60)),"0")</f>
        <v>0</v>
      </c>
      <c r="L243" s="190" t="str">
        <f>IFERROR((('Lab Analysis'!N243/18)-('Lab Analysis'!M243/60))/(('Lab Analysis'!L243/44)+('Lab Analysis'!M243/60)),"0")</f>
        <v>0</v>
      </c>
      <c r="M243" s="187" t="str">
        <f>IFERROR(((2*('Lab Analysis'!U243/60))+('Lab Analysis'!S243/17))/(('Lab Analysis'!T243/44)+('Lab Analysis'!U243/60)),"0")</f>
        <v>0</v>
      </c>
      <c r="N243" s="187" t="str">
        <f>IFERROR((('Lab Analysis'!V243/18)-('Lab Analysis'!U243/60))/(('Lab Analysis'!T243/44)+('Lab Analysis'!U243/60)),"0")</f>
        <v>0</v>
      </c>
      <c r="O243" s="187" t="str">
        <f>IFERROR(((2*('Lab Analysis'!Y243/60)+('Lab Analysis'!W243/17))/(('Lab Analysis'!X243/44)+('Lab Analysis'!Y243/60))),"0")</f>
        <v>0</v>
      </c>
      <c r="P243" s="187" t="str">
        <f>IFERROR((('Lab Analysis'!Z243/18)-('Lab Analysis'!Y243/60))/(('Lab Analysis'!X243/44)+('Lab Analysis'!Y243/60)),"0")</f>
        <v>0</v>
      </c>
      <c r="Q243" s="191"/>
    </row>
    <row r="244" spans="1:17">
      <c r="A244" s="185">
        <v>46058</v>
      </c>
      <c r="B244" s="186" t="str">
        <f>IFERROR(('Lab Analysis'!E244/('Lab Analysis'!E244+(1.364*'Lab Analysis'!D244))),"0")</f>
        <v>0</v>
      </c>
      <c r="C244" s="186" t="str">
        <f>IFERROR((2*'Lab Analysis'!E244/60)/('Lab Analysis'!C244/17+(2*'Lab Analysis'!E244/60)),"0")</f>
        <v>0</v>
      </c>
      <c r="D244" s="187" t="str">
        <f>IFERROR(((2*('Lab Analysis'!E244/60)+('Lab Analysis'!C244/17))/(('Lab Analysis'!D244/44)+('Lab Analysis'!E244/60))),"0")</f>
        <v>0</v>
      </c>
      <c r="E244" s="187" t="str">
        <f>IFERROR((('Lab Analysis'!F244/18)-('Lab Analysis'!E244/60))/(('Lab Analysis'!D244/44)+('Lab Analysis'!E244/60)),"0")</f>
        <v>0</v>
      </c>
      <c r="F244" s="187" t="str">
        <f>IFERROR((('Lab Analysis'!F244/18)/('Lab Analysis'!E244/60)),"0")</f>
        <v>0</v>
      </c>
      <c r="G244" s="188" t="str">
        <f>IFERROR(('Lab Analysis'!I244/('Lab Analysis'!I244+(1.765*'Lab Analysis'!G244))),"0")</f>
        <v>0</v>
      </c>
      <c r="H244" s="189" t="str">
        <f>IFERROR(((2*('Lab Analysis'!I244/60))+('Lab Analysis'!G244/17))/(('Lab Analysis'!H244/44)+('Lab Analysis'!I244/60)),"0")</f>
        <v>0</v>
      </c>
      <c r="I244" s="189" t="str">
        <f>IFERROR((('Lab Analysis'!J244/18)-('Lab Analysis'!I244/60))/(('Lab Analysis'!H244/44)+('Lab Analysis'!I244/60)),"0")</f>
        <v>0</v>
      </c>
      <c r="J244" s="186" t="str">
        <f>IFERROR(('Lab Analysis'!M244/('Lab Analysis'!M244+(1.765*'Lab Analysis'!K244))),"0")</f>
        <v>0</v>
      </c>
      <c r="K244" s="190" t="str">
        <f>IFERROR(((2*('Lab Analysis'!M244/60))+('Lab Analysis'!K244/17))/(('Lab Analysis'!L244/44)+('Lab Analysis'!M244/60)),"0")</f>
        <v>0</v>
      </c>
      <c r="L244" s="190" t="str">
        <f>IFERROR((('Lab Analysis'!N244/18)-('Lab Analysis'!M244/60))/(('Lab Analysis'!L244/44)+('Lab Analysis'!M244/60)),"0")</f>
        <v>0</v>
      </c>
      <c r="M244" s="187" t="str">
        <f>IFERROR(((2*('Lab Analysis'!U244/60))+('Lab Analysis'!S244/17))/(('Lab Analysis'!T244/44)+('Lab Analysis'!U244/60)),"0")</f>
        <v>0</v>
      </c>
      <c r="N244" s="187" t="str">
        <f>IFERROR((('Lab Analysis'!V244/18)-('Lab Analysis'!U244/60))/(('Lab Analysis'!T244/44)+('Lab Analysis'!U244/60)),"0")</f>
        <v>0</v>
      </c>
      <c r="O244" s="187" t="str">
        <f>IFERROR(((2*('Lab Analysis'!Y244/60)+('Lab Analysis'!W244/17))/(('Lab Analysis'!X244/44)+('Lab Analysis'!Y244/60))),"0")</f>
        <v>0</v>
      </c>
      <c r="P244" s="187" t="str">
        <f>IFERROR((('Lab Analysis'!Z244/18)-('Lab Analysis'!Y244/60))/(('Lab Analysis'!X244/44)+('Lab Analysis'!Y244/60)),"0")</f>
        <v>0</v>
      </c>
      <c r="Q244" s="191"/>
    </row>
    <row r="245" spans="1:17">
      <c r="A245" s="185">
        <v>46059</v>
      </c>
      <c r="B245" s="186" t="str">
        <f>IFERROR(('Lab Analysis'!E245/('Lab Analysis'!E245+(1.364*'Lab Analysis'!D245))),"0")</f>
        <v>0</v>
      </c>
      <c r="C245" s="186" t="str">
        <f>IFERROR((2*'Lab Analysis'!E245/60)/('Lab Analysis'!C245/17+(2*'Lab Analysis'!E245/60)),"0")</f>
        <v>0</v>
      </c>
      <c r="D245" s="187" t="str">
        <f>IFERROR(((2*('Lab Analysis'!E245/60)+('Lab Analysis'!C245/17))/(('Lab Analysis'!D245/44)+('Lab Analysis'!E245/60))),"0")</f>
        <v>0</v>
      </c>
      <c r="E245" s="187" t="str">
        <f>IFERROR((('Lab Analysis'!F245/18)-('Lab Analysis'!E245/60))/(('Lab Analysis'!D245/44)+('Lab Analysis'!E245/60)),"0")</f>
        <v>0</v>
      </c>
      <c r="F245" s="187" t="str">
        <f>IFERROR((('Lab Analysis'!F245/18)/('Lab Analysis'!E245/60)),"0")</f>
        <v>0</v>
      </c>
      <c r="G245" s="188" t="str">
        <f>IFERROR(('Lab Analysis'!I245/('Lab Analysis'!I245+(1.765*'Lab Analysis'!G245))),"0")</f>
        <v>0</v>
      </c>
      <c r="H245" s="189" t="str">
        <f>IFERROR(((2*('Lab Analysis'!I245/60))+('Lab Analysis'!G245/17))/(('Lab Analysis'!H245/44)+('Lab Analysis'!I245/60)),"0")</f>
        <v>0</v>
      </c>
      <c r="I245" s="189" t="str">
        <f>IFERROR((('Lab Analysis'!J245/18)-('Lab Analysis'!I245/60))/(('Lab Analysis'!H245/44)+('Lab Analysis'!I245/60)),"0")</f>
        <v>0</v>
      </c>
      <c r="J245" s="186" t="str">
        <f>IFERROR(('Lab Analysis'!M245/('Lab Analysis'!M245+(1.765*'Lab Analysis'!K245))),"0")</f>
        <v>0</v>
      </c>
      <c r="K245" s="190" t="str">
        <f>IFERROR(((2*('Lab Analysis'!M245/60))+('Lab Analysis'!K245/17))/(('Lab Analysis'!L245/44)+('Lab Analysis'!M245/60)),"0")</f>
        <v>0</v>
      </c>
      <c r="L245" s="190" t="str">
        <f>IFERROR((('Lab Analysis'!N245/18)-('Lab Analysis'!M245/60))/(('Lab Analysis'!L245/44)+('Lab Analysis'!M245/60)),"0")</f>
        <v>0</v>
      </c>
      <c r="M245" s="187" t="str">
        <f>IFERROR(((2*('Lab Analysis'!U245/60))+('Lab Analysis'!S245/17))/(('Lab Analysis'!T245/44)+('Lab Analysis'!U245/60)),"0")</f>
        <v>0</v>
      </c>
      <c r="N245" s="187" t="str">
        <f>IFERROR((('Lab Analysis'!V245/18)-('Lab Analysis'!U245/60))/(('Lab Analysis'!T245/44)+('Lab Analysis'!U245/60)),"0")</f>
        <v>0</v>
      </c>
      <c r="O245" s="187" t="str">
        <f>IFERROR(((2*('Lab Analysis'!Y245/60)+('Lab Analysis'!W245/17))/(('Lab Analysis'!X245/44)+('Lab Analysis'!Y245/60))),"0")</f>
        <v>0</v>
      </c>
      <c r="P245" s="187" t="str">
        <f>IFERROR((('Lab Analysis'!Z245/18)-('Lab Analysis'!Y245/60))/(('Lab Analysis'!X245/44)+('Lab Analysis'!Y245/60)),"0")</f>
        <v>0</v>
      </c>
      <c r="Q245" s="191"/>
    </row>
    <row r="246" spans="1:17">
      <c r="A246" s="185">
        <v>46060</v>
      </c>
      <c r="B246" s="186" t="str">
        <f>IFERROR(('Lab Analysis'!E246/('Lab Analysis'!E246+(1.364*'Lab Analysis'!D246))),"0")</f>
        <v>0</v>
      </c>
      <c r="C246" s="186" t="str">
        <f>IFERROR((2*'Lab Analysis'!E246/60)/('Lab Analysis'!C246/17+(2*'Lab Analysis'!E246/60)),"0")</f>
        <v>0</v>
      </c>
      <c r="D246" s="187" t="str">
        <f>IFERROR(((2*('Lab Analysis'!E246/60)+('Lab Analysis'!C246/17))/(('Lab Analysis'!D246/44)+('Lab Analysis'!E246/60))),"0")</f>
        <v>0</v>
      </c>
      <c r="E246" s="187" t="str">
        <f>IFERROR((('Lab Analysis'!F246/18)-('Lab Analysis'!E246/60))/(('Lab Analysis'!D246/44)+('Lab Analysis'!E246/60)),"0")</f>
        <v>0</v>
      </c>
      <c r="F246" s="187" t="str">
        <f>IFERROR((('Lab Analysis'!F246/18)/('Lab Analysis'!E246/60)),"0")</f>
        <v>0</v>
      </c>
      <c r="G246" s="188" t="str">
        <f>IFERROR(('Lab Analysis'!I246/('Lab Analysis'!I246+(1.765*'Lab Analysis'!G246))),"0")</f>
        <v>0</v>
      </c>
      <c r="H246" s="189" t="str">
        <f>IFERROR(((2*('Lab Analysis'!I246/60))+('Lab Analysis'!G246/17))/(('Lab Analysis'!H246/44)+('Lab Analysis'!I246/60)),"0")</f>
        <v>0</v>
      </c>
      <c r="I246" s="189" t="str">
        <f>IFERROR((('Lab Analysis'!J246/18)-('Lab Analysis'!I246/60))/(('Lab Analysis'!H246/44)+('Lab Analysis'!I246/60)),"0")</f>
        <v>0</v>
      </c>
      <c r="J246" s="186" t="str">
        <f>IFERROR(('Lab Analysis'!M246/('Lab Analysis'!M246+(1.765*'Lab Analysis'!K246))),"0")</f>
        <v>0</v>
      </c>
      <c r="K246" s="190" t="str">
        <f>IFERROR(((2*('Lab Analysis'!M246/60))+('Lab Analysis'!K246/17))/(('Lab Analysis'!L246/44)+('Lab Analysis'!M246/60)),"0")</f>
        <v>0</v>
      </c>
      <c r="L246" s="190" t="str">
        <f>IFERROR((('Lab Analysis'!N246/18)-('Lab Analysis'!M246/60))/(('Lab Analysis'!L246/44)+('Lab Analysis'!M246/60)),"0")</f>
        <v>0</v>
      </c>
      <c r="M246" s="187" t="str">
        <f>IFERROR(((2*('Lab Analysis'!U246/60))+('Lab Analysis'!S246/17))/(('Lab Analysis'!T246/44)+('Lab Analysis'!U246/60)),"0")</f>
        <v>0</v>
      </c>
      <c r="N246" s="187" t="str">
        <f>IFERROR((('Lab Analysis'!V246/18)-('Lab Analysis'!U246/60))/(('Lab Analysis'!T246/44)+('Lab Analysis'!U246/60)),"0")</f>
        <v>0</v>
      </c>
      <c r="O246" s="187" t="str">
        <f>IFERROR(((2*('Lab Analysis'!Y246/60)+('Lab Analysis'!W246/17))/(('Lab Analysis'!X246/44)+('Lab Analysis'!Y246/60))),"0")</f>
        <v>0</v>
      </c>
      <c r="P246" s="187" t="str">
        <f>IFERROR((('Lab Analysis'!Z246/18)-('Lab Analysis'!Y246/60))/(('Lab Analysis'!X246/44)+('Lab Analysis'!Y246/60)),"0")</f>
        <v>0</v>
      </c>
      <c r="Q246" s="191"/>
    </row>
    <row r="247" spans="1:17">
      <c r="A247" s="185">
        <v>46061</v>
      </c>
      <c r="B247" s="186" t="str">
        <f>IFERROR(('Lab Analysis'!E247/('Lab Analysis'!E247+(1.364*'Lab Analysis'!D247))),"0")</f>
        <v>0</v>
      </c>
      <c r="C247" s="186" t="str">
        <f>IFERROR((2*'Lab Analysis'!E247/60)/('Lab Analysis'!C247/17+(2*'Lab Analysis'!E247/60)),"0")</f>
        <v>0</v>
      </c>
      <c r="D247" s="187" t="str">
        <f>IFERROR(((2*('Lab Analysis'!E247/60)+('Lab Analysis'!C247/17))/(('Lab Analysis'!D247/44)+('Lab Analysis'!E247/60))),"0")</f>
        <v>0</v>
      </c>
      <c r="E247" s="187" t="str">
        <f>IFERROR((('Lab Analysis'!F247/18)-('Lab Analysis'!E247/60))/(('Lab Analysis'!D247/44)+('Lab Analysis'!E247/60)),"0")</f>
        <v>0</v>
      </c>
      <c r="F247" s="187" t="str">
        <f>IFERROR((('Lab Analysis'!F247/18)/('Lab Analysis'!E247/60)),"0")</f>
        <v>0</v>
      </c>
      <c r="G247" s="188" t="str">
        <f>IFERROR(('Lab Analysis'!I247/('Lab Analysis'!I247+(1.765*'Lab Analysis'!G247))),"0")</f>
        <v>0</v>
      </c>
      <c r="H247" s="189" t="str">
        <f>IFERROR(((2*('Lab Analysis'!I247/60))+('Lab Analysis'!G247/17))/(('Lab Analysis'!H247/44)+('Lab Analysis'!I247/60)),"0")</f>
        <v>0</v>
      </c>
      <c r="I247" s="189" t="str">
        <f>IFERROR((('Lab Analysis'!J247/18)-('Lab Analysis'!I247/60))/(('Lab Analysis'!H247/44)+('Lab Analysis'!I247/60)),"0")</f>
        <v>0</v>
      </c>
      <c r="J247" s="186" t="str">
        <f>IFERROR(('Lab Analysis'!M247/('Lab Analysis'!M247+(1.765*'Lab Analysis'!K247))),"0")</f>
        <v>0</v>
      </c>
      <c r="K247" s="190" t="str">
        <f>IFERROR(((2*('Lab Analysis'!M247/60))+('Lab Analysis'!K247/17))/(('Lab Analysis'!L247/44)+('Lab Analysis'!M247/60)),"0")</f>
        <v>0</v>
      </c>
      <c r="L247" s="190" t="str">
        <f>IFERROR((('Lab Analysis'!N247/18)-('Lab Analysis'!M247/60))/(('Lab Analysis'!L247/44)+('Lab Analysis'!M247/60)),"0")</f>
        <v>0</v>
      </c>
      <c r="M247" s="187" t="str">
        <f>IFERROR(((2*('Lab Analysis'!U247/60))+('Lab Analysis'!S247/17))/(('Lab Analysis'!T247/44)+('Lab Analysis'!U247/60)),"0")</f>
        <v>0</v>
      </c>
      <c r="N247" s="187" t="str">
        <f>IFERROR((('Lab Analysis'!V247/18)-('Lab Analysis'!U247/60))/(('Lab Analysis'!T247/44)+('Lab Analysis'!U247/60)),"0")</f>
        <v>0</v>
      </c>
      <c r="O247" s="187" t="str">
        <f>IFERROR(((2*('Lab Analysis'!Y247/60)+('Lab Analysis'!W247/17))/(('Lab Analysis'!X247/44)+('Lab Analysis'!Y247/60))),"0")</f>
        <v>0</v>
      </c>
      <c r="P247" s="187" t="str">
        <f>IFERROR((('Lab Analysis'!Z247/18)-('Lab Analysis'!Y247/60))/(('Lab Analysis'!X247/44)+('Lab Analysis'!Y247/60)),"0")</f>
        <v>0</v>
      </c>
      <c r="Q247" s="191"/>
    </row>
    <row r="248" spans="1:17">
      <c r="A248" s="185">
        <v>46062</v>
      </c>
      <c r="B248" s="186" t="str">
        <f>IFERROR(('Lab Analysis'!E248/('Lab Analysis'!E248+(1.364*'Lab Analysis'!D248))),"0")</f>
        <v>0</v>
      </c>
      <c r="C248" s="186" t="str">
        <f>IFERROR((2*'Lab Analysis'!E248/60)/('Lab Analysis'!C248/17+(2*'Lab Analysis'!E248/60)),"0")</f>
        <v>0</v>
      </c>
      <c r="D248" s="187" t="str">
        <f>IFERROR(((2*('Lab Analysis'!E248/60)+('Lab Analysis'!C248/17))/(('Lab Analysis'!D248/44)+('Lab Analysis'!E248/60))),"0")</f>
        <v>0</v>
      </c>
      <c r="E248" s="187" t="str">
        <f>IFERROR((('Lab Analysis'!F248/18)-('Lab Analysis'!E248/60))/(('Lab Analysis'!D248/44)+('Lab Analysis'!E248/60)),"0")</f>
        <v>0</v>
      </c>
      <c r="F248" s="187" t="str">
        <f>IFERROR((('Lab Analysis'!F248/18)/('Lab Analysis'!E248/60)),"0")</f>
        <v>0</v>
      </c>
      <c r="G248" s="188" t="str">
        <f>IFERROR(('Lab Analysis'!I248/('Lab Analysis'!I248+(1.765*'Lab Analysis'!G248))),"0")</f>
        <v>0</v>
      </c>
      <c r="H248" s="189" t="str">
        <f>IFERROR(((2*('Lab Analysis'!I248/60))+('Lab Analysis'!G248/17))/(('Lab Analysis'!H248/44)+('Lab Analysis'!I248/60)),"0")</f>
        <v>0</v>
      </c>
      <c r="I248" s="189" t="str">
        <f>IFERROR((('Lab Analysis'!J248/18)-('Lab Analysis'!I248/60))/(('Lab Analysis'!H248/44)+('Lab Analysis'!I248/60)),"0")</f>
        <v>0</v>
      </c>
      <c r="J248" s="186" t="str">
        <f>IFERROR(('Lab Analysis'!M248/('Lab Analysis'!M248+(1.765*'Lab Analysis'!K248))),"0")</f>
        <v>0</v>
      </c>
      <c r="K248" s="190" t="str">
        <f>IFERROR(((2*('Lab Analysis'!M248/60))+('Lab Analysis'!K248/17))/(('Lab Analysis'!L248/44)+('Lab Analysis'!M248/60)),"0")</f>
        <v>0</v>
      </c>
      <c r="L248" s="190" t="str">
        <f>IFERROR((('Lab Analysis'!N248/18)-('Lab Analysis'!M248/60))/(('Lab Analysis'!L248/44)+('Lab Analysis'!M248/60)),"0")</f>
        <v>0</v>
      </c>
      <c r="M248" s="187" t="str">
        <f>IFERROR(((2*('Lab Analysis'!U248/60))+('Lab Analysis'!S248/17))/(('Lab Analysis'!T248/44)+('Lab Analysis'!U248/60)),"0")</f>
        <v>0</v>
      </c>
      <c r="N248" s="187" t="str">
        <f>IFERROR((('Lab Analysis'!V248/18)-('Lab Analysis'!U248/60))/(('Lab Analysis'!T248/44)+('Lab Analysis'!U248/60)),"0")</f>
        <v>0</v>
      </c>
      <c r="O248" s="187" t="str">
        <f>IFERROR(((2*('Lab Analysis'!Y248/60)+('Lab Analysis'!W248/17))/(('Lab Analysis'!X248/44)+('Lab Analysis'!Y248/60))),"0")</f>
        <v>0</v>
      </c>
      <c r="P248" s="187" t="str">
        <f>IFERROR((('Lab Analysis'!Z248/18)-('Lab Analysis'!Y248/60))/(('Lab Analysis'!X248/44)+('Lab Analysis'!Y248/60)),"0")</f>
        <v>0</v>
      </c>
      <c r="Q248" s="191"/>
    </row>
    <row r="249" spans="1:17">
      <c r="A249" s="185">
        <v>46063</v>
      </c>
      <c r="B249" s="186" t="str">
        <f>IFERROR(('Lab Analysis'!E249/('Lab Analysis'!E249+(1.364*'Lab Analysis'!D249))),"0")</f>
        <v>0</v>
      </c>
      <c r="C249" s="186" t="str">
        <f>IFERROR((2*'Lab Analysis'!E249/60)/('Lab Analysis'!C249/17+(2*'Lab Analysis'!E249/60)),"0")</f>
        <v>0</v>
      </c>
      <c r="D249" s="187" t="str">
        <f>IFERROR(((2*('Lab Analysis'!E249/60)+('Lab Analysis'!C249/17))/(('Lab Analysis'!D249/44)+('Lab Analysis'!E249/60))),"0")</f>
        <v>0</v>
      </c>
      <c r="E249" s="187" t="str">
        <f>IFERROR((('Lab Analysis'!F249/18)-('Lab Analysis'!E249/60))/(('Lab Analysis'!D249/44)+('Lab Analysis'!E249/60)),"0")</f>
        <v>0</v>
      </c>
      <c r="F249" s="187" t="str">
        <f>IFERROR((('Lab Analysis'!F249/18)/('Lab Analysis'!E249/60)),"0")</f>
        <v>0</v>
      </c>
      <c r="G249" s="188" t="str">
        <f>IFERROR(('Lab Analysis'!I249/('Lab Analysis'!I249+(1.765*'Lab Analysis'!G249))),"0")</f>
        <v>0</v>
      </c>
      <c r="H249" s="189" t="str">
        <f>IFERROR(((2*('Lab Analysis'!I249/60))+('Lab Analysis'!G249/17))/(('Lab Analysis'!H249/44)+('Lab Analysis'!I249/60)),"0")</f>
        <v>0</v>
      </c>
      <c r="I249" s="189" t="str">
        <f>IFERROR((('Lab Analysis'!J249/18)-('Lab Analysis'!I249/60))/(('Lab Analysis'!H249/44)+('Lab Analysis'!I249/60)),"0")</f>
        <v>0</v>
      </c>
      <c r="J249" s="186" t="str">
        <f>IFERROR(('Lab Analysis'!M249/('Lab Analysis'!M249+(1.765*'Lab Analysis'!K249))),"0")</f>
        <v>0</v>
      </c>
      <c r="K249" s="190" t="str">
        <f>IFERROR(((2*('Lab Analysis'!M249/60))+('Lab Analysis'!K249/17))/(('Lab Analysis'!L249/44)+('Lab Analysis'!M249/60)),"0")</f>
        <v>0</v>
      </c>
      <c r="L249" s="190" t="str">
        <f>IFERROR((('Lab Analysis'!N249/18)-('Lab Analysis'!M249/60))/(('Lab Analysis'!L249/44)+('Lab Analysis'!M249/60)),"0")</f>
        <v>0</v>
      </c>
      <c r="M249" s="187" t="str">
        <f>IFERROR(((2*('Lab Analysis'!U249/60))+('Lab Analysis'!S249/17))/(('Lab Analysis'!T249/44)+('Lab Analysis'!U249/60)),"0")</f>
        <v>0</v>
      </c>
      <c r="N249" s="187" t="str">
        <f>IFERROR((('Lab Analysis'!V249/18)-('Lab Analysis'!U249/60))/(('Lab Analysis'!T249/44)+('Lab Analysis'!U249/60)),"0")</f>
        <v>0</v>
      </c>
      <c r="O249" s="187" t="str">
        <f>IFERROR(((2*('Lab Analysis'!Y249/60)+('Lab Analysis'!W249/17))/(('Lab Analysis'!X249/44)+('Lab Analysis'!Y249/60))),"0")</f>
        <v>0</v>
      </c>
      <c r="P249" s="187" t="str">
        <f>IFERROR((('Lab Analysis'!Z249/18)-('Lab Analysis'!Y249/60))/(('Lab Analysis'!X249/44)+('Lab Analysis'!Y249/60)),"0")</f>
        <v>0</v>
      </c>
      <c r="Q249" s="191"/>
    </row>
    <row r="250" spans="1:17">
      <c r="A250" s="185">
        <v>46064</v>
      </c>
      <c r="B250" s="186" t="str">
        <f>IFERROR(('Lab Analysis'!E250/('Lab Analysis'!E250+(1.364*'Lab Analysis'!D250))),"0")</f>
        <v>0</v>
      </c>
      <c r="C250" s="186" t="str">
        <f>IFERROR((2*'Lab Analysis'!E250/60)/('Lab Analysis'!C250/17+(2*'Lab Analysis'!E250/60)),"0")</f>
        <v>0</v>
      </c>
      <c r="D250" s="187" t="str">
        <f>IFERROR(((2*('Lab Analysis'!E250/60)+('Lab Analysis'!C250/17))/(('Lab Analysis'!D250/44)+('Lab Analysis'!E250/60))),"0")</f>
        <v>0</v>
      </c>
      <c r="E250" s="187" t="str">
        <f>IFERROR((('Lab Analysis'!F250/18)-('Lab Analysis'!E250/60))/(('Lab Analysis'!D250/44)+('Lab Analysis'!E250/60)),"0")</f>
        <v>0</v>
      </c>
      <c r="F250" s="187" t="str">
        <f>IFERROR((('Lab Analysis'!F250/18)/('Lab Analysis'!E250/60)),"0")</f>
        <v>0</v>
      </c>
      <c r="G250" s="188" t="str">
        <f>IFERROR(('Lab Analysis'!I250/('Lab Analysis'!I250+(1.765*'Lab Analysis'!G250))),"0")</f>
        <v>0</v>
      </c>
      <c r="H250" s="189" t="str">
        <f>IFERROR(((2*('Lab Analysis'!I250/60))+('Lab Analysis'!G250/17))/(('Lab Analysis'!H250/44)+('Lab Analysis'!I250/60)),"0")</f>
        <v>0</v>
      </c>
      <c r="I250" s="189" t="str">
        <f>IFERROR((('Lab Analysis'!J250/18)-('Lab Analysis'!I250/60))/(('Lab Analysis'!H250/44)+('Lab Analysis'!I250/60)),"0")</f>
        <v>0</v>
      </c>
      <c r="J250" s="186" t="str">
        <f>IFERROR(('Lab Analysis'!M250/('Lab Analysis'!M250+(1.765*'Lab Analysis'!K250))),"0")</f>
        <v>0</v>
      </c>
      <c r="K250" s="190" t="str">
        <f>IFERROR(((2*('Lab Analysis'!M250/60))+('Lab Analysis'!K250/17))/(('Lab Analysis'!L250/44)+('Lab Analysis'!M250/60)),"0")</f>
        <v>0</v>
      </c>
      <c r="L250" s="190" t="str">
        <f>IFERROR((('Lab Analysis'!N250/18)-('Lab Analysis'!M250/60))/(('Lab Analysis'!L250/44)+('Lab Analysis'!M250/60)),"0")</f>
        <v>0</v>
      </c>
      <c r="M250" s="187" t="str">
        <f>IFERROR(((2*('Lab Analysis'!U250/60))+('Lab Analysis'!S250/17))/(('Lab Analysis'!T250/44)+('Lab Analysis'!U250/60)),"0")</f>
        <v>0</v>
      </c>
      <c r="N250" s="187" t="str">
        <f>IFERROR((('Lab Analysis'!V250/18)-('Lab Analysis'!U250/60))/(('Lab Analysis'!T250/44)+('Lab Analysis'!U250/60)),"0")</f>
        <v>0</v>
      </c>
      <c r="O250" s="187" t="str">
        <f>IFERROR(((2*('Lab Analysis'!Y250/60)+('Lab Analysis'!W250/17))/(('Lab Analysis'!X250/44)+('Lab Analysis'!Y250/60))),"0")</f>
        <v>0</v>
      </c>
      <c r="P250" s="187" t="str">
        <f>IFERROR((('Lab Analysis'!Z250/18)-('Lab Analysis'!Y250/60))/(('Lab Analysis'!X250/44)+('Lab Analysis'!Y250/60)),"0")</f>
        <v>0</v>
      </c>
      <c r="Q250" s="191"/>
    </row>
    <row r="251" spans="1:17">
      <c r="A251" s="185">
        <v>46065</v>
      </c>
      <c r="B251" s="186" t="str">
        <f>IFERROR(('Lab Analysis'!E251/('Lab Analysis'!E251+(1.364*'Lab Analysis'!D251))),"0")</f>
        <v>0</v>
      </c>
      <c r="C251" s="186" t="str">
        <f>IFERROR((2*'Lab Analysis'!E251/60)/('Lab Analysis'!C251/17+(2*'Lab Analysis'!E251/60)),"0")</f>
        <v>0</v>
      </c>
      <c r="D251" s="187" t="str">
        <f>IFERROR(((2*('Lab Analysis'!E251/60)+('Lab Analysis'!C251/17))/(('Lab Analysis'!D251/44)+('Lab Analysis'!E251/60))),"0")</f>
        <v>0</v>
      </c>
      <c r="E251" s="187" t="str">
        <f>IFERROR((('Lab Analysis'!F251/18)-('Lab Analysis'!E251/60))/(('Lab Analysis'!D251/44)+('Lab Analysis'!E251/60)),"0")</f>
        <v>0</v>
      </c>
      <c r="F251" s="187" t="str">
        <f>IFERROR((('Lab Analysis'!F251/18)/('Lab Analysis'!E251/60)),"0")</f>
        <v>0</v>
      </c>
      <c r="G251" s="188" t="str">
        <f>IFERROR(('Lab Analysis'!I251/('Lab Analysis'!I251+(1.765*'Lab Analysis'!G251))),"0")</f>
        <v>0</v>
      </c>
      <c r="H251" s="189" t="str">
        <f>IFERROR(((2*('Lab Analysis'!I251/60))+('Lab Analysis'!G251/17))/(('Lab Analysis'!H251/44)+('Lab Analysis'!I251/60)),"0")</f>
        <v>0</v>
      </c>
      <c r="I251" s="189" t="str">
        <f>IFERROR((('Lab Analysis'!J251/18)-('Lab Analysis'!I251/60))/(('Lab Analysis'!H251/44)+('Lab Analysis'!I251/60)),"0")</f>
        <v>0</v>
      </c>
      <c r="J251" s="186" t="str">
        <f>IFERROR(('Lab Analysis'!M251/('Lab Analysis'!M251+(1.765*'Lab Analysis'!K251))),"0")</f>
        <v>0</v>
      </c>
      <c r="K251" s="190" t="str">
        <f>IFERROR(((2*('Lab Analysis'!M251/60))+('Lab Analysis'!K251/17))/(('Lab Analysis'!L251/44)+('Lab Analysis'!M251/60)),"0")</f>
        <v>0</v>
      </c>
      <c r="L251" s="190" t="str">
        <f>IFERROR((('Lab Analysis'!N251/18)-('Lab Analysis'!M251/60))/(('Lab Analysis'!L251/44)+('Lab Analysis'!M251/60)),"0")</f>
        <v>0</v>
      </c>
      <c r="M251" s="187" t="str">
        <f>IFERROR(((2*('Lab Analysis'!U251/60))+('Lab Analysis'!S251/17))/(('Lab Analysis'!T251/44)+('Lab Analysis'!U251/60)),"0")</f>
        <v>0</v>
      </c>
      <c r="N251" s="187" t="str">
        <f>IFERROR((('Lab Analysis'!V251/18)-('Lab Analysis'!U251/60))/(('Lab Analysis'!T251/44)+('Lab Analysis'!U251/60)),"0")</f>
        <v>0</v>
      </c>
      <c r="O251" s="187" t="str">
        <f>IFERROR(((2*('Lab Analysis'!Y251/60)+('Lab Analysis'!W251/17))/(('Lab Analysis'!X251/44)+('Lab Analysis'!Y251/60))),"0")</f>
        <v>0</v>
      </c>
      <c r="P251" s="187" t="str">
        <f>IFERROR((('Lab Analysis'!Z251/18)-('Lab Analysis'!Y251/60))/(('Lab Analysis'!X251/44)+('Lab Analysis'!Y251/60)),"0")</f>
        <v>0</v>
      </c>
      <c r="Q251" s="191"/>
    </row>
    <row r="252" spans="1:17">
      <c r="A252" s="185">
        <v>46066</v>
      </c>
      <c r="B252" s="186" t="str">
        <f>IFERROR(('Lab Analysis'!E252/('Lab Analysis'!E252+(1.364*'Lab Analysis'!D252))),"0")</f>
        <v>0</v>
      </c>
      <c r="C252" s="186" t="str">
        <f>IFERROR((2*'Lab Analysis'!E252/60)/('Lab Analysis'!C252/17+(2*'Lab Analysis'!E252/60)),"0")</f>
        <v>0</v>
      </c>
      <c r="D252" s="187" t="str">
        <f>IFERROR(((2*('Lab Analysis'!E252/60)+('Lab Analysis'!C252/17))/(('Lab Analysis'!D252/44)+('Lab Analysis'!E252/60))),"0")</f>
        <v>0</v>
      </c>
      <c r="E252" s="187" t="str">
        <f>IFERROR((('Lab Analysis'!F252/18)-('Lab Analysis'!E252/60))/(('Lab Analysis'!D252/44)+('Lab Analysis'!E252/60)),"0")</f>
        <v>0</v>
      </c>
      <c r="F252" s="187" t="str">
        <f>IFERROR((('Lab Analysis'!F252/18)/('Lab Analysis'!E252/60)),"0")</f>
        <v>0</v>
      </c>
      <c r="G252" s="188" t="str">
        <f>IFERROR(('Lab Analysis'!I252/('Lab Analysis'!I252+(1.765*'Lab Analysis'!G252))),"0")</f>
        <v>0</v>
      </c>
      <c r="H252" s="189" t="str">
        <f>IFERROR(((2*('Lab Analysis'!I252/60))+('Lab Analysis'!G252/17))/(('Lab Analysis'!H252/44)+('Lab Analysis'!I252/60)),"0")</f>
        <v>0</v>
      </c>
      <c r="I252" s="189" t="str">
        <f>IFERROR((('Lab Analysis'!J252/18)-('Lab Analysis'!I252/60))/(('Lab Analysis'!H252/44)+('Lab Analysis'!I252/60)),"0")</f>
        <v>0</v>
      </c>
      <c r="J252" s="186" t="str">
        <f>IFERROR(('Lab Analysis'!M252/('Lab Analysis'!M252+(1.765*'Lab Analysis'!K252))),"0")</f>
        <v>0</v>
      </c>
      <c r="K252" s="190" t="str">
        <f>IFERROR(((2*('Lab Analysis'!M252/60))+('Lab Analysis'!K252/17))/(('Lab Analysis'!L252/44)+('Lab Analysis'!M252/60)),"0")</f>
        <v>0</v>
      </c>
      <c r="L252" s="190" t="str">
        <f>IFERROR((('Lab Analysis'!N252/18)-('Lab Analysis'!M252/60))/(('Lab Analysis'!L252/44)+('Lab Analysis'!M252/60)),"0")</f>
        <v>0</v>
      </c>
      <c r="M252" s="187" t="str">
        <f>IFERROR(((2*('Lab Analysis'!U252/60))+('Lab Analysis'!S252/17))/(('Lab Analysis'!T252/44)+('Lab Analysis'!U252/60)),"0")</f>
        <v>0</v>
      </c>
      <c r="N252" s="187" t="str">
        <f>IFERROR((('Lab Analysis'!V252/18)-('Lab Analysis'!U252/60))/(('Lab Analysis'!T252/44)+('Lab Analysis'!U252/60)),"0")</f>
        <v>0</v>
      </c>
      <c r="O252" s="187" t="str">
        <f>IFERROR(((2*('Lab Analysis'!Y252/60)+('Lab Analysis'!W252/17))/(('Lab Analysis'!X252/44)+('Lab Analysis'!Y252/60))),"0")</f>
        <v>0</v>
      </c>
      <c r="P252" s="187" t="str">
        <f>IFERROR((('Lab Analysis'!Z252/18)-('Lab Analysis'!Y252/60))/(('Lab Analysis'!X252/44)+('Lab Analysis'!Y252/60)),"0")</f>
        <v>0</v>
      </c>
      <c r="Q252" s="191"/>
    </row>
    <row r="253" spans="1:17">
      <c r="A253" s="185">
        <v>46067</v>
      </c>
      <c r="B253" s="186" t="str">
        <f>IFERROR(('Lab Analysis'!E253/('Lab Analysis'!E253+(1.364*'Lab Analysis'!D253))),"0")</f>
        <v>0</v>
      </c>
      <c r="C253" s="186" t="str">
        <f>IFERROR((2*'Lab Analysis'!E253/60)/('Lab Analysis'!C253/17+(2*'Lab Analysis'!E253/60)),"0")</f>
        <v>0</v>
      </c>
      <c r="D253" s="187" t="str">
        <f>IFERROR(((2*('Lab Analysis'!E253/60)+('Lab Analysis'!C253/17))/(('Lab Analysis'!D253/44)+('Lab Analysis'!E253/60))),"0")</f>
        <v>0</v>
      </c>
      <c r="E253" s="187" t="str">
        <f>IFERROR((('Lab Analysis'!F253/18)-('Lab Analysis'!E253/60))/(('Lab Analysis'!D253/44)+('Lab Analysis'!E253/60)),"0")</f>
        <v>0</v>
      </c>
      <c r="F253" s="187" t="str">
        <f>IFERROR((('Lab Analysis'!F253/18)/('Lab Analysis'!E253/60)),"0")</f>
        <v>0</v>
      </c>
      <c r="G253" s="188" t="str">
        <f>IFERROR(('Lab Analysis'!I253/('Lab Analysis'!I253+(1.765*'Lab Analysis'!G253))),"0")</f>
        <v>0</v>
      </c>
      <c r="H253" s="189" t="str">
        <f>IFERROR(((2*('Lab Analysis'!I253/60))+('Lab Analysis'!G253/17))/(('Lab Analysis'!H253/44)+('Lab Analysis'!I253/60)),"0")</f>
        <v>0</v>
      </c>
      <c r="I253" s="189" t="str">
        <f>IFERROR((('Lab Analysis'!J253/18)-('Lab Analysis'!I253/60))/(('Lab Analysis'!H253/44)+('Lab Analysis'!I253/60)),"0")</f>
        <v>0</v>
      </c>
      <c r="J253" s="186" t="str">
        <f>IFERROR(('Lab Analysis'!M253/('Lab Analysis'!M253+(1.765*'Lab Analysis'!K253))),"0")</f>
        <v>0</v>
      </c>
      <c r="K253" s="190" t="str">
        <f>IFERROR(((2*('Lab Analysis'!M253/60))+('Lab Analysis'!K253/17))/(('Lab Analysis'!L253/44)+('Lab Analysis'!M253/60)),"0")</f>
        <v>0</v>
      </c>
      <c r="L253" s="190" t="str">
        <f>IFERROR((('Lab Analysis'!N253/18)-('Lab Analysis'!M253/60))/(('Lab Analysis'!L253/44)+('Lab Analysis'!M253/60)),"0")</f>
        <v>0</v>
      </c>
      <c r="M253" s="187" t="str">
        <f>IFERROR(((2*('Lab Analysis'!U253/60))+('Lab Analysis'!S253/17))/(('Lab Analysis'!T253/44)+('Lab Analysis'!U253/60)),"0")</f>
        <v>0</v>
      </c>
      <c r="N253" s="187" t="str">
        <f>IFERROR((('Lab Analysis'!V253/18)-('Lab Analysis'!U253/60))/(('Lab Analysis'!T253/44)+('Lab Analysis'!U253/60)),"0")</f>
        <v>0</v>
      </c>
      <c r="O253" s="187" t="str">
        <f>IFERROR(((2*('Lab Analysis'!Y253/60)+('Lab Analysis'!W253/17))/(('Lab Analysis'!X253/44)+('Lab Analysis'!Y253/60))),"0")</f>
        <v>0</v>
      </c>
      <c r="P253" s="187" t="str">
        <f>IFERROR((('Lab Analysis'!Z253/18)-('Lab Analysis'!Y253/60))/(('Lab Analysis'!X253/44)+('Lab Analysis'!Y253/60)),"0")</f>
        <v>0</v>
      </c>
      <c r="Q253" s="191"/>
    </row>
    <row r="254" spans="1:17">
      <c r="A254" s="185">
        <v>46068</v>
      </c>
      <c r="B254" s="186" t="str">
        <f>IFERROR(('Lab Analysis'!E254/('Lab Analysis'!E254+(1.364*'Lab Analysis'!D254))),"0")</f>
        <v>0</v>
      </c>
      <c r="C254" s="186" t="str">
        <f>IFERROR((2*'Lab Analysis'!E254/60)/('Lab Analysis'!C254/17+(2*'Lab Analysis'!E254/60)),"0")</f>
        <v>0</v>
      </c>
      <c r="D254" s="187" t="str">
        <f>IFERROR(((2*('Lab Analysis'!E254/60)+('Lab Analysis'!C254/17))/(('Lab Analysis'!D254/44)+('Lab Analysis'!E254/60))),"0")</f>
        <v>0</v>
      </c>
      <c r="E254" s="187" t="str">
        <f>IFERROR((('Lab Analysis'!F254/18)-('Lab Analysis'!E254/60))/(('Lab Analysis'!D254/44)+('Lab Analysis'!E254/60)),"0")</f>
        <v>0</v>
      </c>
      <c r="F254" s="187" t="str">
        <f>IFERROR((('Lab Analysis'!F254/18)/('Lab Analysis'!E254/60)),"0")</f>
        <v>0</v>
      </c>
      <c r="G254" s="188" t="str">
        <f>IFERROR(('Lab Analysis'!I254/('Lab Analysis'!I254+(1.765*'Lab Analysis'!G254))),"0")</f>
        <v>0</v>
      </c>
      <c r="H254" s="189" t="str">
        <f>IFERROR(((2*('Lab Analysis'!I254/60))+('Lab Analysis'!G254/17))/(('Lab Analysis'!H254/44)+('Lab Analysis'!I254/60)),"0")</f>
        <v>0</v>
      </c>
      <c r="I254" s="189" t="str">
        <f>IFERROR((('Lab Analysis'!J254/18)-('Lab Analysis'!I254/60))/(('Lab Analysis'!H254/44)+('Lab Analysis'!I254/60)),"0")</f>
        <v>0</v>
      </c>
      <c r="J254" s="186" t="str">
        <f>IFERROR(('Lab Analysis'!M254/('Lab Analysis'!M254+(1.765*'Lab Analysis'!K254))),"0")</f>
        <v>0</v>
      </c>
      <c r="K254" s="190" t="str">
        <f>IFERROR(((2*('Lab Analysis'!M254/60))+('Lab Analysis'!K254/17))/(('Lab Analysis'!L254/44)+('Lab Analysis'!M254/60)),"0")</f>
        <v>0</v>
      </c>
      <c r="L254" s="190" t="str">
        <f>IFERROR((('Lab Analysis'!N254/18)-('Lab Analysis'!M254/60))/(('Lab Analysis'!L254/44)+('Lab Analysis'!M254/60)),"0")</f>
        <v>0</v>
      </c>
      <c r="M254" s="187" t="str">
        <f>IFERROR(((2*('Lab Analysis'!U254/60))+('Lab Analysis'!S254/17))/(('Lab Analysis'!T254/44)+('Lab Analysis'!U254/60)),"0")</f>
        <v>0</v>
      </c>
      <c r="N254" s="187" t="str">
        <f>IFERROR((('Lab Analysis'!V254/18)-('Lab Analysis'!U254/60))/(('Lab Analysis'!T254/44)+('Lab Analysis'!U254/60)),"0")</f>
        <v>0</v>
      </c>
      <c r="O254" s="187" t="str">
        <f>IFERROR(((2*('Lab Analysis'!Y254/60)+('Lab Analysis'!W254/17))/(('Lab Analysis'!X254/44)+('Lab Analysis'!Y254/60))),"0")</f>
        <v>0</v>
      </c>
      <c r="P254" s="187" t="str">
        <f>IFERROR((('Lab Analysis'!Z254/18)-('Lab Analysis'!Y254/60))/(('Lab Analysis'!X254/44)+('Lab Analysis'!Y254/60)),"0")</f>
        <v>0</v>
      </c>
      <c r="Q254" s="191"/>
    </row>
    <row r="255" spans="1:17">
      <c r="A255" s="185">
        <v>46069</v>
      </c>
      <c r="B255" s="186" t="str">
        <f>IFERROR(('Lab Analysis'!E255/('Lab Analysis'!E255+(1.364*'Lab Analysis'!D255))),"0")</f>
        <v>0</v>
      </c>
      <c r="C255" s="186" t="str">
        <f>IFERROR((2*'Lab Analysis'!E255/60)/('Lab Analysis'!C255/17+(2*'Lab Analysis'!E255/60)),"0")</f>
        <v>0</v>
      </c>
      <c r="D255" s="187" t="str">
        <f>IFERROR(((2*('Lab Analysis'!E255/60)+('Lab Analysis'!C255/17))/(('Lab Analysis'!D255/44)+('Lab Analysis'!E255/60))),"0")</f>
        <v>0</v>
      </c>
      <c r="E255" s="187" t="str">
        <f>IFERROR((('Lab Analysis'!F255/18)-('Lab Analysis'!E255/60))/(('Lab Analysis'!D255/44)+('Lab Analysis'!E255/60)),"0")</f>
        <v>0</v>
      </c>
      <c r="F255" s="187" t="str">
        <f>IFERROR((('Lab Analysis'!F255/18)/('Lab Analysis'!E255/60)),"0")</f>
        <v>0</v>
      </c>
      <c r="G255" s="188" t="str">
        <f>IFERROR(('Lab Analysis'!I255/('Lab Analysis'!I255+(1.765*'Lab Analysis'!G255))),"0")</f>
        <v>0</v>
      </c>
      <c r="H255" s="189" t="str">
        <f>IFERROR(((2*('Lab Analysis'!I255/60))+('Lab Analysis'!G255/17))/(('Lab Analysis'!H255/44)+('Lab Analysis'!I255/60)),"0")</f>
        <v>0</v>
      </c>
      <c r="I255" s="189" t="str">
        <f>IFERROR((('Lab Analysis'!J255/18)-('Lab Analysis'!I255/60))/(('Lab Analysis'!H255/44)+('Lab Analysis'!I255/60)),"0")</f>
        <v>0</v>
      </c>
      <c r="J255" s="186" t="str">
        <f>IFERROR(('Lab Analysis'!M255/('Lab Analysis'!M255+(1.765*'Lab Analysis'!K255))),"0")</f>
        <v>0</v>
      </c>
      <c r="K255" s="190" t="str">
        <f>IFERROR(((2*('Lab Analysis'!M255/60))+('Lab Analysis'!K255/17))/(('Lab Analysis'!L255/44)+('Lab Analysis'!M255/60)),"0")</f>
        <v>0</v>
      </c>
      <c r="L255" s="190" t="str">
        <f>IFERROR((('Lab Analysis'!N255/18)-('Lab Analysis'!M255/60))/(('Lab Analysis'!L255/44)+('Lab Analysis'!M255/60)),"0")</f>
        <v>0</v>
      </c>
      <c r="M255" s="187" t="str">
        <f>IFERROR(((2*('Lab Analysis'!U255/60))+('Lab Analysis'!S255/17))/(('Lab Analysis'!T255/44)+('Lab Analysis'!U255/60)),"0")</f>
        <v>0</v>
      </c>
      <c r="N255" s="187" t="str">
        <f>IFERROR((('Lab Analysis'!V255/18)-('Lab Analysis'!U255/60))/(('Lab Analysis'!T255/44)+('Lab Analysis'!U255/60)),"0")</f>
        <v>0</v>
      </c>
      <c r="O255" s="187" t="str">
        <f>IFERROR(((2*('Lab Analysis'!Y255/60)+('Lab Analysis'!W255/17))/(('Lab Analysis'!X255/44)+('Lab Analysis'!Y255/60))),"0")</f>
        <v>0</v>
      </c>
      <c r="P255" s="187" t="str">
        <f>IFERROR((('Lab Analysis'!Z255/18)-('Lab Analysis'!Y255/60))/(('Lab Analysis'!X255/44)+('Lab Analysis'!Y255/60)),"0")</f>
        <v>0</v>
      </c>
      <c r="Q255" s="191"/>
    </row>
    <row r="256" spans="1:17">
      <c r="A256" s="185">
        <v>46070</v>
      </c>
      <c r="B256" s="186" t="str">
        <f>IFERROR(('Lab Analysis'!E256/('Lab Analysis'!E256+(1.364*'Lab Analysis'!D256))),"0")</f>
        <v>0</v>
      </c>
      <c r="C256" s="186" t="str">
        <f>IFERROR((2*'Lab Analysis'!E256/60)/('Lab Analysis'!C256/17+(2*'Lab Analysis'!E256/60)),"0")</f>
        <v>0</v>
      </c>
      <c r="D256" s="187" t="str">
        <f>IFERROR(((2*('Lab Analysis'!E256/60)+('Lab Analysis'!C256/17))/(('Lab Analysis'!D256/44)+('Lab Analysis'!E256/60))),"0")</f>
        <v>0</v>
      </c>
      <c r="E256" s="187" t="str">
        <f>IFERROR((('Lab Analysis'!F256/18)-('Lab Analysis'!E256/60))/(('Lab Analysis'!D256/44)+('Lab Analysis'!E256/60)),"0")</f>
        <v>0</v>
      </c>
      <c r="F256" s="187" t="str">
        <f>IFERROR((('Lab Analysis'!F256/18)/('Lab Analysis'!E256/60)),"0")</f>
        <v>0</v>
      </c>
      <c r="G256" s="188" t="str">
        <f>IFERROR(('Lab Analysis'!I256/('Lab Analysis'!I256+(1.765*'Lab Analysis'!G256))),"0")</f>
        <v>0</v>
      </c>
      <c r="H256" s="189" t="str">
        <f>IFERROR(((2*('Lab Analysis'!I256/60))+('Lab Analysis'!G256/17))/(('Lab Analysis'!H256/44)+('Lab Analysis'!I256/60)),"0")</f>
        <v>0</v>
      </c>
      <c r="I256" s="189" t="str">
        <f>IFERROR((('Lab Analysis'!J256/18)-('Lab Analysis'!I256/60))/(('Lab Analysis'!H256/44)+('Lab Analysis'!I256/60)),"0")</f>
        <v>0</v>
      </c>
      <c r="J256" s="186" t="str">
        <f>IFERROR(('Lab Analysis'!M256/('Lab Analysis'!M256+(1.765*'Lab Analysis'!K256))),"0")</f>
        <v>0</v>
      </c>
      <c r="K256" s="190" t="str">
        <f>IFERROR(((2*('Lab Analysis'!M256/60))+('Lab Analysis'!K256/17))/(('Lab Analysis'!L256/44)+('Lab Analysis'!M256/60)),"0")</f>
        <v>0</v>
      </c>
      <c r="L256" s="190" t="str">
        <f>IFERROR((('Lab Analysis'!N256/18)-('Lab Analysis'!M256/60))/(('Lab Analysis'!L256/44)+('Lab Analysis'!M256/60)),"0")</f>
        <v>0</v>
      </c>
      <c r="M256" s="187" t="str">
        <f>IFERROR(((2*('Lab Analysis'!U256/60))+('Lab Analysis'!S256/17))/(('Lab Analysis'!T256/44)+('Lab Analysis'!U256/60)),"0")</f>
        <v>0</v>
      </c>
      <c r="N256" s="187" t="str">
        <f>IFERROR((('Lab Analysis'!V256/18)-('Lab Analysis'!U256/60))/(('Lab Analysis'!T256/44)+('Lab Analysis'!U256/60)),"0")</f>
        <v>0</v>
      </c>
      <c r="O256" s="187" t="str">
        <f>IFERROR(((2*('Lab Analysis'!Y256/60)+('Lab Analysis'!W256/17))/(('Lab Analysis'!X256/44)+('Lab Analysis'!Y256/60))),"0")</f>
        <v>0</v>
      </c>
      <c r="P256" s="187" t="str">
        <f>IFERROR((('Lab Analysis'!Z256/18)-('Lab Analysis'!Y256/60))/(('Lab Analysis'!X256/44)+('Lab Analysis'!Y256/60)),"0")</f>
        <v>0</v>
      </c>
      <c r="Q256" s="191"/>
    </row>
    <row r="257" spans="1:17">
      <c r="A257" s="185">
        <v>46071</v>
      </c>
      <c r="B257" s="186" t="str">
        <f>IFERROR(('Lab Analysis'!E257/('Lab Analysis'!E257+(1.364*'Lab Analysis'!D257))),"0")</f>
        <v>0</v>
      </c>
      <c r="C257" s="186" t="str">
        <f>IFERROR((2*'Lab Analysis'!E257/60)/('Lab Analysis'!C257/17+(2*'Lab Analysis'!E257/60)),"0")</f>
        <v>0</v>
      </c>
      <c r="D257" s="187" t="str">
        <f>IFERROR(((2*('Lab Analysis'!E257/60)+('Lab Analysis'!C257/17))/(('Lab Analysis'!D257/44)+('Lab Analysis'!E257/60))),"0")</f>
        <v>0</v>
      </c>
      <c r="E257" s="187" t="str">
        <f>IFERROR((('Lab Analysis'!F257/18)-('Lab Analysis'!E257/60))/(('Lab Analysis'!D257/44)+('Lab Analysis'!E257/60)),"0")</f>
        <v>0</v>
      </c>
      <c r="F257" s="187" t="str">
        <f>IFERROR((('Lab Analysis'!F257/18)/('Lab Analysis'!E257/60)),"0")</f>
        <v>0</v>
      </c>
      <c r="G257" s="188" t="str">
        <f>IFERROR(('Lab Analysis'!I257/('Lab Analysis'!I257+(1.765*'Lab Analysis'!G257))),"0")</f>
        <v>0</v>
      </c>
      <c r="H257" s="189" t="str">
        <f>IFERROR(((2*('Lab Analysis'!I257/60))+('Lab Analysis'!G257/17))/(('Lab Analysis'!H257/44)+('Lab Analysis'!I257/60)),"0")</f>
        <v>0</v>
      </c>
      <c r="I257" s="189" t="str">
        <f>IFERROR((('Lab Analysis'!J257/18)-('Lab Analysis'!I257/60))/(('Lab Analysis'!H257/44)+('Lab Analysis'!I257/60)),"0")</f>
        <v>0</v>
      </c>
      <c r="J257" s="186" t="str">
        <f>IFERROR(('Lab Analysis'!M257/('Lab Analysis'!M257+(1.765*'Lab Analysis'!K257))),"0")</f>
        <v>0</v>
      </c>
      <c r="K257" s="190" t="str">
        <f>IFERROR(((2*('Lab Analysis'!M257/60))+('Lab Analysis'!K257/17))/(('Lab Analysis'!L257/44)+('Lab Analysis'!M257/60)),"0")</f>
        <v>0</v>
      </c>
      <c r="L257" s="190" t="str">
        <f>IFERROR((('Lab Analysis'!N257/18)-('Lab Analysis'!M257/60))/(('Lab Analysis'!L257/44)+('Lab Analysis'!M257/60)),"0")</f>
        <v>0</v>
      </c>
      <c r="M257" s="187" t="str">
        <f>IFERROR(((2*('Lab Analysis'!U257/60))+('Lab Analysis'!S257/17))/(('Lab Analysis'!T257/44)+('Lab Analysis'!U257/60)),"0")</f>
        <v>0</v>
      </c>
      <c r="N257" s="187" t="str">
        <f>IFERROR((('Lab Analysis'!V257/18)-('Lab Analysis'!U257/60))/(('Lab Analysis'!T257/44)+('Lab Analysis'!U257/60)),"0")</f>
        <v>0</v>
      </c>
      <c r="O257" s="187" t="str">
        <f>IFERROR(((2*('Lab Analysis'!Y257/60)+('Lab Analysis'!W257/17))/(('Lab Analysis'!X257/44)+('Lab Analysis'!Y257/60))),"0")</f>
        <v>0</v>
      </c>
      <c r="P257" s="187" t="str">
        <f>IFERROR((('Lab Analysis'!Z257/18)-('Lab Analysis'!Y257/60))/(('Lab Analysis'!X257/44)+('Lab Analysis'!Y257/60)),"0")</f>
        <v>0</v>
      </c>
      <c r="Q257" s="191"/>
    </row>
    <row r="258" spans="1:17">
      <c r="A258" s="185">
        <v>46072</v>
      </c>
      <c r="B258" s="186" t="str">
        <f>IFERROR(('Lab Analysis'!E258/('Lab Analysis'!E258+(1.364*'Lab Analysis'!D258))),"0")</f>
        <v>0</v>
      </c>
      <c r="C258" s="186" t="str">
        <f>IFERROR((2*'Lab Analysis'!E258/60)/('Lab Analysis'!C258/17+(2*'Lab Analysis'!E258/60)),"0")</f>
        <v>0</v>
      </c>
      <c r="D258" s="187" t="str">
        <f>IFERROR(((2*('Lab Analysis'!E258/60)+('Lab Analysis'!C258/17))/(('Lab Analysis'!D258/44)+('Lab Analysis'!E258/60))),"0")</f>
        <v>0</v>
      </c>
      <c r="E258" s="187" t="str">
        <f>IFERROR((('Lab Analysis'!F258/18)-('Lab Analysis'!E258/60))/(('Lab Analysis'!D258/44)+('Lab Analysis'!E258/60)),"0")</f>
        <v>0</v>
      </c>
      <c r="F258" s="187" t="str">
        <f>IFERROR((('Lab Analysis'!F258/18)/('Lab Analysis'!E258/60)),"0")</f>
        <v>0</v>
      </c>
      <c r="G258" s="188" t="str">
        <f>IFERROR(('Lab Analysis'!I258/('Lab Analysis'!I258+(1.765*'Lab Analysis'!G258))),"0")</f>
        <v>0</v>
      </c>
      <c r="H258" s="189" t="str">
        <f>IFERROR(((2*('Lab Analysis'!I258/60))+('Lab Analysis'!G258/17))/(('Lab Analysis'!H258/44)+('Lab Analysis'!I258/60)),"0")</f>
        <v>0</v>
      </c>
      <c r="I258" s="189" t="str">
        <f>IFERROR((('Lab Analysis'!J258/18)-('Lab Analysis'!I258/60))/(('Lab Analysis'!H258/44)+('Lab Analysis'!I258/60)),"0")</f>
        <v>0</v>
      </c>
      <c r="J258" s="186" t="str">
        <f>IFERROR(('Lab Analysis'!M258/('Lab Analysis'!M258+(1.765*'Lab Analysis'!K258))),"0")</f>
        <v>0</v>
      </c>
      <c r="K258" s="190" t="str">
        <f>IFERROR(((2*('Lab Analysis'!M258/60))+('Lab Analysis'!K258/17))/(('Lab Analysis'!L258/44)+('Lab Analysis'!M258/60)),"0")</f>
        <v>0</v>
      </c>
      <c r="L258" s="190" t="str">
        <f>IFERROR((('Lab Analysis'!N258/18)-('Lab Analysis'!M258/60))/(('Lab Analysis'!L258/44)+('Lab Analysis'!M258/60)),"0")</f>
        <v>0</v>
      </c>
      <c r="M258" s="187" t="str">
        <f>IFERROR(((2*('Lab Analysis'!U258/60))+('Lab Analysis'!S258/17))/(('Lab Analysis'!T258/44)+('Lab Analysis'!U258/60)),"0")</f>
        <v>0</v>
      </c>
      <c r="N258" s="187" t="str">
        <f>IFERROR((('Lab Analysis'!V258/18)-('Lab Analysis'!U258/60))/(('Lab Analysis'!T258/44)+('Lab Analysis'!U258/60)),"0")</f>
        <v>0</v>
      </c>
      <c r="O258" s="187" t="str">
        <f>IFERROR(((2*('Lab Analysis'!Y258/60)+('Lab Analysis'!W258/17))/(('Lab Analysis'!X258/44)+('Lab Analysis'!Y258/60))),"0")</f>
        <v>0</v>
      </c>
      <c r="P258" s="187" t="str">
        <f>IFERROR((('Lab Analysis'!Z258/18)-('Lab Analysis'!Y258/60))/(('Lab Analysis'!X258/44)+('Lab Analysis'!Y258/60)),"0")</f>
        <v>0</v>
      </c>
      <c r="Q258" s="191"/>
    </row>
    <row r="259" spans="1:17">
      <c r="A259" s="185">
        <v>46073</v>
      </c>
      <c r="B259" s="186" t="str">
        <f>IFERROR(('Lab Analysis'!E259/('Lab Analysis'!E259+(1.364*'Lab Analysis'!D259))),"0")</f>
        <v>0</v>
      </c>
      <c r="C259" s="186" t="str">
        <f>IFERROR((2*'Lab Analysis'!E259/60)/('Lab Analysis'!C259/17+(2*'Lab Analysis'!E259/60)),"0")</f>
        <v>0</v>
      </c>
      <c r="D259" s="187" t="str">
        <f>IFERROR(((2*('Lab Analysis'!E259/60)+('Lab Analysis'!C259/17))/(('Lab Analysis'!D259/44)+('Lab Analysis'!E259/60))),"0")</f>
        <v>0</v>
      </c>
      <c r="E259" s="187" t="str">
        <f>IFERROR((('Lab Analysis'!F259/18)-('Lab Analysis'!E259/60))/(('Lab Analysis'!D259/44)+('Lab Analysis'!E259/60)),"0")</f>
        <v>0</v>
      </c>
      <c r="F259" s="187" t="str">
        <f>IFERROR((('Lab Analysis'!F259/18)/('Lab Analysis'!E259/60)),"0")</f>
        <v>0</v>
      </c>
      <c r="G259" s="188" t="str">
        <f>IFERROR(('Lab Analysis'!I259/('Lab Analysis'!I259+(1.765*'Lab Analysis'!G259))),"0")</f>
        <v>0</v>
      </c>
      <c r="H259" s="189" t="str">
        <f>IFERROR(((2*('Lab Analysis'!I259/60))+('Lab Analysis'!G259/17))/(('Lab Analysis'!H259/44)+('Lab Analysis'!I259/60)),"0")</f>
        <v>0</v>
      </c>
      <c r="I259" s="189" t="str">
        <f>IFERROR((('Lab Analysis'!J259/18)-('Lab Analysis'!I259/60))/(('Lab Analysis'!H259/44)+('Lab Analysis'!I259/60)),"0")</f>
        <v>0</v>
      </c>
      <c r="J259" s="186" t="str">
        <f>IFERROR(('Lab Analysis'!M259/('Lab Analysis'!M259+(1.765*'Lab Analysis'!K259))),"0")</f>
        <v>0</v>
      </c>
      <c r="K259" s="190" t="str">
        <f>IFERROR(((2*('Lab Analysis'!M259/60))+('Lab Analysis'!K259/17))/(('Lab Analysis'!L259/44)+('Lab Analysis'!M259/60)),"0")</f>
        <v>0</v>
      </c>
      <c r="L259" s="190" t="str">
        <f>IFERROR((('Lab Analysis'!N259/18)-('Lab Analysis'!M259/60))/(('Lab Analysis'!L259/44)+('Lab Analysis'!M259/60)),"0")</f>
        <v>0</v>
      </c>
      <c r="M259" s="187" t="str">
        <f>IFERROR(((2*('Lab Analysis'!U259/60))+('Lab Analysis'!S259/17))/(('Lab Analysis'!T259/44)+('Lab Analysis'!U259/60)),"0")</f>
        <v>0</v>
      </c>
      <c r="N259" s="187" t="str">
        <f>IFERROR((('Lab Analysis'!V259/18)-('Lab Analysis'!U259/60))/(('Lab Analysis'!T259/44)+('Lab Analysis'!U259/60)),"0")</f>
        <v>0</v>
      </c>
      <c r="O259" s="187" t="str">
        <f>IFERROR(((2*('Lab Analysis'!Y259/60)+('Lab Analysis'!W259/17))/(('Lab Analysis'!X259/44)+('Lab Analysis'!Y259/60))),"0")</f>
        <v>0</v>
      </c>
      <c r="P259" s="187" t="str">
        <f>IFERROR((('Lab Analysis'!Z259/18)-('Lab Analysis'!Y259/60))/(('Lab Analysis'!X259/44)+('Lab Analysis'!Y259/60)),"0")</f>
        <v>0</v>
      </c>
      <c r="Q259" s="191"/>
    </row>
    <row r="260" spans="1:17">
      <c r="A260" s="185">
        <v>46074</v>
      </c>
      <c r="B260" s="186" t="str">
        <f>IFERROR(('Lab Analysis'!E260/('Lab Analysis'!E260+(1.364*'Lab Analysis'!D260))),"0")</f>
        <v>0</v>
      </c>
      <c r="C260" s="186" t="str">
        <f>IFERROR((2*'Lab Analysis'!E260/60)/('Lab Analysis'!C260/17+(2*'Lab Analysis'!E260/60)),"0")</f>
        <v>0</v>
      </c>
      <c r="D260" s="187" t="str">
        <f>IFERROR(((2*('Lab Analysis'!E260/60)+('Lab Analysis'!C260/17))/(('Lab Analysis'!D260/44)+('Lab Analysis'!E260/60))),"0")</f>
        <v>0</v>
      </c>
      <c r="E260" s="187" t="str">
        <f>IFERROR((('Lab Analysis'!F260/18)-('Lab Analysis'!E260/60))/(('Lab Analysis'!D260/44)+('Lab Analysis'!E260/60)),"0")</f>
        <v>0</v>
      </c>
      <c r="F260" s="187" t="str">
        <f>IFERROR((('Lab Analysis'!F260/18)/('Lab Analysis'!E260/60)),"0")</f>
        <v>0</v>
      </c>
      <c r="G260" s="188" t="str">
        <f>IFERROR(('Lab Analysis'!I260/('Lab Analysis'!I260+(1.765*'Lab Analysis'!G260))),"0")</f>
        <v>0</v>
      </c>
      <c r="H260" s="189" t="str">
        <f>IFERROR(((2*('Lab Analysis'!I260/60))+('Lab Analysis'!G260/17))/(('Lab Analysis'!H260/44)+('Lab Analysis'!I260/60)),"0")</f>
        <v>0</v>
      </c>
      <c r="I260" s="189" t="str">
        <f>IFERROR((('Lab Analysis'!J260/18)-('Lab Analysis'!I260/60))/(('Lab Analysis'!H260/44)+('Lab Analysis'!I260/60)),"0")</f>
        <v>0</v>
      </c>
      <c r="J260" s="186" t="str">
        <f>IFERROR(('Lab Analysis'!M260/('Lab Analysis'!M260+(1.765*'Lab Analysis'!K260))),"0")</f>
        <v>0</v>
      </c>
      <c r="K260" s="190" t="str">
        <f>IFERROR(((2*('Lab Analysis'!M260/60))+('Lab Analysis'!K260/17))/(('Lab Analysis'!L260/44)+('Lab Analysis'!M260/60)),"0")</f>
        <v>0</v>
      </c>
      <c r="L260" s="190" t="str">
        <f>IFERROR((('Lab Analysis'!N260/18)-('Lab Analysis'!M260/60))/(('Lab Analysis'!L260/44)+('Lab Analysis'!M260/60)),"0")</f>
        <v>0</v>
      </c>
      <c r="M260" s="187" t="str">
        <f>IFERROR(((2*('Lab Analysis'!U260/60))+('Lab Analysis'!S260/17))/(('Lab Analysis'!T260/44)+('Lab Analysis'!U260/60)),"0")</f>
        <v>0</v>
      </c>
      <c r="N260" s="187" t="str">
        <f>IFERROR((('Lab Analysis'!V260/18)-('Lab Analysis'!U260/60))/(('Lab Analysis'!T260/44)+('Lab Analysis'!U260/60)),"0")</f>
        <v>0</v>
      </c>
      <c r="O260" s="187" t="str">
        <f>IFERROR(((2*('Lab Analysis'!Y260/60)+('Lab Analysis'!W260/17))/(('Lab Analysis'!X260/44)+('Lab Analysis'!Y260/60))),"0")</f>
        <v>0</v>
      </c>
      <c r="P260" s="187" t="str">
        <f>IFERROR((('Lab Analysis'!Z260/18)-('Lab Analysis'!Y260/60))/(('Lab Analysis'!X260/44)+('Lab Analysis'!Y260/60)),"0")</f>
        <v>0</v>
      </c>
      <c r="Q260" s="191"/>
    </row>
    <row r="261" spans="1:17">
      <c r="A261" s="185">
        <v>46075</v>
      </c>
      <c r="B261" s="186" t="str">
        <f>IFERROR(('Lab Analysis'!E261/('Lab Analysis'!E261+(1.364*'Lab Analysis'!D261))),"0")</f>
        <v>0</v>
      </c>
      <c r="C261" s="186" t="str">
        <f>IFERROR((2*'Lab Analysis'!E261/60)/('Lab Analysis'!C261/17+(2*'Lab Analysis'!E261/60)),"0")</f>
        <v>0</v>
      </c>
      <c r="D261" s="187" t="str">
        <f>IFERROR(((2*('Lab Analysis'!E261/60)+('Lab Analysis'!C261/17))/(('Lab Analysis'!D261/44)+('Lab Analysis'!E261/60))),"0")</f>
        <v>0</v>
      </c>
      <c r="E261" s="187" t="str">
        <f>IFERROR((('Lab Analysis'!F261/18)-('Lab Analysis'!E261/60))/(('Lab Analysis'!D261/44)+('Lab Analysis'!E261/60)),"0")</f>
        <v>0</v>
      </c>
      <c r="F261" s="187" t="str">
        <f>IFERROR((('Lab Analysis'!F261/18)/('Lab Analysis'!E261/60)),"0")</f>
        <v>0</v>
      </c>
      <c r="G261" s="188">
        <f>IFERROR(('Lab Analysis'!I261/('Lab Analysis'!I261+(1.765*'Lab Analysis'!G261))),"0")</f>
        <v>0.69332316233339686</v>
      </c>
      <c r="H261" s="189">
        <f>IFERROR(((2*('Lab Analysis'!I261/60))+('Lab Analysis'!G261/17))/(('Lab Analysis'!H261/44)+('Lab Analysis'!I261/60)),"0")</f>
        <v>2.3519390629705739</v>
      </c>
      <c r="I261" s="189">
        <f>IFERROR((('Lab Analysis'!J261/18)-('Lab Analysis'!I261/60))/(('Lab Analysis'!H261/44)+('Lab Analysis'!I261/60)),"0")</f>
        <v>0.87196371306742393</v>
      </c>
      <c r="J261" s="186">
        <f>IFERROR(('Lab Analysis'!M261/('Lab Analysis'!M261+(1.765*'Lab Analysis'!K261))),"0")</f>
        <v>0.8308292620882477</v>
      </c>
      <c r="K261" s="190">
        <f>IFERROR(((2*('Lab Analysis'!M261/60))+('Lab Analysis'!K261/17))/(('Lab Analysis'!L261/44)+('Lab Analysis'!M261/60)),"0")</f>
        <v>2.2589563275284457</v>
      </c>
      <c r="L261" s="190">
        <f>IFERROR((('Lab Analysis'!N261/18)-('Lab Analysis'!M261/60))/(('Lab Analysis'!L261/44)+('Lab Analysis'!M261/60)),"0")</f>
        <v>1.1230260532466794</v>
      </c>
      <c r="M261" s="187" t="str">
        <f>IFERROR(((2*('Lab Analysis'!U261/60))+('Lab Analysis'!S261/17))/(('Lab Analysis'!T261/44)+('Lab Analysis'!U261/60)),"0")</f>
        <v>0</v>
      </c>
      <c r="N261" s="187" t="str">
        <f>IFERROR((('Lab Analysis'!V261/18)-('Lab Analysis'!U261/60))/(('Lab Analysis'!T261/44)+('Lab Analysis'!U261/60)),"0")</f>
        <v>0</v>
      </c>
      <c r="O261" s="187">
        <f>IFERROR(((2*('Lab Analysis'!Y261/60)+('Lab Analysis'!W261/17))/(('Lab Analysis'!X261/44)+('Lab Analysis'!Y261/60))),"0")</f>
        <v>2.3435615704140429</v>
      </c>
      <c r="P261" s="187">
        <f>IFERROR((('Lab Analysis'!Z261/18)-('Lab Analysis'!Y261/60))/(('Lab Analysis'!X261/44)+('Lab Analysis'!Y261/60)),"0")</f>
        <v>2.3024550746646422</v>
      </c>
      <c r="Q261" s="191"/>
    </row>
    <row r="262" spans="1:17">
      <c r="A262" s="185">
        <v>46076</v>
      </c>
      <c r="B262" s="186" t="str">
        <f>IFERROR(('Lab Analysis'!E262/('Lab Analysis'!E262+(1.364*'Lab Analysis'!D262))),"0")</f>
        <v>0</v>
      </c>
      <c r="C262" s="186" t="str">
        <f>IFERROR((2*'Lab Analysis'!E262/60)/('Lab Analysis'!C262/17+(2*'Lab Analysis'!E262/60)),"0")</f>
        <v>0</v>
      </c>
      <c r="D262" s="187" t="str">
        <f>IFERROR(((2*('Lab Analysis'!E262/60)+('Lab Analysis'!C262/17))/(('Lab Analysis'!D262/44)+('Lab Analysis'!E262/60))),"0")</f>
        <v>0</v>
      </c>
      <c r="E262" s="187" t="str">
        <f>IFERROR((('Lab Analysis'!F262/18)-('Lab Analysis'!E262/60))/(('Lab Analysis'!D262/44)+('Lab Analysis'!E262/60)),"0")</f>
        <v>0</v>
      </c>
      <c r="F262" s="187" t="str">
        <f>IFERROR((('Lab Analysis'!F262/18)/('Lab Analysis'!E262/60)),"0")</f>
        <v>0</v>
      </c>
      <c r="G262" s="188">
        <f>IFERROR(('Lab Analysis'!I262/('Lab Analysis'!I262+(1.765*'Lab Analysis'!G262))),"0")</f>
        <v>0.67405586471829182</v>
      </c>
      <c r="H262" s="189">
        <f>IFERROR(((2*('Lab Analysis'!I262/60))+('Lab Analysis'!G262/17))/(('Lab Analysis'!H262/44)+('Lab Analysis'!I262/60)),"0")</f>
        <v>2.3397153920430713</v>
      </c>
      <c r="I262" s="189">
        <f>IFERROR((('Lab Analysis'!J262/18)-('Lab Analysis'!I262/60))/(('Lab Analysis'!H262/44)+('Lab Analysis'!I262/60)),"0")</f>
        <v>0.87282374398938811</v>
      </c>
      <c r="J262" s="186">
        <f>IFERROR(('Lab Analysis'!M262/('Lab Analysis'!M262+(1.765*'Lab Analysis'!K262))),"0")</f>
        <v>0.81347270249168135</v>
      </c>
      <c r="K262" s="190">
        <f>IFERROR(((2*('Lab Analysis'!M262/60))+('Lab Analysis'!K262/17))/(('Lab Analysis'!L262/44)+('Lab Analysis'!M262/60)),"0")</f>
        <v>2.3019286576712066</v>
      </c>
      <c r="L262" s="190">
        <f>IFERROR((('Lab Analysis'!N262/18)-('Lab Analysis'!M262/60))/(('Lab Analysis'!L262/44)+('Lab Analysis'!M262/60)),"0")</f>
        <v>0.88305225463129722</v>
      </c>
      <c r="M262" s="187" t="str">
        <f>IFERROR(((2*('Lab Analysis'!U262/60))+('Lab Analysis'!S262/17))/(('Lab Analysis'!T262/44)+('Lab Analysis'!U262/60)),"0")</f>
        <v>0</v>
      </c>
      <c r="N262" s="187" t="str">
        <f>IFERROR((('Lab Analysis'!V262/18)-('Lab Analysis'!U262/60))/(('Lab Analysis'!T262/44)+('Lab Analysis'!U262/60)),"0")</f>
        <v>0</v>
      </c>
      <c r="O262" s="187">
        <f>IFERROR(((2*('Lab Analysis'!Y262/60)+('Lab Analysis'!W262/17))/(('Lab Analysis'!X262/44)+('Lab Analysis'!Y262/60))),"0")</f>
        <v>2.3976631748589847</v>
      </c>
      <c r="P262" s="187">
        <f>IFERROR((('Lab Analysis'!Z262/18)-('Lab Analysis'!Y262/60))/(('Lab Analysis'!X262/44)+('Lab Analysis'!Y262/60)),"0")</f>
        <v>2.2672501268391678</v>
      </c>
      <c r="Q262" s="191"/>
    </row>
    <row r="263" spans="1:17">
      <c r="A263" s="185">
        <v>46077</v>
      </c>
      <c r="B263" s="186">
        <f>IFERROR(('Lab Analysis'!E263/('Lab Analysis'!E263+(1.364*'Lab Analysis'!D263))),"0")</f>
        <v>0.55504362303997545</v>
      </c>
      <c r="C263" s="186">
        <f>IFERROR((2*'Lab Analysis'!E263/60)/('Lab Analysis'!C263/17+(2*'Lab Analysis'!E263/60)),"0")</f>
        <v>0.38731637405947689</v>
      </c>
      <c r="D263" s="187">
        <f>IFERROR(((2*('Lab Analysis'!E263/60)+('Lab Analysis'!C263/17))/(('Lab Analysis'!D263/44)+('Lab Analysis'!E263/60))),"0")</f>
        <v>2.8664394752812661</v>
      </c>
      <c r="E263" s="187">
        <f>IFERROR((('Lab Analysis'!F263/18)-('Lab Analysis'!E263/60))/(('Lab Analysis'!D263/44)+('Lab Analysis'!E263/60)),"0")</f>
        <v>0.55408244246300353</v>
      </c>
      <c r="F263" s="187">
        <f>IFERROR((('Lab Analysis'!F263/18)/('Lab Analysis'!E263/60)),"0")</f>
        <v>1.9981498612395927</v>
      </c>
      <c r="G263" s="188">
        <f>IFERROR(('Lab Analysis'!I263/('Lab Analysis'!I263+(1.765*'Lab Analysis'!G263))),"0")</f>
        <v>0.62356625020153833</v>
      </c>
      <c r="H263" s="189">
        <f>IFERROR(((2*('Lab Analysis'!I263/60))+('Lab Analysis'!G263/17))/(('Lab Analysis'!H263/44)+('Lab Analysis'!I263/60)),"0")</f>
        <v>2.4294621134721539</v>
      </c>
      <c r="I263" s="189">
        <f>IFERROR((('Lab Analysis'!J263/18)-('Lab Analysis'!I263/60))/(('Lab Analysis'!H263/44)+('Lab Analysis'!I263/60)),"0")</f>
        <v>0.98808259402723908</v>
      </c>
      <c r="J263" s="186" t="str">
        <f>IFERROR(('Lab Analysis'!M263/('Lab Analysis'!M263+(1.765*'Lab Analysis'!K263))),"0")</f>
        <v>0</v>
      </c>
      <c r="K263" s="190" t="str">
        <f>IFERROR(((2*('Lab Analysis'!M263/60))+('Lab Analysis'!K263/17))/(('Lab Analysis'!L263/44)+('Lab Analysis'!M263/60)),"0")</f>
        <v>0</v>
      </c>
      <c r="L263" s="190" t="str">
        <f>IFERROR((('Lab Analysis'!N263/18)-('Lab Analysis'!M263/60))/(('Lab Analysis'!L263/44)+('Lab Analysis'!M263/60)),"0")</f>
        <v>0</v>
      </c>
      <c r="M263" s="187" t="str">
        <f>IFERROR(((2*('Lab Analysis'!U263/60))+('Lab Analysis'!S263/17))/(('Lab Analysis'!T263/44)+('Lab Analysis'!U263/60)),"0")</f>
        <v>0</v>
      </c>
      <c r="N263" s="187" t="str">
        <f>IFERROR((('Lab Analysis'!V263/18)-('Lab Analysis'!U263/60))/(('Lab Analysis'!T263/44)+('Lab Analysis'!U263/60)),"0")</f>
        <v>0</v>
      </c>
      <c r="O263" s="187" t="str">
        <f>IFERROR(((2*('Lab Analysis'!Y263/60)+('Lab Analysis'!W263/17))/(('Lab Analysis'!X263/44)+('Lab Analysis'!Y263/60))),"0")</f>
        <v>0</v>
      </c>
      <c r="P263" s="187" t="str">
        <f>IFERROR((('Lab Analysis'!Z263/18)-('Lab Analysis'!Y263/60))/(('Lab Analysis'!X263/44)+('Lab Analysis'!Y263/60)),"0")</f>
        <v>0</v>
      </c>
      <c r="Q263" s="191"/>
    </row>
    <row r="264" spans="1:17">
      <c r="A264" s="185">
        <v>46078</v>
      </c>
      <c r="B264" s="186" t="str">
        <f>IFERROR(('Lab Analysis'!E264/('Lab Analysis'!E264+(1.364*'Lab Analysis'!D264))),"0")</f>
        <v>0</v>
      </c>
      <c r="C264" s="186" t="str">
        <f>IFERROR((2*'Lab Analysis'!E264/60)/('Lab Analysis'!C264/17+(2*'Lab Analysis'!E264/60)),"0")</f>
        <v>0</v>
      </c>
      <c r="D264" s="187" t="str">
        <f>IFERROR(((2*('Lab Analysis'!E264/60)+('Lab Analysis'!C264/17))/(('Lab Analysis'!D264/44)+('Lab Analysis'!E264/60))),"0")</f>
        <v>0</v>
      </c>
      <c r="E264" s="187" t="str">
        <f>IFERROR((('Lab Analysis'!F264/18)-('Lab Analysis'!E264/60))/(('Lab Analysis'!D264/44)+('Lab Analysis'!E264/60)),"0")</f>
        <v>0</v>
      </c>
      <c r="F264" s="187" t="str">
        <f>IFERROR((('Lab Analysis'!F264/18)/('Lab Analysis'!E264/60)),"0")</f>
        <v>0</v>
      </c>
      <c r="G264" s="188" t="str">
        <f>IFERROR(('Lab Analysis'!I264/('Lab Analysis'!I264+(1.765*'Lab Analysis'!G264))),"0")</f>
        <v>0</v>
      </c>
      <c r="H264" s="189" t="str">
        <f>IFERROR(((2*('Lab Analysis'!I264/60))+('Lab Analysis'!G264/17))/(('Lab Analysis'!H264/44)+('Lab Analysis'!I264/60)),"0")</f>
        <v>0</v>
      </c>
      <c r="I264" s="189" t="str">
        <f>IFERROR((('Lab Analysis'!J264/18)-('Lab Analysis'!I264/60))/(('Lab Analysis'!H264/44)+('Lab Analysis'!I264/60)),"0")</f>
        <v>0</v>
      </c>
      <c r="J264" s="186" t="str">
        <f>IFERROR(('Lab Analysis'!M264/('Lab Analysis'!M264+(1.765*'Lab Analysis'!K264))),"0")</f>
        <v>0</v>
      </c>
      <c r="K264" s="190" t="str">
        <f>IFERROR(((2*('Lab Analysis'!M264/60))+('Lab Analysis'!K264/17))/(('Lab Analysis'!L264/44)+('Lab Analysis'!M264/60)),"0")</f>
        <v>0</v>
      </c>
      <c r="L264" s="190" t="str">
        <f>IFERROR((('Lab Analysis'!N264/18)-('Lab Analysis'!M264/60))/(('Lab Analysis'!L264/44)+('Lab Analysis'!M264/60)),"0")</f>
        <v>0</v>
      </c>
      <c r="M264" s="187" t="str">
        <f>IFERROR(((2*('Lab Analysis'!U264/60))+('Lab Analysis'!S264/17))/(('Lab Analysis'!T264/44)+('Lab Analysis'!U264/60)),"0")</f>
        <v>0</v>
      </c>
      <c r="N264" s="187" t="str">
        <f>IFERROR((('Lab Analysis'!V264/18)-('Lab Analysis'!U264/60))/(('Lab Analysis'!T264/44)+('Lab Analysis'!U264/60)),"0")</f>
        <v>0</v>
      </c>
      <c r="O264" s="187" t="str">
        <f>IFERROR(((2*('Lab Analysis'!Y264/60)+('Lab Analysis'!W264/17))/(('Lab Analysis'!X264/44)+('Lab Analysis'!Y264/60))),"0")</f>
        <v>0</v>
      </c>
      <c r="P264" s="187" t="str">
        <f>IFERROR((('Lab Analysis'!Z264/18)-('Lab Analysis'!Y264/60))/(('Lab Analysis'!X264/44)+('Lab Analysis'!Y264/60)),"0")</f>
        <v>0</v>
      </c>
      <c r="Q264" s="191"/>
    </row>
    <row r="265" spans="1:17">
      <c r="A265" s="185">
        <v>46079</v>
      </c>
      <c r="B265" s="186" t="str">
        <f>IFERROR(('Lab Analysis'!E265/('Lab Analysis'!E265+(1.364*'Lab Analysis'!D265))),"0")</f>
        <v>0</v>
      </c>
      <c r="C265" s="186" t="str">
        <f>IFERROR((2*'Lab Analysis'!E265/60)/('Lab Analysis'!C265/17+(2*'Lab Analysis'!E265/60)),"0")</f>
        <v>0</v>
      </c>
      <c r="D265" s="187" t="str">
        <f>IFERROR(((2*('Lab Analysis'!E265/60)+('Lab Analysis'!C265/17))/(('Lab Analysis'!D265/44)+('Lab Analysis'!E265/60))),"0")</f>
        <v>0</v>
      </c>
      <c r="E265" s="187" t="str">
        <f>IFERROR((('Lab Analysis'!F265/18)-('Lab Analysis'!E265/60))/(('Lab Analysis'!D265/44)+('Lab Analysis'!E265/60)),"0")</f>
        <v>0</v>
      </c>
      <c r="F265" s="187" t="str">
        <f>IFERROR((('Lab Analysis'!F265/18)/('Lab Analysis'!E265/60)),"0")</f>
        <v>0</v>
      </c>
      <c r="G265" s="188" t="str">
        <f>IFERROR(('Lab Analysis'!I265/('Lab Analysis'!I265+(1.765*'Lab Analysis'!G265))),"0")</f>
        <v>0</v>
      </c>
      <c r="H265" s="189" t="str">
        <f>IFERROR(((2*('Lab Analysis'!I265/60))+('Lab Analysis'!G265/17))/(('Lab Analysis'!H265/44)+('Lab Analysis'!I265/60)),"0")</f>
        <v>0</v>
      </c>
      <c r="I265" s="189" t="str">
        <f>IFERROR((('Lab Analysis'!J265/18)-('Lab Analysis'!I265/60))/(('Lab Analysis'!H265/44)+('Lab Analysis'!I265/60)),"0")</f>
        <v>0</v>
      </c>
      <c r="J265" s="186" t="str">
        <f>IFERROR(('Lab Analysis'!M265/('Lab Analysis'!M265+(1.765*'Lab Analysis'!K265))),"0")</f>
        <v>0</v>
      </c>
      <c r="K265" s="190" t="str">
        <f>IFERROR(((2*('Lab Analysis'!M265/60))+('Lab Analysis'!K265/17))/(('Lab Analysis'!L265/44)+('Lab Analysis'!M265/60)),"0")</f>
        <v>0</v>
      </c>
      <c r="L265" s="190" t="str">
        <f>IFERROR((('Lab Analysis'!N265/18)-('Lab Analysis'!M265/60))/(('Lab Analysis'!L265/44)+('Lab Analysis'!M265/60)),"0")</f>
        <v>0</v>
      </c>
      <c r="M265" s="187" t="str">
        <f>IFERROR(((2*('Lab Analysis'!U265/60))+('Lab Analysis'!S265/17))/(('Lab Analysis'!T265/44)+('Lab Analysis'!U265/60)),"0")</f>
        <v>0</v>
      </c>
      <c r="N265" s="187" t="str">
        <f>IFERROR((('Lab Analysis'!V265/18)-('Lab Analysis'!U265/60))/(('Lab Analysis'!T265/44)+('Lab Analysis'!U265/60)),"0")</f>
        <v>0</v>
      </c>
      <c r="O265" s="187" t="str">
        <f>IFERROR(((2*('Lab Analysis'!Y265/60)+('Lab Analysis'!W265/17))/(('Lab Analysis'!X265/44)+('Lab Analysis'!Y265/60))),"0")</f>
        <v>0</v>
      </c>
      <c r="P265" s="187" t="str">
        <f>IFERROR((('Lab Analysis'!Z265/18)-('Lab Analysis'!Y265/60))/(('Lab Analysis'!X265/44)+('Lab Analysis'!Y265/60)),"0")</f>
        <v>0</v>
      </c>
      <c r="Q265" s="191"/>
    </row>
    <row r="266" spans="1:17">
      <c r="A266" s="185">
        <v>46080</v>
      </c>
      <c r="B266" s="186" t="str">
        <f>IFERROR(('Lab Analysis'!E266/('Lab Analysis'!E266+(1.364*'Lab Analysis'!D266))),"0")</f>
        <v>0</v>
      </c>
      <c r="C266" s="186" t="str">
        <f>IFERROR((2*'Lab Analysis'!E266/60)/('Lab Analysis'!C266/17+(2*'Lab Analysis'!E266/60)),"0")</f>
        <v>0</v>
      </c>
      <c r="D266" s="187" t="str">
        <f>IFERROR(((2*('Lab Analysis'!E266/60)+('Lab Analysis'!C266/17))/(('Lab Analysis'!D266/44)+('Lab Analysis'!E266/60))),"0")</f>
        <v>0</v>
      </c>
      <c r="E266" s="187" t="str">
        <f>IFERROR((('Lab Analysis'!F266/18)-('Lab Analysis'!E266/60))/(('Lab Analysis'!D266/44)+('Lab Analysis'!E266/60)),"0")</f>
        <v>0</v>
      </c>
      <c r="F266" s="187" t="str">
        <f>IFERROR((('Lab Analysis'!F266/18)/('Lab Analysis'!E266/60)),"0")</f>
        <v>0</v>
      </c>
      <c r="G266" s="188" t="str">
        <f>IFERROR(('Lab Analysis'!I266/('Lab Analysis'!I266+(1.765*'Lab Analysis'!G266))),"0")</f>
        <v>0</v>
      </c>
      <c r="H266" s="189" t="str">
        <f>IFERROR(((2*('Lab Analysis'!I266/60))+('Lab Analysis'!G266/17))/(('Lab Analysis'!H266/44)+('Lab Analysis'!I266/60)),"0")</f>
        <v>0</v>
      </c>
      <c r="I266" s="189" t="str">
        <f>IFERROR((('Lab Analysis'!J266/18)-('Lab Analysis'!I266/60))/(('Lab Analysis'!H266/44)+('Lab Analysis'!I266/60)),"0")</f>
        <v>0</v>
      </c>
      <c r="J266" s="186" t="str">
        <f>IFERROR(('Lab Analysis'!M266/('Lab Analysis'!M266+(1.765*'Lab Analysis'!K266))),"0")</f>
        <v>0</v>
      </c>
      <c r="K266" s="190" t="str">
        <f>IFERROR(((2*('Lab Analysis'!M266/60))+('Lab Analysis'!K266/17))/(('Lab Analysis'!L266/44)+('Lab Analysis'!M266/60)),"0")</f>
        <v>0</v>
      </c>
      <c r="L266" s="190" t="str">
        <f>IFERROR((('Lab Analysis'!N266/18)-('Lab Analysis'!M266/60))/(('Lab Analysis'!L266/44)+('Lab Analysis'!M266/60)),"0")</f>
        <v>0</v>
      </c>
      <c r="M266" s="187" t="str">
        <f>IFERROR(((2*('Lab Analysis'!U266/60))+('Lab Analysis'!S266/17))/(('Lab Analysis'!T266/44)+('Lab Analysis'!U266/60)),"0")</f>
        <v>0</v>
      </c>
      <c r="N266" s="187" t="str">
        <f>IFERROR((('Lab Analysis'!V266/18)-('Lab Analysis'!U266/60))/(('Lab Analysis'!T266/44)+('Lab Analysis'!U266/60)),"0")</f>
        <v>0</v>
      </c>
      <c r="O266" s="187" t="str">
        <f>IFERROR(((2*('Lab Analysis'!Y266/60)+('Lab Analysis'!W266/17))/(('Lab Analysis'!X266/44)+('Lab Analysis'!Y266/60))),"0")</f>
        <v>0</v>
      </c>
      <c r="P266" s="187" t="str">
        <f>IFERROR((('Lab Analysis'!Z266/18)-('Lab Analysis'!Y266/60))/(('Lab Analysis'!X266/44)+('Lab Analysis'!Y266/60)),"0")</f>
        <v>0</v>
      </c>
      <c r="Q266" s="191"/>
    </row>
    <row r="267" spans="1:17">
      <c r="A267" s="185">
        <v>46081</v>
      </c>
      <c r="B267" s="186" t="str">
        <f>IFERROR(('Lab Analysis'!E267/('Lab Analysis'!E267+(1.364*'Lab Analysis'!D267))),"0")</f>
        <v>0</v>
      </c>
      <c r="C267" s="186" t="str">
        <f>IFERROR((2*'Lab Analysis'!E267/60)/('Lab Analysis'!C267/17+(2*'Lab Analysis'!E267/60)),"0")</f>
        <v>0</v>
      </c>
      <c r="D267" s="187" t="str">
        <f>IFERROR(((2*('Lab Analysis'!E267/60)+('Lab Analysis'!C267/17))/(('Lab Analysis'!D267/44)+('Lab Analysis'!E267/60))),"0")</f>
        <v>0</v>
      </c>
      <c r="E267" s="187" t="str">
        <f>IFERROR((('Lab Analysis'!F267/18)-('Lab Analysis'!E267/60))/(('Lab Analysis'!D267/44)+('Lab Analysis'!E267/60)),"0")</f>
        <v>0</v>
      </c>
      <c r="F267" s="187" t="str">
        <f>IFERROR((('Lab Analysis'!F267/18)/('Lab Analysis'!E267/60)),"0")</f>
        <v>0</v>
      </c>
      <c r="G267" s="188" t="str">
        <f>IFERROR(('Lab Analysis'!I267/('Lab Analysis'!I267+(1.765*'Lab Analysis'!G267))),"0")</f>
        <v>0</v>
      </c>
      <c r="H267" s="189" t="str">
        <f>IFERROR(((2*('Lab Analysis'!I267/60))+('Lab Analysis'!G267/17))/(('Lab Analysis'!H267/44)+('Lab Analysis'!I267/60)),"0")</f>
        <v>0</v>
      </c>
      <c r="I267" s="189" t="str">
        <f>IFERROR((('Lab Analysis'!J267/18)-('Lab Analysis'!I267/60))/(('Lab Analysis'!H267/44)+('Lab Analysis'!I267/60)),"0")</f>
        <v>0</v>
      </c>
      <c r="J267" s="186" t="str">
        <f>IFERROR(('Lab Analysis'!M267/('Lab Analysis'!M267+(1.765*'Lab Analysis'!K267))),"0")</f>
        <v>0</v>
      </c>
      <c r="K267" s="190" t="str">
        <f>IFERROR(((2*('Lab Analysis'!M267/60))+('Lab Analysis'!K267/17))/(('Lab Analysis'!L267/44)+('Lab Analysis'!M267/60)),"0")</f>
        <v>0</v>
      </c>
      <c r="L267" s="190" t="str">
        <f>IFERROR((('Lab Analysis'!N267/18)-('Lab Analysis'!M267/60))/(('Lab Analysis'!L267/44)+('Lab Analysis'!M267/60)),"0")</f>
        <v>0</v>
      </c>
      <c r="M267" s="187" t="str">
        <f>IFERROR(((2*('Lab Analysis'!U267/60))+('Lab Analysis'!S267/17))/(('Lab Analysis'!T267/44)+('Lab Analysis'!U267/60)),"0")</f>
        <v>0</v>
      </c>
      <c r="N267" s="187" t="str">
        <f>IFERROR((('Lab Analysis'!V267/18)-('Lab Analysis'!U267/60))/(('Lab Analysis'!T267/44)+('Lab Analysis'!U267/60)),"0")</f>
        <v>0</v>
      </c>
      <c r="O267" s="187" t="str">
        <f>IFERROR(((2*('Lab Analysis'!Y267/60)+('Lab Analysis'!W267/17))/(('Lab Analysis'!X267/44)+('Lab Analysis'!Y267/60))),"0")</f>
        <v>0</v>
      </c>
      <c r="P267" s="187" t="str">
        <f>IFERROR((('Lab Analysis'!Z267/18)-('Lab Analysis'!Y267/60))/(('Lab Analysis'!X267/44)+('Lab Analysis'!Y267/60)),"0")</f>
        <v>0</v>
      </c>
      <c r="Q267" s="191"/>
    </row>
    <row r="268" spans="1:17">
      <c r="A268" s="185">
        <v>46082</v>
      </c>
      <c r="B268" s="186" t="str">
        <f>IFERROR(('Lab Analysis'!E268/('Lab Analysis'!E268+(1.364*'Lab Analysis'!D268))),"0")</f>
        <v>0</v>
      </c>
      <c r="C268" s="186" t="str">
        <f>IFERROR((2*'Lab Analysis'!E268/60)/('Lab Analysis'!C268/17+(2*'Lab Analysis'!E268/60)),"0")</f>
        <v>0</v>
      </c>
      <c r="D268" s="187" t="str">
        <f>IFERROR(((2*('Lab Analysis'!E268/60)+('Lab Analysis'!C268/17))/(('Lab Analysis'!D268/44)+('Lab Analysis'!E268/60))),"0")</f>
        <v>0</v>
      </c>
      <c r="E268" s="187" t="str">
        <f>IFERROR((('Lab Analysis'!F268/18)-('Lab Analysis'!E268/60))/(('Lab Analysis'!D268/44)+('Lab Analysis'!E268/60)),"0")</f>
        <v>0</v>
      </c>
      <c r="F268" s="187" t="str">
        <f>IFERROR((('Lab Analysis'!F268/18)/('Lab Analysis'!E268/60)),"0")</f>
        <v>0</v>
      </c>
      <c r="G268" s="188">
        <f>IFERROR(('Lab Analysis'!I268/('Lab Analysis'!I268+(1.765*'Lab Analysis'!G268))),"0")</f>
        <v>0.55702749624592651</v>
      </c>
      <c r="H268" s="189">
        <f>IFERROR(((2*('Lab Analysis'!I268/60))+('Lab Analysis'!G268/17))/(('Lab Analysis'!H268/44)+('Lab Analysis'!I268/60)),"0")</f>
        <v>2.6095820823963196</v>
      </c>
      <c r="I268" s="189">
        <f>IFERROR((('Lab Analysis'!J268/18)-('Lab Analysis'!I268/60))/(('Lab Analysis'!H268/44)+('Lab Analysis'!I268/60)),"0")</f>
        <v>1.0206136662569807</v>
      </c>
      <c r="J268" s="186">
        <f>IFERROR(('Lab Analysis'!M268/('Lab Analysis'!M268+(1.765*'Lab Analysis'!K268))),"0")</f>
        <v>0.77976273456300604</v>
      </c>
      <c r="K268" s="190">
        <f>IFERROR(((2*('Lab Analysis'!M268/60))+('Lab Analysis'!K268/17))/(('Lab Analysis'!L268/44)+('Lab Analysis'!M268/60)),"0")</f>
        <v>2.3301134551419329</v>
      </c>
      <c r="L268" s="190">
        <f>IFERROR((('Lab Analysis'!N268/18)-('Lab Analysis'!M268/60))/(('Lab Analysis'!L268/44)+('Lab Analysis'!M268/60)),"0")</f>
        <v>1.2719252947757986</v>
      </c>
      <c r="M268" s="187" t="str">
        <f>IFERROR(((2*('Lab Analysis'!U268/60))+('Lab Analysis'!S268/17))/(('Lab Analysis'!T268/44)+('Lab Analysis'!U268/60)),"0")</f>
        <v>0</v>
      </c>
      <c r="N268" s="187" t="str">
        <f>IFERROR((('Lab Analysis'!V268/18)-('Lab Analysis'!U268/60))/(('Lab Analysis'!T268/44)+('Lab Analysis'!U268/60)),"0")</f>
        <v>0</v>
      </c>
      <c r="O268" s="187">
        <f>IFERROR(((2*('Lab Analysis'!Y268/60)+('Lab Analysis'!W268/17))/(('Lab Analysis'!X268/44)+('Lab Analysis'!Y268/60))),"0")</f>
        <v>3.2454154451886246</v>
      </c>
      <c r="P268" s="187">
        <f>IFERROR((('Lab Analysis'!Z268/18)-('Lab Analysis'!Y268/60))/(('Lab Analysis'!X268/44)+('Lab Analysis'!Y268/60)),"0")</f>
        <v>3.3825633563720148</v>
      </c>
      <c r="Q268" s="191"/>
    </row>
    <row r="269" spans="1:17">
      <c r="A269" s="185">
        <v>46083</v>
      </c>
      <c r="B269" s="186" t="str">
        <f>IFERROR(('Lab Analysis'!E269/('Lab Analysis'!E269+(1.364*'Lab Analysis'!D269))),"0")</f>
        <v>0</v>
      </c>
      <c r="C269" s="186" t="str">
        <f>IFERROR((2*'Lab Analysis'!E269/60)/('Lab Analysis'!C269/17+(2*'Lab Analysis'!E269/60)),"0")</f>
        <v>0</v>
      </c>
      <c r="D269" s="187" t="str">
        <f>IFERROR(((2*('Lab Analysis'!E269/60)+('Lab Analysis'!C269/17))/(('Lab Analysis'!D269/44)+('Lab Analysis'!E269/60))),"0")</f>
        <v>0</v>
      </c>
      <c r="E269" s="187" t="str">
        <f>IFERROR((('Lab Analysis'!F269/18)-('Lab Analysis'!E269/60))/(('Lab Analysis'!D269/44)+('Lab Analysis'!E269/60)),"0")</f>
        <v>0</v>
      </c>
      <c r="F269" s="187" t="str">
        <f>IFERROR((('Lab Analysis'!F269/18)/('Lab Analysis'!E269/60)),"0")</f>
        <v>0</v>
      </c>
      <c r="G269" s="188" t="str">
        <f>IFERROR(('Lab Analysis'!I269/('Lab Analysis'!I269+(1.765*'Lab Analysis'!G269))),"0")</f>
        <v>0</v>
      </c>
      <c r="H269" s="189" t="str">
        <f>IFERROR(((2*('Lab Analysis'!I269/60))+('Lab Analysis'!G269/17))/(('Lab Analysis'!H269/44)+('Lab Analysis'!I269/60)),"0")</f>
        <v>0</v>
      </c>
      <c r="I269" s="189" t="str">
        <f>IFERROR((('Lab Analysis'!J269/18)-('Lab Analysis'!I269/60))/(('Lab Analysis'!H269/44)+('Lab Analysis'!I269/60)),"0")</f>
        <v>0</v>
      </c>
      <c r="J269" s="186" t="str">
        <f>IFERROR(('Lab Analysis'!M269/('Lab Analysis'!M269+(1.765*'Lab Analysis'!K269))),"0")</f>
        <v>0</v>
      </c>
      <c r="K269" s="190" t="str">
        <f>IFERROR(((2*('Lab Analysis'!M269/60))+('Lab Analysis'!K269/17))/(('Lab Analysis'!L269/44)+('Lab Analysis'!M269/60)),"0")</f>
        <v>0</v>
      </c>
      <c r="L269" s="190" t="str">
        <f>IFERROR((('Lab Analysis'!N269/18)-('Lab Analysis'!M269/60))/(('Lab Analysis'!L269/44)+('Lab Analysis'!M269/60)),"0")</f>
        <v>0</v>
      </c>
      <c r="M269" s="187" t="str">
        <f>IFERROR(((2*('Lab Analysis'!U269/60))+('Lab Analysis'!S269/17))/(('Lab Analysis'!T269/44)+('Lab Analysis'!U269/60)),"0")</f>
        <v>0</v>
      </c>
      <c r="N269" s="187" t="str">
        <f>IFERROR((('Lab Analysis'!V269/18)-('Lab Analysis'!U269/60))/(('Lab Analysis'!T269/44)+('Lab Analysis'!U269/60)),"0")</f>
        <v>0</v>
      </c>
      <c r="O269" s="187" t="str">
        <f>IFERROR(((2*('Lab Analysis'!Y269/60)+('Lab Analysis'!W269/17))/(('Lab Analysis'!X269/44)+('Lab Analysis'!Y269/60))),"0")</f>
        <v>0</v>
      </c>
      <c r="P269" s="187" t="str">
        <f>IFERROR((('Lab Analysis'!Z269/18)-('Lab Analysis'!Y269/60))/(('Lab Analysis'!X269/44)+('Lab Analysis'!Y269/60)),"0")</f>
        <v>0</v>
      </c>
      <c r="Q269" s="191"/>
    </row>
    <row r="270" spans="1:17">
      <c r="A270" s="185">
        <v>46084</v>
      </c>
      <c r="B270" s="186" t="str">
        <f>IFERROR(('Lab Analysis'!E270/('Lab Analysis'!E270+(1.364*'Lab Analysis'!D270))),"0")</f>
        <v>0</v>
      </c>
      <c r="C270" s="186" t="str">
        <f>IFERROR((2*'Lab Analysis'!E270/60)/('Lab Analysis'!C270/17+(2*'Lab Analysis'!E270/60)),"0")</f>
        <v>0</v>
      </c>
      <c r="D270" s="187" t="str">
        <f>IFERROR(((2*('Lab Analysis'!E270/60)+('Lab Analysis'!C270/17))/(('Lab Analysis'!D270/44)+('Lab Analysis'!E270/60))),"0")</f>
        <v>0</v>
      </c>
      <c r="E270" s="187" t="str">
        <f>IFERROR((('Lab Analysis'!F270/18)-('Lab Analysis'!E270/60))/(('Lab Analysis'!D270/44)+('Lab Analysis'!E270/60)),"0")</f>
        <v>0</v>
      </c>
      <c r="F270" s="187" t="str">
        <f>IFERROR((('Lab Analysis'!F270/18)/('Lab Analysis'!E270/60)),"0")</f>
        <v>0</v>
      </c>
      <c r="G270" s="188" t="str">
        <f>IFERROR(('Lab Analysis'!I270/('Lab Analysis'!I270+(1.765*'Lab Analysis'!G270))),"0")</f>
        <v>0</v>
      </c>
      <c r="H270" s="189" t="str">
        <f>IFERROR(((2*('Lab Analysis'!I270/60))+('Lab Analysis'!G270/17))/(('Lab Analysis'!H270/44)+('Lab Analysis'!I270/60)),"0")</f>
        <v>0</v>
      </c>
      <c r="I270" s="189" t="str">
        <f>IFERROR((('Lab Analysis'!J270/18)-('Lab Analysis'!I270/60))/(('Lab Analysis'!H270/44)+('Lab Analysis'!I270/60)),"0")</f>
        <v>0</v>
      </c>
      <c r="J270" s="186" t="str">
        <f>IFERROR(('Lab Analysis'!M270/('Lab Analysis'!M270+(1.765*'Lab Analysis'!K270))),"0")</f>
        <v>0</v>
      </c>
      <c r="K270" s="190" t="str">
        <f>IFERROR(((2*('Lab Analysis'!M270/60))+('Lab Analysis'!K270/17))/(('Lab Analysis'!L270/44)+('Lab Analysis'!M270/60)),"0")</f>
        <v>0</v>
      </c>
      <c r="L270" s="190" t="str">
        <f>IFERROR((('Lab Analysis'!N270/18)-('Lab Analysis'!M270/60))/(('Lab Analysis'!L270/44)+('Lab Analysis'!M270/60)),"0")</f>
        <v>0</v>
      </c>
      <c r="M270" s="187" t="str">
        <f>IFERROR(((2*('Lab Analysis'!U270/60))+('Lab Analysis'!S270/17))/(('Lab Analysis'!T270/44)+('Lab Analysis'!U270/60)),"0")</f>
        <v>0</v>
      </c>
      <c r="N270" s="187" t="str">
        <f>IFERROR((('Lab Analysis'!V270/18)-('Lab Analysis'!U270/60))/(('Lab Analysis'!T270/44)+('Lab Analysis'!U270/60)),"0")</f>
        <v>0</v>
      </c>
      <c r="O270" s="187" t="str">
        <f>IFERROR(((2*('Lab Analysis'!Y270/60)+('Lab Analysis'!W270/17))/(('Lab Analysis'!X270/44)+('Lab Analysis'!Y270/60))),"0")</f>
        <v>0</v>
      </c>
      <c r="P270" s="187" t="str">
        <f>IFERROR((('Lab Analysis'!Z270/18)-('Lab Analysis'!Y270/60))/(('Lab Analysis'!X270/44)+('Lab Analysis'!Y270/60)),"0")</f>
        <v>0</v>
      </c>
      <c r="Q270" s="191"/>
    </row>
    <row r="271" spans="1:17">
      <c r="A271" s="185">
        <v>46085</v>
      </c>
      <c r="B271" s="186" t="str">
        <f>IFERROR(('Lab Analysis'!E271/('Lab Analysis'!E271+(1.364*'Lab Analysis'!D271))),"0")</f>
        <v>0</v>
      </c>
      <c r="C271" s="186" t="str">
        <f>IFERROR((2*'Lab Analysis'!E271/60)/('Lab Analysis'!C271/17+(2*'Lab Analysis'!E271/60)),"0")</f>
        <v>0</v>
      </c>
      <c r="D271" s="187" t="str">
        <f>IFERROR(((2*('Lab Analysis'!E271/60)+('Lab Analysis'!C271/17))/(('Lab Analysis'!D271/44)+('Lab Analysis'!E271/60))),"0")</f>
        <v>0</v>
      </c>
      <c r="E271" s="187" t="str">
        <f>IFERROR((('Lab Analysis'!F271/18)-('Lab Analysis'!E271/60))/(('Lab Analysis'!D271/44)+('Lab Analysis'!E271/60)),"0")</f>
        <v>0</v>
      </c>
      <c r="F271" s="187" t="str">
        <f>IFERROR((('Lab Analysis'!F271/18)/('Lab Analysis'!E271/60)),"0")</f>
        <v>0</v>
      </c>
      <c r="G271" s="188" t="str">
        <f>IFERROR(('Lab Analysis'!I271/('Lab Analysis'!I271+(1.765*'Lab Analysis'!G271))),"0")</f>
        <v>0</v>
      </c>
      <c r="H271" s="189" t="str">
        <f>IFERROR(((2*('Lab Analysis'!I271/60))+('Lab Analysis'!G271/17))/(('Lab Analysis'!H271/44)+('Lab Analysis'!I271/60)),"0")</f>
        <v>0</v>
      </c>
      <c r="I271" s="189" t="str">
        <f>IFERROR((('Lab Analysis'!J271/18)-('Lab Analysis'!I271/60))/(('Lab Analysis'!H271/44)+('Lab Analysis'!I271/60)),"0")</f>
        <v>0</v>
      </c>
      <c r="J271" s="186" t="str">
        <f>IFERROR(('Lab Analysis'!M271/('Lab Analysis'!M271+(1.765*'Lab Analysis'!K271))),"0")</f>
        <v>0</v>
      </c>
      <c r="K271" s="190" t="str">
        <f>IFERROR(((2*('Lab Analysis'!M271/60))+('Lab Analysis'!K271/17))/(('Lab Analysis'!L271/44)+('Lab Analysis'!M271/60)),"0")</f>
        <v>0</v>
      </c>
      <c r="L271" s="190" t="str">
        <f>IFERROR((('Lab Analysis'!N271/18)-('Lab Analysis'!M271/60))/(('Lab Analysis'!L271/44)+('Lab Analysis'!M271/60)),"0")</f>
        <v>0</v>
      </c>
      <c r="M271" s="187" t="str">
        <f>IFERROR(((2*('Lab Analysis'!U271/60))+('Lab Analysis'!S271/17))/(('Lab Analysis'!T271/44)+('Lab Analysis'!U271/60)),"0")</f>
        <v>0</v>
      </c>
      <c r="N271" s="187" t="str">
        <f>IFERROR((('Lab Analysis'!V271/18)-('Lab Analysis'!U271/60))/(('Lab Analysis'!T271/44)+('Lab Analysis'!U271/60)),"0")</f>
        <v>0</v>
      </c>
      <c r="O271" s="187" t="str">
        <f>IFERROR(((2*('Lab Analysis'!Y271/60)+('Lab Analysis'!W271/17))/(('Lab Analysis'!X271/44)+('Lab Analysis'!Y271/60))),"0")</f>
        <v>0</v>
      </c>
      <c r="P271" s="187" t="str">
        <f>IFERROR((('Lab Analysis'!Z271/18)-('Lab Analysis'!Y271/60))/(('Lab Analysis'!X271/44)+('Lab Analysis'!Y271/60)),"0")</f>
        <v>0</v>
      </c>
      <c r="Q271" s="191"/>
    </row>
    <row r="272" spans="1:17">
      <c r="A272" s="185">
        <v>46086</v>
      </c>
      <c r="B272" s="186" t="str">
        <f>IFERROR(('Lab Analysis'!E272/('Lab Analysis'!E272+(1.364*'Lab Analysis'!D272))),"0")</f>
        <v>0</v>
      </c>
      <c r="C272" s="186" t="str">
        <f>IFERROR((2*'Lab Analysis'!E272/60)/('Lab Analysis'!C272/17+(2*'Lab Analysis'!E272/60)),"0")</f>
        <v>0</v>
      </c>
      <c r="D272" s="187" t="str">
        <f>IFERROR(((2*('Lab Analysis'!E272/60)+('Lab Analysis'!C272/17))/(('Lab Analysis'!D272/44)+('Lab Analysis'!E272/60))),"0")</f>
        <v>0</v>
      </c>
      <c r="E272" s="187" t="str">
        <f>IFERROR((('Lab Analysis'!F272/18)-('Lab Analysis'!E272/60))/(('Lab Analysis'!D272/44)+('Lab Analysis'!E272/60)),"0")</f>
        <v>0</v>
      </c>
      <c r="F272" s="187" t="str">
        <f>IFERROR((('Lab Analysis'!F272/18)/('Lab Analysis'!E272/60)),"0")</f>
        <v>0</v>
      </c>
      <c r="G272" s="188" t="str">
        <f>IFERROR(('Lab Analysis'!I272/('Lab Analysis'!I272+(1.765*'Lab Analysis'!G272))),"0")</f>
        <v>0</v>
      </c>
      <c r="H272" s="189" t="str">
        <f>IFERROR(((2*('Lab Analysis'!I272/60))+('Lab Analysis'!G272/17))/(('Lab Analysis'!H272/44)+('Lab Analysis'!I272/60)),"0")</f>
        <v>0</v>
      </c>
      <c r="I272" s="189" t="str">
        <f>IFERROR((('Lab Analysis'!J272/18)-('Lab Analysis'!I272/60))/(('Lab Analysis'!H272/44)+('Lab Analysis'!I272/60)),"0")</f>
        <v>0</v>
      </c>
      <c r="J272" s="186" t="str">
        <f>IFERROR(('Lab Analysis'!M272/('Lab Analysis'!M272+(1.765*'Lab Analysis'!K272))),"0")</f>
        <v>0</v>
      </c>
      <c r="K272" s="190" t="str">
        <f>IFERROR(((2*('Lab Analysis'!M272/60))+('Lab Analysis'!K272/17))/(('Lab Analysis'!L272/44)+('Lab Analysis'!M272/60)),"0")</f>
        <v>0</v>
      </c>
      <c r="L272" s="190" t="str">
        <f>IFERROR((('Lab Analysis'!N272/18)-('Lab Analysis'!M272/60))/(('Lab Analysis'!L272/44)+('Lab Analysis'!M272/60)),"0")</f>
        <v>0</v>
      </c>
      <c r="M272" s="187" t="str">
        <f>IFERROR(((2*('Lab Analysis'!U272/60))+('Lab Analysis'!S272/17))/(('Lab Analysis'!T272/44)+('Lab Analysis'!U272/60)),"0")</f>
        <v>0</v>
      </c>
      <c r="N272" s="187" t="str">
        <f>IFERROR((('Lab Analysis'!V272/18)-('Lab Analysis'!U272/60))/(('Lab Analysis'!T272/44)+('Lab Analysis'!U272/60)),"0")</f>
        <v>0</v>
      </c>
      <c r="O272" s="187" t="str">
        <f>IFERROR(((2*('Lab Analysis'!Y272/60)+('Lab Analysis'!W272/17))/(('Lab Analysis'!X272/44)+('Lab Analysis'!Y272/60))),"0")</f>
        <v>0</v>
      </c>
      <c r="P272" s="187" t="str">
        <f>IFERROR((('Lab Analysis'!Z272/18)-('Lab Analysis'!Y272/60))/(('Lab Analysis'!X272/44)+('Lab Analysis'!Y272/60)),"0")</f>
        <v>0</v>
      </c>
      <c r="Q272" s="191"/>
    </row>
    <row r="273" spans="1:17">
      <c r="A273" s="185">
        <v>46087</v>
      </c>
      <c r="B273" s="186" t="str">
        <f>IFERROR(('Lab Analysis'!E273/('Lab Analysis'!E273+(1.364*'Lab Analysis'!D273))),"0")</f>
        <v>0</v>
      </c>
      <c r="C273" s="186" t="str">
        <f>IFERROR((2*'Lab Analysis'!E273/60)/('Lab Analysis'!C273/17+(2*'Lab Analysis'!E273/60)),"0")</f>
        <v>0</v>
      </c>
      <c r="D273" s="187" t="str">
        <f>IFERROR(((2*('Lab Analysis'!E273/60)+('Lab Analysis'!C273/17))/(('Lab Analysis'!D273/44)+('Lab Analysis'!E273/60))),"0")</f>
        <v>0</v>
      </c>
      <c r="E273" s="187" t="str">
        <f>IFERROR((('Lab Analysis'!F273/18)-('Lab Analysis'!E273/60))/(('Lab Analysis'!D273/44)+('Lab Analysis'!E273/60)),"0")</f>
        <v>0</v>
      </c>
      <c r="F273" s="187" t="str">
        <f>IFERROR((('Lab Analysis'!F273/18)/('Lab Analysis'!E273/60)),"0")</f>
        <v>0</v>
      </c>
      <c r="G273" s="188" t="str">
        <f>IFERROR(('Lab Analysis'!I273/('Lab Analysis'!I273+(1.765*'Lab Analysis'!G273))),"0")</f>
        <v>0</v>
      </c>
      <c r="H273" s="189" t="str">
        <f>IFERROR(((2*('Lab Analysis'!I273/60))+('Lab Analysis'!G273/17))/(('Lab Analysis'!H273/44)+('Lab Analysis'!I273/60)),"0")</f>
        <v>0</v>
      </c>
      <c r="I273" s="189" t="str">
        <f>IFERROR((('Lab Analysis'!J273/18)-('Lab Analysis'!I273/60))/(('Lab Analysis'!H273/44)+('Lab Analysis'!I273/60)),"0")</f>
        <v>0</v>
      </c>
      <c r="J273" s="186" t="str">
        <f>IFERROR(('Lab Analysis'!M273/('Lab Analysis'!M273+(1.765*'Lab Analysis'!K273))),"0")</f>
        <v>0</v>
      </c>
      <c r="K273" s="190" t="str">
        <f>IFERROR(((2*('Lab Analysis'!M273/60))+('Lab Analysis'!K273/17))/(('Lab Analysis'!L273/44)+('Lab Analysis'!M273/60)),"0")</f>
        <v>0</v>
      </c>
      <c r="L273" s="190" t="str">
        <f>IFERROR((('Lab Analysis'!N273/18)-('Lab Analysis'!M273/60))/(('Lab Analysis'!L273/44)+('Lab Analysis'!M273/60)),"0")</f>
        <v>0</v>
      </c>
      <c r="M273" s="187" t="str">
        <f>IFERROR(((2*('Lab Analysis'!U273/60))+('Lab Analysis'!S273/17))/(('Lab Analysis'!T273/44)+('Lab Analysis'!U273/60)),"0")</f>
        <v>0</v>
      </c>
      <c r="N273" s="187" t="str">
        <f>IFERROR((('Lab Analysis'!V273/18)-('Lab Analysis'!U273/60))/(('Lab Analysis'!T273/44)+('Lab Analysis'!U273/60)),"0")</f>
        <v>0</v>
      </c>
      <c r="O273" s="187" t="str">
        <f>IFERROR(((2*('Lab Analysis'!Y273/60)+('Lab Analysis'!W273/17))/(('Lab Analysis'!X273/44)+('Lab Analysis'!Y273/60))),"0")</f>
        <v>0</v>
      </c>
      <c r="P273" s="187" t="str">
        <f>IFERROR((('Lab Analysis'!Z273/18)-('Lab Analysis'!Y273/60))/(('Lab Analysis'!X273/44)+('Lab Analysis'!Y273/60)),"0")</f>
        <v>0</v>
      </c>
      <c r="Q273" s="191"/>
    </row>
    <row r="274" spans="1:17">
      <c r="A274" s="185">
        <v>46088</v>
      </c>
      <c r="B274" s="186" t="str">
        <f>IFERROR(('Lab Analysis'!E274/('Lab Analysis'!E274+(1.364*'Lab Analysis'!D274))),"0")</f>
        <v>0</v>
      </c>
      <c r="C274" s="186" t="str">
        <f>IFERROR((2*'Lab Analysis'!E274/60)/('Lab Analysis'!C274/17+(2*'Lab Analysis'!E274/60)),"0")</f>
        <v>0</v>
      </c>
      <c r="D274" s="187" t="str">
        <f>IFERROR(((2*('Lab Analysis'!E274/60)+('Lab Analysis'!C274/17))/(('Lab Analysis'!D274/44)+('Lab Analysis'!E274/60))),"0")</f>
        <v>0</v>
      </c>
      <c r="E274" s="187" t="str">
        <f>IFERROR((('Lab Analysis'!F274/18)-('Lab Analysis'!E274/60))/(('Lab Analysis'!D274/44)+('Lab Analysis'!E274/60)),"0")</f>
        <v>0</v>
      </c>
      <c r="F274" s="187" t="str">
        <f>IFERROR((('Lab Analysis'!F274/18)/('Lab Analysis'!E274/60)),"0")</f>
        <v>0</v>
      </c>
      <c r="G274" s="188" t="str">
        <f>IFERROR(('Lab Analysis'!I274/('Lab Analysis'!I274+(1.765*'Lab Analysis'!G274))),"0")</f>
        <v>0</v>
      </c>
      <c r="H274" s="189" t="str">
        <f>IFERROR(((2*('Lab Analysis'!I274/60))+('Lab Analysis'!G274/17))/(('Lab Analysis'!H274/44)+('Lab Analysis'!I274/60)),"0")</f>
        <v>0</v>
      </c>
      <c r="I274" s="189" t="str">
        <f>IFERROR((('Lab Analysis'!J274/18)-('Lab Analysis'!I274/60))/(('Lab Analysis'!H274/44)+('Lab Analysis'!I274/60)),"0")</f>
        <v>0</v>
      </c>
      <c r="J274" s="186" t="str">
        <f>IFERROR(('Lab Analysis'!M274/('Lab Analysis'!M274+(1.765*'Lab Analysis'!K274))),"0")</f>
        <v>0</v>
      </c>
      <c r="K274" s="190" t="str">
        <f>IFERROR(((2*('Lab Analysis'!M274/60))+('Lab Analysis'!K274/17))/(('Lab Analysis'!L274/44)+('Lab Analysis'!M274/60)),"0")</f>
        <v>0</v>
      </c>
      <c r="L274" s="190" t="str">
        <f>IFERROR((('Lab Analysis'!N274/18)-('Lab Analysis'!M274/60))/(('Lab Analysis'!L274/44)+('Lab Analysis'!M274/60)),"0")</f>
        <v>0</v>
      </c>
      <c r="M274" s="187" t="str">
        <f>IFERROR(((2*('Lab Analysis'!U274/60))+('Lab Analysis'!S274/17))/(('Lab Analysis'!T274/44)+('Lab Analysis'!U274/60)),"0")</f>
        <v>0</v>
      </c>
      <c r="N274" s="187" t="str">
        <f>IFERROR((('Lab Analysis'!V274/18)-('Lab Analysis'!U274/60))/(('Lab Analysis'!T274/44)+('Lab Analysis'!U274/60)),"0")</f>
        <v>0</v>
      </c>
      <c r="O274" s="187" t="str">
        <f>IFERROR(((2*('Lab Analysis'!Y274/60)+('Lab Analysis'!W274/17))/(('Lab Analysis'!X274/44)+('Lab Analysis'!Y274/60))),"0")</f>
        <v>0</v>
      </c>
      <c r="P274" s="187" t="str">
        <f>IFERROR((('Lab Analysis'!Z274/18)-('Lab Analysis'!Y274/60))/(('Lab Analysis'!X274/44)+('Lab Analysis'!Y274/60)),"0")</f>
        <v>0</v>
      </c>
      <c r="Q274" s="191"/>
    </row>
    <row r="275" spans="1:17">
      <c r="A275" s="185">
        <v>46089</v>
      </c>
      <c r="B275" s="186" t="str">
        <f>IFERROR(('Lab Analysis'!E275/('Lab Analysis'!E275+(1.364*'Lab Analysis'!D275))),"0")</f>
        <v>0</v>
      </c>
      <c r="C275" s="186" t="str">
        <f>IFERROR((2*'Lab Analysis'!E275/60)/('Lab Analysis'!C275/17+(2*'Lab Analysis'!E275/60)),"0")</f>
        <v>0</v>
      </c>
      <c r="D275" s="187" t="str">
        <f>IFERROR(((2*('Lab Analysis'!E275/60)+('Lab Analysis'!C275/17))/(('Lab Analysis'!D275/44)+('Lab Analysis'!E275/60))),"0")</f>
        <v>0</v>
      </c>
      <c r="E275" s="187" t="str">
        <f>IFERROR((('Lab Analysis'!F275/18)-('Lab Analysis'!E275/60))/(('Lab Analysis'!D275/44)+('Lab Analysis'!E275/60)),"0")</f>
        <v>0</v>
      </c>
      <c r="F275" s="187" t="str">
        <f>IFERROR((('Lab Analysis'!F275/18)/('Lab Analysis'!E275/60)),"0")</f>
        <v>0</v>
      </c>
      <c r="G275" s="188" t="str">
        <f>IFERROR(('Lab Analysis'!I275/('Lab Analysis'!I275+(1.765*'Lab Analysis'!G275))),"0")</f>
        <v>0</v>
      </c>
      <c r="H275" s="189" t="str">
        <f>IFERROR(((2*('Lab Analysis'!I275/60))+('Lab Analysis'!G275/17))/(('Lab Analysis'!H275/44)+('Lab Analysis'!I275/60)),"0")</f>
        <v>0</v>
      </c>
      <c r="I275" s="189" t="str">
        <f>IFERROR((('Lab Analysis'!J275/18)-('Lab Analysis'!I275/60))/(('Lab Analysis'!H275/44)+('Lab Analysis'!I275/60)),"0")</f>
        <v>0</v>
      </c>
      <c r="J275" s="186" t="str">
        <f>IFERROR(('Lab Analysis'!M275/('Lab Analysis'!M275+(1.765*'Lab Analysis'!K275))),"0")</f>
        <v>0</v>
      </c>
      <c r="K275" s="190" t="str">
        <f>IFERROR(((2*('Lab Analysis'!M275/60))+('Lab Analysis'!K275/17))/(('Lab Analysis'!L275/44)+('Lab Analysis'!M275/60)),"0")</f>
        <v>0</v>
      </c>
      <c r="L275" s="190" t="str">
        <f>IFERROR((('Lab Analysis'!N275/18)-('Lab Analysis'!M275/60))/(('Lab Analysis'!L275/44)+('Lab Analysis'!M275/60)),"0")</f>
        <v>0</v>
      </c>
      <c r="M275" s="187" t="str">
        <f>IFERROR(((2*('Lab Analysis'!U275/60))+('Lab Analysis'!S275/17))/(('Lab Analysis'!T275/44)+('Lab Analysis'!U275/60)),"0")</f>
        <v>0</v>
      </c>
      <c r="N275" s="187" t="str">
        <f>IFERROR((('Lab Analysis'!V275/18)-('Lab Analysis'!U275/60))/(('Lab Analysis'!T275/44)+('Lab Analysis'!U275/60)),"0")</f>
        <v>0</v>
      </c>
      <c r="O275" s="187" t="str">
        <f>IFERROR(((2*('Lab Analysis'!Y275/60)+('Lab Analysis'!W275/17))/(('Lab Analysis'!X275/44)+('Lab Analysis'!Y275/60))),"0")</f>
        <v>0</v>
      </c>
      <c r="P275" s="187" t="str">
        <f>IFERROR((('Lab Analysis'!Z275/18)-('Lab Analysis'!Y275/60))/(('Lab Analysis'!X275/44)+('Lab Analysis'!Y275/60)),"0")</f>
        <v>0</v>
      </c>
      <c r="Q275" s="191"/>
    </row>
    <row r="276" spans="1:17">
      <c r="A276" s="185">
        <v>46090</v>
      </c>
      <c r="B276" s="186" t="str">
        <f>IFERROR(('Lab Analysis'!E276/('Lab Analysis'!E276+(1.364*'Lab Analysis'!D276))),"0")</f>
        <v>0</v>
      </c>
      <c r="C276" s="186" t="str">
        <f>IFERROR((2*'Lab Analysis'!E276/60)/('Lab Analysis'!C276/17+(2*'Lab Analysis'!E276/60)),"0")</f>
        <v>0</v>
      </c>
      <c r="D276" s="187" t="str">
        <f>IFERROR(((2*('Lab Analysis'!E276/60)+('Lab Analysis'!C276/17))/(('Lab Analysis'!D276/44)+('Lab Analysis'!E276/60))),"0")</f>
        <v>0</v>
      </c>
      <c r="E276" s="187" t="str">
        <f>IFERROR((('Lab Analysis'!F276/18)-('Lab Analysis'!E276/60))/(('Lab Analysis'!D276/44)+('Lab Analysis'!E276/60)),"0")</f>
        <v>0</v>
      </c>
      <c r="F276" s="187" t="str">
        <f>IFERROR((('Lab Analysis'!F276/18)/('Lab Analysis'!E276/60)),"0")</f>
        <v>0</v>
      </c>
      <c r="G276" s="188" t="str">
        <f>IFERROR(('Lab Analysis'!I276/('Lab Analysis'!I276+(1.765*'Lab Analysis'!G276))),"0")</f>
        <v>0</v>
      </c>
      <c r="H276" s="189" t="str">
        <f>IFERROR(((2*('Lab Analysis'!I276/60))+('Lab Analysis'!G276/17))/(('Lab Analysis'!H276/44)+('Lab Analysis'!I276/60)),"0")</f>
        <v>0</v>
      </c>
      <c r="I276" s="189" t="str">
        <f>IFERROR((('Lab Analysis'!J276/18)-('Lab Analysis'!I276/60))/(('Lab Analysis'!H276/44)+('Lab Analysis'!I276/60)),"0")</f>
        <v>0</v>
      </c>
      <c r="J276" s="186" t="str">
        <f>IFERROR(('Lab Analysis'!M276/('Lab Analysis'!M276+(1.765*'Lab Analysis'!K276))),"0")</f>
        <v>0</v>
      </c>
      <c r="K276" s="190" t="str">
        <f>IFERROR(((2*('Lab Analysis'!M276/60))+('Lab Analysis'!K276/17))/(('Lab Analysis'!L276/44)+('Lab Analysis'!M276/60)),"0")</f>
        <v>0</v>
      </c>
      <c r="L276" s="190" t="str">
        <f>IFERROR((('Lab Analysis'!N276/18)-('Lab Analysis'!M276/60))/(('Lab Analysis'!L276/44)+('Lab Analysis'!M276/60)),"0")</f>
        <v>0</v>
      </c>
      <c r="M276" s="187" t="str">
        <f>IFERROR(((2*('Lab Analysis'!U276/60))+('Lab Analysis'!S276/17))/(('Lab Analysis'!T276/44)+('Lab Analysis'!U276/60)),"0")</f>
        <v>0</v>
      </c>
      <c r="N276" s="187" t="str">
        <f>IFERROR((('Lab Analysis'!V276/18)-('Lab Analysis'!U276/60))/(('Lab Analysis'!T276/44)+('Lab Analysis'!U276/60)),"0")</f>
        <v>0</v>
      </c>
      <c r="O276" s="187" t="str">
        <f>IFERROR(((2*('Lab Analysis'!Y276/60)+('Lab Analysis'!W276/17))/(('Lab Analysis'!X276/44)+('Lab Analysis'!Y276/60))),"0")</f>
        <v>0</v>
      </c>
      <c r="P276" s="187" t="str">
        <f>IFERROR((('Lab Analysis'!Z276/18)-('Lab Analysis'!Y276/60))/(('Lab Analysis'!X276/44)+('Lab Analysis'!Y276/60)),"0")</f>
        <v>0</v>
      </c>
      <c r="Q276" s="191"/>
    </row>
    <row r="277" spans="1:17">
      <c r="A277" s="185">
        <v>46091</v>
      </c>
      <c r="B277" s="186" t="str">
        <f>IFERROR(('Lab Analysis'!E277/('Lab Analysis'!E277+(1.364*'Lab Analysis'!D277))),"0")</f>
        <v>0</v>
      </c>
      <c r="C277" s="186" t="str">
        <f>IFERROR((2*'Lab Analysis'!E277/60)/('Lab Analysis'!C277/17+(2*'Lab Analysis'!E277/60)),"0")</f>
        <v>0</v>
      </c>
      <c r="D277" s="187" t="str">
        <f>IFERROR(((2*('Lab Analysis'!E277/60)+('Lab Analysis'!C277/17))/(('Lab Analysis'!D277/44)+('Lab Analysis'!E277/60))),"0")</f>
        <v>0</v>
      </c>
      <c r="E277" s="187" t="str">
        <f>IFERROR((('Lab Analysis'!F277/18)-('Lab Analysis'!E277/60))/(('Lab Analysis'!D277/44)+('Lab Analysis'!E277/60)),"0")</f>
        <v>0</v>
      </c>
      <c r="F277" s="187" t="str">
        <f>IFERROR((('Lab Analysis'!F277/18)/('Lab Analysis'!E277/60)),"0")</f>
        <v>0</v>
      </c>
      <c r="G277" s="188" t="str">
        <f>IFERROR(('Lab Analysis'!I277/('Lab Analysis'!I277+(1.765*'Lab Analysis'!G277))),"0")</f>
        <v>0</v>
      </c>
      <c r="H277" s="189" t="str">
        <f>IFERROR(((2*('Lab Analysis'!I277/60))+('Lab Analysis'!G277/17))/(('Lab Analysis'!H277/44)+('Lab Analysis'!I277/60)),"0")</f>
        <v>0</v>
      </c>
      <c r="I277" s="189" t="str">
        <f>IFERROR((('Lab Analysis'!J277/18)-('Lab Analysis'!I277/60))/(('Lab Analysis'!H277/44)+('Lab Analysis'!I277/60)),"0")</f>
        <v>0</v>
      </c>
      <c r="J277" s="186" t="str">
        <f>IFERROR(('Lab Analysis'!M277/('Lab Analysis'!M277+(1.765*'Lab Analysis'!K277))),"0")</f>
        <v>0</v>
      </c>
      <c r="K277" s="190" t="str">
        <f>IFERROR(((2*('Lab Analysis'!M277/60))+('Lab Analysis'!K277/17))/(('Lab Analysis'!L277/44)+('Lab Analysis'!M277/60)),"0")</f>
        <v>0</v>
      </c>
      <c r="L277" s="190" t="str">
        <f>IFERROR((('Lab Analysis'!N277/18)-('Lab Analysis'!M277/60))/(('Lab Analysis'!L277/44)+('Lab Analysis'!M277/60)),"0")</f>
        <v>0</v>
      </c>
      <c r="M277" s="187" t="str">
        <f>IFERROR(((2*('Lab Analysis'!U277/60))+('Lab Analysis'!S277/17))/(('Lab Analysis'!T277/44)+('Lab Analysis'!U277/60)),"0")</f>
        <v>0</v>
      </c>
      <c r="N277" s="187" t="str">
        <f>IFERROR((('Lab Analysis'!V277/18)-('Lab Analysis'!U277/60))/(('Lab Analysis'!T277/44)+('Lab Analysis'!U277/60)),"0")</f>
        <v>0</v>
      </c>
      <c r="O277" s="187" t="str">
        <f>IFERROR(((2*('Lab Analysis'!Y277/60)+('Lab Analysis'!W277/17))/(('Lab Analysis'!X277/44)+('Lab Analysis'!Y277/60))),"0")</f>
        <v>0</v>
      </c>
      <c r="P277" s="187" t="str">
        <f>IFERROR((('Lab Analysis'!Z277/18)-('Lab Analysis'!Y277/60))/(('Lab Analysis'!X277/44)+('Lab Analysis'!Y277/60)),"0")</f>
        <v>0</v>
      </c>
      <c r="Q277" s="191"/>
    </row>
    <row r="278" spans="1:17">
      <c r="A278" s="185">
        <v>46092</v>
      </c>
      <c r="B278" s="186" t="str">
        <f>IFERROR(('Lab Analysis'!E278/('Lab Analysis'!E278+(1.364*'Lab Analysis'!D278))),"0")</f>
        <v>0</v>
      </c>
      <c r="C278" s="186" t="str">
        <f>IFERROR((2*'Lab Analysis'!E278/60)/('Lab Analysis'!C278/17+(2*'Lab Analysis'!E278/60)),"0")</f>
        <v>0</v>
      </c>
      <c r="D278" s="187" t="str">
        <f>IFERROR(((2*('Lab Analysis'!E278/60)+('Lab Analysis'!C278/17))/(('Lab Analysis'!D278/44)+('Lab Analysis'!E278/60))),"0")</f>
        <v>0</v>
      </c>
      <c r="E278" s="187" t="str">
        <f>IFERROR((('Lab Analysis'!F278/18)-('Lab Analysis'!E278/60))/(('Lab Analysis'!D278/44)+('Lab Analysis'!E278/60)),"0")</f>
        <v>0</v>
      </c>
      <c r="F278" s="187" t="str">
        <f>IFERROR((('Lab Analysis'!F278/18)/('Lab Analysis'!E278/60)),"0")</f>
        <v>0</v>
      </c>
      <c r="G278" s="188" t="str">
        <f>IFERROR(('Lab Analysis'!I278/('Lab Analysis'!I278+(1.765*'Lab Analysis'!G278))),"0")</f>
        <v>0</v>
      </c>
      <c r="H278" s="189" t="str">
        <f>IFERROR(((2*('Lab Analysis'!I278/60))+('Lab Analysis'!G278/17))/(('Lab Analysis'!H278/44)+('Lab Analysis'!I278/60)),"0")</f>
        <v>0</v>
      </c>
      <c r="I278" s="189" t="str">
        <f>IFERROR((('Lab Analysis'!J278/18)-('Lab Analysis'!I278/60))/(('Lab Analysis'!H278/44)+('Lab Analysis'!I278/60)),"0")</f>
        <v>0</v>
      </c>
      <c r="J278" s="186" t="str">
        <f>IFERROR(('Lab Analysis'!M278/('Lab Analysis'!M278+(1.765*'Lab Analysis'!K278))),"0")</f>
        <v>0</v>
      </c>
      <c r="K278" s="190" t="str">
        <f>IFERROR(((2*('Lab Analysis'!M278/60))+('Lab Analysis'!K278/17))/(('Lab Analysis'!L278/44)+('Lab Analysis'!M278/60)),"0")</f>
        <v>0</v>
      </c>
      <c r="L278" s="190" t="str">
        <f>IFERROR((('Lab Analysis'!N278/18)-('Lab Analysis'!M278/60))/(('Lab Analysis'!L278/44)+('Lab Analysis'!M278/60)),"0")</f>
        <v>0</v>
      </c>
      <c r="M278" s="187" t="str">
        <f>IFERROR(((2*('Lab Analysis'!U278/60))+('Lab Analysis'!S278/17))/(('Lab Analysis'!T278/44)+('Lab Analysis'!U278/60)),"0")</f>
        <v>0</v>
      </c>
      <c r="N278" s="187" t="str">
        <f>IFERROR((('Lab Analysis'!V278/18)-('Lab Analysis'!U278/60))/(('Lab Analysis'!T278/44)+('Lab Analysis'!U278/60)),"0")</f>
        <v>0</v>
      </c>
      <c r="O278" s="187" t="str">
        <f>IFERROR(((2*('Lab Analysis'!Y278/60)+('Lab Analysis'!W278/17))/(('Lab Analysis'!X278/44)+('Lab Analysis'!Y278/60))),"0")</f>
        <v>0</v>
      </c>
      <c r="P278" s="187" t="str">
        <f>IFERROR((('Lab Analysis'!Z278/18)-('Lab Analysis'!Y278/60))/(('Lab Analysis'!X278/44)+('Lab Analysis'!Y278/60)),"0")</f>
        <v>0</v>
      </c>
      <c r="Q278" s="191"/>
    </row>
    <row r="279" spans="1:17">
      <c r="A279" s="185">
        <v>46093</v>
      </c>
      <c r="B279" s="186" t="str">
        <f>IFERROR(('Lab Analysis'!E279/('Lab Analysis'!E279+(1.364*'Lab Analysis'!D279))),"0")</f>
        <v>0</v>
      </c>
      <c r="C279" s="186" t="str">
        <f>IFERROR((2*'Lab Analysis'!E279/60)/('Lab Analysis'!C279/17+(2*'Lab Analysis'!E279/60)),"0")</f>
        <v>0</v>
      </c>
      <c r="D279" s="187" t="str">
        <f>IFERROR(((2*('Lab Analysis'!E279/60)+('Lab Analysis'!C279/17))/(('Lab Analysis'!D279/44)+('Lab Analysis'!E279/60))),"0")</f>
        <v>0</v>
      </c>
      <c r="E279" s="187" t="str">
        <f>IFERROR((('Lab Analysis'!F279/18)-('Lab Analysis'!E279/60))/(('Lab Analysis'!D279/44)+('Lab Analysis'!E279/60)),"0")</f>
        <v>0</v>
      </c>
      <c r="F279" s="187" t="str">
        <f>IFERROR((('Lab Analysis'!F279/18)/('Lab Analysis'!E279/60)),"0")</f>
        <v>0</v>
      </c>
      <c r="G279" s="188" t="str">
        <f>IFERROR(('Lab Analysis'!I279/('Lab Analysis'!I279+(1.765*'Lab Analysis'!G279))),"0")</f>
        <v>0</v>
      </c>
      <c r="H279" s="189" t="str">
        <f>IFERROR(((2*('Lab Analysis'!I279/60))+('Lab Analysis'!G279/17))/(('Lab Analysis'!H279/44)+('Lab Analysis'!I279/60)),"0")</f>
        <v>0</v>
      </c>
      <c r="I279" s="189" t="str">
        <f>IFERROR((('Lab Analysis'!J279/18)-('Lab Analysis'!I279/60))/(('Lab Analysis'!H279/44)+('Lab Analysis'!I279/60)),"0")</f>
        <v>0</v>
      </c>
      <c r="J279" s="186" t="str">
        <f>IFERROR(('Lab Analysis'!M279/('Lab Analysis'!M279+(1.765*'Lab Analysis'!K279))),"0")</f>
        <v>0</v>
      </c>
      <c r="K279" s="190" t="str">
        <f>IFERROR(((2*('Lab Analysis'!M279/60))+('Lab Analysis'!K279/17))/(('Lab Analysis'!L279/44)+('Lab Analysis'!M279/60)),"0")</f>
        <v>0</v>
      </c>
      <c r="L279" s="190" t="str">
        <f>IFERROR((('Lab Analysis'!N279/18)-('Lab Analysis'!M279/60))/(('Lab Analysis'!L279/44)+('Lab Analysis'!M279/60)),"0")</f>
        <v>0</v>
      </c>
      <c r="M279" s="187" t="str">
        <f>IFERROR(((2*('Lab Analysis'!U279/60))+('Lab Analysis'!S279/17))/(('Lab Analysis'!T279/44)+('Lab Analysis'!U279/60)),"0")</f>
        <v>0</v>
      </c>
      <c r="N279" s="187" t="str">
        <f>IFERROR((('Lab Analysis'!V279/18)-('Lab Analysis'!U279/60))/(('Lab Analysis'!T279/44)+('Lab Analysis'!U279/60)),"0")</f>
        <v>0</v>
      </c>
      <c r="O279" s="187" t="str">
        <f>IFERROR(((2*('Lab Analysis'!Y279/60)+('Lab Analysis'!W279/17))/(('Lab Analysis'!X279/44)+('Lab Analysis'!Y279/60))),"0")</f>
        <v>0</v>
      </c>
      <c r="P279" s="187" t="str">
        <f>IFERROR((('Lab Analysis'!Z279/18)-('Lab Analysis'!Y279/60))/(('Lab Analysis'!X279/44)+('Lab Analysis'!Y279/60)),"0")</f>
        <v>0</v>
      </c>
      <c r="Q279" s="191"/>
    </row>
    <row r="280" spans="1:17">
      <c r="A280" s="185">
        <v>46094</v>
      </c>
      <c r="B280" s="186" t="str">
        <f>IFERROR(('Lab Analysis'!E280/('Lab Analysis'!E280+(1.364*'Lab Analysis'!D280))),"0")</f>
        <v>0</v>
      </c>
      <c r="C280" s="186" t="str">
        <f>IFERROR((2*'Lab Analysis'!E280/60)/('Lab Analysis'!C280/17+(2*'Lab Analysis'!E280/60)),"0")</f>
        <v>0</v>
      </c>
      <c r="D280" s="187" t="str">
        <f>IFERROR(((2*('Lab Analysis'!E280/60)+('Lab Analysis'!C280/17))/(('Lab Analysis'!D280/44)+('Lab Analysis'!E280/60))),"0")</f>
        <v>0</v>
      </c>
      <c r="E280" s="187" t="str">
        <f>IFERROR((('Lab Analysis'!F280/18)-('Lab Analysis'!E280/60))/(('Lab Analysis'!D280/44)+('Lab Analysis'!E280/60)),"0")</f>
        <v>0</v>
      </c>
      <c r="F280" s="187" t="str">
        <f>IFERROR((('Lab Analysis'!F280/18)/('Lab Analysis'!E280/60)),"0")</f>
        <v>0</v>
      </c>
      <c r="G280" s="188" t="str">
        <f>IFERROR(('Lab Analysis'!I280/('Lab Analysis'!I280+(1.765*'Lab Analysis'!G280))),"0")</f>
        <v>0</v>
      </c>
      <c r="H280" s="189" t="str">
        <f>IFERROR(((2*('Lab Analysis'!I280/60))+('Lab Analysis'!G280/17))/(('Lab Analysis'!H280/44)+('Lab Analysis'!I280/60)),"0")</f>
        <v>0</v>
      </c>
      <c r="I280" s="189" t="str">
        <f>IFERROR((('Lab Analysis'!J280/18)-('Lab Analysis'!I280/60))/(('Lab Analysis'!H280/44)+('Lab Analysis'!I280/60)),"0")</f>
        <v>0</v>
      </c>
      <c r="J280" s="186" t="str">
        <f>IFERROR(('Lab Analysis'!M280/('Lab Analysis'!M280+(1.765*'Lab Analysis'!K280))),"0")</f>
        <v>0</v>
      </c>
      <c r="K280" s="190" t="str">
        <f>IFERROR(((2*('Lab Analysis'!M280/60))+('Lab Analysis'!K280/17))/(('Lab Analysis'!L280/44)+('Lab Analysis'!M280/60)),"0")</f>
        <v>0</v>
      </c>
      <c r="L280" s="190" t="str">
        <f>IFERROR((('Lab Analysis'!N280/18)-('Lab Analysis'!M280/60))/(('Lab Analysis'!L280/44)+('Lab Analysis'!M280/60)),"0")</f>
        <v>0</v>
      </c>
      <c r="M280" s="187" t="str">
        <f>IFERROR(((2*('Lab Analysis'!U280/60))+('Lab Analysis'!S280/17))/(('Lab Analysis'!T280/44)+('Lab Analysis'!U280/60)),"0")</f>
        <v>0</v>
      </c>
      <c r="N280" s="187" t="str">
        <f>IFERROR((('Lab Analysis'!V280/18)-('Lab Analysis'!U280/60))/(('Lab Analysis'!T280/44)+('Lab Analysis'!U280/60)),"0")</f>
        <v>0</v>
      </c>
      <c r="O280" s="187" t="str">
        <f>IFERROR(((2*('Lab Analysis'!Y280/60)+('Lab Analysis'!W280/17))/(('Lab Analysis'!X280/44)+('Lab Analysis'!Y280/60))),"0")</f>
        <v>0</v>
      </c>
      <c r="P280" s="187" t="str">
        <f>IFERROR((('Lab Analysis'!Z280/18)-('Lab Analysis'!Y280/60))/(('Lab Analysis'!X280/44)+('Lab Analysis'!Y280/60)),"0")</f>
        <v>0</v>
      </c>
      <c r="Q280" s="191"/>
    </row>
    <row r="281" spans="1:17">
      <c r="A281" s="185">
        <v>46095</v>
      </c>
      <c r="B281" s="186" t="str">
        <f>IFERROR(('Lab Analysis'!E281/('Lab Analysis'!E281+(1.364*'Lab Analysis'!D281))),"0")</f>
        <v>0</v>
      </c>
      <c r="C281" s="186" t="str">
        <f>IFERROR((2*'Lab Analysis'!E281/60)/('Lab Analysis'!C281/17+(2*'Lab Analysis'!E281/60)),"0")</f>
        <v>0</v>
      </c>
      <c r="D281" s="187" t="str">
        <f>IFERROR(((2*('Lab Analysis'!E281/60)+('Lab Analysis'!C281/17))/(('Lab Analysis'!D281/44)+('Lab Analysis'!E281/60))),"0")</f>
        <v>0</v>
      </c>
      <c r="E281" s="187" t="str">
        <f>IFERROR((('Lab Analysis'!F281/18)-('Lab Analysis'!E281/60))/(('Lab Analysis'!D281/44)+('Lab Analysis'!E281/60)),"0")</f>
        <v>0</v>
      </c>
      <c r="F281" s="187" t="str">
        <f>IFERROR((('Lab Analysis'!F281/18)/('Lab Analysis'!E281/60)),"0")</f>
        <v>0</v>
      </c>
      <c r="G281" s="188" t="str">
        <f>IFERROR(('Lab Analysis'!I281/('Lab Analysis'!I281+(1.765*'Lab Analysis'!G281))),"0")</f>
        <v>0</v>
      </c>
      <c r="H281" s="189" t="str">
        <f>IFERROR(((2*('Lab Analysis'!I281/60))+('Lab Analysis'!G281/17))/(('Lab Analysis'!H281/44)+('Lab Analysis'!I281/60)),"0")</f>
        <v>0</v>
      </c>
      <c r="I281" s="189" t="str">
        <f>IFERROR((('Lab Analysis'!J281/18)-('Lab Analysis'!I281/60))/(('Lab Analysis'!H281/44)+('Lab Analysis'!I281/60)),"0")</f>
        <v>0</v>
      </c>
      <c r="J281" s="186" t="str">
        <f>IFERROR(('Lab Analysis'!M281/('Lab Analysis'!M281+(1.765*'Lab Analysis'!K281))),"0")</f>
        <v>0</v>
      </c>
      <c r="K281" s="190" t="str">
        <f>IFERROR(((2*('Lab Analysis'!M281/60))+('Lab Analysis'!K281/17))/(('Lab Analysis'!L281/44)+('Lab Analysis'!M281/60)),"0")</f>
        <v>0</v>
      </c>
      <c r="L281" s="190" t="str">
        <f>IFERROR((('Lab Analysis'!N281/18)-('Lab Analysis'!M281/60))/(('Lab Analysis'!L281/44)+('Lab Analysis'!M281/60)),"0")</f>
        <v>0</v>
      </c>
      <c r="M281" s="187" t="str">
        <f>IFERROR(((2*('Lab Analysis'!U281/60))+('Lab Analysis'!S281/17))/(('Lab Analysis'!T281/44)+('Lab Analysis'!U281/60)),"0")</f>
        <v>0</v>
      </c>
      <c r="N281" s="187" t="str">
        <f>IFERROR((('Lab Analysis'!V281/18)-('Lab Analysis'!U281/60))/(('Lab Analysis'!T281/44)+('Lab Analysis'!U281/60)),"0")</f>
        <v>0</v>
      </c>
      <c r="O281" s="187" t="str">
        <f>IFERROR(((2*('Lab Analysis'!Y281/60)+('Lab Analysis'!W281/17))/(('Lab Analysis'!X281/44)+('Lab Analysis'!Y281/60))),"0")</f>
        <v>0</v>
      </c>
      <c r="P281" s="187" t="str">
        <f>IFERROR((('Lab Analysis'!Z281/18)-('Lab Analysis'!Y281/60))/(('Lab Analysis'!X281/44)+('Lab Analysis'!Y281/60)),"0")</f>
        <v>0</v>
      </c>
      <c r="Q281" s="191"/>
    </row>
    <row r="282" spans="1:17">
      <c r="A282" s="185">
        <v>46096</v>
      </c>
      <c r="B282" s="186" t="str">
        <f>IFERROR(('Lab Analysis'!E282/('Lab Analysis'!E282+(1.364*'Lab Analysis'!D282))),"0")</f>
        <v>0</v>
      </c>
      <c r="C282" s="186" t="str">
        <f>IFERROR((2*'Lab Analysis'!E282/60)/('Lab Analysis'!C282/17+(2*'Lab Analysis'!E282/60)),"0")</f>
        <v>0</v>
      </c>
      <c r="D282" s="187" t="str">
        <f>IFERROR(((2*('Lab Analysis'!E282/60)+('Lab Analysis'!C282/17))/(('Lab Analysis'!D282/44)+('Lab Analysis'!E282/60))),"0")</f>
        <v>0</v>
      </c>
      <c r="E282" s="187" t="str">
        <f>IFERROR((('Lab Analysis'!F282/18)-('Lab Analysis'!E282/60))/(('Lab Analysis'!D282/44)+('Lab Analysis'!E282/60)),"0")</f>
        <v>0</v>
      </c>
      <c r="F282" s="187" t="str">
        <f>IFERROR((('Lab Analysis'!F282/18)/('Lab Analysis'!E282/60)),"0")</f>
        <v>0</v>
      </c>
      <c r="G282" s="188" t="str">
        <f>IFERROR(('Lab Analysis'!I282/('Lab Analysis'!I282+(1.765*'Lab Analysis'!G282))),"0")</f>
        <v>0</v>
      </c>
      <c r="H282" s="189" t="str">
        <f>IFERROR(((2*('Lab Analysis'!I282/60))+('Lab Analysis'!G282/17))/(('Lab Analysis'!H282/44)+('Lab Analysis'!I282/60)),"0")</f>
        <v>0</v>
      </c>
      <c r="I282" s="189" t="str">
        <f>IFERROR((('Lab Analysis'!J282/18)-('Lab Analysis'!I282/60))/(('Lab Analysis'!H282/44)+('Lab Analysis'!I282/60)),"0")</f>
        <v>0</v>
      </c>
      <c r="J282" s="186" t="str">
        <f>IFERROR(('Lab Analysis'!M282/('Lab Analysis'!M282+(1.765*'Lab Analysis'!K282))),"0")</f>
        <v>0</v>
      </c>
      <c r="K282" s="190" t="str">
        <f>IFERROR(((2*('Lab Analysis'!M282/60))+('Lab Analysis'!K282/17))/(('Lab Analysis'!L282/44)+('Lab Analysis'!M282/60)),"0")</f>
        <v>0</v>
      </c>
      <c r="L282" s="190" t="str">
        <f>IFERROR((('Lab Analysis'!N282/18)-('Lab Analysis'!M282/60))/(('Lab Analysis'!L282/44)+('Lab Analysis'!M282/60)),"0")</f>
        <v>0</v>
      </c>
      <c r="M282" s="187" t="str">
        <f>IFERROR(((2*('Lab Analysis'!U282/60))+('Lab Analysis'!S282/17))/(('Lab Analysis'!T282/44)+('Lab Analysis'!U282/60)),"0")</f>
        <v>0</v>
      </c>
      <c r="N282" s="187" t="str">
        <f>IFERROR((('Lab Analysis'!V282/18)-('Lab Analysis'!U282/60))/(('Lab Analysis'!T282/44)+('Lab Analysis'!U282/60)),"0")</f>
        <v>0</v>
      </c>
      <c r="O282" s="187" t="str">
        <f>IFERROR(((2*('Lab Analysis'!Y282/60)+('Lab Analysis'!W282/17))/(('Lab Analysis'!X282/44)+('Lab Analysis'!Y282/60))),"0")</f>
        <v>0</v>
      </c>
      <c r="P282" s="187" t="str">
        <f>IFERROR((('Lab Analysis'!Z282/18)-('Lab Analysis'!Y282/60))/(('Lab Analysis'!X282/44)+('Lab Analysis'!Y282/60)),"0")</f>
        <v>0</v>
      </c>
      <c r="Q282" s="191"/>
    </row>
    <row r="283" spans="1:17">
      <c r="A283" s="185">
        <v>46097</v>
      </c>
      <c r="B283" s="186" t="str">
        <f>IFERROR(('Lab Analysis'!E283/('Lab Analysis'!E283+(1.364*'Lab Analysis'!D283))),"0")</f>
        <v>0</v>
      </c>
      <c r="C283" s="186" t="str">
        <f>IFERROR((2*'Lab Analysis'!E283/60)/('Lab Analysis'!C283/17+(2*'Lab Analysis'!E283/60)),"0")</f>
        <v>0</v>
      </c>
      <c r="D283" s="187" t="str">
        <f>IFERROR(((2*('Lab Analysis'!E283/60)+('Lab Analysis'!C283/17))/(('Lab Analysis'!D283/44)+('Lab Analysis'!E283/60))),"0")</f>
        <v>0</v>
      </c>
      <c r="E283" s="187" t="str">
        <f>IFERROR((('Lab Analysis'!F283/18)-('Lab Analysis'!E283/60))/(('Lab Analysis'!D283/44)+('Lab Analysis'!E283/60)),"0")</f>
        <v>0</v>
      </c>
      <c r="F283" s="187" t="str">
        <f>IFERROR((('Lab Analysis'!F283/18)/('Lab Analysis'!E283/60)),"0")</f>
        <v>0</v>
      </c>
      <c r="G283" s="188" t="str">
        <f>IFERROR(('Lab Analysis'!I283/('Lab Analysis'!I283+(1.765*'Lab Analysis'!G283))),"0")</f>
        <v>0</v>
      </c>
      <c r="H283" s="189" t="str">
        <f>IFERROR(((2*('Lab Analysis'!I283/60))+('Lab Analysis'!G283/17))/(('Lab Analysis'!H283/44)+('Lab Analysis'!I283/60)),"0")</f>
        <v>0</v>
      </c>
      <c r="I283" s="189" t="str">
        <f>IFERROR((('Lab Analysis'!J283/18)-('Lab Analysis'!I283/60))/(('Lab Analysis'!H283/44)+('Lab Analysis'!I283/60)),"0")</f>
        <v>0</v>
      </c>
      <c r="J283" s="186" t="str">
        <f>IFERROR(('Lab Analysis'!M283/('Lab Analysis'!M283+(1.765*'Lab Analysis'!K283))),"0")</f>
        <v>0</v>
      </c>
      <c r="K283" s="190" t="str">
        <f>IFERROR(((2*('Lab Analysis'!M283/60))+('Lab Analysis'!K283/17))/(('Lab Analysis'!L283/44)+('Lab Analysis'!M283/60)),"0")</f>
        <v>0</v>
      </c>
      <c r="L283" s="190" t="str">
        <f>IFERROR((('Lab Analysis'!N283/18)-('Lab Analysis'!M283/60))/(('Lab Analysis'!L283/44)+('Lab Analysis'!M283/60)),"0")</f>
        <v>0</v>
      </c>
      <c r="M283" s="187" t="str">
        <f>IFERROR(((2*('Lab Analysis'!U283/60))+('Lab Analysis'!S283/17))/(('Lab Analysis'!T283/44)+('Lab Analysis'!U283/60)),"0")</f>
        <v>0</v>
      </c>
      <c r="N283" s="187" t="str">
        <f>IFERROR((('Lab Analysis'!V283/18)-('Lab Analysis'!U283/60))/(('Lab Analysis'!T283/44)+('Lab Analysis'!U283/60)),"0")</f>
        <v>0</v>
      </c>
      <c r="O283" s="187" t="str">
        <f>IFERROR(((2*('Lab Analysis'!Y283/60)+('Lab Analysis'!W283/17))/(('Lab Analysis'!X283/44)+('Lab Analysis'!Y283/60))),"0")</f>
        <v>0</v>
      </c>
      <c r="P283" s="187" t="str">
        <f>IFERROR((('Lab Analysis'!Z283/18)-('Lab Analysis'!Y283/60))/(('Lab Analysis'!X283/44)+('Lab Analysis'!Y283/60)),"0")</f>
        <v>0</v>
      </c>
      <c r="Q283" s="191"/>
    </row>
    <row r="284" spans="1:17">
      <c r="A284" s="185">
        <v>46098</v>
      </c>
      <c r="B284" s="186" t="str">
        <f>IFERROR(('Lab Analysis'!E284/('Lab Analysis'!E284+(1.364*'Lab Analysis'!D284))),"0")</f>
        <v>0</v>
      </c>
      <c r="C284" s="186" t="str">
        <f>IFERROR((2*'Lab Analysis'!E284/60)/('Lab Analysis'!C284/17+(2*'Lab Analysis'!E284/60)),"0")</f>
        <v>0</v>
      </c>
      <c r="D284" s="187" t="str">
        <f>IFERROR(((2*('Lab Analysis'!E284/60)+('Lab Analysis'!C284/17))/(('Lab Analysis'!D284/44)+('Lab Analysis'!E284/60))),"0")</f>
        <v>0</v>
      </c>
      <c r="E284" s="187" t="str">
        <f>IFERROR((('Lab Analysis'!F284/18)-('Lab Analysis'!E284/60))/(('Lab Analysis'!D284/44)+('Lab Analysis'!E284/60)),"0")</f>
        <v>0</v>
      </c>
      <c r="F284" s="187" t="str">
        <f>IFERROR((('Lab Analysis'!F284/18)/('Lab Analysis'!E284/60)),"0")</f>
        <v>0</v>
      </c>
      <c r="G284" s="188" t="str">
        <f>IFERROR(('Lab Analysis'!I284/('Lab Analysis'!I284+(1.765*'Lab Analysis'!G284))),"0")</f>
        <v>0</v>
      </c>
      <c r="H284" s="189" t="str">
        <f>IFERROR(((2*('Lab Analysis'!I284/60))+('Lab Analysis'!G284/17))/(('Lab Analysis'!H284/44)+('Lab Analysis'!I284/60)),"0")</f>
        <v>0</v>
      </c>
      <c r="I284" s="189" t="str">
        <f>IFERROR((('Lab Analysis'!J284/18)-('Lab Analysis'!I284/60))/(('Lab Analysis'!H284/44)+('Lab Analysis'!I284/60)),"0")</f>
        <v>0</v>
      </c>
      <c r="J284" s="186" t="str">
        <f>IFERROR(('Lab Analysis'!M284/('Lab Analysis'!M284+(1.765*'Lab Analysis'!K284))),"0")</f>
        <v>0</v>
      </c>
      <c r="K284" s="190" t="str">
        <f>IFERROR(((2*('Lab Analysis'!M284/60))+('Lab Analysis'!K284/17))/(('Lab Analysis'!L284/44)+('Lab Analysis'!M284/60)),"0")</f>
        <v>0</v>
      </c>
      <c r="L284" s="190" t="str">
        <f>IFERROR((('Lab Analysis'!N284/18)-('Lab Analysis'!M284/60))/(('Lab Analysis'!L284/44)+('Lab Analysis'!M284/60)),"0")</f>
        <v>0</v>
      </c>
      <c r="M284" s="187" t="str">
        <f>IFERROR(((2*('Lab Analysis'!U284/60))+('Lab Analysis'!S284/17))/(('Lab Analysis'!T284/44)+('Lab Analysis'!U284/60)),"0")</f>
        <v>0</v>
      </c>
      <c r="N284" s="187" t="str">
        <f>IFERROR((('Lab Analysis'!V284/18)-('Lab Analysis'!U284/60))/(('Lab Analysis'!T284/44)+('Lab Analysis'!U284/60)),"0")</f>
        <v>0</v>
      </c>
      <c r="O284" s="187" t="str">
        <f>IFERROR(((2*('Lab Analysis'!Y284/60)+('Lab Analysis'!W284/17))/(('Lab Analysis'!X284/44)+('Lab Analysis'!Y284/60))),"0")</f>
        <v>0</v>
      </c>
      <c r="P284" s="187" t="str">
        <f>IFERROR((('Lab Analysis'!Z284/18)-('Lab Analysis'!Y284/60))/(('Lab Analysis'!X284/44)+('Lab Analysis'!Y284/60)),"0")</f>
        <v>0</v>
      </c>
      <c r="Q284" s="191"/>
    </row>
    <row r="285" spans="1:17">
      <c r="A285" s="185">
        <v>46099</v>
      </c>
      <c r="B285" s="186" t="str">
        <f>IFERROR(('Lab Analysis'!E285/('Lab Analysis'!E285+(1.364*'Lab Analysis'!D285))),"0")</f>
        <v>0</v>
      </c>
      <c r="C285" s="186" t="str">
        <f>IFERROR((2*'Lab Analysis'!E285/60)/('Lab Analysis'!C285/17+(2*'Lab Analysis'!E285/60)),"0")</f>
        <v>0</v>
      </c>
      <c r="D285" s="187" t="str">
        <f>IFERROR(((2*('Lab Analysis'!E285/60)+('Lab Analysis'!C285/17))/(('Lab Analysis'!D285/44)+('Lab Analysis'!E285/60))),"0")</f>
        <v>0</v>
      </c>
      <c r="E285" s="187" t="str">
        <f>IFERROR((('Lab Analysis'!F285/18)-('Lab Analysis'!E285/60))/(('Lab Analysis'!D285/44)+('Lab Analysis'!E285/60)),"0")</f>
        <v>0</v>
      </c>
      <c r="F285" s="187" t="str">
        <f>IFERROR((('Lab Analysis'!F285/18)/('Lab Analysis'!E285/60)),"0")</f>
        <v>0</v>
      </c>
      <c r="G285" s="188" t="str">
        <f>IFERROR(('Lab Analysis'!I285/('Lab Analysis'!I285+(1.765*'Lab Analysis'!G285))),"0")</f>
        <v>0</v>
      </c>
      <c r="H285" s="189" t="str">
        <f>IFERROR(((2*('Lab Analysis'!I285/60))+('Lab Analysis'!G285/17))/(('Lab Analysis'!H285/44)+('Lab Analysis'!I285/60)),"0")</f>
        <v>0</v>
      </c>
      <c r="I285" s="189" t="str">
        <f>IFERROR((('Lab Analysis'!J285/18)-('Lab Analysis'!I285/60))/(('Lab Analysis'!H285/44)+('Lab Analysis'!I285/60)),"0")</f>
        <v>0</v>
      </c>
      <c r="J285" s="186" t="str">
        <f>IFERROR(('Lab Analysis'!M285/('Lab Analysis'!M285+(1.765*'Lab Analysis'!K285))),"0")</f>
        <v>0</v>
      </c>
      <c r="K285" s="190" t="str">
        <f>IFERROR(((2*('Lab Analysis'!M285/60))+('Lab Analysis'!K285/17))/(('Lab Analysis'!L285/44)+('Lab Analysis'!M285/60)),"0")</f>
        <v>0</v>
      </c>
      <c r="L285" s="190" t="str">
        <f>IFERROR((('Lab Analysis'!N285/18)-('Lab Analysis'!M285/60))/(('Lab Analysis'!L285/44)+('Lab Analysis'!M285/60)),"0")</f>
        <v>0</v>
      </c>
      <c r="M285" s="187" t="str">
        <f>IFERROR(((2*('Lab Analysis'!U285/60))+('Lab Analysis'!S285/17))/(('Lab Analysis'!T285/44)+('Lab Analysis'!U285/60)),"0")</f>
        <v>0</v>
      </c>
      <c r="N285" s="187" t="str">
        <f>IFERROR((('Lab Analysis'!V285/18)-('Lab Analysis'!U285/60))/(('Lab Analysis'!T285/44)+('Lab Analysis'!U285/60)),"0")</f>
        <v>0</v>
      </c>
      <c r="O285" s="187" t="str">
        <f>IFERROR(((2*('Lab Analysis'!Y285/60)+('Lab Analysis'!W285/17))/(('Lab Analysis'!X285/44)+('Lab Analysis'!Y285/60))),"0")</f>
        <v>0</v>
      </c>
      <c r="P285" s="187" t="str">
        <f>IFERROR((('Lab Analysis'!Z285/18)-('Lab Analysis'!Y285/60))/(('Lab Analysis'!X285/44)+('Lab Analysis'!Y285/60)),"0")</f>
        <v>0</v>
      </c>
      <c r="Q285" s="191"/>
    </row>
    <row r="286" spans="1:17">
      <c r="A286" s="185">
        <v>46100</v>
      </c>
      <c r="B286" s="186" t="str">
        <f>IFERROR(('Lab Analysis'!E286/('Lab Analysis'!E286+(1.364*'Lab Analysis'!D286))),"0")</f>
        <v>0</v>
      </c>
      <c r="C286" s="186" t="str">
        <f>IFERROR((2*'Lab Analysis'!E286/60)/('Lab Analysis'!C286/17+(2*'Lab Analysis'!E286/60)),"0")</f>
        <v>0</v>
      </c>
      <c r="D286" s="187" t="str">
        <f>IFERROR(((2*('Lab Analysis'!E286/60)+('Lab Analysis'!C286/17))/(('Lab Analysis'!D286/44)+('Lab Analysis'!E286/60))),"0")</f>
        <v>0</v>
      </c>
      <c r="E286" s="187" t="str">
        <f>IFERROR((('Lab Analysis'!F286/18)-('Lab Analysis'!E286/60))/(('Lab Analysis'!D286/44)+('Lab Analysis'!E286/60)),"0")</f>
        <v>0</v>
      </c>
      <c r="F286" s="187" t="str">
        <f>IFERROR((('Lab Analysis'!F286/18)/('Lab Analysis'!E286/60)),"0")</f>
        <v>0</v>
      </c>
      <c r="G286" s="188" t="str">
        <f>IFERROR(('Lab Analysis'!I286/('Lab Analysis'!I286+(1.765*'Lab Analysis'!G286))),"0")</f>
        <v>0</v>
      </c>
      <c r="H286" s="189" t="str">
        <f>IFERROR(((2*('Lab Analysis'!I286/60))+('Lab Analysis'!G286/17))/(('Lab Analysis'!H286/44)+('Lab Analysis'!I286/60)),"0")</f>
        <v>0</v>
      </c>
      <c r="I286" s="189" t="str">
        <f>IFERROR((('Lab Analysis'!J286/18)-('Lab Analysis'!I286/60))/(('Lab Analysis'!H286/44)+('Lab Analysis'!I286/60)),"0")</f>
        <v>0</v>
      </c>
      <c r="J286" s="186" t="str">
        <f>IFERROR(('Lab Analysis'!M286/('Lab Analysis'!M286+(1.765*'Lab Analysis'!K286))),"0")</f>
        <v>0</v>
      </c>
      <c r="K286" s="190" t="str">
        <f>IFERROR(((2*('Lab Analysis'!M286/60))+('Lab Analysis'!K286/17))/(('Lab Analysis'!L286/44)+('Lab Analysis'!M286/60)),"0")</f>
        <v>0</v>
      </c>
      <c r="L286" s="190" t="str">
        <f>IFERROR((('Lab Analysis'!N286/18)-('Lab Analysis'!M286/60))/(('Lab Analysis'!L286/44)+('Lab Analysis'!M286/60)),"0")</f>
        <v>0</v>
      </c>
      <c r="M286" s="187" t="str">
        <f>IFERROR(((2*('Lab Analysis'!U286/60))+('Lab Analysis'!S286/17))/(('Lab Analysis'!T286/44)+('Lab Analysis'!U286/60)),"0")</f>
        <v>0</v>
      </c>
      <c r="N286" s="187" t="str">
        <f>IFERROR((('Lab Analysis'!V286/18)-('Lab Analysis'!U286/60))/(('Lab Analysis'!T286/44)+('Lab Analysis'!U286/60)),"0")</f>
        <v>0</v>
      </c>
      <c r="O286" s="187" t="str">
        <f>IFERROR(((2*('Lab Analysis'!Y286/60)+('Lab Analysis'!W286/17))/(('Lab Analysis'!X286/44)+('Lab Analysis'!Y286/60))),"0")</f>
        <v>0</v>
      </c>
      <c r="P286" s="187" t="str">
        <f>IFERROR((('Lab Analysis'!Z286/18)-('Lab Analysis'!Y286/60))/(('Lab Analysis'!X286/44)+('Lab Analysis'!Y286/60)),"0")</f>
        <v>0</v>
      </c>
      <c r="Q286" s="191"/>
    </row>
    <row r="287" spans="1:17">
      <c r="A287" s="185">
        <v>46101</v>
      </c>
      <c r="B287" s="186" t="str">
        <f>IFERROR(('Lab Analysis'!E287/('Lab Analysis'!E287+(1.364*'Lab Analysis'!D287))),"0")</f>
        <v>0</v>
      </c>
      <c r="C287" s="186" t="str">
        <f>IFERROR((2*'Lab Analysis'!E287/60)/('Lab Analysis'!C287/17+(2*'Lab Analysis'!E287/60)),"0")</f>
        <v>0</v>
      </c>
      <c r="D287" s="187" t="str">
        <f>IFERROR(((2*('Lab Analysis'!E287/60)+('Lab Analysis'!C287/17))/(('Lab Analysis'!D287/44)+('Lab Analysis'!E287/60))),"0")</f>
        <v>0</v>
      </c>
      <c r="E287" s="187" t="str">
        <f>IFERROR((('Lab Analysis'!F287/18)-('Lab Analysis'!E287/60))/(('Lab Analysis'!D287/44)+('Lab Analysis'!E287/60)),"0")</f>
        <v>0</v>
      </c>
      <c r="F287" s="187" t="str">
        <f>IFERROR((('Lab Analysis'!F287/18)/('Lab Analysis'!E287/60)),"0")</f>
        <v>0</v>
      </c>
      <c r="G287" s="188" t="str">
        <f>IFERROR(('Lab Analysis'!I287/('Lab Analysis'!I287+(1.765*'Lab Analysis'!G287))),"0")</f>
        <v>0</v>
      </c>
      <c r="H287" s="189" t="str">
        <f>IFERROR(((2*('Lab Analysis'!I287/60))+('Lab Analysis'!G287/17))/(('Lab Analysis'!H287/44)+('Lab Analysis'!I287/60)),"0")</f>
        <v>0</v>
      </c>
      <c r="I287" s="189" t="str">
        <f>IFERROR((('Lab Analysis'!J287/18)-('Lab Analysis'!I287/60))/(('Lab Analysis'!H287/44)+('Lab Analysis'!I287/60)),"0")</f>
        <v>0</v>
      </c>
      <c r="J287" s="186" t="str">
        <f>IFERROR(('Lab Analysis'!M287/('Lab Analysis'!M287+(1.765*'Lab Analysis'!K287))),"0")</f>
        <v>0</v>
      </c>
      <c r="K287" s="190" t="str">
        <f>IFERROR(((2*('Lab Analysis'!M287/60))+('Lab Analysis'!K287/17))/(('Lab Analysis'!L287/44)+('Lab Analysis'!M287/60)),"0")</f>
        <v>0</v>
      </c>
      <c r="L287" s="190" t="str">
        <f>IFERROR((('Lab Analysis'!N287/18)-('Lab Analysis'!M287/60))/(('Lab Analysis'!L287/44)+('Lab Analysis'!M287/60)),"0")</f>
        <v>0</v>
      </c>
      <c r="M287" s="187" t="str">
        <f>IFERROR(((2*('Lab Analysis'!U287/60))+('Lab Analysis'!S287/17))/(('Lab Analysis'!T287/44)+('Lab Analysis'!U287/60)),"0")</f>
        <v>0</v>
      </c>
      <c r="N287" s="187" t="str">
        <f>IFERROR((('Lab Analysis'!V287/18)-('Lab Analysis'!U287/60))/(('Lab Analysis'!T287/44)+('Lab Analysis'!U287/60)),"0")</f>
        <v>0</v>
      </c>
      <c r="O287" s="187" t="str">
        <f>IFERROR(((2*('Lab Analysis'!Y287/60)+('Lab Analysis'!W287/17))/(('Lab Analysis'!X287/44)+('Lab Analysis'!Y287/60))),"0")</f>
        <v>0</v>
      </c>
      <c r="P287" s="187" t="str">
        <f>IFERROR((('Lab Analysis'!Z287/18)-('Lab Analysis'!Y287/60))/(('Lab Analysis'!X287/44)+('Lab Analysis'!Y287/60)),"0")</f>
        <v>0</v>
      </c>
      <c r="Q287" s="191"/>
    </row>
    <row r="288" spans="1:17">
      <c r="A288" s="185">
        <v>46102</v>
      </c>
      <c r="B288" s="186" t="str">
        <f>IFERROR(('Lab Analysis'!E288/('Lab Analysis'!E288+(1.364*'Lab Analysis'!D288))),"0")</f>
        <v>0</v>
      </c>
      <c r="C288" s="186" t="str">
        <f>IFERROR((2*'Lab Analysis'!E288/60)/('Lab Analysis'!C288/17+(2*'Lab Analysis'!E288/60)),"0")</f>
        <v>0</v>
      </c>
      <c r="D288" s="187" t="str">
        <f>IFERROR(((2*('Lab Analysis'!E288/60)+('Lab Analysis'!C288/17))/(('Lab Analysis'!D288/44)+('Lab Analysis'!E288/60))),"0")</f>
        <v>0</v>
      </c>
      <c r="E288" s="187" t="str">
        <f>IFERROR((('Lab Analysis'!F288/18)-('Lab Analysis'!E288/60))/(('Lab Analysis'!D288/44)+('Lab Analysis'!E288/60)),"0")</f>
        <v>0</v>
      </c>
      <c r="F288" s="187" t="str">
        <f>IFERROR((('Lab Analysis'!F288/18)/('Lab Analysis'!E288/60)),"0")</f>
        <v>0</v>
      </c>
      <c r="G288" s="188" t="str">
        <f>IFERROR(('Lab Analysis'!I288/('Lab Analysis'!I288+(1.765*'Lab Analysis'!G288))),"0")</f>
        <v>0</v>
      </c>
      <c r="H288" s="189" t="str">
        <f>IFERROR(((2*('Lab Analysis'!I288/60))+('Lab Analysis'!G288/17))/(('Lab Analysis'!H288/44)+('Lab Analysis'!I288/60)),"0")</f>
        <v>0</v>
      </c>
      <c r="I288" s="189" t="str">
        <f>IFERROR((('Lab Analysis'!J288/18)-('Lab Analysis'!I288/60))/(('Lab Analysis'!H288/44)+('Lab Analysis'!I288/60)),"0")</f>
        <v>0</v>
      </c>
      <c r="J288" s="186" t="str">
        <f>IFERROR(('Lab Analysis'!M288/('Lab Analysis'!M288+(1.765*'Lab Analysis'!K288))),"0")</f>
        <v>0</v>
      </c>
      <c r="K288" s="190" t="str">
        <f>IFERROR(((2*('Lab Analysis'!M288/60))+('Lab Analysis'!K288/17))/(('Lab Analysis'!L288/44)+('Lab Analysis'!M288/60)),"0")</f>
        <v>0</v>
      </c>
      <c r="L288" s="190" t="str">
        <f>IFERROR((('Lab Analysis'!N288/18)-('Lab Analysis'!M288/60))/(('Lab Analysis'!L288/44)+('Lab Analysis'!M288/60)),"0")</f>
        <v>0</v>
      </c>
      <c r="M288" s="187" t="str">
        <f>IFERROR(((2*('Lab Analysis'!U288/60))+('Lab Analysis'!S288/17))/(('Lab Analysis'!T288/44)+('Lab Analysis'!U288/60)),"0")</f>
        <v>0</v>
      </c>
      <c r="N288" s="187" t="str">
        <f>IFERROR((('Lab Analysis'!V288/18)-('Lab Analysis'!U288/60))/(('Lab Analysis'!T288/44)+('Lab Analysis'!U288/60)),"0")</f>
        <v>0</v>
      </c>
      <c r="O288" s="187" t="str">
        <f>IFERROR(((2*('Lab Analysis'!Y288/60)+('Lab Analysis'!W288/17))/(('Lab Analysis'!X288/44)+('Lab Analysis'!Y288/60))),"0")</f>
        <v>0</v>
      </c>
      <c r="P288" s="187" t="str">
        <f>IFERROR((('Lab Analysis'!Z288/18)-('Lab Analysis'!Y288/60))/(('Lab Analysis'!X288/44)+('Lab Analysis'!Y288/60)),"0")</f>
        <v>0</v>
      </c>
      <c r="Q288" s="191"/>
    </row>
    <row r="289" spans="1:17">
      <c r="A289" s="185">
        <v>46103</v>
      </c>
      <c r="B289" s="186" t="str">
        <f>IFERROR(('Lab Analysis'!E289/('Lab Analysis'!E289+(1.364*'Lab Analysis'!D289))),"0")</f>
        <v>0</v>
      </c>
      <c r="C289" s="186" t="str">
        <f>IFERROR((2*'Lab Analysis'!E289/60)/('Lab Analysis'!C289/17+(2*'Lab Analysis'!E289/60)),"0")</f>
        <v>0</v>
      </c>
      <c r="D289" s="187" t="str">
        <f>IFERROR(((2*('Lab Analysis'!E289/60)+('Lab Analysis'!C289/17))/(('Lab Analysis'!D289/44)+('Lab Analysis'!E289/60))),"0")</f>
        <v>0</v>
      </c>
      <c r="E289" s="187" t="str">
        <f>IFERROR((('Lab Analysis'!F289/18)-('Lab Analysis'!E289/60))/(('Lab Analysis'!D289/44)+('Lab Analysis'!E289/60)),"0")</f>
        <v>0</v>
      </c>
      <c r="F289" s="187" t="str">
        <f>IFERROR((('Lab Analysis'!F289/18)/('Lab Analysis'!E289/60)),"0")</f>
        <v>0</v>
      </c>
      <c r="G289" s="188" t="str">
        <f>IFERROR(('Lab Analysis'!I289/('Lab Analysis'!I289+(1.765*'Lab Analysis'!G289))),"0")</f>
        <v>0</v>
      </c>
      <c r="H289" s="189" t="str">
        <f>IFERROR(((2*('Lab Analysis'!I289/60))+('Lab Analysis'!G289/17))/(('Lab Analysis'!H289/44)+('Lab Analysis'!I289/60)),"0")</f>
        <v>0</v>
      </c>
      <c r="I289" s="189" t="str">
        <f>IFERROR((('Lab Analysis'!J289/18)-('Lab Analysis'!I289/60))/(('Lab Analysis'!H289/44)+('Lab Analysis'!I289/60)),"0")</f>
        <v>0</v>
      </c>
      <c r="J289" s="186" t="str">
        <f>IFERROR(('Lab Analysis'!M289/('Lab Analysis'!M289+(1.765*'Lab Analysis'!K289))),"0")</f>
        <v>0</v>
      </c>
      <c r="K289" s="190" t="str">
        <f>IFERROR(((2*('Lab Analysis'!M289/60))+('Lab Analysis'!K289/17))/(('Lab Analysis'!L289/44)+('Lab Analysis'!M289/60)),"0")</f>
        <v>0</v>
      </c>
      <c r="L289" s="190" t="str">
        <f>IFERROR((('Lab Analysis'!N289/18)-('Lab Analysis'!M289/60))/(('Lab Analysis'!L289/44)+('Lab Analysis'!M289/60)),"0")</f>
        <v>0</v>
      </c>
      <c r="M289" s="187" t="str">
        <f>IFERROR(((2*('Lab Analysis'!U289/60))+('Lab Analysis'!S289/17))/(('Lab Analysis'!T289/44)+('Lab Analysis'!U289/60)),"0")</f>
        <v>0</v>
      </c>
      <c r="N289" s="187" t="str">
        <f>IFERROR((('Lab Analysis'!V289/18)-('Lab Analysis'!U289/60))/(('Lab Analysis'!T289/44)+('Lab Analysis'!U289/60)),"0")</f>
        <v>0</v>
      </c>
      <c r="O289" s="187" t="str">
        <f>IFERROR(((2*('Lab Analysis'!Y289/60)+('Lab Analysis'!W289/17))/(('Lab Analysis'!X289/44)+('Lab Analysis'!Y289/60))),"0")</f>
        <v>0</v>
      </c>
      <c r="P289" s="187" t="str">
        <f>IFERROR((('Lab Analysis'!Z289/18)-('Lab Analysis'!Y289/60))/(('Lab Analysis'!X289/44)+('Lab Analysis'!Y289/60)),"0")</f>
        <v>0</v>
      </c>
      <c r="Q289" s="191"/>
    </row>
    <row r="290" spans="1:17">
      <c r="A290" s="185">
        <v>46104</v>
      </c>
      <c r="B290" s="186" t="str">
        <f>IFERROR(('Lab Analysis'!E290/('Lab Analysis'!E290+(1.364*'Lab Analysis'!D290))),"0")</f>
        <v>0</v>
      </c>
      <c r="C290" s="186" t="str">
        <f>IFERROR((2*'Lab Analysis'!E290/60)/('Lab Analysis'!C290/17+(2*'Lab Analysis'!E290/60)),"0")</f>
        <v>0</v>
      </c>
      <c r="D290" s="187" t="str">
        <f>IFERROR(((2*('Lab Analysis'!E290/60)+('Lab Analysis'!C290/17))/(('Lab Analysis'!D290/44)+('Lab Analysis'!E290/60))),"0")</f>
        <v>0</v>
      </c>
      <c r="E290" s="187" t="str">
        <f>IFERROR((('Lab Analysis'!F290/18)-('Lab Analysis'!E290/60))/(('Lab Analysis'!D290/44)+('Lab Analysis'!E290/60)),"0")</f>
        <v>0</v>
      </c>
      <c r="F290" s="187" t="str">
        <f>IFERROR((('Lab Analysis'!F290/18)/('Lab Analysis'!E290/60)),"0")</f>
        <v>0</v>
      </c>
      <c r="G290" s="188" t="str">
        <f>IFERROR(('Lab Analysis'!I290/('Lab Analysis'!I290+(1.765*'Lab Analysis'!G290))),"0")</f>
        <v>0</v>
      </c>
      <c r="H290" s="189" t="str">
        <f>IFERROR(((2*('Lab Analysis'!I290/60))+('Lab Analysis'!G290/17))/(('Lab Analysis'!H290/44)+('Lab Analysis'!I290/60)),"0")</f>
        <v>0</v>
      </c>
      <c r="I290" s="189" t="str">
        <f>IFERROR((('Lab Analysis'!J290/18)-('Lab Analysis'!I290/60))/(('Lab Analysis'!H290/44)+('Lab Analysis'!I290/60)),"0")</f>
        <v>0</v>
      </c>
      <c r="J290" s="186" t="str">
        <f>IFERROR(('Lab Analysis'!M290/('Lab Analysis'!M290+(1.765*'Lab Analysis'!K290))),"0")</f>
        <v>0</v>
      </c>
      <c r="K290" s="190" t="str">
        <f>IFERROR(((2*('Lab Analysis'!M290/60))+('Lab Analysis'!K290/17))/(('Lab Analysis'!L290/44)+('Lab Analysis'!M290/60)),"0")</f>
        <v>0</v>
      </c>
      <c r="L290" s="190" t="str">
        <f>IFERROR((('Lab Analysis'!N290/18)-('Lab Analysis'!M290/60))/(('Lab Analysis'!L290/44)+('Lab Analysis'!M290/60)),"0")</f>
        <v>0</v>
      </c>
      <c r="M290" s="187" t="str">
        <f>IFERROR(((2*('Lab Analysis'!U290/60))+('Lab Analysis'!S290/17))/(('Lab Analysis'!T290/44)+('Lab Analysis'!U290/60)),"0")</f>
        <v>0</v>
      </c>
      <c r="N290" s="187" t="str">
        <f>IFERROR((('Lab Analysis'!V290/18)-('Lab Analysis'!U290/60))/(('Lab Analysis'!T290/44)+('Lab Analysis'!U290/60)),"0")</f>
        <v>0</v>
      </c>
      <c r="O290" s="187" t="str">
        <f>IFERROR(((2*('Lab Analysis'!Y290/60)+('Lab Analysis'!W290/17))/(('Lab Analysis'!X290/44)+('Lab Analysis'!Y290/60))),"0")</f>
        <v>0</v>
      </c>
      <c r="P290" s="187" t="str">
        <f>IFERROR((('Lab Analysis'!Z290/18)-('Lab Analysis'!Y290/60))/(('Lab Analysis'!X290/44)+('Lab Analysis'!Y290/60)),"0")</f>
        <v>0</v>
      </c>
      <c r="Q290" s="191"/>
    </row>
    <row r="291" spans="1:17">
      <c r="A291" s="185">
        <v>46105</v>
      </c>
      <c r="B291" s="186" t="str">
        <f>IFERROR(('Lab Analysis'!E291/('Lab Analysis'!E291+(1.364*'Lab Analysis'!D291))),"0")</f>
        <v>0</v>
      </c>
      <c r="C291" s="186" t="str">
        <f>IFERROR((2*'Lab Analysis'!E291/60)/('Lab Analysis'!C291/17+(2*'Lab Analysis'!E291/60)),"0")</f>
        <v>0</v>
      </c>
      <c r="D291" s="187" t="str">
        <f>IFERROR(((2*('Lab Analysis'!E291/60)+('Lab Analysis'!C291/17))/(('Lab Analysis'!D291/44)+('Lab Analysis'!E291/60))),"0")</f>
        <v>0</v>
      </c>
      <c r="E291" s="187" t="str">
        <f>IFERROR((('Lab Analysis'!F291/18)-('Lab Analysis'!E291/60))/(('Lab Analysis'!D291/44)+('Lab Analysis'!E291/60)),"0")</f>
        <v>0</v>
      </c>
      <c r="F291" s="187" t="str">
        <f>IFERROR((('Lab Analysis'!F291/18)/('Lab Analysis'!E291/60)),"0")</f>
        <v>0</v>
      </c>
      <c r="G291" s="188" t="str">
        <f>IFERROR(('Lab Analysis'!I291/('Lab Analysis'!I291+(1.765*'Lab Analysis'!G291))),"0")</f>
        <v>0</v>
      </c>
      <c r="H291" s="189" t="str">
        <f>IFERROR(((2*('Lab Analysis'!I291/60))+('Lab Analysis'!G291/17))/(('Lab Analysis'!H291/44)+('Lab Analysis'!I291/60)),"0")</f>
        <v>0</v>
      </c>
      <c r="I291" s="189" t="str">
        <f>IFERROR((('Lab Analysis'!J291/18)-('Lab Analysis'!I291/60))/(('Lab Analysis'!H291/44)+('Lab Analysis'!I291/60)),"0")</f>
        <v>0</v>
      </c>
      <c r="J291" s="186" t="str">
        <f>IFERROR(('Lab Analysis'!M291/('Lab Analysis'!M291+(1.765*'Lab Analysis'!K291))),"0")</f>
        <v>0</v>
      </c>
      <c r="K291" s="190" t="str">
        <f>IFERROR(((2*('Lab Analysis'!M291/60))+('Lab Analysis'!K291/17))/(('Lab Analysis'!L291/44)+('Lab Analysis'!M291/60)),"0")</f>
        <v>0</v>
      </c>
      <c r="L291" s="190" t="str">
        <f>IFERROR((('Lab Analysis'!N291/18)-('Lab Analysis'!M291/60))/(('Lab Analysis'!L291/44)+('Lab Analysis'!M291/60)),"0")</f>
        <v>0</v>
      </c>
      <c r="M291" s="187" t="str">
        <f>IFERROR(((2*('Lab Analysis'!U291/60))+('Lab Analysis'!S291/17))/(('Lab Analysis'!T291/44)+('Lab Analysis'!U291/60)),"0")</f>
        <v>0</v>
      </c>
      <c r="N291" s="187" t="str">
        <f>IFERROR((('Lab Analysis'!V291/18)-('Lab Analysis'!U291/60))/(('Lab Analysis'!T291/44)+('Lab Analysis'!U291/60)),"0")</f>
        <v>0</v>
      </c>
      <c r="O291" s="187" t="str">
        <f>IFERROR(((2*('Lab Analysis'!Y291/60)+('Lab Analysis'!W291/17))/(('Lab Analysis'!X291/44)+('Lab Analysis'!Y291/60))),"0")</f>
        <v>0</v>
      </c>
      <c r="P291" s="187" t="str">
        <f>IFERROR((('Lab Analysis'!Z291/18)-('Lab Analysis'!Y291/60))/(('Lab Analysis'!X291/44)+('Lab Analysis'!Y291/60)),"0")</f>
        <v>0</v>
      </c>
      <c r="Q291" s="191"/>
    </row>
    <row r="292" spans="1:17">
      <c r="A292" s="185">
        <v>46106</v>
      </c>
      <c r="B292" s="186" t="str">
        <f>IFERROR(('Lab Analysis'!E292/('Lab Analysis'!E292+(1.364*'Lab Analysis'!D292))),"0")</f>
        <v>0</v>
      </c>
      <c r="C292" s="186" t="str">
        <f>IFERROR((2*'Lab Analysis'!E292/60)/('Lab Analysis'!C292/17+(2*'Lab Analysis'!E292/60)),"0")</f>
        <v>0</v>
      </c>
      <c r="D292" s="187" t="str">
        <f>IFERROR(((2*('Lab Analysis'!E292/60)+('Lab Analysis'!C292/17))/(('Lab Analysis'!D292/44)+('Lab Analysis'!E292/60))),"0")</f>
        <v>0</v>
      </c>
      <c r="E292" s="187" t="str">
        <f>IFERROR((('Lab Analysis'!F292/18)-('Lab Analysis'!E292/60))/(('Lab Analysis'!D292/44)+('Lab Analysis'!E292/60)),"0")</f>
        <v>0</v>
      </c>
      <c r="F292" s="187" t="str">
        <f>IFERROR((('Lab Analysis'!F292/18)/('Lab Analysis'!E292/60)),"0")</f>
        <v>0</v>
      </c>
      <c r="G292" s="188">
        <f>IFERROR(('Lab Analysis'!I292/('Lab Analysis'!I292+(1.765*'Lab Analysis'!G292))),"0")</f>
        <v>0.69817916896441823</v>
      </c>
      <c r="H292" s="189">
        <f>IFERROR(((2*('Lab Analysis'!I292/60))+('Lab Analysis'!G292/17))/(('Lab Analysis'!H292/44)+('Lab Analysis'!I292/60)),"0")</f>
        <v>2.1805034070365736</v>
      </c>
      <c r="I292" s="189">
        <f>IFERROR((('Lab Analysis'!J292/18)-('Lab Analysis'!I292/60))/(('Lab Analysis'!H292/44)+('Lab Analysis'!I292/60)),"0")</f>
        <v>0.74967165747307618</v>
      </c>
      <c r="J292" s="186" t="str">
        <f>IFERROR(('Lab Analysis'!M292/('Lab Analysis'!M292+(1.765*'Lab Analysis'!K292))),"0")</f>
        <v>0</v>
      </c>
      <c r="K292" s="190" t="str">
        <f>IFERROR(((2*('Lab Analysis'!M292/60))+('Lab Analysis'!K292/17))/(('Lab Analysis'!L292/44)+('Lab Analysis'!M292/60)),"0")</f>
        <v>0</v>
      </c>
      <c r="L292" s="190" t="str">
        <f>IFERROR((('Lab Analysis'!N292/18)-('Lab Analysis'!M292/60))/(('Lab Analysis'!L292/44)+('Lab Analysis'!M292/60)),"0")</f>
        <v>0</v>
      </c>
      <c r="M292" s="187" t="str">
        <f>IFERROR(((2*('Lab Analysis'!U292/60))+('Lab Analysis'!S292/17))/(('Lab Analysis'!T292/44)+('Lab Analysis'!U292/60)),"0")</f>
        <v>0</v>
      </c>
      <c r="N292" s="187" t="str">
        <f>IFERROR((('Lab Analysis'!V292/18)-('Lab Analysis'!U292/60))/(('Lab Analysis'!T292/44)+('Lab Analysis'!U292/60)),"0")</f>
        <v>0</v>
      </c>
      <c r="O292" s="187" t="str">
        <f>IFERROR(((2*('Lab Analysis'!Y292/60)+('Lab Analysis'!W292/17))/(('Lab Analysis'!X292/44)+('Lab Analysis'!Y292/60))),"0")</f>
        <v>0</v>
      </c>
      <c r="P292" s="187" t="str">
        <f>IFERROR((('Lab Analysis'!Z292/18)-('Lab Analysis'!Y292/60))/(('Lab Analysis'!X292/44)+('Lab Analysis'!Y292/60)),"0")</f>
        <v>0</v>
      </c>
      <c r="Q292" s="191"/>
    </row>
    <row r="293" spans="1:17">
      <c r="A293" s="185">
        <v>46107</v>
      </c>
      <c r="B293" s="186" t="str">
        <f>IFERROR(('Lab Analysis'!E293/('Lab Analysis'!E293+(1.364*'Lab Analysis'!D293))),"0")</f>
        <v>0</v>
      </c>
      <c r="C293" s="186" t="str">
        <f>IFERROR((2*'Lab Analysis'!E293/60)/('Lab Analysis'!C293/17+(2*'Lab Analysis'!E293/60)),"0")</f>
        <v>0</v>
      </c>
      <c r="D293" s="187" t="str">
        <f>IFERROR(((2*('Lab Analysis'!E293/60)+('Lab Analysis'!C293/17))/(('Lab Analysis'!D293/44)+('Lab Analysis'!E293/60))),"0")</f>
        <v>0</v>
      </c>
      <c r="E293" s="187" t="str">
        <f>IFERROR((('Lab Analysis'!F293/18)-('Lab Analysis'!E293/60))/(('Lab Analysis'!D293/44)+('Lab Analysis'!E293/60)),"0")</f>
        <v>0</v>
      </c>
      <c r="F293" s="187" t="str">
        <f>IFERROR((('Lab Analysis'!F293/18)/('Lab Analysis'!E293/60)),"0")</f>
        <v>0</v>
      </c>
      <c r="G293" s="188">
        <f>IFERROR(('Lab Analysis'!I293/('Lab Analysis'!I293+(1.765*'Lab Analysis'!G293))),"0")</f>
        <v>0.70680500826892534</v>
      </c>
      <c r="H293" s="189">
        <f>IFERROR(((2*('Lab Analysis'!I293/60))+('Lab Analysis'!G293/17))/(('Lab Analysis'!H293/44)+('Lab Analysis'!I293/60)),"0")</f>
        <v>2.1331115228685245</v>
      </c>
      <c r="I293" s="189">
        <f>IFERROR((('Lab Analysis'!J293/18)-('Lab Analysis'!I293/60))/(('Lab Analysis'!H293/44)+('Lab Analysis'!I293/60)),"0")</f>
        <v>0.78608893847929129</v>
      </c>
      <c r="J293" s="186" t="str">
        <f>IFERROR(('Lab Analysis'!M293/('Lab Analysis'!M293+(1.765*'Lab Analysis'!K293))),"0")</f>
        <v>0</v>
      </c>
      <c r="K293" s="190" t="str">
        <f>IFERROR(((2*('Lab Analysis'!M293/60))+('Lab Analysis'!K293/17))/(('Lab Analysis'!L293/44)+('Lab Analysis'!M293/60)),"0")</f>
        <v>0</v>
      </c>
      <c r="L293" s="190" t="str">
        <f>IFERROR((('Lab Analysis'!N293/18)-('Lab Analysis'!M293/60))/(('Lab Analysis'!L293/44)+('Lab Analysis'!M293/60)),"0")</f>
        <v>0</v>
      </c>
      <c r="M293" s="187" t="str">
        <f>IFERROR(((2*('Lab Analysis'!U293/60))+('Lab Analysis'!S293/17))/(('Lab Analysis'!T293/44)+('Lab Analysis'!U293/60)),"0")</f>
        <v>0</v>
      </c>
      <c r="N293" s="187" t="str">
        <f>IFERROR((('Lab Analysis'!V293/18)-('Lab Analysis'!U293/60))/(('Lab Analysis'!T293/44)+('Lab Analysis'!U293/60)),"0")</f>
        <v>0</v>
      </c>
      <c r="O293" s="187" t="str">
        <f>IFERROR(((2*('Lab Analysis'!Y293/60)+('Lab Analysis'!W293/17))/(('Lab Analysis'!X293/44)+('Lab Analysis'!Y293/60))),"0")</f>
        <v>0</v>
      </c>
      <c r="P293" s="187" t="str">
        <f>IFERROR((('Lab Analysis'!Z293/18)-('Lab Analysis'!Y293/60))/(('Lab Analysis'!X293/44)+('Lab Analysis'!Y293/60)),"0")</f>
        <v>0</v>
      </c>
      <c r="Q293" s="191"/>
    </row>
    <row r="294" spans="1:17">
      <c r="A294" s="185">
        <v>46108</v>
      </c>
      <c r="B294" s="186">
        <f>IFERROR(('Lab Analysis'!E294/('Lab Analysis'!E294+(1.364*'Lab Analysis'!D294))),"0")</f>
        <v>0.5444831617017637</v>
      </c>
      <c r="C294" s="186">
        <f>IFERROR((2*'Lab Analysis'!E294/60)/('Lab Analysis'!C294/17+(2*'Lab Analysis'!E294/60)),"0")</f>
        <v>0.37295116415903168</v>
      </c>
      <c r="D294" s="187">
        <f>IFERROR(((2*('Lab Analysis'!E294/60)+('Lab Analysis'!C294/17))/(('Lab Analysis'!D294/44)+('Lab Analysis'!E294/60))),"0")</f>
        <v>2.9202176769043247</v>
      </c>
      <c r="E294" s="187">
        <f>IFERROR((('Lab Analysis'!F294/18)-('Lab Analysis'!E294/60))/(('Lab Analysis'!D294/44)+('Lab Analysis'!E294/60)),"0")</f>
        <v>0.59311594775580712</v>
      </c>
      <c r="F294" s="187">
        <f>IFERROR((('Lab Analysis'!F294/18)/('Lab Analysis'!E294/60)),"0")</f>
        <v>2.089186888037462</v>
      </c>
      <c r="G294" s="188">
        <f>IFERROR(('Lab Analysis'!I294/('Lab Analysis'!I294+(1.765*'Lab Analysis'!G294))),"0")</f>
        <v>0.70168644951751791</v>
      </c>
      <c r="H294" s="189">
        <f>IFERROR(((2*('Lab Analysis'!I294/60))+('Lab Analysis'!G294/17))/(('Lab Analysis'!H294/44)+('Lab Analysis'!I294/60)),"0")</f>
        <v>2.1197098842342381</v>
      </c>
      <c r="I294" s="189">
        <f>IFERROR((('Lab Analysis'!J294/18)-('Lab Analysis'!I294/60))/(('Lab Analysis'!H294/44)+('Lab Analysis'!I294/60)),"0")</f>
        <v>0.6969186889231771</v>
      </c>
      <c r="J294" s="186">
        <f>IFERROR(('Lab Analysis'!M294/('Lab Analysis'!M294+(1.765*'Lab Analysis'!K294))),"0")</f>
        <v>0.62994127081864659</v>
      </c>
      <c r="K294" s="190">
        <f>IFERROR(((2*('Lab Analysis'!M294/60))+('Lab Analysis'!K294/17))/(('Lab Analysis'!L294/44)+('Lab Analysis'!M294/60)),"0")</f>
        <v>2.4317886150276014</v>
      </c>
      <c r="L294" s="190">
        <f>IFERROR((('Lab Analysis'!N294/18)-('Lab Analysis'!M294/60))/(('Lab Analysis'!L294/44)+('Lab Analysis'!M294/60)),"0")</f>
        <v>0.73804542737597134</v>
      </c>
      <c r="M294" s="187">
        <f>IFERROR(((2*('Lab Analysis'!U294/60))+('Lab Analysis'!S294/17))/(('Lab Analysis'!T294/44)+('Lab Analysis'!U294/60)),"0")</f>
        <v>2.550084424770684</v>
      </c>
      <c r="N294" s="187">
        <f>IFERROR((('Lab Analysis'!V294/18)-('Lab Analysis'!U294/60))/(('Lab Analysis'!T294/44)+('Lab Analysis'!U294/60)),"0")</f>
        <v>1.4684366290262327</v>
      </c>
      <c r="O294" s="187">
        <f>IFERROR(((2*('Lab Analysis'!Y294/60)+('Lab Analysis'!W294/17))/(('Lab Analysis'!X294/44)+('Lab Analysis'!Y294/60))),"0")</f>
        <v>2.6085294941275308</v>
      </c>
      <c r="P294" s="187">
        <f>IFERROR((('Lab Analysis'!Z294/18)-('Lab Analysis'!Y294/60))/(('Lab Analysis'!X294/44)+('Lab Analysis'!Y294/60)),"0")</f>
        <v>1.9372102430069382</v>
      </c>
      <c r="Q294" s="191"/>
    </row>
    <row r="295" spans="1:17">
      <c r="A295" s="185">
        <v>46109</v>
      </c>
      <c r="B295" s="186" t="str">
        <f>IFERROR(('Lab Analysis'!E295/('Lab Analysis'!E295+(1.364*'Lab Analysis'!D295))),"0")</f>
        <v>0</v>
      </c>
      <c r="C295" s="186" t="str">
        <f>IFERROR((2*'Lab Analysis'!E295/60)/('Lab Analysis'!C295/17+(2*'Lab Analysis'!E295/60)),"0")</f>
        <v>0</v>
      </c>
      <c r="D295" s="187" t="str">
        <f>IFERROR(((2*('Lab Analysis'!E295/60)+('Lab Analysis'!C295/17))/(('Lab Analysis'!D295/44)+('Lab Analysis'!E295/60))),"0")</f>
        <v>0</v>
      </c>
      <c r="E295" s="187" t="str">
        <f>IFERROR((('Lab Analysis'!F295/18)-('Lab Analysis'!E295/60))/(('Lab Analysis'!D295/44)+('Lab Analysis'!E295/60)),"0")</f>
        <v>0</v>
      </c>
      <c r="F295" s="187" t="str">
        <f>IFERROR((('Lab Analysis'!F295/18)/('Lab Analysis'!E295/60)),"0")</f>
        <v>0</v>
      </c>
      <c r="G295" s="188" t="str">
        <f>IFERROR(('Lab Analysis'!I295/('Lab Analysis'!I295+(1.765*'Lab Analysis'!G295))),"0")</f>
        <v>0</v>
      </c>
      <c r="H295" s="189" t="str">
        <f>IFERROR(((2*('Lab Analysis'!I295/60))+('Lab Analysis'!G295/17))/(('Lab Analysis'!H295/44)+('Lab Analysis'!I295/60)),"0")</f>
        <v>0</v>
      </c>
      <c r="I295" s="189" t="str">
        <f>IFERROR((('Lab Analysis'!J295/18)-('Lab Analysis'!I295/60))/(('Lab Analysis'!H295/44)+('Lab Analysis'!I295/60)),"0")</f>
        <v>0</v>
      </c>
      <c r="J295" s="186" t="str">
        <f>IFERROR(('Lab Analysis'!M295/('Lab Analysis'!M295+(1.765*'Lab Analysis'!K295))),"0")</f>
        <v>0</v>
      </c>
      <c r="K295" s="190" t="str">
        <f>IFERROR(((2*('Lab Analysis'!M295/60))+('Lab Analysis'!K295/17))/(('Lab Analysis'!L295/44)+('Lab Analysis'!M295/60)),"0")</f>
        <v>0</v>
      </c>
      <c r="L295" s="190" t="str">
        <f>IFERROR((('Lab Analysis'!N295/18)-('Lab Analysis'!M295/60))/(('Lab Analysis'!L295/44)+('Lab Analysis'!M295/60)),"0")</f>
        <v>0</v>
      </c>
      <c r="M295" s="187" t="str">
        <f>IFERROR(((2*('Lab Analysis'!U295/60))+('Lab Analysis'!S295/17))/(('Lab Analysis'!T295/44)+('Lab Analysis'!U295/60)),"0")</f>
        <v>0</v>
      </c>
      <c r="N295" s="187" t="str">
        <f>IFERROR((('Lab Analysis'!V295/18)-('Lab Analysis'!U295/60))/(('Lab Analysis'!T295/44)+('Lab Analysis'!U295/60)),"0")</f>
        <v>0</v>
      </c>
      <c r="O295" s="187" t="str">
        <f>IFERROR(((2*('Lab Analysis'!Y295/60)+('Lab Analysis'!W295/17))/(('Lab Analysis'!X295/44)+('Lab Analysis'!Y295/60))),"0")</f>
        <v>0</v>
      </c>
      <c r="P295" s="187" t="str">
        <f>IFERROR((('Lab Analysis'!Z295/18)-('Lab Analysis'!Y295/60))/(('Lab Analysis'!X295/44)+('Lab Analysis'!Y295/60)),"0")</f>
        <v>0</v>
      </c>
      <c r="Q295" s="191"/>
    </row>
    <row r="296" spans="1:17">
      <c r="A296" s="185">
        <v>46110</v>
      </c>
      <c r="B296" s="186" t="str">
        <f>IFERROR(('Lab Analysis'!E296/('Lab Analysis'!E296+(1.364*'Lab Analysis'!D296))),"0")</f>
        <v>0</v>
      </c>
      <c r="C296" s="186" t="str">
        <f>IFERROR((2*'Lab Analysis'!E296/60)/('Lab Analysis'!C296/17+(2*'Lab Analysis'!E296/60)),"0")</f>
        <v>0</v>
      </c>
      <c r="D296" s="187" t="str">
        <f>IFERROR(((2*('Lab Analysis'!E296/60)+('Lab Analysis'!C296/17))/(('Lab Analysis'!D296/44)+('Lab Analysis'!E296/60))),"0")</f>
        <v>0</v>
      </c>
      <c r="E296" s="187" t="str">
        <f>IFERROR((('Lab Analysis'!F296/18)-('Lab Analysis'!E296/60))/(('Lab Analysis'!D296/44)+('Lab Analysis'!E296/60)),"0")</f>
        <v>0</v>
      </c>
      <c r="F296" s="187" t="str">
        <f>IFERROR((('Lab Analysis'!F296/18)/('Lab Analysis'!E296/60)),"0")</f>
        <v>0</v>
      </c>
      <c r="G296" s="188" t="str">
        <f>IFERROR(('Lab Analysis'!I296/('Lab Analysis'!I296+(1.765*'Lab Analysis'!G296))),"0")</f>
        <v>0</v>
      </c>
      <c r="H296" s="189" t="str">
        <f>IFERROR(((2*('Lab Analysis'!I296/60))+('Lab Analysis'!G296/17))/(('Lab Analysis'!H296/44)+('Lab Analysis'!I296/60)),"0")</f>
        <v>0</v>
      </c>
      <c r="I296" s="189" t="str">
        <f>IFERROR((('Lab Analysis'!J296/18)-('Lab Analysis'!I296/60))/(('Lab Analysis'!H296/44)+('Lab Analysis'!I296/60)),"0")</f>
        <v>0</v>
      </c>
      <c r="J296" s="186" t="str">
        <f>IFERROR(('Lab Analysis'!M296/('Lab Analysis'!M296+(1.765*'Lab Analysis'!K296))),"0")</f>
        <v>0</v>
      </c>
      <c r="K296" s="190" t="str">
        <f>IFERROR(((2*('Lab Analysis'!M296/60))+('Lab Analysis'!K296/17))/(('Lab Analysis'!L296/44)+('Lab Analysis'!M296/60)),"0")</f>
        <v>0</v>
      </c>
      <c r="L296" s="190" t="str">
        <f>IFERROR((('Lab Analysis'!N296/18)-('Lab Analysis'!M296/60))/(('Lab Analysis'!L296/44)+('Lab Analysis'!M296/60)),"0")</f>
        <v>0</v>
      </c>
      <c r="M296" s="187" t="str">
        <f>IFERROR(((2*('Lab Analysis'!U296/60))+('Lab Analysis'!S296/17))/(('Lab Analysis'!T296/44)+('Lab Analysis'!U296/60)),"0")</f>
        <v>0</v>
      </c>
      <c r="N296" s="187" t="str">
        <f>IFERROR((('Lab Analysis'!V296/18)-('Lab Analysis'!U296/60))/(('Lab Analysis'!T296/44)+('Lab Analysis'!U296/60)),"0")</f>
        <v>0</v>
      </c>
      <c r="O296" s="187" t="str">
        <f>IFERROR(((2*('Lab Analysis'!Y296/60)+('Lab Analysis'!W296/17))/(('Lab Analysis'!X296/44)+('Lab Analysis'!Y296/60))),"0")</f>
        <v>0</v>
      </c>
      <c r="P296" s="187" t="str">
        <f>IFERROR((('Lab Analysis'!Z296/18)-('Lab Analysis'!Y296/60))/(('Lab Analysis'!X296/44)+('Lab Analysis'!Y296/60)),"0")</f>
        <v>0</v>
      </c>
      <c r="Q296" s="191"/>
    </row>
    <row r="297" spans="1:17">
      <c r="A297" s="185">
        <v>46111</v>
      </c>
      <c r="B297" s="186" t="str">
        <f>IFERROR(('Lab Analysis'!E297/('Lab Analysis'!E297+(1.364*'Lab Analysis'!D297))),"0")</f>
        <v>0</v>
      </c>
      <c r="C297" s="186" t="str">
        <f>IFERROR((2*'Lab Analysis'!E297/60)/('Lab Analysis'!C297/17+(2*'Lab Analysis'!E297/60)),"0")</f>
        <v>0</v>
      </c>
      <c r="D297" s="187" t="str">
        <f>IFERROR(((2*('Lab Analysis'!E297/60)+('Lab Analysis'!C297/17))/(('Lab Analysis'!D297/44)+('Lab Analysis'!E297/60))),"0")</f>
        <v>0</v>
      </c>
      <c r="E297" s="187" t="str">
        <f>IFERROR((('Lab Analysis'!F297/18)-('Lab Analysis'!E297/60))/(('Lab Analysis'!D297/44)+('Lab Analysis'!E297/60)),"0")</f>
        <v>0</v>
      </c>
      <c r="F297" s="187" t="str">
        <f>IFERROR((('Lab Analysis'!F297/18)/('Lab Analysis'!E297/60)),"0")</f>
        <v>0</v>
      </c>
      <c r="G297" s="188" t="str">
        <f>IFERROR(('Lab Analysis'!I297/('Lab Analysis'!I297+(1.765*'Lab Analysis'!G297))),"0")</f>
        <v>0</v>
      </c>
      <c r="H297" s="189" t="str">
        <f>IFERROR(((2*('Lab Analysis'!I297/60))+('Lab Analysis'!G297/17))/(('Lab Analysis'!H297/44)+('Lab Analysis'!I297/60)),"0")</f>
        <v>0</v>
      </c>
      <c r="I297" s="189" t="str">
        <f>IFERROR((('Lab Analysis'!J297/18)-('Lab Analysis'!I297/60))/(('Lab Analysis'!H297/44)+('Lab Analysis'!I297/60)),"0")</f>
        <v>0</v>
      </c>
      <c r="J297" s="186" t="str">
        <f>IFERROR(('Lab Analysis'!M297/('Lab Analysis'!M297+(1.765*'Lab Analysis'!K297))),"0")</f>
        <v>0</v>
      </c>
      <c r="K297" s="190" t="str">
        <f>IFERROR(((2*('Lab Analysis'!M297/60))+('Lab Analysis'!K297/17))/(('Lab Analysis'!L297/44)+('Lab Analysis'!M297/60)),"0")</f>
        <v>0</v>
      </c>
      <c r="L297" s="190" t="str">
        <f>IFERROR((('Lab Analysis'!N297/18)-('Lab Analysis'!M297/60))/(('Lab Analysis'!L297/44)+('Lab Analysis'!M297/60)),"0")</f>
        <v>0</v>
      </c>
      <c r="M297" s="187" t="str">
        <f>IFERROR(((2*('Lab Analysis'!U297/60))+('Lab Analysis'!S297/17))/(('Lab Analysis'!T297/44)+('Lab Analysis'!U297/60)),"0")</f>
        <v>0</v>
      </c>
      <c r="N297" s="187" t="str">
        <f>IFERROR((('Lab Analysis'!V297/18)-('Lab Analysis'!U297/60))/(('Lab Analysis'!T297/44)+('Lab Analysis'!U297/60)),"0")</f>
        <v>0</v>
      </c>
      <c r="O297" s="187" t="str">
        <f>IFERROR(((2*('Lab Analysis'!Y297/60)+('Lab Analysis'!W297/17))/(('Lab Analysis'!X297/44)+('Lab Analysis'!Y297/60))),"0")</f>
        <v>0</v>
      </c>
      <c r="P297" s="187" t="str">
        <f>IFERROR((('Lab Analysis'!Z297/18)-('Lab Analysis'!Y297/60))/(('Lab Analysis'!X297/44)+('Lab Analysis'!Y297/60)),"0")</f>
        <v>0</v>
      </c>
      <c r="Q297" s="191"/>
    </row>
    <row r="298" spans="1:17">
      <c r="A298" s="185">
        <v>46112</v>
      </c>
      <c r="B298" s="186" t="str">
        <f>IFERROR(('Lab Analysis'!E298/('Lab Analysis'!E298+(1.364*'Lab Analysis'!D298))),"0")</f>
        <v>0</v>
      </c>
      <c r="C298" s="186" t="str">
        <f>IFERROR((2*'Lab Analysis'!E298/60)/('Lab Analysis'!C298/17+(2*'Lab Analysis'!E298/60)),"0")</f>
        <v>0</v>
      </c>
      <c r="D298" s="187" t="str">
        <f>IFERROR(((2*('Lab Analysis'!E298/60)+('Lab Analysis'!C298/17))/(('Lab Analysis'!D298/44)+('Lab Analysis'!E298/60))),"0")</f>
        <v>0</v>
      </c>
      <c r="E298" s="187" t="str">
        <f>IFERROR((('Lab Analysis'!F298/18)-('Lab Analysis'!E298/60))/(('Lab Analysis'!D298/44)+('Lab Analysis'!E298/60)),"0")</f>
        <v>0</v>
      </c>
      <c r="F298" s="187" t="str">
        <f>IFERROR((('Lab Analysis'!F298/18)/('Lab Analysis'!E298/60)),"0")</f>
        <v>0</v>
      </c>
      <c r="G298" s="188" t="str">
        <f>IFERROR(('Lab Analysis'!I298/('Lab Analysis'!I298+(1.765*'Lab Analysis'!G298))),"0")</f>
        <v>0</v>
      </c>
      <c r="H298" s="189" t="str">
        <f>IFERROR(((2*('Lab Analysis'!I298/60))+('Lab Analysis'!G298/17))/(('Lab Analysis'!H298/44)+('Lab Analysis'!I298/60)),"0")</f>
        <v>0</v>
      </c>
      <c r="I298" s="189" t="str">
        <f>IFERROR((('Lab Analysis'!J298/18)-('Lab Analysis'!I298/60))/(('Lab Analysis'!H298/44)+('Lab Analysis'!I298/60)),"0")</f>
        <v>0</v>
      </c>
      <c r="J298" s="186" t="str">
        <f>IFERROR(('Lab Analysis'!M298/('Lab Analysis'!M298+(1.765*'Lab Analysis'!K298))),"0")</f>
        <v>0</v>
      </c>
      <c r="K298" s="190" t="str">
        <f>IFERROR(((2*('Lab Analysis'!M298/60))+('Lab Analysis'!K298/17))/(('Lab Analysis'!L298/44)+('Lab Analysis'!M298/60)),"0")</f>
        <v>0</v>
      </c>
      <c r="L298" s="190" t="str">
        <f>IFERROR((('Lab Analysis'!N298/18)-('Lab Analysis'!M298/60))/(('Lab Analysis'!L298/44)+('Lab Analysis'!M298/60)),"0")</f>
        <v>0</v>
      </c>
      <c r="M298" s="187" t="str">
        <f>IFERROR(((2*('Lab Analysis'!U298/60))+('Lab Analysis'!S298/17))/(('Lab Analysis'!T298/44)+('Lab Analysis'!U298/60)),"0")</f>
        <v>0</v>
      </c>
      <c r="N298" s="187" t="str">
        <f>IFERROR((('Lab Analysis'!V298/18)-('Lab Analysis'!U298/60))/(('Lab Analysis'!T298/44)+('Lab Analysis'!U298/60)),"0")</f>
        <v>0</v>
      </c>
      <c r="O298" s="187" t="str">
        <f>IFERROR(((2*('Lab Analysis'!Y298/60)+('Lab Analysis'!W298/17))/(('Lab Analysis'!X298/44)+('Lab Analysis'!Y298/60))),"0")</f>
        <v>0</v>
      </c>
      <c r="P298" s="187" t="str">
        <f>IFERROR((('Lab Analysis'!Z298/18)-('Lab Analysis'!Y298/60))/(('Lab Analysis'!X298/44)+('Lab Analysis'!Y298/60)),"0")</f>
        <v>0</v>
      </c>
      <c r="Q298" s="191"/>
    </row>
    <row r="299" spans="1:17">
      <c r="A299" s="185">
        <v>46113</v>
      </c>
      <c r="B299" s="186" t="str">
        <f>IFERROR(('Lab Analysis'!E299/('Lab Analysis'!E299+(1.364*'Lab Analysis'!D299))),"0")</f>
        <v>0</v>
      </c>
      <c r="C299" s="186" t="str">
        <f>IFERROR((2*'Lab Analysis'!E299/60)/('Lab Analysis'!C299/17+(2*'Lab Analysis'!E299/60)),"0")</f>
        <v>0</v>
      </c>
      <c r="D299" s="187" t="str">
        <f>IFERROR(((2*('Lab Analysis'!E299/60)+('Lab Analysis'!C299/17))/(('Lab Analysis'!D299/44)+('Lab Analysis'!E299/60))),"0")</f>
        <v>0</v>
      </c>
      <c r="E299" s="187" t="str">
        <f>IFERROR((('Lab Analysis'!F299/18)-('Lab Analysis'!E299/60))/(('Lab Analysis'!D299/44)+('Lab Analysis'!E299/60)),"0")</f>
        <v>0</v>
      </c>
      <c r="F299" s="187" t="str">
        <f>IFERROR((('Lab Analysis'!F299/18)/('Lab Analysis'!E299/60)),"0")</f>
        <v>0</v>
      </c>
      <c r="G299" s="188" t="str">
        <f>IFERROR(('Lab Analysis'!I299/('Lab Analysis'!I299+(1.765*'Lab Analysis'!G299))),"0")</f>
        <v>0</v>
      </c>
      <c r="H299" s="189" t="str">
        <f>IFERROR(((2*('Lab Analysis'!I299/60))+('Lab Analysis'!G299/17))/(('Lab Analysis'!H299/44)+('Lab Analysis'!I299/60)),"0")</f>
        <v>0</v>
      </c>
      <c r="I299" s="189" t="str">
        <f>IFERROR((('Lab Analysis'!J299/18)-('Lab Analysis'!I299/60))/(('Lab Analysis'!H299/44)+('Lab Analysis'!I299/60)),"0")</f>
        <v>0</v>
      </c>
      <c r="J299" s="186" t="str">
        <f>IFERROR(('Lab Analysis'!M299/('Lab Analysis'!M299+(1.765*'Lab Analysis'!K299))),"0")</f>
        <v>0</v>
      </c>
      <c r="K299" s="190" t="str">
        <f>IFERROR(((2*('Lab Analysis'!M299/60))+('Lab Analysis'!K299/17))/(('Lab Analysis'!L299/44)+('Lab Analysis'!M299/60)),"0")</f>
        <v>0</v>
      </c>
      <c r="L299" s="190" t="str">
        <f>IFERROR((('Lab Analysis'!N299/18)-('Lab Analysis'!M299/60))/(('Lab Analysis'!L299/44)+('Lab Analysis'!M299/60)),"0")</f>
        <v>0</v>
      </c>
      <c r="M299" s="187" t="str">
        <f>IFERROR(((2*('Lab Analysis'!U299/60))+('Lab Analysis'!S299/17))/(('Lab Analysis'!T299/44)+('Lab Analysis'!U299/60)),"0")</f>
        <v>0</v>
      </c>
      <c r="N299" s="187" t="str">
        <f>IFERROR((('Lab Analysis'!V299/18)-('Lab Analysis'!U299/60))/(('Lab Analysis'!T299/44)+('Lab Analysis'!U299/60)),"0")</f>
        <v>0</v>
      </c>
      <c r="O299" s="187" t="str">
        <f>IFERROR(((2*('Lab Analysis'!Y299/60)+('Lab Analysis'!W299/17))/(('Lab Analysis'!X299/44)+('Lab Analysis'!Y299/60))),"0")</f>
        <v>0</v>
      </c>
      <c r="P299" s="187" t="str">
        <f>IFERROR((('Lab Analysis'!Z299/18)-('Lab Analysis'!Y299/60))/(('Lab Analysis'!X299/44)+('Lab Analysis'!Y299/60)),"0")</f>
        <v>0</v>
      </c>
      <c r="Q299" s="191"/>
    </row>
    <row r="300" spans="1:17">
      <c r="A300" s="185">
        <v>46114</v>
      </c>
      <c r="B300" s="186" t="str">
        <f>IFERROR(('Lab Analysis'!E300/('Lab Analysis'!E300+(1.364*'Lab Analysis'!D300))),"0")</f>
        <v>0</v>
      </c>
      <c r="C300" s="186" t="str">
        <f>IFERROR((2*'Lab Analysis'!E300/60)/('Lab Analysis'!C300/17+(2*'Lab Analysis'!E300/60)),"0")</f>
        <v>0</v>
      </c>
      <c r="D300" s="187" t="str">
        <f>IFERROR(((2*('Lab Analysis'!E300/60)+('Lab Analysis'!C300/17))/(('Lab Analysis'!D300/44)+('Lab Analysis'!E300/60))),"0")</f>
        <v>0</v>
      </c>
      <c r="E300" s="187" t="str">
        <f>IFERROR((('Lab Analysis'!F300/18)-('Lab Analysis'!E300/60))/(('Lab Analysis'!D300/44)+('Lab Analysis'!E300/60)),"0")</f>
        <v>0</v>
      </c>
      <c r="F300" s="187" t="str">
        <f>IFERROR((('Lab Analysis'!F300/18)/('Lab Analysis'!E300/60)),"0")</f>
        <v>0</v>
      </c>
      <c r="G300" s="188" t="str">
        <f>IFERROR(('Lab Analysis'!I300/('Lab Analysis'!I300+(1.765*'Lab Analysis'!G300))),"0")</f>
        <v>0</v>
      </c>
      <c r="H300" s="189" t="str">
        <f>IFERROR(((2*('Lab Analysis'!I300/60))+('Lab Analysis'!G300/17))/(('Lab Analysis'!H300/44)+('Lab Analysis'!I300/60)),"0")</f>
        <v>0</v>
      </c>
      <c r="I300" s="189" t="str">
        <f>IFERROR((('Lab Analysis'!J300/18)-('Lab Analysis'!I300/60))/(('Lab Analysis'!H300/44)+('Lab Analysis'!I300/60)),"0")</f>
        <v>0</v>
      </c>
      <c r="J300" s="186" t="str">
        <f>IFERROR(('Lab Analysis'!M300/('Lab Analysis'!M300+(1.765*'Lab Analysis'!K300))),"0")</f>
        <v>0</v>
      </c>
      <c r="K300" s="190" t="str">
        <f>IFERROR(((2*('Lab Analysis'!M300/60))+('Lab Analysis'!K300/17))/(('Lab Analysis'!L300/44)+('Lab Analysis'!M300/60)),"0")</f>
        <v>0</v>
      </c>
      <c r="L300" s="190" t="str">
        <f>IFERROR((('Lab Analysis'!N300/18)-('Lab Analysis'!M300/60))/(('Lab Analysis'!L300/44)+('Lab Analysis'!M300/60)),"0")</f>
        <v>0</v>
      </c>
      <c r="M300" s="187" t="str">
        <f>IFERROR(((2*('Lab Analysis'!U300/60))+('Lab Analysis'!S300/17))/(('Lab Analysis'!T300/44)+('Lab Analysis'!U300/60)),"0")</f>
        <v>0</v>
      </c>
      <c r="N300" s="187" t="str">
        <f>IFERROR((('Lab Analysis'!V300/18)-('Lab Analysis'!U300/60))/(('Lab Analysis'!T300/44)+('Lab Analysis'!U300/60)),"0")</f>
        <v>0</v>
      </c>
      <c r="O300" s="187" t="str">
        <f>IFERROR(((2*('Lab Analysis'!Y300/60)+('Lab Analysis'!W300/17))/(('Lab Analysis'!X300/44)+('Lab Analysis'!Y300/60))),"0")</f>
        <v>0</v>
      </c>
      <c r="P300" s="187" t="str">
        <f>IFERROR((('Lab Analysis'!Z300/18)-('Lab Analysis'!Y300/60))/(('Lab Analysis'!X300/44)+('Lab Analysis'!Y300/60)),"0")</f>
        <v>0</v>
      </c>
      <c r="Q300" s="191"/>
    </row>
    <row r="301" spans="1:17">
      <c r="A301" s="185">
        <v>46115</v>
      </c>
      <c r="B301" s="186" t="str">
        <f>IFERROR(('Lab Analysis'!E301/('Lab Analysis'!E301+(1.364*'Lab Analysis'!D301))),"0")</f>
        <v>0</v>
      </c>
      <c r="C301" s="186" t="str">
        <f>IFERROR((2*'Lab Analysis'!E301/60)/('Lab Analysis'!C301/17+(2*'Lab Analysis'!E301/60)),"0")</f>
        <v>0</v>
      </c>
      <c r="D301" s="187" t="str">
        <f>IFERROR(((2*('Lab Analysis'!E301/60)+('Lab Analysis'!C301/17))/(('Lab Analysis'!D301/44)+('Lab Analysis'!E301/60))),"0")</f>
        <v>0</v>
      </c>
      <c r="E301" s="187" t="str">
        <f>IFERROR((('Lab Analysis'!F301/18)-('Lab Analysis'!E301/60))/(('Lab Analysis'!D301/44)+('Lab Analysis'!E301/60)),"0")</f>
        <v>0</v>
      </c>
      <c r="F301" s="187" t="str">
        <f>IFERROR((('Lab Analysis'!F301/18)/('Lab Analysis'!E301/60)),"0")</f>
        <v>0</v>
      </c>
      <c r="G301" s="188" t="str">
        <f>IFERROR(('Lab Analysis'!I301/('Lab Analysis'!I301+(1.765*'Lab Analysis'!G301))),"0")</f>
        <v>0</v>
      </c>
      <c r="H301" s="189" t="str">
        <f>IFERROR(((2*('Lab Analysis'!I301/60))+('Lab Analysis'!G301/17))/(('Lab Analysis'!H301/44)+('Lab Analysis'!I301/60)),"0")</f>
        <v>0</v>
      </c>
      <c r="I301" s="189" t="str">
        <f>IFERROR((('Lab Analysis'!J301/18)-('Lab Analysis'!I301/60))/(('Lab Analysis'!H301/44)+('Lab Analysis'!I301/60)),"0")</f>
        <v>0</v>
      </c>
      <c r="J301" s="186" t="str">
        <f>IFERROR(('Lab Analysis'!M301/('Lab Analysis'!M301+(1.765*'Lab Analysis'!K301))),"0")</f>
        <v>0</v>
      </c>
      <c r="K301" s="190" t="str">
        <f>IFERROR(((2*('Lab Analysis'!M301/60))+('Lab Analysis'!K301/17))/(('Lab Analysis'!L301/44)+('Lab Analysis'!M301/60)),"0")</f>
        <v>0</v>
      </c>
      <c r="L301" s="190" t="str">
        <f>IFERROR((('Lab Analysis'!N301/18)-('Lab Analysis'!M301/60))/(('Lab Analysis'!L301/44)+('Lab Analysis'!M301/60)),"0")</f>
        <v>0</v>
      </c>
      <c r="M301" s="187" t="str">
        <f>IFERROR(((2*('Lab Analysis'!U301/60))+('Lab Analysis'!S301/17))/(('Lab Analysis'!T301/44)+('Lab Analysis'!U301/60)),"0")</f>
        <v>0</v>
      </c>
      <c r="N301" s="187" t="str">
        <f>IFERROR((('Lab Analysis'!V301/18)-('Lab Analysis'!U301/60))/(('Lab Analysis'!T301/44)+('Lab Analysis'!U301/60)),"0")</f>
        <v>0</v>
      </c>
      <c r="O301" s="187" t="str">
        <f>IFERROR(((2*('Lab Analysis'!Y301/60)+('Lab Analysis'!W301/17))/(('Lab Analysis'!X301/44)+('Lab Analysis'!Y301/60))),"0")</f>
        <v>0</v>
      </c>
      <c r="P301" s="187" t="str">
        <f>IFERROR((('Lab Analysis'!Z301/18)-('Lab Analysis'!Y301/60))/(('Lab Analysis'!X301/44)+('Lab Analysis'!Y301/60)),"0")</f>
        <v>0</v>
      </c>
      <c r="Q301" s="191"/>
    </row>
    <row r="302" spans="1:17">
      <c r="A302" s="185">
        <v>46116</v>
      </c>
      <c r="B302" s="186" t="str">
        <f>IFERROR(('Lab Analysis'!E302/('Lab Analysis'!E302+(1.364*'Lab Analysis'!D302))),"0")</f>
        <v>0</v>
      </c>
      <c r="C302" s="186" t="str">
        <f>IFERROR((2*'Lab Analysis'!E302/60)/('Lab Analysis'!C302/17+(2*'Lab Analysis'!E302/60)),"0")</f>
        <v>0</v>
      </c>
      <c r="D302" s="187" t="str">
        <f>IFERROR(((2*('Lab Analysis'!E302/60)+('Lab Analysis'!C302/17))/(('Lab Analysis'!D302/44)+('Lab Analysis'!E302/60))),"0")</f>
        <v>0</v>
      </c>
      <c r="E302" s="187" t="str">
        <f>IFERROR((('Lab Analysis'!F302/18)-('Lab Analysis'!E302/60))/(('Lab Analysis'!D302/44)+('Lab Analysis'!E302/60)),"0")</f>
        <v>0</v>
      </c>
      <c r="F302" s="187" t="str">
        <f>IFERROR((('Lab Analysis'!F302/18)/('Lab Analysis'!E302/60)),"0")</f>
        <v>0</v>
      </c>
      <c r="G302" s="188" t="str">
        <f>IFERROR(('Lab Analysis'!I302/('Lab Analysis'!I302+(1.765*'Lab Analysis'!G302))),"0")</f>
        <v>0</v>
      </c>
      <c r="H302" s="189" t="str">
        <f>IFERROR(((2*('Lab Analysis'!I302/60))+('Lab Analysis'!G302/17))/(('Lab Analysis'!H302/44)+('Lab Analysis'!I302/60)),"0")</f>
        <v>0</v>
      </c>
      <c r="I302" s="189" t="str">
        <f>IFERROR((('Lab Analysis'!J302/18)-('Lab Analysis'!I302/60))/(('Lab Analysis'!H302/44)+('Lab Analysis'!I302/60)),"0")</f>
        <v>0</v>
      </c>
      <c r="J302" s="186" t="str">
        <f>IFERROR(('Lab Analysis'!M302/('Lab Analysis'!M302+(1.765*'Lab Analysis'!K302))),"0")</f>
        <v>0</v>
      </c>
      <c r="K302" s="190" t="str">
        <f>IFERROR(((2*('Lab Analysis'!M302/60))+('Lab Analysis'!K302/17))/(('Lab Analysis'!L302/44)+('Lab Analysis'!M302/60)),"0")</f>
        <v>0</v>
      </c>
      <c r="L302" s="190" t="str">
        <f>IFERROR((('Lab Analysis'!N302/18)-('Lab Analysis'!M302/60))/(('Lab Analysis'!L302/44)+('Lab Analysis'!M302/60)),"0")</f>
        <v>0</v>
      </c>
      <c r="M302" s="187" t="str">
        <f>IFERROR(((2*('Lab Analysis'!U302/60))+('Lab Analysis'!S302/17))/(('Lab Analysis'!T302/44)+('Lab Analysis'!U302/60)),"0")</f>
        <v>0</v>
      </c>
      <c r="N302" s="187" t="str">
        <f>IFERROR((('Lab Analysis'!V302/18)-('Lab Analysis'!U302/60))/(('Lab Analysis'!T302/44)+('Lab Analysis'!U302/60)),"0")</f>
        <v>0</v>
      </c>
      <c r="O302" s="187" t="str">
        <f>IFERROR(((2*('Lab Analysis'!Y302/60)+('Lab Analysis'!W302/17))/(('Lab Analysis'!X302/44)+('Lab Analysis'!Y302/60))),"0")</f>
        <v>0</v>
      </c>
      <c r="P302" s="187" t="str">
        <f>IFERROR((('Lab Analysis'!Z302/18)-('Lab Analysis'!Y302/60))/(('Lab Analysis'!X302/44)+('Lab Analysis'!Y302/60)),"0")</f>
        <v>0</v>
      </c>
      <c r="Q302" s="191"/>
    </row>
    <row r="303" spans="1:17">
      <c r="A303" s="185">
        <v>46117</v>
      </c>
      <c r="B303" s="186" t="str">
        <f>IFERROR(('Lab Analysis'!E303/('Lab Analysis'!E303+(1.364*'Lab Analysis'!D303))),"0")</f>
        <v>0</v>
      </c>
      <c r="C303" s="186" t="str">
        <f>IFERROR((2*'Lab Analysis'!E303/60)/('Lab Analysis'!C303/17+(2*'Lab Analysis'!E303/60)),"0")</f>
        <v>0</v>
      </c>
      <c r="D303" s="187" t="str">
        <f>IFERROR(((2*('Lab Analysis'!E303/60)+('Lab Analysis'!C303/17))/(('Lab Analysis'!D303/44)+('Lab Analysis'!E303/60))),"0")</f>
        <v>0</v>
      </c>
      <c r="E303" s="187" t="str">
        <f>IFERROR((('Lab Analysis'!F303/18)-('Lab Analysis'!E303/60))/(('Lab Analysis'!D303/44)+('Lab Analysis'!E303/60)),"0")</f>
        <v>0</v>
      </c>
      <c r="F303" s="187" t="str">
        <f>IFERROR((('Lab Analysis'!F303/18)/('Lab Analysis'!E303/60)),"0")</f>
        <v>0</v>
      </c>
      <c r="G303" s="188" t="str">
        <f>IFERROR(('Lab Analysis'!I303/('Lab Analysis'!I303+(1.765*'Lab Analysis'!G303))),"0")</f>
        <v>0</v>
      </c>
      <c r="H303" s="189" t="str">
        <f>IFERROR(((2*('Lab Analysis'!I303/60))+('Lab Analysis'!G303/17))/(('Lab Analysis'!H303/44)+('Lab Analysis'!I303/60)),"0")</f>
        <v>0</v>
      </c>
      <c r="I303" s="189" t="str">
        <f>IFERROR((('Lab Analysis'!J303/18)-('Lab Analysis'!I303/60))/(('Lab Analysis'!H303/44)+('Lab Analysis'!I303/60)),"0")</f>
        <v>0</v>
      </c>
      <c r="J303" s="186" t="str">
        <f>IFERROR(('Lab Analysis'!M303/('Lab Analysis'!M303+(1.765*'Lab Analysis'!K303))),"0")</f>
        <v>0</v>
      </c>
      <c r="K303" s="190" t="str">
        <f>IFERROR(((2*('Lab Analysis'!M303/60))+('Lab Analysis'!K303/17))/(('Lab Analysis'!L303/44)+('Lab Analysis'!M303/60)),"0")</f>
        <v>0</v>
      </c>
      <c r="L303" s="190" t="str">
        <f>IFERROR((('Lab Analysis'!N303/18)-('Lab Analysis'!M303/60))/(('Lab Analysis'!L303/44)+('Lab Analysis'!M303/60)),"0")</f>
        <v>0</v>
      </c>
      <c r="M303" s="187" t="str">
        <f>IFERROR(((2*('Lab Analysis'!U303/60))+('Lab Analysis'!S303/17))/(('Lab Analysis'!T303/44)+('Lab Analysis'!U303/60)),"0")</f>
        <v>0</v>
      </c>
      <c r="N303" s="187" t="str">
        <f>IFERROR((('Lab Analysis'!V303/18)-('Lab Analysis'!U303/60))/(('Lab Analysis'!T303/44)+('Lab Analysis'!U303/60)),"0")</f>
        <v>0</v>
      </c>
      <c r="O303" s="187" t="str">
        <f>IFERROR(((2*('Lab Analysis'!Y303/60)+('Lab Analysis'!W303/17))/(('Lab Analysis'!X303/44)+('Lab Analysis'!Y303/60))),"0")</f>
        <v>0</v>
      </c>
      <c r="P303" s="187" t="str">
        <f>IFERROR((('Lab Analysis'!Z303/18)-('Lab Analysis'!Y303/60))/(('Lab Analysis'!X303/44)+('Lab Analysis'!Y303/60)),"0")</f>
        <v>0</v>
      </c>
      <c r="Q303" s="191"/>
    </row>
    <row r="304" spans="1:17">
      <c r="A304" s="185">
        <v>46118</v>
      </c>
      <c r="B304" s="186" t="str">
        <f>IFERROR(('Lab Analysis'!E304/('Lab Analysis'!E304+(1.364*'Lab Analysis'!D304))),"0")</f>
        <v>0</v>
      </c>
      <c r="C304" s="186" t="str">
        <f>IFERROR((2*'Lab Analysis'!E304/60)/('Lab Analysis'!C304/17+(2*'Lab Analysis'!E304/60)),"0")</f>
        <v>0</v>
      </c>
      <c r="D304" s="187" t="str">
        <f>IFERROR(((2*('Lab Analysis'!E304/60)+('Lab Analysis'!C304/17))/(('Lab Analysis'!D304/44)+('Lab Analysis'!E304/60))),"0")</f>
        <v>0</v>
      </c>
      <c r="E304" s="187" t="str">
        <f>IFERROR((('Lab Analysis'!F304/18)-('Lab Analysis'!E304/60))/(('Lab Analysis'!D304/44)+('Lab Analysis'!E304/60)),"0")</f>
        <v>0</v>
      </c>
      <c r="F304" s="187" t="str">
        <f>IFERROR((('Lab Analysis'!F304/18)/('Lab Analysis'!E304/60)),"0")</f>
        <v>0</v>
      </c>
      <c r="G304" s="188" t="str">
        <f>IFERROR(('Lab Analysis'!I304/('Lab Analysis'!I304+(1.765*'Lab Analysis'!G304))),"0")</f>
        <v>0</v>
      </c>
      <c r="H304" s="189" t="str">
        <f>IFERROR(((2*('Lab Analysis'!I304/60))+('Lab Analysis'!G304/17))/(('Lab Analysis'!H304/44)+('Lab Analysis'!I304/60)),"0")</f>
        <v>0</v>
      </c>
      <c r="I304" s="189" t="str">
        <f>IFERROR((('Lab Analysis'!J304/18)-('Lab Analysis'!I304/60))/(('Lab Analysis'!H304/44)+('Lab Analysis'!I304/60)),"0")</f>
        <v>0</v>
      </c>
      <c r="J304" s="186" t="str">
        <f>IFERROR(('Lab Analysis'!M304/('Lab Analysis'!M304+(1.765*'Lab Analysis'!K304))),"0")</f>
        <v>0</v>
      </c>
      <c r="K304" s="190" t="str">
        <f>IFERROR(((2*('Lab Analysis'!M304/60))+('Lab Analysis'!K304/17))/(('Lab Analysis'!L304/44)+('Lab Analysis'!M304/60)),"0")</f>
        <v>0</v>
      </c>
      <c r="L304" s="190" t="str">
        <f>IFERROR((('Lab Analysis'!N304/18)-('Lab Analysis'!M304/60))/(('Lab Analysis'!L304/44)+('Lab Analysis'!M304/60)),"0")</f>
        <v>0</v>
      </c>
      <c r="M304" s="187" t="str">
        <f>IFERROR(((2*('Lab Analysis'!U304/60))+('Lab Analysis'!S304/17))/(('Lab Analysis'!T304/44)+('Lab Analysis'!U304/60)),"0")</f>
        <v>0</v>
      </c>
      <c r="N304" s="187" t="str">
        <f>IFERROR((('Lab Analysis'!V304/18)-('Lab Analysis'!U304/60))/(('Lab Analysis'!T304/44)+('Lab Analysis'!U304/60)),"0")</f>
        <v>0</v>
      </c>
      <c r="O304" s="187" t="str">
        <f>IFERROR(((2*('Lab Analysis'!Y304/60)+('Lab Analysis'!W304/17))/(('Lab Analysis'!X304/44)+('Lab Analysis'!Y304/60))),"0")</f>
        <v>0</v>
      </c>
      <c r="P304" s="187" t="str">
        <f>IFERROR((('Lab Analysis'!Z304/18)-('Lab Analysis'!Y304/60))/(('Lab Analysis'!X304/44)+('Lab Analysis'!Y304/60)),"0")</f>
        <v>0</v>
      </c>
      <c r="Q304" s="191"/>
    </row>
    <row r="305" spans="1:17">
      <c r="A305" s="185">
        <v>46119</v>
      </c>
      <c r="B305" s="186" t="str">
        <f>IFERROR(('Lab Analysis'!E305/('Lab Analysis'!E305+(1.364*'Lab Analysis'!D305))),"0")</f>
        <v>0</v>
      </c>
      <c r="C305" s="186" t="str">
        <f>IFERROR((2*'Lab Analysis'!E305/60)/('Lab Analysis'!C305/17+(2*'Lab Analysis'!E305/60)),"0")</f>
        <v>0</v>
      </c>
      <c r="D305" s="187" t="str">
        <f>IFERROR(((2*('Lab Analysis'!E305/60)+('Lab Analysis'!C305/17))/(('Lab Analysis'!D305/44)+('Lab Analysis'!E305/60))),"0")</f>
        <v>0</v>
      </c>
      <c r="E305" s="187" t="str">
        <f>IFERROR((('Lab Analysis'!F305/18)-('Lab Analysis'!E305/60))/(('Lab Analysis'!D305/44)+('Lab Analysis'!E305/60)),"0")</f>
        <v>0</v>
      </c>
      <c r="F305" s="187" t="str">
        <f>IFERROR((('Lab Analysis'!F305/18)/('Lab Analysis'!E305/60)),"0")</f>
        <v>0</v>
      </c>
      <c r="G305" s="188" t="str">
        <f>IFERROR(('Lab Analysis'!I305/('Lab Analysis'!I305+(1.765*'Lab Analysis'!G305))),"0")</f>
        <v>0</v>
      </c>
      <c r="H305" s="189" t="str">
        <f>IFERROR(((2*('Lab Analysis'!I305/60))+('Lab Analysis'!G305/17))/(('Lab Analysis'!H305/44)+('Lab Analysis'!I305/60)),"0")</f>
        <v>0</v>
      </c>
      <c r="I305" s="189" t="str">
        <f>IFERROR((('Lab Analysis'!J305/18)-('Lab Analysis'!I305/60))/(('Lab Analysis'!H305/44)+('Lab Analysis'!I305/60)),"0")</f>
        <v>0</v>
      </c>
      <c r="J305" s="186" t="str">
        <f>IFERROR(('Lab Analysis'!M305/('Lab Analysis'!M305+(1.765*'Lab Analysis'!K305))),"0")</f>
        <v>0</v>
      </c>
      <c r="K305" s="190" t="str">
        <f>IFERROR(((2*('Lab Analysis'!M305/60))+('Lab Analysis'!K305/17))/(('Lab Analysis'!L305/44)+('Lab Analysis'!M305/60)),"0")</f>
        <v>0</v>
      </c>
      <c r="L305" s="190" t="str">
        <f>IFERROR((('Lab Analysis'!N305/18)-('Lab Analysis'!M305/60))/(('Lab Analysis'!L305/44)+('Lab Analysis'!M305/60)),"0")</f>
        <v>0</v>
      </c>
      <c r="M305" s="187" t="str">
        <f>IFERROR(((2*('Lab Analysis'!U305/60))+('Lab Analysis'!S305/17))/(('Lab Analysis'!T305/44)+('Lab Analysis'!U305/60)),"0")</f>
        <v>0</v>
      </c>
      <c r="N305" s="187" t="str">
        <f>IFERROR((('Lab Analysis'!V305/18)-('Lab Analysis'!U305/60))/(('Lab Analysis'!T305/44)+('Lab Analysis'!U305/60)),"0")</f>
        <v>0</v>
      </c>
      <c r="O305" s="187" t="str">
        <f>IFERROR(((2*('Lab Analysis'!Y305/60)+('Lab Analysis'!W305/17))/(('Lab Analysis'!X305/44)+('Lab Analysis'!Y305/60))),"0")</f>
        <v>0</v>
      </c>
      <c r="P305" s="187" t="str">
        <f>IFERROR((('Lab Analysis'!Z305/18)-('Lab Analysis'!Y305/60))/(('Lab Analysis'!X305/44)+('Lab Analysis'!Y305/60)),"0")</f>
        <v>0</v>
      </c>
      <c r="Q305" s="191"/>
    </row>
    <row r="306" spans="1:17">
      <c r="A306" s="185">
        <v>46120</v>
      </c>
      <c r="B306" s="186" t="str">
        <f>IFERROR(('Lab Analysis'!E306/('Lab Analysis'!E306+(1.364*'Lab Analysis'!D306))),"0")</f>
        <v>0</v>
      </c>
      <c r="C306" s="186" t="str">
        <f>IFERROR((2*'Lab Analysis'!E306/60)/('Lab Analysis'!C306/17+(2*'Lab Analysis'!E306/60)),"0")</f>
        <v>0</v>
      </c>
      <c r="D306" s="187" t="str">
        <f>IFERROR(((2*('Lab Analysis'!E306/60)+('Lab Analysis'!C306/17))/(('Lab Analysis'!D306/44)+('Lab Analysis'!E306/60))),"0")</f>
        <v>0</v>
      </c>
      <c r="E306" s="187" t="str">
        <f>IFERROR((('Lab Analysis'!F306/18)-('Lab Analysis'!E306/60))/(('Lab Analysis'!D306/44)+('Lab Analysis'!E306/60)),"0")</f>
        <v>0</v>
      </c>
      <c r="F306" s="187" t="str">
        <f>IFERROR((('Lab Analysis'!F306/18)/('Lab Analysis'!E306/60)),"0")</f>
        <v>0</v>
      </c>
      <c r="G306" s="188" t="str">
        <f>IFERROR(('Lab Analysis'!I306/('Lab Analysis'!I306+(1.765*'Lab Analysis'!G306))),"0")</f>
        <v>0</v>
      </c>
      <c r="H306" s="189" t="str">
        <f>IFERROR(((2*('Lab Analysis'!I306/60))+('Lab Analysis'!G306/17))/(('Lab Analysis'!H306/44)+('Lab Analysis'!I306/60)),"0")</f>
        <v>0</v>
      </c>
      <c r="I306" s="189" t="str">
        <f>IFERROR((('Lab Analysis'!J306/18)-('Lab Analysis'!I306/60))/(('Lab Analysis'!H306/44)+('Lab Analysis'!I306/60)),"0")</f>
        <v>0</v>
      </c>
      <c r="J306" s="186" t="str">
        <f>IFERROR(('Lab Analysis'!M306/('Lab Analysis'!M306+(1.765*'Lab Analysis'!K306))),"0")</f>
        <v>0</v>
      </c>
      <c r="K306" s="190" t="str">
        <f>IFERROR(((2*('Lab Analysis'!M306/60))+('Lab Analysis'!K306/17))/(('Lab Analysis'!L306/44)+('Lab Analysis'!M306/60)),"0")</f>
        <v>0</v>
      </c>
      <c r="L306" s="190" t="str">
        <f>IFERROR((('Lab Analysis'!N306/18)-('Lab Analysis'!M306/60))/(('Lab Analysis'!L306/44)+('Lab Analysis'!M306/60)),"0")</f>
        <v>0</v>
      </c>
      <c r="M306" s="187" t="str">
        <f>IFERROR(((2*('Lab Analysis'!U306/60))+('Lab Analysis'!S306/17))/(('Lab Analysis'!T306/44)+('Lab Analysis'!U306/60)),"0")</f>
        <v>0</v>
      </c>
      <c r="N306" s="187" t="str">
        <f>IFERROR((('Lab Analysis'!V306/18)-('Lab Analysis'!U306/60))/(('Lab Analysis'!T306/44)+('Lab Analysis'!U306/60)),"0")</f>
        <v>0</v>
      </c>
      <c r="O306" s="187" t="str">
        <f>IFERROR(((2*('Lab Analysis'!Y306/60)+('Lab Analysis'!W306/17))/(('Lab Analysis'!X306/44)+('Lab Analysis'!Y306/60))),"0")</f>
        <v>0</v>
      </c>
      <c r="P306" s="187" t="str">
        <f>IFERROR((('Lab Analysis'!Z306/18)-('Lab Analysis'!Y306/60))/(('Lab Analysis'!X306/44)+('Lab Analysis'!Y306/60)),"0")</f>
        <v>0</v>
      </c>
      <c r="Q306" s="191"/>
    </row>
    <row r="307" spans="1:17">
      <c r="A307" s="185">
        <v>46121</v>
      </c>
      <c r="B307" s="186" t="str">
        <f>IFERROR(('Lab Analysis'!E307/('Lab Analysis'!E307+(1.364*'Lab Analysis'!D307))),"0")</f>
        <v>0</v>
      </c>
      <c r="C307" s="186" t="str">
        <f>IFERROR((2*'Lab Analysis'!E307/60)/('Lab Analysis'!C307/17+(2*'Lab Analysis'!E307/60)),"0")</f>
        <v>0</v>
      </c>
      <c r="D307" s="187" t="str">
        <f>IFERROR(((2*('Lab Analysis'!E307/60)+('Lab Analysis'!C307/17))/(('Lab Analysis'!D307/44)+('Lab Analysis'!E307/60))),"0")</f>
        <v>0</v>
      </c>
      <c r="E307" s="187" t="str">
        <f>IFERROR((('Lab Analysis'!F307/18)-('Lab Analysis'!E307/60))/(('Lab Analysis'!D307/44)+('Lab Analysis'!E307/60)),"0")</f>
        <v>0</v>
      </c>
      <c r="F307" s="187" t="str">
        <f>IFERROR((('Lab Analysis'!F307/18)/('Lab Analysis'!E307/60)),"0")</f>
        <v>0</v>
      </c>
      <c r="G307" s="188" t="str">
        <f>IFERROR(('Lab Analysis'!I307/('Lab Analysis'!I307+(1.765*'Lab Analysis'!G307))),"0")</f>
        <v>0</v>
      </c>
      <c r="H307" s="189" t="str">
        <f>IFERROR(((2*('Lab Analysis'!I307/60))+('Lab Analysis'!G307/17))/(('Lab Analysis'!H307/44)+('Lab Analysis'!I307/60)),"0")</f>
        <v>0</v>
      </c>
      <c r="I307" s="189" t="str">
        <f>IFERROR((('Lab Analysis'!J307/18)-('Lab Analysis'!I307/60))/(('Lab Analysis'!H307/44)+('Lab Analysis'!I307/60)),"0")</f>
        <v>0</v>
      </c>
      <c r="J307" s="186" t="str">
        <f>IFERROR(('Lab Analysis'!M307/('Lab Analysis'!M307+(1.765*'Lab Analysis'!K307))),"0")</f>
        <v>0</v>
      </c>
      <c r="K307" s="190" t="str">
        <f>IFERROR(((2*('Lab Analysis'!M307/60))+('Lab Analysis'!K307/17))/(('Lab Analysis'!L307/44)+('Lab Analysis'!M307/60)),"0")</f>
        <v>0</v>
      </c>
      <c r="L307" s="190" t="str">
        <f>IFERROR((('Lab Analysis'!N307/18)-('Lab Analysis'!M307/60))/(('Lab Analysis'!L307/44)+('Lab Analysis'!M307/60)),"0")</f>
        <v>0</v>
      </c>
      <c r="M307" s="187" t="str">
        <f>IFERROR(((2*('Lab Analysis'!U307/60))+('Lab Analysis'!S307/17))/(('Lab Analysis'!T307/44)+('Lab Analysis'!U307/60)),"0")</f>
        <v>0</v>
      </c>
      <c r="N307" s="187" t="str">
        <f>IFERROR((('Lab Analysis'!V307/18)-('Lab Analysis'!U307/60))/(('Lab Analysis'!T307/44)+('Lab Analysis'!U307/60)),"0")</f>
        <v>0</v>
      </c>
      <c r="O307" s="187" t="str">
        <f>IFERROR(((2*('Lab Analysis'!Y307/60)+('Lab Analysis'!W307/17))/(('Lab Analysis'!X307/44)+('Lab Analysis'!Y307/60))),"0")</f>
        <v>0</v>
      </c>
      <c r="P307" s="187" t="str">
        <f>IFERROR((('Lab Analysis'!Z307/18)-('Lab Analysis'!Y307/60))/(('Lab Analysis'!X307/44)+('Lab Analysis'!Y307/60)),"0")</f>
        <v>0</v>
      </c>
      <c r="Q307" s="191"/>
    </row>
    <row r="308" spans="1:17">
      <c r="A308" s="185">
        <v>46122</v>
      </c>
      <c r="B308" s="186" t="str">
        <f>IFERROR(('Lab Analysis'!E308/('Lab Analysis'!E308+(1.364*'Lab Analysis'!D308))),"0")</f>
        <v>0</v>
      </c>
      <c r="C308" s="186" t="str">
        <f>IFERROR((2*'Lab Analysis'!E308/60)/('Lab Analysis'!C308/17+(2*'Lab Analysis'!E308/60)),"0")</f>
        <v>0</v>
      </c>
      <c r="D308" s="187" t="str">
        <f>IFERROR(((2*('Lab Analysis'!E308/60)+('Lab Analysis'!C308/17))/(('Lab Analysis'!D308/44)+('Lab Analysis'!E308/60))),"0")</f>
        <v>0</v>
      </c>
      <c r="E308" s="187" t="str">
        <f>IFERROR((('Lab Analysis'!F308/18)-('Lab Analysis'!E308/60))/(('Lab Analysis'!D308/44)+('Lab Analysis'!E308/60)),"0")</f>
        <v>0</v>
      </c>
      <c r="F308" s="187" t="str">
        <f>IFERROR((('Lab Analysis'!F308/18)/('Lab Analysis'!E308/60)),"0")</f>
        <v>0</v>
      </c>
      <c r="G308" s="188" t="str">
        <f>IFERROR(('Lab Analysis'!I308/('Lab Analysis'!I308+(1.765*'Lab Analysis'!G308))),"0")</f>
        <v>0</v>
      </c>
      <c r="H308" s="189" t="str">
        <f>IFERROR(((2*('Lab Analysis'!I308/60))+('Lab Analysis'!G308/17))/(('Lab Analysis'!H308/44)+('Lab Analysis'!I308/60)),"0")</f>
        <v>0</v>
      </c>
      <c r="I308" s="189" t="str">
        <f>IFERROR((('Lab Analysis'!J308/18)-('Lab Analysis'!I308/60))/(('Lab Analysis'!H308/44)+('Lab Analysis'!I308/60)),"0")</f>
        <v>0</v>
      </c>
      <c r="J308" s="186" t="str">
        <f>IFERROR(('Lab Analysis'!M308/('Lab Analysis'!M308+(1.765*'Lab Analysis'!K308))),"0")</f>
        <v>0</v>
      </c>
      <c r="K308" s="190" t="str">
        <f>IFERROR(((2*('Lab Analysis'!M308/60))+('Lab Analysis'!K308/17))/(('Lab Analysis'!L308/44)+('Lab Analysis'!M308/60)),"0")</f>
        <v>0</v>
      </c>
      <c r="L308" s="190" t="str">
        <f>IFERROR((('Lab Analysis'!N308/18)-('Lab Analysis'!M308/60))/(('Lab Analysis'!L308/44)+('Lab Analysis'!M308/60)),"0")</f>
        <v>0</v>
      </c>
      <c r="M308" s="187" t="str">
        <f>IFERROR(((2*('Lab Analysis'!U308/60))+('Lab Analysis'!S308/17))/(('Lab Analysis'!T308/44)+('Lab Analysis'!U308/60)),"0")</f>
        <v>0</v>
      </c>
      <c r="N308" s="187" t="str">
        <f>IFERROR((('Lab Analysis'!V308/18)-('Lab Analysis'!U308/60))/(('Lab Analysis'!T308/44)+('Lab Analysis'!U308/60)),"0")</f>
        <v>0</v>
      </c>
      <c r="O308" s="187" t="str">
        <f>IFERROR(((2*('Lab Analysis'!Y308/60)+('Lab Analysis'!W308/17))/(('Lab Analysis'!X308/44)+('Lab Analysis'!Y308/60))),"0")</f>
        <v>0</v>
      </c>
      <c r="P308" s="187" t="str">
        <f>IFERROR((('Lab Analysis'!Z308/18)-('Lab Analysis'!Y308/60))/(('Lab Analysis'!X308/44)+('Lab Analysis'!Y308/60)),"0")</f>
        <v>0</v>
      </c>
      <c r="Q308" s="191"/>
    </row>
    <row r="309" spans="1:17">
      <c r="A309" s="185">
        <v>46123</v>
      </c>
      <c r="B309" s="186" t="str">
        <f>IFERROR(('Lab Analysis'!E309/('Lab Analysis'!E309+(1.364*'Lab Analysis'!D309))),"0")</f>
        <v>0</v>
      </c>
      <c r="C309" s="186" t="str">
        <f>IFERROR((2*'Lab Analysis'!E309/60)/('Lab Analysis'!C309/17+(2*'Lab Analysis'!E309/60)),"0")</f>
        <v>0</v>
      </c>
      <c r="D309" s="187" t="str">
        <f>IFERROR(((2*('Lab Analysis'!E309/60)+('Lab Analysis'!C309/17))/(('Lab Analysis'!D309/44)+('Lab Analysis'!E309/60))),"0")</f>
        <v>0</v>
      </c>
      <c r="E309" s="187" t="str">
        <f>IFERROR((('Lab Analysis'!F309/18)-('Lab Analysis'!E309/60))/(('Lab Analysis'!D309/44)+('Lab Analysis'!E309/60)),"0")</f>
        <v>0</v>
      </c>
      <c r="F309" s="187" t="str">
        <f>IFERROR((('Lab Analysis'!F309/18)/('Lab Analysis'!E309/60)),"0")</f>
        <v>0</v>
      </c>
      <c r="G309" s="188" t="str">
        <f>IFERROR(('Lab Analysis'!I309/('Lab Analysis'!I309+(1.765*'Lab Analysis'!G309))),"0")</f>
        <v>0</v>
      </c>
      <c r="H309" s="189" t="str">
        <f>IFERROR(((2*('Lab Analysis'!I309/60))+('Lab Analysis'!G309/17))/(('Lab Analysis'!H309/44)+('Lab Analysis'!I309/60)),"0")</f>
        <v>0</v>
      </c>
      <c r="I309" s="189" t="str">
        <f>IFERROR((('Lab Analysis'!J309/18)-('Lab Analysis'!I309/60))/(('Lab Analysis'!H309/44)+('Lab Analysis'!I309/60)),"0")</f>
        <v>0</v>
      </c>
      <c r="J309" s="186" t="str">
        <f>IFERROR(('Lab Analysis'!M309/('Lab Analysis'!M309+(1.765*'Lab Analysis'!K309))),"0")</f>
        <v>0</v>
      </c>
      <c r="K309" s="190" t="str">
        <f>IFERROR(((2*('Lab Analysis'!M309/60))+('Lab Analysis'!K309/17))/(('Lab Analysis'!L309/44)+('Lab Analysis'!M309/60)),"0")</f>
        <v>0</v>
      </c>
      <c r="L309" s="190" t="str">
        <f>IFERROR((('Lab Analysis'!N309/18)-('Lab Analysis'!M309/60))/(('Lab Analysis'!L309/44)+('Lab Analysis'!M309/60)),"0")</f>
        <v>0</v>
      </c>
      <c r="M309" s="187" t="str">
        <f>IFERROR(((2*('Lab Analysis'!U309/60))+('Lab Analysis'!S309/17))/(('Lab Analysis'!T309/44)+('Lab Analysis'!U309/60)),"0")</f>
        <v>0</v>
      </c>
      <c r="N309" s="187" t="str">
        <f>IFERROR((('Lab Analysis'!V309/18)-('Lab Analysis'!U309/60))/(('Lab Analysis'!T309/44)+('Lab Analysis'!U309/60)),"0")</f>
        <v>0</v>
      </c>
      <c r="O309" s="187" t="str">
        <f>IFERROR(((2*('Lab Analysis'!Y309/60)+('Lab Analysis'!W309/17))/(('Lab Analysis'!X309/44)+('Lab Analysis'!Y309/60))),"0")</f>
        <v>0</v>
      </c>
      <c r="P309" s="187" t="str">
        <f>IFERROR((('Lab Analysis'!Z309/18)-('Lab Analysis'!Y309/60))/(('Lab Analysis'!X309/44)+('Lab Analysis'!Y309/60)),"0")</f>
        <v>0</v>
      </c>
      <c r="Q309" s="191"/>
    </row>
    <row r="310" spans="1:17">
      <c r="A310" s="185">
        <v>46124</v>
      </c>
      <c r="B310" s="186" t="str">
        <f>IFERROR(('Lab Analysis'!E310/('Lab Analysis'!E310+(1.364*'Lab Analysis'!D310))),"0")</f>
        <v>0</v>
      </c>
      <c r="C310" s="186" t="str">
        <f>IFERROR((2*'Lab Analysis'!E310/60)/('Lab Analysis'!C310/17+(2*'Lab Analysis'!E310/60)),"0")</f>
        <v>0</v>
      </c>
      <c r="D310" s="187" t="str">
        <f>IFERROR(((2*('Lab Analysis'!E310/60)+('Lab Analysis'!C310/17))/(('Lab Analysis'!D310/44)+('Lab Analysis'!E310/60))),"0")</f>
        <v>0</v>
      </c>
      <c r="E310" s="187" t="str">
        <f>IFERROR((('Lab Analysis'!F310/18)-('Lab Analysis'!E310/60))/(('Lab Analysis'!D310/44)+('Lab Analysis'!E310/60)),"0")</f>
        <v>0</v>
      </c>
      <c r="F310" s="187" t="str">
        <f>IFERROR((('Lab Analysis'!F310/18)/('Lab Analysis'!E310/60)),"0")</f>
        <v>0</v>
      </c>
      <c r="G310" s="188" t="str">
        <f>IFERROR(('Lab Analysis'!I310/('Lab Analysis'!I310+(1.765*'Lab Analysis'!G310))),"0")</f>
        <v>0</v>
      </c>
      <c r="H310" s="189" t="str">
        <f>IFERROR(((2*('Lab Analysis'!I310/60))+('Lab Analysis'!G310/17))/(('Lab Analysis'!H310/44)+('Lab Analysis'!I310/60)),"0")</f>
        <v>0</v>
      </c>
      <c r="I310" s="189" t="str">
        <f>IFERROR((('Lab Analysis'!J310/18)-('Lab Analysis'!I310/60))/(('Lab Analysis'!H310/44)+('Lab Analysis'!I310/60)),"0")</f>
        <v>0</v>
      </c>
      <c r="J310" s="186" t="str">
        <f>IFERROR(('Lab Analysis'!M310/('Lab Analysis'!M310+(1.765*'Lab Analysis'!K310))),"0")</f>
        <v>0</v>
      </c>
      <c r="K310" s="190" t="str">
        <f>IFERROR(((2*('Lab Analysis'!M310/60))+('Lab Analysis'!K310/17))/(('Lab Analysis'!L310/44)+('Lab Analysis'!M310/60)),"0")</f>
        <v>0</v>
      </c>
      <c r="L310" s="190" t="str">
        <f>IFERROR((('Lab Analysis'!N310/18)-('Lab Analysis'!M310/60))/(('Lab Analysis'!L310/44)+('Lab Analysis'!M310/60)),"0")</f>
        <v>0</v>
      </c>
      <c r="M310" s="187" t="str">
        <f>IFERROR(((2*('Lab Analysis'!U310/60))+('Lab Analysis'!S310/17))/(('Lab Analysis'!T310/44)+('Lab Analysis'!U310/60)),"0")</f>
        <v>0</v>
      </c>
      <c r="N310" s="187" t="str">
        <f>IFERROR((('Lab Analysis'!V310/18)-('Lab Analysis'!U310/60))/(('Lab Analysis'!T310/44)+('Lab Analysis'!U310/60)),"0")</f>
        <v>0</v>
      </c>
      <c r="O310" s="187" t="str">
        <f>IFERROR(((2*('Lab Analysis'!Y310/60)+('Lab Analysis'!W310/17))/(('Lab Analysis'!X310/44)+('Lab Analysis'!Y310/60))),"0")</f>
        <v>0</v>
      </c>
      <c r="P310" s="187" t="str">
        <f>IFERROR((('Lab Analysis'!Z310/18)-('Lab Analysis'!Y310/60))/(('Lab Analysis'!X310/44)+('Lab Analysis'!Y310/60)),"0")</f>
        <v>0</v>
      </c>
      <c r="Q310" s="191"/>
    </row>
    <row r="311" spans="1:17">
      <c r="A311" s="185">
        <v>46125</v>
      </c>
      <c r="B311" s="186" t="str">
        <f>IFERROR(('Lab Analysis'!E311/('Lab Analysis'!E311+(1.364*'Lab Analysis'!D311))),"0")</f>
        <v>0</v>
      </c>
      <c r="C311" s="186" t="str">
        <f>IFERROR((2*'Lab Analysis'!E311/60)/('Lab Analysis'!C311/17+(2*'Lab Analysis'!E311/60)),"0")</f>
        <v>0</v>
      </c>
      <c r="D311" s="187" t="str">
        <f>IFERROR(((2*('Lab Analysis'!E311/60)+('Lab Analysis'!C311/17))/(('Lab Analysis'!D311/44)+('Lab Analysis'!E311/60))),"0")</f>
        <v>0</v>
      </c>
      <c r="E311" s="187" t="str">
        <f>IFERROR((('Lab Analysis'!F311/18)-('Lab Analysis'!E311/60))/(('Lab Analysis'!D311/44)+('Lab Analysis'!E311/60)),"0")</f>
        <v>0</v>
      </c>
      <c r="F311" s="187" t="str">
        <f>IFERROR((('Lab Analysis'!F311/18)/('Lab Analysis'!E311/60)),"0")</f>
        <v>0</v>
      </c>
      <c r="G311" s="188" t="str">
        <f>IFERROR(('Lab Analysis'!I311/('Lab Analysis'!I311+(1.765*'Lab Analysis'!G311))),"0")</f>
        <v>0</v>
      </c>
      <c r="H311" s="189" t="str">
        <f>IFERROR(((2*('Lab Analysis'!I311/60))+('Lab Analysis'!G311/17))/(('Lab Analysis'!H311/44)+('Lab Analysis'!I311/60)),"0")</f>
        <v>0</v>
      </c>
      <c r="I311" s="189" t="str">
        <f>IFERROR((('Lab Analysis'!J311/18)-('Lab Analysis'!I311/60))/(('Lab Analysis'!H311/44)+('Lab Analysis'!I311/60)),"0")</f>
        <v>0</v>
      </c>
      <c r="J311" s="186" t="str">
        <f>IFERROR(('Lab Analysis'!M311/('Lab Analysis'!M311+(1.765*'Lab Analysis'!K311))),"0")</f>
        <v>0</v>
      </c>
      <c r="K311" s="190" t="str">
        <f>IFERROR(((2*('Lab Analysis'!M311/60))+('Lab Analysis'!K311/17))/(('Lab Analysis'!L311/44)+('Lab Analysis'!M311/60)),"0")</f>
        <v>0</v>
      </c>
      <c r="L311" s="190" t="str">
        <f>IFERROR((('Lab Analysis'!N311/18)-('Lab Analysis'!M311/60))/(('Lab Analysis'!L311/44)+('Lab Analysis'!M311/60)),"0")</f>
        <v>0</v>
      </c>
      <c r="M311" s="187" t="str">
        <f>IFERROR(((2*('Lab Analysis'!U311/60))+('Lab Analysis'!S311/17))/(('Lab Analysis'!T311/44)+('Lab Analysis'!U311/60)),"0")</f>
        <v>0</v>
      </c>
      <c r="N311" s="187" t="str">
        <f>IFERROR((('Lab Analysis'!V311/18)-('Lab Analysis'!U311/60))/(('Lab Analysis'!T311/44)+('Lab Analysis'!U311/60)),"0")</f>
        <v>0</v>
      </c>
      <c r="O311" s="187" t="str">
        <f>IFERROR(((2*('Lab Analysis'!Y311/60)+('Lab Analysis'!W311/17))/(('Lab Analysis'!X311/44)+('Lab Analysis'!Y311/60))),"0")</f>
        <v>0</v>
      </c>
      <c r="P311" s="187" t="str">
        <f>IFERROR((('Lab Analysis'!Z311/18)-('Lab Analysis'!Y311/60))/(('Lab Analysis'!X311/44)+('Lab Analysis'!Y311/60)),"0")</f>
        <v>0</v>
      </c>
      <c r="Q311" s="191"/>
    </row>
    <row r="312" spans="1:17">
      <c r="A312" s="185">
        <v>46126</v>
      </c>
      <c r="B312" s="186" t="str">
        <f>IFERROR(('Lab Analysis'!E312/('Lab Analysis'!E312+(1.364*'Lab Analysis'!D312))),"0")</f>
        <v>0</v>
      </c>
      <c r="C312" s="186" t="str">
        <f>IFERROR((2*'Lab Analysis'!E312/60)/('Lab Analysis'!C312/17+(2*'Lab Analysis'!E312/60)),"0")</f>
        <v>0</v>
      </c>
      <c r="D312" s="187" t="str">
        <f>IFERROR(((2*('Lab Analysis'!E312/60)+('Lab Analysis'!C312/17))/(('Lab Analysis'!D312/44)+('Lab Analysis'!E312/60))),"0")</f>
        <v>0</v>
      </c>
      <c r="E312" s="187" t="str">
        <f>IFERROR((('Lab Analysis'!F312/18)-('Lab Analysis'!E312/60))/(('Lab Analysis'!D312/44)+('Lab Analysis'!E312/60)),"0")</f>
        <v>0</v>
      </c>
      <c r="F312" s="187" t="str">
        <f>IFERROR((('Lab Analysis'!F312/18)/('Lab Analysis'!E312/60)),"0")</f>
        <v>0</v>
      </c>
      <c r="G312" s="188" t="str">
        <f>IFERROR(('Lab Analysis'!I312/('Lab Analysis'!I312+(1.765*'Lab Analysis'!G312))),"0")</f>
        <v>0</v>
      </c>
      <c r="H312" s="189" t="str">
        <f>IFERROR(((2*('Lab Analysis'!I312/60))+('Lab Analysis'!G312/17))/(('Lab Analysis'!H312/44)+('Lab Analysis'!I312/60)),"0")</f>
        <v>0</v>
      </c>
      <c r="I312" s="189" t="str">
        <f>IFERROR((('Lab Analysis'!J312/18)-('Lab Analysis'!I312/60))/(('Lab Analysis'!H312/44)+('Lab Analysis'!I312/60)),"0")</f>
        <v>0</v>
      </c>
      <c r="J312" s="186" t="str">
        <f>IFERROR(('Lab Analysis'!M312/('Lab Analysis'!M312+(1.765*'Lab Analysis'!K312))),"0")</f>
        <v>0</v>
      </c>
      <c r="K312" s="190" t="str">
        <f>IFERROR(((2*('Lab Analysis'!M312/60))+('Lab Analysis'!K312/17))/(('Lab Analysis'!L312/44)+('Lab Analysis'!M312/60)),"0")</f>
        <v>0</v>
      </c>
      <c r="L312" s="190" t="str">
        <f>IFERROR((('Lab Analysis'!N312/18)-('Lab Analysis'!M312/60))/(('Lab Analysis'!L312/44)+('Lab Analysis'!M312/60)),"0")</f>
        <v>0</v>
      </c>
      <c r="M312" s="187" t="str">
        <f>IFERROR(((2*('Lab Analysis'!U312/60))+('Lab Analysis'!S312/17))/(('Lab Analysis'!T312/44)+('Lab Analysis'!U312/60)),"0")</f>
        <v>0</v>
      </c>
      <c r="N312" s="187" t="str">
        <f>IFERROR((('Lab Analysis'!V312/18)-('Lab Analysis'!U312/60))/(('Lab Analysis'!T312/44)+('Lab Analysis'!U312/60)),"0")</f>
        <v>0</v>
      </c>
      <c r="O312" s="187" t="str">
        <f>IFERROR(((2*('Lab Analysis'!Y312/60)+('Lab Analysis'!W312/17))/(('Lab Analysis'!X312/44)+('Lab Analysis'!Y312/60))),"0")</f>
        <v>0</v>
      </c>
      <c r="P312" s="187" t="str">
        <f>IFERROR((('Lab Analysis'!Z312/18)-('Lab Analysis'!Y312/60))/(('Lab Analysis'!X312/44)+('Lab Analysis'!Y312/60)),"0")</f>
        <v>0</v>
      </c>
      <c r="Q312" s="191"/>
    </row>
    <row r="313" spans="1:17">
      <c r="A313" s="185">
        <v>46127</v>
      </c>
      <c r="B313" s="186" t="str">
        <f>IFERROR(('Lab Analysis'!E313/('Lab Analysis'!E313+(1.364*'Lab Analysis'!D313))),"0")</f>
        <v>0</v>
      </c>
      <c r="C313" s="186" t="str">
        <f>IFERROR((2*'Lab Analysis'!E313/60)/('Lab Analysis'!C313/17+(2*'Lab Analysis'!E313/60)),"0")</f>
        <v>0</v>
      </c>
      <c r="D313" s="187" t="str">
        <f>IFERROR(((2*('Lab Analysis'!E313/60)+('Lab Analysis'!C313/17))/(('Lab Analysis'!D313/44)+('Lab Analysis'!E313/60))),"0")</f>
        <v>0</v>
      </c>
      <c r="E313" s="187" t="str">
        <f>IFERROR((('Lab Analysis'!F313/18)-('Lab Analysis'!E313/60))/(('Lab Analysis'!D313/44)+('Lab Analysis'!E313/60)),"0")</f>
        <v>0</v>
      </c>
      <c r="F313" s="187" t="str">
        <f>IFERROR((('Lab Analysis'!F313/18)/('Lab Analysis'!E313/60)),"0")</f>
        <v>0</v>
      </c>
      <c r="G313" s="188" t="str">
        <f>IFERROR(('Lab Analysis'!I313/('Lab Analysis'!I313+(1.765*'Lab Analysis'!G313))),"0")</f>
        <v>0</v>
      </c>
      <c r="H313" s="189" t="str">
        <f>IFERROR(((2*('Lab Analysis'!I313/60))+('Lab Analysis'!G313/17))/(('Lab Analysis'!H313/44)+('Lab Analysis'!I313/60)),"0")</f>
        <v>0</v>
      </c>
      <c r="I313" s="189" t="str">
        <f>IFERROR((('Lab Analysis'!J313/18)-('Lab Analysis'!I313/60))/(('Lab Analysis'!H313/44)+('Lab Analysis'!I313/60)),"0")</f>
        <v>0</v>
      </c>
      <c r="J313" s="186" t="str">
        <f>IFERROR(('Lab Analysis'!M313/('Lab Analysis'!M313+(1.765*'Lab Analysis'!K313))),"0")</f>
        <v>0</v>
      </c>
      <c r="K313" s="190" t="str">
        <f>IFERROR(((2*('Lab Analysis'!M313/60))+('Lab Analysis'!K313/17))/(('Lab Analysis'!L313/44)+('Lab Analysis'!M313/60)),"0")</f>
        <v>0</v>
      </c>
      <c r="L313" s="190" t="str">
        <f>IFERROR((('Lab Analysis'!N313/18)-('Lab Analysis'!M313/60))/(('Lab Analysis'!L313/44)+('Lab Analysis'!M313/60)),"0")</f>
        <v>0</v>
      </c>
      <c r="M313" s="187" t="str">
        <f>IFERROR(((2*('Lab Analysis'!U313/60))+('Lab Analysis'!S313/17))/(('Lab Analysis'!T313/44)+('Lab Analysis'!U313/60)),"0")</f>
        <v>0</v>
      </c>
      <c r="N313" s="187" t="str">
        <f>IFERROR((('Lab Analysis'!V313/18)-('Lab Analysis'!U313/60))/(('Lab Analysis'!T313/44)+('Lab Analysis'!U313/60)),"0")</f>
        <v>0</v>
      </c>
      <c r="O313" s="187" t="str">
        <f>IFERROR(((2*('Lab Analysis'!Y313/60)+('Lab Analysis'!W313/17))/(('Lab Analysis'!X313/44)+('Lab Analysis'!Y313/60))),"0")</f>
        <v>0</v>
      </c>
      <c r="P313" s="187" t="str">
        <f>IFERROR((('Lab Analysis'!Z313/18)-('Lab Analysis'!Y313/60))/(('Lab Analysis'!X313/44)+('Lab Analysis'!Y313/60)),"0")</f>
        <v>0</v>
      </c>
      <c r="Q313" s="191"/>
    </row>
    <row r="314" spans="1:17">
      <c r="A314" s="185">
        <v>46128</v>
      </c>
      <c r="B314" s="186" t="str">
        <f>IFERROR(('Lab Analysis'!E314/('Lab Analysis'!E314+(1.364*'Lab Analysis'!D314))),"0")</f>
        <v>0</v>
      </c>
      <c r="C314" s="186" t="str">
        <f>IFERROR((2*'Lab Analysis'!E314/60)/('Lab Analysis'!C314/17+(2*'Lab Analysis'!E314/60)),"0")</f>
        <v>0</v>
      </c>
      <c r="D314" s="187" t="str">
        <f>IFERROR(((2*('Lab Analysis'!E314/60)+('Lab Analysis'!C314/17))/(('Lab Analysis'!D314/44)+('Lab Analysis'!E314/60))),"0")</f>
        <v>0</v>
      </c>
      <c r="E314" s="187" t="str">
        <f>IFERROR((('Lab Analysis'!F314/18)-('Lab Analysis'!E314/60))/(('Lab Analysis'!D314/44)+('Lab Analysis'!E314/60)),"0")</f>
        <v>0</v>
      </c>
      <c r="F314" s="187" t="str">
        <f>IFERROR((('Lab Analysis'!F314/18)/('Lab Analysis'!E314/60)),"0")</f>
        <v>0</v>
      </c>
      <c r="G314" s="188" t="str">
        <f>IFERROR(('Lab Analysis'!I314/('Lab Analysis'!I314+(1.765*'Lab Analysis'!G314))),"0")</f>
        <v>0</v>
      </c>
      <c r="H314" s="189" t="str">
        <f>IFERROR(((2*('Lab Analysis'!I314/60))+('Lab Analysis'!G314/17))/(('Lab Analysis'!H314/44)+('Lab Analysis'!I314/60)),"0")</f>
        <v>0</v>
      </c>
      <c r="I314" s="189" t="str">
        <f>IFERROR((('Lab Analysis'!J314/18)-('Lab Analysis'!I314/60))/(('Lab Analysis'!H314/44)+('Lab Analysis'!I314/60)),"0")</f>
        <v>0</v>
      </c>
      <c r="J314" s="186" t="str">
        <f>IFERROR(('Lab Analysis'!M314/('Lab Analysis'!M314+(1.765*'Lab Analysis'!K314))),"0")</f>
        <v>0</v>
      </c>
      <c r="K314" s="190" t="str">
        <f>IFERROR(((2*('Lab Analysis'!M314/60))+('Lab Analysis'!K314/17))/(('Lab Analysis'!L314/44)+('Lab Analysis'!M314/60)),"0")</f>
        <v>0</v>
      </c>
      <c r="L314" s="190" t="str">
        <f>IFERROR((('Lab Analysis'!N314/18)-('Lab Analysis'!M314/60))/(('Lab Analysis'!L314/44)+('Lab Analysis'!M314/60)),"0")</f>
        <v>0</v>
      </c>
      <c r="M314" s="187" t="str">
        <f>IFERROR(((2*('Lab Analysis'!U314/60))+('Lab Analysis'!S314/17))/(('Lab Analysis'!T314/44)+('Lab Analysis'!U314/60)),"0")</f>
        <v>0</v>
      </c>
      <c r="N314" s="187" t="str">
        <f>IFERROR((('Lab Analysis'!V314/18)-('Lab Analysis'!U314/60))/(('Lab Analysis'!T314/44)+('Lab Analysis'!U314/60)),"0")</f>
        <v>0</v>
      </c>
      <c r="O314" s="187" t="str">
        <f>IFERROR(((2*('Lab Analysis'!Y314/60)+('Lab Analysis'!W314/17))/(('Lab Analysis'!X314/44)+('Lab Analysis'!Y314/60))),"0")</f>
        <v>0</v>
      </c>
      <c r="P314" s="187" t="str">
        <f>IFERROR((('Lab Analysis'!Z314/18)-('Lab Analysis'!Y314/60))/(('Lab Analysis'!X314/44)+('Lab Analysis'!Y314/60)),"0")</f>
        <v>0</v>
      </c>
      <c r="Q314" s="191"/>
    </row>
    <row r="315" spans="1:17">
      <c r="A315" s="185">
        <v>46129</v>
      </c>
      <c r="B315" s="186" t="str">
        <f>IFERROR(('Lab Analysis'!E315/('Lab Analysis'!E315+(1.364*'Lab Analysis'!D315))),"0")</f>
        <v>0</v>
      </c>
      <c r="C315" s="186" t="str">
        <f>IFERROR((2*'Lab Analysis'!E315/60)/('Lab Analysis'!C315/17+(2*'Lab Analysis'!E315/60)),"0")</f>
        <v>0</v>
      </c>
      <c r="D315" s="187" t="str">
        <f>IFERROR(((2*('Lab Analysis'!E315/60)+('Lab Analysis'!C315/17))/(('Lab Analysis'!D315/44)+('Lab Analysis'!E315/60))),"0")</f>
        <v>0</v>
      </c>
      <c r="E315" s="187" t="str">
        <f>IFERROR((('Lab Analysis'!F315/18)-('Lab Analysis'!E315/60))/(('Lab Analysis'!D315/44)+('Lab Analysis'!E315/60)),"0")</f>
        <v>0</v>
      </c>
      <c r="F315" s="187" t="str">
        <f>IFERROR((('Lab Analysis'!F315/18)/('Lab Analysis'!E315/60)),"0")</f>
        <v>0</v>
      </c>
      <c r="G315" s="188" t="str">
        <f>IFERROR(('Lab Analysis'!I315/('Lab Analysis'!I315+(1.765*'Lab Analysis'!G315))),"0")</f>
        <v>0</v>
      </c>
      <c r="H315" s="189" t="str">
        <f>IFERROR(((2*('Lab Analysis'!I315/60))+('Lab Analysis'!G315/17))/(('Lab Analysis'!H315/44)+('Lab Analysis'!I315/60)),"0")</f>
        <v>0</v>
      </c>
      <c r="I315" s="189" t="str">
        <f>IFERROR((('Lab Analysis'!J315/18)-('Lab Analysis'!I315/60))/(('Lab Analysis'!H315/44)+('Lab Analysis'!I315/60)),"0")</f>
        <v>0</v>
      </c>
      <c r="J315" s="186" t="str">
        <f>IFERROR(('Lab Analysis'!M315/('Lab Analysis'!M315+(1.765*'Lab Analysis'!K315))),"0")</f>
        <v>0</v>
      </c>
      <c r="K315" s="190" t="str">
        <f>IFERROR(((2*('Lab Analysis'!M315/60))+('Lab Analysis'!K315/17))/(('Lab Analysis'!L315/44)+('Lab Analysis'!M315/60)),"0")</f>
        <v>0</v>
      </c>
      <c r="L315" s="190" t="str">
        <f>IFERROR((('Lab Analysis'!N315/18)-('Lab Analysis'!M315/60))/(('Lab Analysis'!L315/44)+('Lab Analysis'!M315/60)),"0")</f>
        <v>0</v>
      </c>
      <c r="M315" s="187" t="str">
        <f>IFERROR(((2*('Lab Analysis'!U315/60))+('Lab Analysis'!S315/17))/(('Lab Analysis'!T315/44)+('Lab Analysis'!U315/60)),"0")</f>
        <v>0</v>
      </c>
      <c r="N315" s="187" t="str">
        <f>IFERROR((('Lab Analysis'!V315/18)-('Lab Analysis'!U315/60))/(('Lab Analysis'!T315/44)+('Lab Analysis'!U315/60)),"0")</f>
        <v>0</v>
      </c>
      <c r="O315" s="187" t="str">
        <f>IFERROR(((2*('Lab Analysis'!Y315/60)+('Lab Analysis'!W315/17))/(('Lab Analysis'!X315/44)+('Lab Analysis'!Y315/60))),"0")</f>
        <v>0</v>
      </c>
      <c r="P315" s="187" t="str">
        <f>IFERROR((('Lab Analysis'!Z315/18)-('Lab Analysis'!Y315/60))/(('Lab Analysis'!X315/44)+('Lab Analysis'!Y315/60)),"0")</f>
        <v>0</v>
      </c>
      <c r="Q315" s="191"/>
    </row>
    <row r="316" spans="1:17">
      <c r="A316" s="185">
        <v>46130</v>
      </c>
      <c r="B316" s="186" t="str">
        <f>IFERROR(('Lab Analysis'!E316/('Lab Analysis'!E316+(1.364*'Lab Analysis'!D316))),"0")</f>
        <v>0</v>
      </c>
      <c r="C316" s="186" t="str">
        <f>IFERROR((2*'Lab Analysis'!E316/60)/('Lab Analysis'!C316/17+(2*'Lab Analysis'!E316/60)),"0")</f>
        <v>0</v>
      </c>
      <c r="D316" s="187" t="str">
        <f>IFERROR(((2*('Lab Analysis'!E316/60)+('Lab Analysis'!C316/17))/(('Lab Analysis'!D316/44)+('Lab Analysis'!E316/60))),"0")</f>
        <v>0</v>
      </c>
      <c r="E316" s="187" t="str">
        <f>IFERROR((('Lab Analysis'!F316/18)-('Lab Analysis'!E316/60))/(('Lab Analysis'!D316/44)+('Lab Analysis'!E316/60)),"0")</f>
        <v>0</v>
      </c>
      <c r="F316" s="187" t="str">
        <f>IFERROR((('Lab Analysis'!F316/18)/('Lab Analysis'!E316/60)),"0")</f>
        <v>0</v>
      </c>
      <c r="G316" s="188" t="str">
        <f>IFERROR(('Lab Analysis'!I316/('Lab Analysis'!I316+(1.765*'Lab Analysis'!G316))),"0")</f>
        <v>0</v>
      </c>
      <c r="H316" s="189" t="str">
        <f>IFERROR(((2*('Lab Analysis'!I316/60))+('Lab Analysis'!G316/17))/(('Lab Analysis'!H316/44)+('Lab Analysis'!I316/60)),"0")</f>
        <v>0</v>
      </c>
      <c r="I316" s="189" t="str">
        <f>IFERROR((('Lab Analysis'!J316/18)-('Lab Analysis'!I316/60))/(('Lab Analysis'!H316/44)+('Lab Analysis'!I316/60)),"0")</f>
        <v>0</v>
      </c>
      <c r="J316" s="186" t="str">
        <f>IFERROR(('Lab Analysis'!M316/('Lab Analysis'!M316+(1.765*'Lab Analysis'!K316))),"0")</f>
        <v>0</v>
      </c>
      <c r="K316" s="190" t="str">
        <f>IFERROR(((2*('Lab Analysis'!M316/60))+('Lab Analysis'!K316/17))/(('Lab Analysis'!L316/44)+('Lab Analysis'!M316/60)),"0")</f>
        <v>0</v>
      </c>
      <c r="L316" s="190" t="str">
        <f>IFERROR((('Lab Analysis'!N316/18)-('Lab Analysis'!M316/60))/(('Lab Analysis'!L316/44)+('Lab Analysis'!M316/60)),"0")</f>
        <v>0</v>
      </c>
      <c r="M316" s="187" t="str">
        <f>IFERROR(((2*('Lab Analysis'!U316/60))+('Lab Analysis'!S316/17))/(('Lab Analysis'!T316/44)+('Lab Analysis'!U316/60)),"0")</f>
        <v>0</v>
      </c>
      <c r="N316" s="187" t="str">
        <f>IFERROR((('Lab Analysis'!V316/18)-('Lab Analysis'!U316/60))/(('Lab Analysis'!T316/44)+('Lab Analysis'!U316/60)),"0")</f>
        <v>0</v>
      </c>
      <c r="O316" s="187" t="str">
        <f>IFERROR(((2*('Lab Analysis'!Y316/60)+('Lab Analysis'!W316/17))/(('Lab Analysis'!X316/44)+('Lab Analysis'!Y316/60))),"0")</f>
        <v>0</v>
      </c>
      <c r="P316" s="187" t="str">
        <f>IFERROR((('Lab Analysis'!Z316/18)-('Lab Analysis'!Y316/60))/(('Lab Analysis'!X316/44)+('Lab Analysis'!Y316/60)),"0")</f>
        <v>0</v>
      </c>
      <c r="Q316" s="191"/>
    </row>
    <row r="317" spans="1:17">
      <c r="A317" s="185">
        <v>46131</v>
      </c>
      <c r="B317" s="186" t="str">
        <f>IFERROR(('Lab Analysis'!E317/('Lab Analysis'!E317+(1.364*'Lab Analysis'!D317))),"0")</f>
        <v>0</v>
      </c>
      <c r="C317" s="186" t="str">
        <f>IFERROR((2*'Lab Analysis'!E317/60)/('Lab Analysis'!C317/17+(2*'Lab Analysis'!E317/60)),"0")</f>
        <v>0</v>
      </c>
      <c r="D317" s="187" t="str">
        <f>IFERROR(((2*('Lab Analysis'!E317/60)+('Lab Analysis'!C317/17))/(('Lab Analysis'!D317/44)+('Lab Analysis'!E317/60))),"0")</f>
        <v>0</v>
      </c>
      <c r="E317" s="187" t="str">
        <f>IFERROR((('Lab Analysis'!F317/18)-('Lab Analysis'!E317/60))/(('Lab Analysis'!D317/44)+('Lab Analysis'!E317/60)),"0")</f>
        <v>0</v>
      </c>
      <c r="F317" s="187" t="str">
        <f>IFERROR((('Lab Analysis'!F317/18)/('Lab Analysis'!E317/60)),"0")</f>
        <v>0</v>
      </c>
      <c r="G317" s="188" t="str">
        <f>IFERROR(('Lab Analysis'!I317/('Lab Analysis'!I317+(1.765*'Lab Analysis'!G317))),"0")</f>
        <v>0</v>
      </c>
      <c r="H317" s="189" t="str">
        <f>IFERROR(((2*('Lab Analysis'!I317/60))+('Lab Analysis'!G317/17))/(('Lab Analysis'!H317/44)+('Lab Analysis'!I317/60)),"0")</f>
        <v>0</v>
      </c>
      <c r="I317" s="189" t="str">
        <f>IFERROR((('Lab Analysis'!J317/18)-('Lab Analysis'!I317/60))/(('Lab Analysis'!H317/44)+('Lab Analysis'!I317/60)),"0")</f>
        <v>0</v>
      </c>
      <c r="J317" s="186" t="str">
        <f>IFERROR(('Lab Analysis'!M317/('Lab Analysis'!M317+(1.765*'Lab Analysis'!K317))),"0")</f>
        <v>0</v>
      </c>
      <c r="K317" s="190" t="str">
        <f>IFERROR(((2*('Lab Analysis'!M317/60))+('Lab Analysis'!K317/17))/(('Lab Analysis'!L317/44)+('Lab Analysis'!M317/60)),"0")</f>
        <v>0</v>
      </c>
      <c r="L317" s="190" t="str">
        <f>IFERROR((('Lab Analysis'!N317/18)-('Lab Analysis'!M317/60))/(('Lab Analysis'!L317/44)+('Lab Analysis'!M317/60)),"0")</f>
        <v>0</v>
      </c>
      <c r="M317" s="187" t="str">
        <f>IFERROR(((2*('Lab Analysis'!U317/60))+('Lab Analysis'!S317/17))/(('Lab Analysis'!T317/44)+('Lab Analysis'!U317/60)),"0")</f>
        <v>0</v>
      </c>
      <c r="N317" s="187" t="str">
        <f>IFERROR((('Lab Analysis'!V317/18)-('Lab Analysis'!U317/60))/(('Lab Analysis'!T317/44)+('Lab Analysis'!U317/60)),"0")</f>
        <v>0</v>
      </c>
      <c r="O317" s="187" t="str">
        <f>IFERROR(((2*('Lab Analysis'!Y317/60)+('Lab Analysis'!W317/17))/(('Lab Analysis'!X317/44)+('Lab Analysis'!Y317/60))),"0")</f>
        <v>0</v>
      </c>
      <c r="P317" s="187" t="str">
        <f>IFERROR((('Lab Analysis'!Z317/18)-('Lab Analysis'!Y317/60))/(('Lab Analysis'!X317/44)+('Lab Analysis'!Y317/60)),"0")</f>
        <v>0</v>
      </c>
      <c r="Q317" s="191"/>
    </row>
    <row r="318" spans="1:17">
      <c r="A318" s="185">
        <v>46132</v>
      </c>
      <c r="B318" s="186" t="str">
        <f>IFERROR(('Lab Analysis'!E318/('Lab Analysis'!E318+(1.364*'Lab Analysis'!D318))),"0")</f>
        <v>0</v>
      </c>
      <c r="C318" s="186" t="str">
        <f>IFERROR((2*'Lab Analysis'!E318/60)/('Lab Analysis'!C318/17+(2*'Lab Analysis'!E318/60)),"0")</f>
        <v>0</v>
      </c>
      <c r="D318" s="187" t="str">
        <f>IFERROR(((2*('Lab Analysis'!E318/60)+('Lab Analysis'!C318/17))/(('Lab Analysis'!D318/44)+('Lab Analysis'!E318/60))),"0")</f>
        <v>0</v>
      </c>
      <c r="E318" s="187" t="str">
        <f>IFERROR((('Lab Analysis'!F318/18)-('Lab Analysis'!E318/60))/(('Lab Analysis'!D318/44)+('Lab Analysis'!E318/60)),"0")</f>
        <v>0</v>
      </c>
      <c r="F318" s="187" t="str">
        <f>IFERROR((('Lab Analysis'!F318/18)/('Lab Analysis'!E318/60)),"0")</f>
        <v>0</v>
      </c>
      <c r="G318" s="188" t="str">
        <f>IFERROR(('Lab Analysis'!I318/('Lab Analysis'!I318+(1.765*'Lab Analysis'!G318))),"0")</f>
        <v>0</v>
      </c>
      <c r="H318" s="189" t="str">
        <f>IFERROR(((2*('Lab Analysis'!I318/60))+('Lab Analysis'!G318/17))/(('Lab Analysis'!H318/44)+('Lab Analysis'!I318/60)),"0")</f>
        <v>0</v>
      </c>
      <c r="I318" s="189" t="str">
        <f>IFERROR((('Lab Analysis'!J318/18)-('Lab Analysis'!I318/60))/(('Lab Analysis'!H318/44)+('Lab Analysis'!I318/60)),"0")</f>
        <v>0</v>
      </c>
      <c r="J318" s="186" t="str">
        <f>IFERROR(('Lab Analysis'!M318/('Lab Analysis'!M318+(1.765*'Lab Analysis'!K318))),"0")</f>
        <v>0</v>
      </c>
      <c r="K318" s="190" t="str">
        <f>IFERROR(((2*('Lab Analysis'!M318/60))+('Lab Analysis'!K318/17))/(('Lab Analysis'!L318/44)+('Lab Analysis'!M318/60)),"0")</f>
        <v>0</v>
      </c>
      <c r="L318" s="190" t="str">
        <f>IFERROR((('Lab Analysis'!N318/18)-('Lab Analysis'!M318/60))/(('Lab Analysis'!L318/44)+('Lab Analysis'!M318/60)),"0")</f>
        <v>0</v>
      </c>
      <c r="M318" s="187" t="str">
        <f>IFERROR(((2*('Lab Analysis'!U318/60))+('Lab Analysis'!S318/17))/(('Lab Analysis'!T318/44)+('Lab Analysis'!U318/60)),"0")</f>
        <v>0</v>
      </c>
      <c r="N318" s="187" t="str">
        <f>IFERROR((('Lab Analysis'!V318/18)-('Lab Analysis'!U318/60))/(('Lab Analysis'!T318/44)+('Lab Analysis'!U318/60)),"0")</f>
        <v>0</v>
      </c>
      <c r="O318" s="187" t="str">
        <f>IFERROR(((2*('Lab Analysis'!Y318/60)+('Lab Analysis'!W318/17))/(('Lab Analysis'!X318/44)+('Lab Analysis'!Y318/60))),"0")</f>
        <v>0</v>
      </c>
      <c r="P318" s="187" t="str">
        <f>IFERROR((('Lab Analysis'!Z318/18)-('Lab Analysis'!Y318/60))/(('Lab Analysis'!X318/44)+('Lab Analysis'!Y318/60)),"0")</f>
        <v>0</v>
      </c>
      <c r="Q318" s="191"/>
    </row>
    <row r="319" spans="1:17">
      <c r="A319" s="185">
        <v>46133</v>
      </c>
      <c r="B319" s="186" t="str">
        <f>IFERROR(('Lab Analysis'!E319/('Lab Analysis'!E319+(1.364*'Lab Analysis'!D319))),"0")</f>
        <v>0</v>
      </c>
      <c r="C319" s="186" t="str">
        <f>IFERROR((2*'Lab Analysis'!E319/60)/('Lab Analysis'!C319/17+(2*'Lab Analysis'!E319/60)),"0")</f>
        <v>0</v>
      </c>
      <c r="D319" s="187" t="str">
        <f>IFERROR(((2*('Lab Analysis'!E319/60)+('Lab Analysis'!C319/17))/(('Lab Analysis'!D319/44)+('Lab Analysis'!E319/60))),"0")</f>
        <v>0</v>
      </c>
      <c r="E319" s="187" t="str">
        <f>IFERROR((('Lab Analysis'!F319/18)-('Lab Analysis'!E319/60))/(('Lab Analysis'!D319/44)+('Lab Analysis'!E319/60)),"0")</f>
        <v>0</v>
      </c>
      <c r="F319" s="187" t="str">
        <f>IFERROR((('Lab Analysis'!F319/18)/('Lab Analysis'!E319/60)),"0")</f>
        <v>0</v>
      </c>
      <c r="G319" s="188" t="str">
        <f>IFERROR(('Lab Analysis'!I319/('Lab Analysis'!I319+(1.765*'Lab Analysis'!G319))),"0")</f>
        <v>0</v>
      </c>
      <c r="H319" s="189" t="str">
        <f>IFERROR(((2*('Lab Analysis'!I319/60))+('Lab Analysis'!G319/17))/(('Lab Analysis'!H319/44)+('Lab Analysis'!I319/60)),"0")</f>
        <v>0</v>
      </c>
      <c r="I319" s="189" t="str">
        <f>IFERROR((('Lab Analysis'!J319/18)-('Lab Analysis'!I319/60))/(('Lab Analysis'!H319/44)+('Lab Analysis'!I319/60)),"0")</f>
        <v>0</v>
      </c>
      <c r="J319" s="186" t="str">
        <f>IFERROR(('Lab Analysis'!M319/('Lab Analysis'!M319+(1.765*'Lab Analysis'!K319))),"0")</f>
        <v>0</v>
      </c>
      <c r="K319" s="190" t="str">
        <f>IFERROR(((2*('Lab Analysis'!M319/60))+('Lab Analysis'!K319/17))/(('Lab Analysis'!L319/44)+('Lab Analysis'!M319/60)),"0")</f>
        <v>0</v>
      </c>
      <c r="L319" s="190" t="str">
        <f>IFERROR((('Lab Analysis'!N319/18)-('Lab Analysis'!M319/60))/(('Lab Analysis'!L319/44)+('Lab Analysis'!M319/60)),"0")</f>
        <v>0</v>
      </c>
      <c r="M319" s="187" t="str">
        <f>IFERROR(((2*('Lab Analysis'!U319/60))+('Lab Analysis'!S319/17))/(('Lab Analysis'!T319/44)+('Lab Analysis'!U319/60)),"0")</f>
        <v>0</v>
      </c>
      <c r="N319" s="187" t="str">
        <f>IFERROR((('Lab Analysis'!V319/18)-('Lab Analysis'!U319/60))/(('Lab Analysis'!T319/44)+('Lab Analysis'!U319/60)),"0")</f>
        <v>0</v>
      </c>
      <c r="O319" s="187" t="str">
        <f>IFERROR(((2*('Lab Analysis'!Y319/60)+('Lab Analysis'!W319/17))/(('Lab Analysis'!X319/44)+('Lab Analysis'!Y319/60))),"0")</f>
        <v>0</v>
      </c>
      <c r="P319" s="187" t="str">
        <f>IFERROR((('Lab Analysis'!Z319/18)-('Lab Analysis'!Y319/60))/(('Lab Analysis'!X319/44)+('Lab Analysis'!Y319/60)),"0")</f>
        <v>0</v>
      </c>
      <c r="Q319" s="191"/>
    </row>
    <row r="320" spans="1:17">
      <c r="A320" s="185">
        <v>46134</v>
      </c>
      <c r="B320" s="186" t="str">
        <f>IFERROR(('Lab Analysis'!E320/('Lab Analysis'!E320+(1.364*'Lab Analysis'!D320))),"0")</f>
        <v>0</v>
      </c>
      <c r="C320" s="186" t="str">
        <f>IFERROR((2*'Lab Analysis'!E320/60)/('Lab Analysis'!C320/17+(2*'Lab Analysis'!E320/60)),"0")</f>
        <v>0</v>
      </c>
      <c r="D320" s="187" t="str">
        <f>IFERROR(((2*('Lab Analysis'!E320/60)+('Lab Analysis'!C320/17))/(('Lab Analysis'!D320/44)+('Lab Analysis'!E320/60))),"0")</f>
        <v>0</v>
      </c>
      <c r="E320" s="187" t="str">
        <f>IFERROR((('Lab Analysis'!F320/18)-('Lab Analysis'!E320/60))/(('Lab Analysis'!D320/44)+('Lab Analysis'!E320/60)),"0")</f>
        <v>0</v>
      </c>
      <c r="F320" s="187" t="str">
        <f>IFERROR((('Lab Analysis'!F320/18)/('Lab Analysis'!E320/60)),"0")</f>
        <v>0</v>
      </c>
      <c r="G320" s="188" t="str">
        <f>IFERROR(('Lab Analysis'!I320/('Lab Analysis'!I320+(1.765*'Lab Analysis'!G320))),"0")</f>
        <v>0</v>
      </c>
      <c r="H320" s="189" t="str">
        <f>IFERROR(((2*('Lab Analysis'!I320/60))+('Lab Analysis'!G320/17))/(('Lab Analysis'!H320/44)+('Lab Analysis'!I320/60)),"0")</f>
        <v>0</v>
      </c>
      <c r="I320" s="189" t="str">
        <f>IFERROR((('Lab Analysis'!J320/18)-('Lab Analysis'!I320/60))/(('Lab Analysis'!H320/44)+('Lab Analysis'!I320/60)),"0")</f>
        <v>0</v>
      </c>
      <c r="J320" s="186" t="str">
        <f>IFERROR(('Lab Analysis'!M320/('Lab Analysis'!M320+(1.765*'Lab Analysis'!K320))),"0")</f>
        <v>0</v>
      </c>
      <c r="K320" s="190" t="str">
        <f>IFERROR(((2*('Lab Analysis'!M320/60))+('Lab Analysis'!K320/17))/(('Lab Analysis'!L320/44)+('Lab Analysis'!M320/60)),"0")</f>
        <v>0</v>
      </c>
      <c r="L320" s="190" t="str">
        <f>IFERROR((('Lab Analysis'!N320/18)-('Lab Analysis'!M320/60))/(('Lab Analysis'!L320/44)+('Lab Analysis'!M320/60)),"0")</f>
        <v>0</v>
      </c>
      <c r="M320" s="187" t="str">
        <f>IFERROR(((2*('Lab Analysis'!U320/60))+('Lab Analysis'!S320/17))/(('Lab Analysis'!T320/44)+('Lab Analysis'!U320/60)),"0")</f>
        <v>0</v>
      </c>
      <c r="N320" s="187" t="str">
        <f>IFERROR((('Lab Analysis'!V320/18)-('Lab Analysis'!U320/60))/(('Lab Analysis'!T320/44)+('Lab Analysis'!U320/60)),"0")</f>
        <v>0</v>
      </c>
      <c r="O320" s="187" t="str">
        <f>IFERROR(((2*('Lab Analysis'!Y320/60)+('Lab Analysis'!W320/17))/(('Lab Analysis'!X320/44)+('Lab Analysis'!Y320/60))),"0")</f>
        <v>0</v>
      </c>
      <c r="P320" s="187" t="str">
        <f>IFERROR((('Lab Analysis'!Z320/18)-('Lab Analysis'!Y320/60))/(('Lab Analysis'!X320/44)+('Lab Analysis'!Y320/60)),"0")</f>
        <v>0</v>
      </c>
      <c r="Q320" s="191"/>
    </row>
    <row r="321" spans="1:17">
      <c r="A321" s="185">
        <v>46135</v>
      </c>
      <c r="B321" s="186" t="str">
        <f>IFERROR(('Lab Analysis'!E321/('Lab Analysis'!E321+(1.364*'Lab Analysis'!D321))),"0")</f>
        <v>0</v>
      </c>
      <c r="C321" s="186" t="str">
        <f>IFERROR((2*'Lab Analysis'!E321/60)/('Lab Analysis'!C321/17+(2*'Lab Analysis'!E321/60)),"0")</f>
        <v>0</v>
      </c>
      <c r="D321" s="187" t="str">
        <f>IFERROR(((2*('Lab Analysis'!E321/60)+('Lab Analysis'!C321/17))/(('Lab Analysis'!D321/44)+('Lab Analysis'!E321/60))),"0")</f>
        <v>0</v>
      </c>
      <c r="E321" s="187" t="str">
        <f>IFERROR((('Lab Analysis'!F321/18)-('Lab Analysis'!E321/60))/(('Lab Analysis'!D321/44)+('Lab Analysis'!E321/60)),"0")</f>
        <v>0</v>
      </c>
      <c r="F321" s="187" t="str">
        <f>IFERROR((('Lab Analysis'!F321/18)/('Lab Analysis'!E321/60)),"0")</f>
        <v>0</v>
      </c>
      <c r="G321" s="188" t="str">
        <f>IFERROR(('Lab Analysis'!I321/('Lab Analysis'!I321+(1.765*'Lab Analysis'!G321))),"0")</f>
        <v>0</v>
      </c>
      <c r="H321" s="189" t="str">
        <f>IFERROR(((2*('Lab Analysis'!I321/60))+('Lab Analysis'!G321/17))/(('Lab Analysis'!H321/44)+('Lab Analysis'!I321/60)),"0")</f>
        <v>0</v>
      </c>
      <c r="I321" s="189" t="str">
        <f>IFERROR((('Lab Analysis'!J321/18)-('Lab Analysis'!I321/60))/(('Lab Analysis'!H321/44)+('Lab Analysis'!I321/60)),"0")</f>
        <v>0</v>
      </c>
      <c r="J321" s="186" t="str">
        <f>IFERROR(('Lab Analysis'!M321/('Lab Analysis'!M321+(1.765*'Lab Analysis'!K321))),"0")</f>
        <v>0</v>
      </c>
      <c r="K321" s="190" t="str">
        <f>IFERROR(((2*('Lab Analysis'!M321/60))+('Lab Analysis'!K321/17))/(('Lab Analysis'!L321/44)+('Lab Analysis'!M321/60)),"0")</f>
        <v>0</v>
      </c>
      <c r="L321" s="190" t="str">
        <f>IFERROR((('Lab Analysis'!N321/18)-('Lab Analysis'!M321/60))/(('Lab Analysis'!L321/44)+('Lab Analysis'!M321/60)),"0")</f>
        <v>0</v>
      </c>
      <c r="M321" s="187" t="str">
        <f>IFERROR(((2*('Lab Analysis'!U321/60))+('Lab Analysis'!S321/17))/(('Lab Analysis'!T321/44)+('Lab Analysis'!U321/60)),"0")</f>
        <v>0</v>
      </c>
      <c r="N321" s="187" t="str">
        <f>IFERROR((('Lab Analysis'!V321/18)-('Lab Analysis'!U321/60))/(('Lab Analysis'!T321/44)+('Lab Analysis'!U321/60)),"0")</f>
        <v>0</v>
      </c>
      <c r="O321" s="187" t="str">
        <f>IFERROR(((2*('Lab Analysis'!Y321/60)+('Lab Analysis'!W321/17))/(('Lab Analysis'!X321/44)+('Lab Analysis'!Y321/60))),"0")</f>
        <v>0</v>
      </c>
      <c r="P321" s="187" t="str">
        <f>IFERROR((('Lab Analysis'!Z321/18)-('Lab Analysis'!Y321/60))/(('Lab Analysis'!X321/44)+('Lab Analysis'!Y321/60)),"0")</f>
        <v>0</v>
      </c>
      <c r="Q321" s="191"/>
    </row>
    <row r="322" spans="1:17">
      <c r="A322" s="185">
        <v>46136</v>
      </c>
      <c r="B322" s="186" t="str">
        <f>IFERROR(('Lab Analysis'!E322/('Lab Analysis'!E322+(1.364*'Lab Analysis'!D322))),"0")</f>
        <v>0</v>
      </c>
      <c r="C322" s="186" t="str">
        <f>IFERROR((2*'Lab Analysis'!E322/60)/('Lab Analysis'!C322/17+(2*'Lab Analysis'!E322/60)),"0")</f>
        <v>0</v>
      </c>
      <c r="D322" s="187" t="str">
        <f>IFERROR(((2*('Lab Analysis'!E322/60)+('Lab Analysis'!C322/17))/(('Lab Analysis'!D322/44)+('Lab Analysis'!E322/60))),"0")</f>
        <v>0</v>
      </c>
      <c r="E322" s="187" t="str">
        <f>IFERROR((('Lab Analysis'!F322/18)-('Lab Analysis'!E322/60))/(('Lab Analysis'!D322/44)+('Lab Analysis'!E322/60)),"0")</f>
        <v>0</v>
      </c>
      <c r="F322" s="187" t="str">
        <f>IFERROR((('Lab Analysis'!F322/18)/('Lab Analysis'!E322/60)),"0")</f>
        <v>0</v>
      </c>
      <c r="G322" s="188" t="str">
        <f>IFERROR(('Lab Analysis'!I322/('Lab Analysis'!I322+(1.765*'Lab Analysis'!G322))),"0")</f>
        <v>0</v>
      </c>
      <c r="H322" s="189" t="str">
        <f>IFERROR(((2*('Lab Analysis'!I322/60))+('Lab Analysis'!G322/17))/(('Lab Analysis'!H322/44)+('Lab Analysis'!I322/60)),"0")</f>
        <v>0</v>
      </c>
      <c r="I322" s="189" t="str">
        <f>IFERROR((('Lab Analysis'!J322/18)-('Lab Analysis'!I322/60))/(('Lab Analysis'!H322/44)+('Lab Analysis'!I322/60)),"0")</f>
        <v>0</v>
      </c>
      <c r="J322" s="186" t="str">
        <f>IFERROR(('Lab Analysis'!M322/('Lab Analysis'!M322+(1.765*'Lab Analysis'!K322))),"0")</f>
        <v>0</v>
      </c>
      <c r="K322" s="190" t="str">
        <f>IFERROR(((2*('Lab Analysis'!M322/60))+('Lab Analysis'!K322/17))/(('Lab Analysis'!L322/44)+('Lab Analysis'!M322/60)),"0")</f>
        <v>0</v>
      </c>
      <c r="L322" s="190" t="str">
        <f>IFERROR((('Lab Analysis'!N322/18)-('Lab Analysis'!M322/60))/(('Lab Analysis'!L322/44)+('Lab Analysis'!M322/60)),"0")</f>
        <v>0</v>
      </c>
      <c r="M322" s="187" t="str">
        <f>IFERROR(((2*('Lab Analysis'!U322/60))+('Lab Analysis'!S322/17))/(('Lab Analysis'!T322/44)+('Lab Analysis'!U322/60)),"0")</f>
        <v>0</v>
      </c>
      <c r="N322" s="187" t="str">
        <f>IFERROR((('Lab Analysis'!V322/18)-('Lab Analysis'!U322/60))/(('Lab Analysis'!T322/44)+('Lab Analysis'!U322/60)),"0")</f>
        <v>0</v>
      </c>
      <c r="O322" s="187" t="str">
        <f>IFERROR(((2*('Lab Analysis'!Y322/60)+('Lab Analysis'!W322/17))/(('Lab Analysis'!X322/44)+('Lab Analysis'!Y322/60))),"0")</f>
        <v>0</v>
      </c>
      <c r="P322" s="187" t="str">
        <f>IFERROR((('Lab Analysis'!Z322/18)-('Lab Analysis'!Y322/60))/(('Lab Analysis'!X322/44)+('Lab Analysis'!Y322/60)),"0")</f>
        <v>0</v>
      </c>
      <c r="Q322" s="191"/>
    </row>
    <row r="323" spans="1:17">
      <c r="A323" s="185">
        <v>46137</v>
      </c>
      <c r="B323" s="186" t="str">
        <f>IFERROR(('Lab Analysis'!E323/('Lab Analysis'!E323+(1.364*'Lab Analysis'!D323))),"0")</f>
        <v>0</v>
      </c>
      <c r="C323" s="186" t="str">
        <f>IFERROR((2*'Lab Analysis'!E323/60)/('Lab Analysis'!C323/17+(2*'Lab Analysis'!E323/60)),"0")</f>
        <v>0</v>
      </c>
      <c r="D323" s="187" t="str">
        <f>IFERROR(((2*('Lab Analysis'!E323/60)+('Lab Analysis'!C323/17))/(('Lab Analysis'!D323/44)+('Lab Analysis'!E323/60))),"0")</f>
        <v>0</v>
      </c>
      <c r="E323" s="187" t="str">
        <f>IFERROR((('Lab Analysis'!F323/18)-('Lab Analysis'!E323/60))/(('Lab Analysis'!D323/44)+('Lab Analysis'!E323/60)),"0")</f>
        <v>0</v>
      </c>
      <c r="F323" s="187" t="str">
        <f>IFERROR((('Lab Analysis'!F323/18)/('Lab Analysis'!E323/60)),"0")</f>
        <v>0</v>
      </c>
      <c r="G323" s="188" t="str">
        <f>IFERROR(('Lab Analysis'!I323/('Lab Analysis'!I323+(1.765*'Lab Analysis'!G323))),"0")</f>
        <v>0</v>
      </c>
      <c r="H323" s="189" t="str">
        <f>IFERROR(((2*('Lab Analysis'!I323/60))+('Lab Analysis'!G323/17))/(('Lab Analysis'!H323/44)+('Lab Analysis'!I323/60)),"0")</f>
        <v>0</v>
      </c>
      <c r="I323" s="189" t="str">
        <f>IFERROR((('Lab Analysis'!J323/18)-('Lab Analysis'!I323/60))/(('Lab Analysis'!H323/44)+('Lab Analysis'!I323/60)),"0")</f>
        <v>0</v>
      </c>
      <c r="J323" s="186" t="str">
        <f>IFERROR(('Lab Analysis'!M323/('Lab Analysis'!M323+(1.765*'Lab Analysis'!K323))),"0")</f>
        <v>0</v>
      </c>
      <c r="K323" s="190" t="str">
        <f>IFERROR(((2*('Lab Analysis'!M323/60))+('Lab Analysis'!K323/17))/(('Lab Analysis'!L323/44)+('Lab Analysis'!M323/60)),"0")</f>
        <v>0</v>
      </c>
      <c r="L323" s="190" t="str">
        <f>IFERROR((('Lab Analysis'!N323/18)-('Lab Analysis'!M323/60))/(('Lab Analysis'!L323/44)+('Lab Analysis'!M323/60)),"0")</f>
        <v>0</v>
      </c>
      <c r="M323" s="187" t="str">
        <f>IFERROR(((2*('Lab Analysis'!U323/60))+('Lab Analysis'!S323/17))/(('Lab Analysis'!T323/44)+('Lab Analysis'!U323/60)),"0")</f>
        <v>0</v>
      </c>
      <c r="N323" s="187" t="str">
        <f>IFERROR((('Lab Analysis'!V323/18)-('Lab Analysis'!U323/60))/(('Lab Analysis'!T323/44)+('Lab Analysis'!U323/60)),"0")</f>
        <v>0</v>
      </c>
      <c r="O323" s="187" t="str">
        <f>IFERROR(((2*('Lab Analysis'!Y323/60)+('Lab Analysis'!W323/17))/(('Lab Analysis'!X323/44)+('Lab Analysis'!Y323/60))),"0")</f>
        <v>0</v>
      </c>
      <c r="P323" s="187" t="str">
        <f>IFERROR((('Lab Analysis'!Z323/18)-('Lab Analysis'!Y323/60))/(('Lab Analysis'!X323/44)+('Lab Analysis'!Y323/60)),"0")</f>
        <v>0</v>
      </c>
      <c r="Q323" s="191"/>
    </row>
    <row r="324" spans="1:17">
      <c r="A324" s="185">
        <v>46138</v>
      </c>
      <c r="B324" s="186" t="str">
        <f>IFERROR(('Lab Analysis'!E324/('Lab Analysis'!E324+(1.364*'Lab Analysis'!D324))),"0")</f>
        <v>0</v>
      </c>
      <c r="C324" s="186" t="str">
        <f>IFERROR((2*'Lab Analysis'!E324/60)/('Lab Analysis'!C324/17+(2*'Lab Analysis'!E324/60)),"0")</f>
        <v>0</v>
      </c>
      <c r="D324" s="187" t="str">
        <f>IFERROR(((2*('Lab Analysis'!E324/60)+('Lab Analysis'!C324/17))/(('Lab Analysis'!D324/44)+('Lab Analysis'!E324/60))),"0")</f>
        <v>0</v>
      </c>
      <c r="E324" s="187" t="str">
        <f>IFERROR((('Lab Analysis'!F324/18)-('Lab Analysis'!E324/60))/(('Lab Analysis'!D324/44)+('Lab Analysis'!E324/60)),"0")</f>
        <v>0</v>
      </c>
      <c r="F324" s="187" t="str">
        <f>IFERROR((('Lab Analysis'!F324/18)/('Lab Analysis'!E324/60)),"0")</f>
        <v>0</v>
      </c>
      <c r="G324" s="188" t="str">
        <f>IFERROR(('Lab Analysis'!I324/('Lab Analysis'!I324+(1.765*'Lab Analysis'!G324))),"0")</f>
        <v>0</v>
      </c>
      <c r="H324" s="189" t="str">
        <f>IFERROR(((2*('Lab Analysis'!I324/60))+('Lab Analysis'!G324/17))/(('Lab Analysis'!H324/44)+('Lab Analysis'!I324/60)),"0")</f>
        <v>0</v>
      </c>
      <c r="I324" s="189" t="str">
        <f>IFERROR((('Lab Analysis'!J324/18)-('Lab Analysis'!I324/60))/(('Lab Analysis'!H324/44)+('Lab Analysis'!I324/60)),"0")</f>
        <v>0</v>
      </c>
      <c r="J324" s="186" t="str">
        <f>IFERROR(('Lab Analysis'!M324/('Lab Analysis'!M324+(1.765*'Lab Analysis'!K324))),"0")</f>
        <v>0</v>
      </c>
      <c r="K324" s="190" t="str">
        <f>IFERROR(((2*('Lab Analysis'!M324/60))+('Lab Analysis'!K324/17))/(('Lab Analysis'!L324/44)+('Lab Analysis'!M324/60)),"0")</f>
        <v>0</v>
      </c>
      <c r="L324" s="190" t="str">
        <f>IFERROR((('Lab Analysis'!N324/18)-('Lab Analysis'!M324/60))/(('Lab Analysis'!L324/44)+('Lab Analysis'!M324/60)),"0")</f>
        <v>0</v>
      </c>
      <c r="M324" s="187" t="str">
        <f>IFERROR(((2*('Lab Analysis'!U324/60))+('Lab Analysis'!S324/17))/(('Lab Analysis'!T324/44)+('Lab Analysis'!U324/60)),"0")</f>
        <v>0</v>
      </c>
      <c r="N324" s="187" t="str">
        <f>IFERROR((('Lab Analysis'!V324/18)-('Lab Analysis'!U324/60))/(('Lab Analysis'!T324/44)+('Lab Analysis'!U324/60)),"0")</f>
        <v>0</v>
      </c>
      <c r="O324" s="187" t="str">
        <f>IFERROR(((2*('Lab Analysis'!Y324/60)+('Lab Analysis'!W324/17))/(('Lab Analysis'!X324/44)+('Lab Analysis'!Y324/60))),"0")</f>
        <v>0</v>
      </c>
      <c r="P324" s="187" t="str">
        <f>IFERROR((('Lab Analysis'!Z324/18)-('Lab Analysis'!Y324/60))/(('Lab Analysis'!X324/44)+('Lab Analysis'!Y324/60)),"0")</f>
        <v>0</v>
      </c>
      <c r="Q324" s="191"/>
    </row>
    <row r="325" spans="1:17">
      <c r="A325" s="185">
        <v>46139</v>
      </c>
      <c r="B325" s="186" t="str">
        <f>IFERROR(('Lab Analysis'!E325/('Lab Analysis'!E325+(1.364*'Lab Analysis'!D325))),"0")</f>
        <v>0</v>
      </c>
      <c r="C325" s="186" t="str">
        <f>IFERROR((2*'Lab Analysis'!E325/60)/('Lab Analysis'!C325/17+(2*'Lab Analysis'!E325/60)),"0")</f>
        <v>0</v>
      </c>
      <c r="D325" s="187" t="str">
        <f>IFERROR(((2*('Lab Analysis'!E325/60)+('Lab Analysis'!C325/17))/(('Lab Analysis'!D325/44)+('Lab Analysis'!E325/60))),"0")</f>
        <v>0</v>
      </c>
      <c r="E325" s="187" t="str">
        <f>IFERROR((('Lab Analysis'!F325/18)-('Lab Analysis'!E325/60))/(('Lab Analysis'!D325/44)+('Lab Analysis'!E325/60)),"0")</f>
        <v>0</v>
      </c>
      <c r="F325" s="187" t="str">
        <f>IFERROR((('Lab Analysis'!F325/18)/('Lab Analysis'!E325/60)),"0")</f>
        <v>0</v>
      </c>
      <c r="G325" s="188" t="str">
        <f>IFERROR(('Lab Analysis'!I325/('Lab Analysis'!I325+(1.765*'Lab Analysis'!G325))),"0")</f>
        <v>0</v>
      </c>
      <c r="H325" s="189" t="str">
        <f>IFERROR(((2*('Lab Analysis'!I325/60))+('Lab Analysis'!G325/17))/(('Lab Analysis'!H325/44)+('Lab Analysis'!I325/60)),"0")</f>
        <v>0</v>
      </c>
      <c r="I325" s="189" t="str">
        <f>IFERROR((('Lab Analysis'!J325/18)-('Lab Analysis'!I325/60))/(('Lab Analysis'!H325/44)+('Lab Analysis'!I325/60)),"0")</f>
        <v>0</v>
      </c>
      <c r="J325" s="186" t="str">
        <f>IFERROR(('Lab Analysis'!M325/('Lab Analysis'!M325+(1.765*'Lab Analysis'!K325))),"0")</f>
        <v>0</v>
      </c>
      <c r="K325" s="190" t="str">
        <f>IFERROR(((2*('Lab Analysis'!M325/60))+('Lab Analysis'!K325/17))/(('Lab Analysis'!L325/44)+('Lab Analysis'!M325/60)),"0")</f>
        <v>0</v>
      </c>
      <c r="L325" s="190" t="str">
        <f>IFERROR((('Lab Analysis'!N325/18)-('Lab Analysis'!M325/60))/(('Lab Analysis'!L325/44)+('Lab Analysis'!M325/60)),"0")</f>
        <v>0</v>
      </c>
      <c r="M325" s="187" t="str">
        <f>IFERROR(((2*('Lab Analysis'!U325/60))+('Lab Analysis'!S325/17))/(('Lab Analysis'!T325/44)+('Lab Analysis'!U325/60)),"0")</f>
        <v>0</v>
      </c>
      <c r="N325" s="187" t="str">
        <f>IFERROR((('Lab Analysis'!V325/18)-('Lab Analysis'!U325/60))/(('Lab Analysis'!T325/44)+('Lab Analysis'!U325/60)),"0")</f>
        <v>0</v>
      </c>
      <c r="O325" s="187" t="str">
        <f>IFERROR(((2*('Lab Analysis'!Y325/60)+('Lab Analysis'!W325/17))/(('Lab Analysis'!X325/44)+('Lab Analysis'!Y325/60))),"0")</f>
        <v>0</v>
      </c>
      <c r="P325" s="187" t="str">
        <f>IFERROR((('Lab Analysis'!Z325/18)-('Lab Analysis'!Y325/60))/(('Lab Analysis'!X325/44)+('Lab Analysis'!Y325/60)),"0")</f>
        <v>0</v>
      </c>
      <c r="Q325" s="191"/>
    </row>
    <row r="326" spans="1:17">
      <c r="A326" s="185">
        <v>46140</v>
      </c>
      <c r="B326" s="186" t="str">
        <f>IFERROR(('Lab Analysis'!E326/('Lab Analysis'!E326+(1.364*'Lab Analysis'!D326))),"0")</f>
        <v>0</v>
      </c>
      <c r="C326" s="186" t="str">
        <f>IFERROR((2*'Lab Analysis'!E326/60)/('Lab Analysis'!C326/17+(2*'Lab Analysis'!E326/60)),"0")</f>
        <v>0</v>
      </c>
      <c r="D326" s="187" t="str">
        <f>IFERROR(((2*('Lab Analysis'!E326/60)+('Lab Analysis'!C326/17))/(('Lab Analysis'!D326/44)+('Lab Analysis'!E326/60))),"0")</f>
        <v>0</v>
      </c>
      <c r="E326" s="187" t="str">
        <f>IFERROR((('Lab Analysis'!F326/18)-('Lab Analysis'!E326/60))/(('Lab Analysis'!D326/44)+('Lab Analysis'!E326/60)),"0")</f>
        <v>0</v>
      </c>
      <c r="F326" s="187" t="str">
        <f>IFERROR((('Lab Analysis'!F326/18)/('Lab Analysis'!E326/60)),"0")</f>
        <v>0</v>
      </c>
      <c r="G326" s="188" t="str">
        <f>IFERROR(('Lab Analysis'!I326/('Lab Analysis'!I326+(1.765*'Lab Analysis'!G326))),"0")</f>
        <v>0</v>
      </c>
      <c r="H326" s="189" t="str">
        <f>IFERROR(((2*('Lab Analysis'!I326/60))+('Lab Analysis'!G326/17))/(('Lab Analysis'!H326/44)+('Lab Analysis'!I326/60)),"0")</f>
        <v>0</v>
      </c>
      <c r="I326" s="189" t="str">
        <f>IFERROR((('Lab Analysis'!J326/18)-('Lab Analysis'!I326/60))/(('Lab Analysis'!H326/44)+('Lab Analysis'!I326/60)),"0")</f>
        <v>0</v>
      </c>
      <c r="J326" s="186" t="str">
        <f>IFERROR(('Lab Analysis'!M326/('Lab Analysis'!M326+(1.765*'Lab Analysis'!K326))),"0")</f>
        <v>0</v>
      </c>
      <c r="K326" s="190" t="str">
        <f>IFERROR(((2*('Lab Analysis'!M326/60))+('Lab Analysis'!K326/17))/(('Lab Analysis'!L326/44)+('Lab Analysis'!M326/60)),"0")</f>
        <v>0</v>
      </c>
      <c r="L326" s="190" t="str">
        <f>IFERROR((('Lab Analysis'!N326/18)-('Lab Analysis'!M326/60))/(('Lab Analysis'!L326/44)+('Lab Analysis'!M326/60)),"0")</f>
        <v>0</v>
      </c>
      <c r="M326" s="187" t="str">
        <f>IFERROR(((2*('Lab Analysis'!U326/60))+('Lab Analysis'!S326/17))/(('Lab Analysis'!T326/44)+('Lab Analysis'!U326/60)),"0")</f>
        <v>0</v>
      </c>
      <c r="N326" s="187" t="str">
        <f>IFERROR((('Lab Analysis'!V326/18)-('Lab Analysis'!U326/60))/(('Lab Analysis'!T326/44)+('Lab Analysis'!U326/60)),"0")</f>
        <v>0</v>
      </c>
      <c r="O326" s="187" t="str">
        <f>IFERROR(((2*('Lab Analysis'!Y326/60)+('Lab Analysis'!W326/17))/(('Lab Analysis'!X326/44)+('Lab Analysis'!Y326/60))),"0")</f>
        <v>0</v>
      </c>
      <c r="P326" s="187" t="str">
        <f>IFERROR((('Lab Analysis'!Z326/18)-('Lab Analysis'!Y326/60))/(('Lab Analysis'!X326/44)+('Lab Analysis'!Y326/60)),"0")</f>
        <v>0</v>
      </c>
      <c r="Q326" s="191"/>
    </row>
    <row r="327" spans="1:17">
      <c r="A327" s="185">
        <v>46141</v>
      </c>
      <c r="B327" s="186" t="str">
        <f>IFERROR(('Lab Analysis'!E327/('Lab Analysis'!E327+(1.364*'Lab Analysis'!D327))),"0")</f>
        <v>0</v>
      </c>
      <c r="C327" s="186" t="str">
        <f>IFERROR((2*'Lab Analysis'!E327/60)/('Lab Analysis'!C327/17+(2*'Lab Analysis'!E327/60)),"0")</f>
        <v>0</v>
      </c>
      <c r="D327" s="187" t="str">
        <f>IFERROR(((2*('Lab Analysis'!E327/60)+('Lab Analysis'!C327/17))/(('Lab Analysis'!D327/44)+('Lab Analysis'!E327/60))),"0")</f>
        <v>0</v>
      </c>
      <c r="E327" s="187" t="str">
        <f>IFERROR((('Lab Analysis'!F327/18)-('Lab Analysis'!E327/60))/(('Lab Analysis'!D327/44)+('Lab Analysis'!E327/60)),"0")</f>
        <v>0</v>
      </c>
      <c r="F327" s="187" t="str">
        <f>IFERROR((('Lab Analysis'!F327/18)/('Lab Analysis'!E327/60)),"0")</f>
        <v>0</v>
      </c>
      <c r="G327" s="188" t="str">
        <f>IFERROR(('Lab Analysis'!I327/('Lab Analysis'!I327+(1.765*'Lab Analysis'!G327))),"0")</f>
        <v>0</v>
      </c>
      <c r="H327" s="189" t="str">
        <f>IFERROR(((2*('Lab Analysis'!I327/60))+('Lab Analysis'!G327/17))/(('Lab Analysis'!H327/44)+('Lab Analysis'!I327/60)),"0")</f>
        <v>0</v>
      </c>
      <c r="I327" s="189" t="str">
        <f>IFERROR((('Lab Analysis'!J327/18)-('Lab Analysis'!I327/60))/(('Lab Analysis'!H327/44)+('Lab Analysis'!I327/60)),"0")</f>
        <v>0</v>
      </c>
      <c r="J327" s="186" t="str">
        <f>IFERROR(('Lab Analysis'!M327/('Lab Analysis'!M327+(1.765*'Lab Analysis'!K327))),"0")</f>
        <v>0</v>
      </c>
      <c r="K327" s="190" t="str">
        <f>IFERROR(((2*('Lab Analysis'!M327/60))+('Lab Analysis'!K327/17))/(('Lab Analysis'!L327/44)+('Lab Analysis'!M327/60)),"0")</f>
        <v>0</v>
      </c>
      <c r="L327" s="190" t="str">
        <f>IFERROR((('Lab Analysis'!N327/18)-('Lab Analysis'!M327/60))/(('Lab Analysis'!L327/44)+('Lab Analysis'!M327/60)),"0")</f>
        <v>0</v>
      </c>
      <c r="M327" s="187" t="str">
        <f>IFERROR(((2*('Lab Analysis'!U327/60))+('Lab Analysis'!S327/17))/(('Lab Analysis'!T327/44)+('Lab Analysis'!U327/60)),"0")</f>
        <v>0</v>
      </c>
      <c r="N327" s="187" t="str">
        <f>IFERROR((('Lab Analysis'!V327/18)-('Lab Analysis'!U327/60))/(('Lab Analysis'!T327/44)+('Lab Analysis'!U327/60)),"0")</f>
        <v>0</v>
      </c>
      <c r="O327" s="187" t="str">
        <f>IFERROR(((2*('Lab Analysis'!Y327/60)+('Lab Analysis'!W327/17))/(('Lab Analysis'!X327/44)+('Lab Analysis'!Y327/60))),"0")</f>
        <v>0</v>
      </c>
      <c r="P327" s="187" t="str">
        <f>IFERROR((('Lab Analysis'!Z327/18)-('Lab Analysis'!Y327/60))/(('Lab Analysis'!X327/44)+('Lab Analysis'!Y327/60)),"0")</f>
        <v>0</v>
      </c>
      <c r="Q327" s="191"/>
    </row>
    <row r="328" spans="1:17">
      <c r="A328" s="185">
        <v>46142</v>
      </c>
      <c r="B328" s="186" t="str">
        <f>IFERROR(('Lab Analysis'!E328/('Lab Analysis'!E328+(1.364*'Lab Analysis'!D328))),"0")</f>
        <v>0</v>
      </c>
      <c r="C328" s="186" t="str">
        <f>IFERROR((2*'Lab Analysis'!E328/60)/('Lab Analysis'!C328/17+(2*'Lab Analysis'!E328/60)),"0")</f>
        <v>0</v>
      </c>
      <c r="D328" s="187" t="str">
        <f>IFERROR(((2*('Lab Analysis'!E328/60)+('Lab Analysis'!C328/17))/(('Lab Analysis'!D328/44)+('Lab Analysis'!E328/60))),"0")</f>
        <v>0</v>
      </c>
      <c r="E328" s="187" t="str">
        <f>IFERROR((('Lab Analysis'!F328/18)-('Lab Analysis'!E328/60))/(('Lab Analysis'!D328/44)+('Lab Analysis'!E328/60)),"0")</f>
        <v>0</v>
      </c>
      <c r="F328" s="187" t="str">
        <f>IFERROR((('Lab Analysis'!F328/18)/('Lab Analysis'!E328/60)),"0")</f>
        <v>0</v>
      </c>
      <c r="G328" s="188" t="str">
        <f>IFERROR(('Lab Analysis'!I328/('Lab Analysis'!I328+(1.765*'Lab Analysis'!G328))),"0")</f>
        <v>0</v>
      </c>
      <c r="H328" s="189" t="str">
        <f>IFERROR(((2*('Lab Analysis'!I328/60))+('Lab Analysis'!G328/17))/(('Lab Analysis'!H328/44)+('Lab Analysis'!I328/60)),"0")</f>
        <v>0</v>
      </c>
      <c r="I328" s="189" t="str">
        <f>IFERROR((('Lab Analysis'!J328/18)-('Lab Analysis'!I328/60))/(('Lab Analysis'!H328/44)+('Lab Analysis'!I328/60)),"0")</f>
        <v>0</v>
      </c>
      <c r="J328" s="186" t="str">
        <f>IFERROR(('Lab Analysis'!M328/('Lab Analysis'!M328+(1.765*'Lab Analysis'!K328))),"0")</f>
        <v>0</v>
      </c>
      <c r="K328" s="190" t="str">
        <f>IFERROR(((2*('Lab Analysis'!M328/60))+('Lab Analysis'!K328/17))/(('Lab Analysis'!L328/44)+('Lab Analysis'!M328/60)),"0")</f>
        <v>0</v>
      </c>
      <c r="L328" s="190" t="str">
        <f>IFERROR((('Lab Analysis'!N328/18)-('Lab Analysis'!M328/60))/(('Lab Analysis'!L328/44)+('Lab Analysis'!M328/60)),"0")</f>
        <v>0</v>
      </c>
      <c r="M328" s="187" t="str">
        <f>IFERROR(((2*('Lab Analysis'!U328/60))+('Lab Analysis'!S328/17))/(('Lab Analysis'!T328/44)+('Lab Analysis'!U328/60)),"0")</f>
        <v>0</v>
      </c>
      <c r="N328" s="187" t="str">
        <f>IFERROR((('Lab Analysis'!V328/18)-('Lab Analysis'!U328/60))/(('Lab Analysis'!T328/44)+('Lab Analysis'!U328/60)),"0")</f>
        <v>0</v>
      </c>
      <c r="O328" s="187" t="str">
        <f>IFERROR(((2*('Lab Analysis'!Y328/60)+('Lab Analysis'!W328/17))/(('Lab Analysis'!X328/44)+('Lab Analysis'!Y328/60))),"0")</f>
        <v>0</v>
      </c>
      <c r="P328" s="187" t="str">
        <f>IFERROR((('Lab Analysis'!Z328/18)-('Lab Analysis'!Y328/60))/(('Lab Analysis'!X328/44)+('Lab Analysis'!Y328/60)),"0")</f>
        <v>0</v>
      </c>
      <c r="Q328" s="191"/>
    </row>
    <row r="329" spans="1:17">
      <c r="A329" s="185">
        <v>46143</v>
      </c>
      <c r="B329" s="186" t="str">
        <f>IFERROR(('Lab Analysis'!E329/('Lab Analysis'!E329+(1.364*'Lab Analysis'!D329))),"0")</f>
        <v>0</v>
      </c>
      <c r="C329" s="186" t="str">
        <f>IFERROR((2*'Lab Analysis'!E329/60)/('Lab Analysis'!C329/17+(2*'Lab Analysis'!E329/60)),"0")</f>
        <v>0</v>
      </c>
      <c r="D329" s="187" t="str">
        <f>IFERROR(((2*('Lab Analysis'!E329/60)+('Lab Analysis'!C329/17))/(('Lab Analysis'!D329/44)+('Lab Analysis'!E329/60))),"0")</f>
        <v>0</v>
      </c>
      <c r="E329" s="187" t="str">
        <f>IFERROR((('Lab Analysis'!F329/18)-('Lab Analysis'!E329/60))/(('Lab Analysis'!D329/44)+('Lab Analysis'!E329/60)),"0")</f>
        <v>0</v>
      </c>
      <c r="F329" s="187" t="str">
        <f>IFERROR((('Lab Analysis'!F329/18)/('Lab Analysis'!E329/60)),"0")</f>
        <v>0</v>
      </c>
      <c r="G329" s="188" t="str">
        <f>IFERROR(('Lab Analysis'!I329/('Lab Analysis'!I329+(1.765*'Lab Analysis'!G329))),"0")</f>
        <v>0</v>
      </c>
      <c r="H329" s="189" t="str">
        <f>IFERROR(((2*('Lab Analysis'!I329/60))+('Lab Analysis'!G329/17))/(('Lab Analysis'!H329/44)+('Lab Analysis'!I329/60)),"0")</f>
        <v>0</v>
      </c>
      <c r="I329" s="189" t="str">
        <f>IFERROR((('Lab Analysis'!J329/18)-('Lab Analysis'!I329/60))/(('Lab Analysis'!H329/44)+('Lab Analysis'!I329/60)),"0")</f>
        <v>0</v>
      </c>
      <c r="J329" s="186" t="str">
        <f>IFERROR(('Lab Analysis'!M329/('Lab Analysis'!M329+(1.765*'Lab Analysis'!K329))),"0")</f>
        <v>0</v>
      </c>
      <c r="K329" s="190" t="str">
        <f>IFERROR(((2*('Lab Analysis'!M329/60))+('Lab Analysis'!K329/17))/(('Lab Analysis'!L329/44)+('Lab Analysis'!M329/60)),"0")</f>
        <v>0</v>
      </c>
      <c r="L329" s="190" t="str">
        <f>IFERROR((('Lab Analysis'!N329/18)-('Lab Analysis'!M329/60))/(('Lab Analysis'!L329/44)+('Lab Analysis'!M329/60)),"0")</f>
        <v>0</v>
      </c>
      <c r="M329" s="187" t="str">
        <f>IFERROR(((2*('Lab Analysis'!U329/60))+('Lab Analysis'!S329/17))/(('Lab Analysis'!T329/44)+('Lab Analysis'!U329/60)),"0")</f>
        <v>0</v>
      </c>
      <c r="N329" s="187" t="str">
        <f>IFERROR((('Lab Analysis'!V329/18)-('Lab Analysis'!U329/60))/(('Lab Analysis'!T329/44)+('Lab Analysis'!U329/60)),"0")</f>
        <v>0</v>
      </c>
      <c r="O329" s="187" t="str">
        <f>IFERROR(((2*('Lab Analysis'!Y329/60)+('Lab Analysis'!W329/17))/(('Lab Analysis'!X329/44)+('Lab Analysis'!Y329/60))),"0")</f>
        <v>0</v>
      </c>
      <c r="P329" s="187" t="str">
        <f>IFERROR((('Lab Analysis'!Z329/18)-('Lab Analysis'!Y329/60))/(('Lab Analysis'!X329/44)+('Lab Analysis'!Y329/60)),"0")</f>
        <v>0</v>
      </c>
      <c r="Q329" s="191"/>
    </row>
    <row r="330" spans="1:17">
      <c r="A330" s="185">
        <v>46144</v>
      </c>
      <c r="B330" s="186" t="str">
        <f>IFERROR(('Lab Analysis'!E330/('Lab Analysis'!E330+(1.364*'Lab Analysis'!D330))),"0")</f>
        <v>0</v>
      </c>
      <c r="C330" s="186" t="str">
        <f>IFERROR((2*'Lab Analysis'!E330/60)/('Lab Analysis'!C330/17+(2*'Lab Analysis'!E330/60)),"0")</f>
        <v>0</v>
      </c>
      <c r="D330" s="187" t="str">
        <f>IFERROR(((2*('Lab Analysis'!E330/60)+('Lab Analysis'!C330/17))/(('Lab Analysis'!D330/44)+('Lab Analysis'!E330/60))),"0")</f>
        <v>0</v>
      </c>
      <c r="E330" s="187" t="str">
        <f>IFERROR((('Lab Analysis'!F330/18)-('Lab Analysis'!E330/60))/(('Lab Analysis'!D330/44)+('Lab Analysis'!E330/60)),"0")</f>
        <v>0</v>
      </c>
      <c r="F330" s="187" t="str">
        <f>IFERROR((('Lab Analysis'!F330/18)/('Lab Analysis'!E330/60)),"0")</f>
        <v>0</v>
      </c>
      <c r="G330" s="188" t="str">
        <f>IFERROR(('Lab Analysis'!I330/('Lab Analysis'!I330+(1.765*'Lab Analysis'!G330))),"0")</f>
        <v>0</v>
      </c>
      <c r="H330" s="189" t="str">
        <f>IFERROR(((2*('Lab Analysis'!I330/60))+('Lab Analysis'!G330/17))/(('Lab Analysis'!H330/44)+('Lab Analysis'!I330/60)),"0")</f>
        <v>0</v>
      </c>
      <c r="I330" s="189" t="str">
        <f>IFERROR((('Lab Analysis'!J330/18)-('Lab Analysis'!I330/60))/(('Lab Analysis'!H330/44)+('Lab Analysis'!I330/60)),"0")</f>
        <v>0</v>
      </c>
      <c r="J330" s="186" t="str">
        <f>IFERROR(('Lab Analysis'!M330/('Lab Analysis'!M330+(1.765*'Lab Analysis'!K330))),"0")</f>
        <v>0</v>
      </c>
      <c r="K330" s="190" t="str">
        <f>IFERROR(((2*('Lab Analysis'!M330/60))+('Lab Analysis'!K330/17))/(('Lab Analysis'!L330/44)+('Lab Analysis'!M330/60)),"0")</f>
        <v>0</v>
      </c>
      <c r="L330" s="190" t="str">
        <f>IFERROR((('Lab Analysis'!N330/18)-('Lab Analysis'!M330/60))/(('Lab Analysis'!L330/44)+('Lab Analysis'!M330/60)),"0")</f>
        <v>0</v>
      </c>
      <c r="M330" s="187" t="str">
        <f>IFERROR(((2*('Lab Analysis'!U330/60))+('Lab Analysis'!S330/17))/(('Lab Analysis'!T330/44)+('Lab Analysis'!U330/60)),"0")</f>
        <v>0</v>
      </c>
      <c r="N330" s="187" t="str">
        <f>IFERROR((('Lab Analysis'!V330/18)-('Lab Analysis'!U330/60))/(('Lab Analysis'!T330/44)+('Lab Analysis'!U330/60)),"0")</f>
        <v>0</v>
      </c>
      <c r="O330" s="187" t="str">
        <f>IFERROR(((2*('Lab Analysis'!Y330/60)+('Lab Analysis'!W330/17))/(('Lab Analysis'!X330/44)+('Lab Analysis'!Y330/60))),"0")</f>
        <v>0</v>
      </c>
      <c r="P330" s="187" t="str">
        <f>IFERROR((('Lab Analysis'!Z330/18)-('Lab Analysis'!Y330/60))/(('Lab Analysis'!X330/44)+('Lab Analysis'!Y330/60)),"0")</f>
        <v>0</v>
      </c>
      <c r="Q330" s="191"/>
    </row>
    <row r="331" spans="1:17">
      <c r="A331" s="185">
        <v>46145</v>
      </c>
      <c r="B331" s="186" t="str">
        <f>IFERROR(('Lab Analysis'!E331/('Lab Analysis'!E331+(1.364*'Lab Analysis'!D331))),"0")</f>
        <v>0</v>
      </c>
      <c r="C331" s="186" t="str">
        <f>IFERROR((2*'Lab Analysis'!E331/60)/('Lab Analysis'!C331/17+(2*'Lab Analysis'!E331/60)),"0")</f>
        <v>0</v>
      </c>
      <c r="D331" s="187" t="str">
        <f>IFERROR(((2*('Lab Analysis'!E331/60)+('Lab Analysis'!C331/17))/(('Lab Analysis'!D331/44)+('Lab Analysis'!E331/60))),"0")</f>
        <v>0</v>
      </c>
      <c r="E331" s="187" t="str">
        <f>IFERROR((('Lab Analysis'!F331/18)-('Lab Analysis'!E331/60))/(('Lab Analysis'!D331/44)+('Lab Analysis'!E331/60)),"0")</f>
        <v>0</v>
      </c>
      <c r="F331" s="187" t="str">
        <f>IFERROR((('Lab Analysis'!F331/18)/('Lab Analysis'!E331/60)),"0")</f>
        <v>0</v>
      </c>
      <c r="G331" s="188" t="str">
        <f>IFERROR(('Lab Analysis'!I331/('Lab Analysis'!I331+(1.765*'Lab Analysis'!G331))),"0")</f>
        <v>0</v>
      </c>
      <c r="H331" s="189" t="str">
        <f>IFERROR(((2*('Lab Analysis'!I331/60))+('Lab Analysis'!G331/17))/(('Lab Analysis'!H331/44)+('Lab Analysis'!I331/60)),"0")</f>
        <v>0</v>
      </c>
      <c r="I331" s="189" t="str">
        <f>IFERROR((('Lab Analysis'!J331/18)-('Lab Analysis'!I331/60))/(('Lab Analysis'!H331/44)+('Lab Analysis'!I331/60)),"0")</f>
        <v>0</v>
      </c>
      <c r="J331" s="186" t="str">
        <f>IFERROR(('Lab Analysis'!M331/('Lab Analysis'!M331+(1.765*'Lab Analysis'!K331))),"0")</f>
        <v>0</v>
      </c>
      <c r="K331" s="190" t="str">
        <f>IFERROR(((2*('Lab Analysis'!M331/60))+('Lab Analysis'!K331/17))/(('Lab Analysis'!L331/44)+('Lab Analysis'!M331/60)),"0")</f>
        <v>0</v>
      </c>
      <c r="L331" s="190" t="str">
        <f>IFERROR((('Lab Analysis'!N331/18)-('Lab Analysis'!M331/60))/(('Lab Analysis'!L331/44)+('Lab Analysis'!M331/60)),"0")</f>
        <v>0</v>
      </c>
      <c r="M331" s="187" t="str">
        <f>IFERROR(((2*('Lab Analysis'!U331/60))+('Lab Analysis'!S331/17))/(('Lab Analysis'!T331/44)+('Lab Analysis'!U331/60)),"0")</f>
        <v>0</v>
      </c>
      <c r="N331" s="187" t="str">
        <f>IFERROR((('Lab Analysis'!V331/18)-('Lab Analysis'!U331/60))/(('Lab Analysis'!T331/44)+('Lab Analysis'!U331/60)),"0")</f>
        <v>0</v>
      </c>
      <c r="O331" s="187" t="str">
        <f>IFERROR(((2*('Lab Analysis'!Y331/60)+('Lab Analysis'!W331/17))/(('Lab Analysis'!X331/44)+('Lab Analysis'!Y331/60))),"0")</f>
        <v>0</v>
      </c>
      <c r="P331" s="187" t="str">
        <f>IFERROR((('Lab Analysis'!Z331/18)-('Lab Analysis'!Y331/60))/(('Lab Analysis'!X331/44)+('Lab Analysis'!Y331/60)),"0")</f>
        <v>0</v>
      </c>
      <c r="Q331" s="191"/>
    </row>
    <row r="332" spans="1:17">
      <c r="A332" s="185">
        <v>46146</v>
      </c>
      <c r="B332" s="186" t="str">
        <f>IFERROR(('Lab Analysis'!E332/('Lab Analysis'!E332+(1.364*'Lab Analysis'!D332))),"0")</f>
        <v>0</v>
      </c>
      <c r="C332" s="186" t="str">
        <f>IFERROR((2*'Lab Analysis'!E332/60)/('Lab Analysis'!C332/17+(2*'Lab Analysis'!E332/60)),"0")</f>
        <v>0</v>
      </c>
      <c r="D332" s="187" t="str">
        <f>IFERROR(((2*('Lab Analysis'!E332/60)+('Lab Analysis'!C332/17))/(('Lab Analysis'!D332/44)+('Lab Analysis'!E332/60))),"0")</f>
        <v>0</v>
      </c>
      <c r="E332" s="187" t="str">
        <f>IFERROR((('Lab Analysis'!F332/18)-('Lab Analysis'!E332/60))/(('Lab Analysis'!D332/44)+('Lab Analysis'!E332/60)),"0")</f>
        <v>0</v>
      </c>
      <c r="F332" s="187" t="str">
        <f>IFERROR((('Lab Analysis'!F332/18)/('Lab Analysis'!E332/60)),"0")</f>
        <v>0</v>
      </c>
      <c r="G332" s="188" t="str">
        <f>IFERROR(('Lab Analysis'!I332/('Lab Analysis'!I332+(1.765*'Lab Analysis'!G332))),"0")</f>
        <v>0</v>
      </c>
      <c r="H332" s="189" t="str">
        <f>IFERROR(((2*('Lab Analysis'!I332/60))+('Lab Analysis'!G332/17))/(('Lab Analysis'!H332/44)+('Lab Analysis'!I332/60)),"0")</f>
        <v>0</v>
      </c>
      <c r="I332" s="189" t="str">
        <f>IFERROR((('Lab Analysis'!J332/18)-('Lab Analysis'!I332/60))/(('Lab Analysis'!H332/44)+('Lab Analysis'!I332/60)),"0")</f>
        <v>0</v>
      </c>
      <c r="J332" s="186" t="str">
        <f>IFERROR(('Lab Analysis'!M332/('Lab Analysis'!M332+(1.765*'Lab Analysis'!K332))),"0")</f>
        <v>0</v>
      </c>
      <c r="K332" s="190" t="str">
        <f>IFERROR(((2*('Lab Analysis'!M332/60))+('Lab Analysis'!K332/17))/(('Lab Analysis'!L332/44)+('Lab Analysis'!M332/60)),"0")</f>
        <v>0</v>
      </c>
      <c r="L332" s="190" t="str">
        <f>IFERROR((('Lab Analysis'!N332/18)-('Lab Analysis'!M332/60))/(('Lab Analysis'!L332/44)+('Lab Analysis'!M332/60)),"0")</f>
        <v>0</v>
      </c>
      <c r="M332" s="187" t="str">
        <f>IFERROR(((2*('Lab Analysis'!U332/60))+('Lab Analysis'!S332/17))/(('Lab Analysis'!T332/44)+('Lab Analysis'!U332/60)),"0")</f>
        <v>0</v>
      </c>
      <c r="N332" s="187" t="str">
        <f>IFERROR((('Lab Analysis'!V332/18)-('Lab Analysis'!U332/60))/(('Lab Analysis'!T332/44)+('Lab Analysis'!U332/60)),"0")</f>
        <v>0</v>
      </c>
      <c r="O332" s="187" t="str">
        <f>IFERROR(((2*('Lab Analysis'!Y332/60)+('Lab Analysis'!W332/17))/(('Lab Analysis'!X332/44)+('Lab Analysis'!Y332/60))),"0")</f>
        <v>0</v>
      </c>
      <c r="P332" s="187" t="str">
        <f>IFERROR((('Lab Analysis'!Z332/18)-('Lab Analysis'!Y332/60))/(('Lab Analysis'!X332/44)+('Lab Analysis'!Y332/60)),"0")</f>
        <v>0</v>
      </c>
      <c r="Q332" s="191"/>
    </row>
    <row r="333" spans="1:17">
      <c r="A333" s="185">
        <v>46147</v>
      </c>
      <c r="B333" s="186" t="str">
        <f>IFERROR(('Lab Analysis'!E333/('Lab Analysis'!E333+(1.364*'Lab Analysis'!D333))),"0")</f>
        <v>0</v>
      </c>
      <c r="C333" s="186" t="str">
        <f>IFERROR((2*'Lab Analysis'!E333/60)/('Lab Analysis'!C333/17+(2*'Lab Analysis'!E333/60)),"0")</f>
        <v>0</v>
      </c>
      <c r="D333" s="187" t="str">
        <f>IFERROR(((2*('Lab Analysis'!E333/60)+('Lab Analysis'!C333/17))/(('Lab Analysis'!D333/44)+('Lab Analysis'!E333/60))),"0")</f>
        <v>0</v>
      </c>
      <c r="E333" s="187" t="str">
        <f>IFERROR((('Lab Analysis'!F333/18)-('Lab Analysis'!E333/60))/(('Lab Analysis'!D333/44)+('Lab Analysis'!E333/60)),"0")</f>
        <v>0</v>
      </c>
      <c r="F333" s="187" t="str">
        <f>IFERROR((('Lab Analysis'!F333/18)/('Lab Analysis'!E333/60)),"0")</f>
        <v>0</v>
      </c>
      <c r="G333" s="188" t="str">
        <f>IFERROR(('Lab Analysis'!I333/('Lab Analysis'!I333+(1.765*'Lab Analysis'!G333))),"0")</f>
        <v>0</v>
      </c>
      <c r="H333" s="189" t="str">
        <f>IFERROR(((2*('Lab Analysis'!I333/60))+('Lab Analysis'!G333/17))/(('Lab Analysis'!H333/44)+('Lab Analysis'!I333/60)),"0")</f>
        <v>0</v>
      </c>
      <c r="I333" s="189" t="str">
        <f>IFERROR((('Lab Analysis'!J333/18)-('Lab Analysis'!I333/60))/(('Lab Analysis'!H333/44)+('Lab Analysis'!I333/60)),"0")</f>
        <v>0</v>
      </c>
      <c r="J333" s="186" t="str">
        <f>IFERROR(('Lab Analysis'!M333/('Lab Analysis'!M333+(1.765*'Lab Analysis'!K333))),"0")</f>
        <v>0</v>
      </c>
      <c r="K333" s="190" t="str">
        <f>IFERROR(((2*('Lab Analysis'!M333/60))+('Lab Analysis'!K333/17))/(('Lab Analysis'!L333/44)+('Lab Analysis'!M333/60)),"0")</f>
        <v>0</v>
      </c>
      <c r="L333" s="190" t="str">
        <f>IFERROR((('Lab Analysis'!N333/18)-('Lab Analysis'!M333/60))/(('Lab Analysis'!L333/44)+('Lab Analysis'!M333/60)),"0")</f>
        <v>0</v>
      </c>
      <c r="M333" s="187" t="str">
        <f>IFERROR(((2*('Lab Analysis'!U333/60))+('Lab Analysis'!S333/17))/(('Lab Analysis'!T333/44)+('Lab Analysis'!U333/60)),"0")</f>
        <v>0</v>
      </c>
      <c r="N333" s="187" t="str">
        <f>IFERROR((('Lab Analysis'!V333/18)-('Lab Analysis'!U333/60))/(('Lab Analysis'!T333/44)+('Lab Analysis'!U333/60)),"0")</f>
        <v>0</v>
      </c>
      <c r="O333" s="187" t="str">
        <f>IFERROR(((2*('Lab Analysis'!Y333/60)+('Lab Analysis'!W333/17))/(('Lab Analysis'!X333/44)+('Lab Analysis'!Y333/60))),"0")</f>
        <v>0</v>
      </c>
      <c r="P333" s="187" t="str">
        <f>IFERROR((('Lab Analysis'!Z333/18)-('Lab Analysis'!Y333/60))/(('Lab Analysis'!X333/44)+('Lab Analysis'!Y333/60)),"0")</f>
        <v>0</v>
      </c>
      <c r="Q333" s="191"/>
    </row>
    <row r="334" spans="1:17">
      <c r="A334" s="185">
        <v>46148</v>
      </c>
      <c r="B334" s="186" t="str">
        <f>IFERROR(('Lab Analysis'!E334/('Lab Analysis'!E334+(1.364*'Lab Analysis'!D334))),"0")</f>
        <v>0</v>
      </c>
      <c r="C334" s="186" t="str">
        <f>IFERROR((2*'Lab Analysis'!E334/60)/('Lab Analysis'!C334/17+(2*'Lab Analysis'!E334/60)),"0")</f>
        <v>0</v>
      </c>
      <c r="D334" s="187" t="str">
        <f>IFERROR(((2*('Lab Analysis'!E334/60)+('Lab Analysis'!C334/17))/(('Lab Analysis'!D334/44)+('Lab Analysis'!E334/60))),"0")</f>
        <v>0</v>
      </c>
      <c r="E334" s="187" t="str">
        <f>IFERROR((('Lab Analysis'!F334/18)-('Lab Analysis'!E334/60))/(('Lab Analysis'!D334/44)+('Lab Analysis'!E334/60)),"0")</f>
        <v>0</v>
      </c>
      <c r="F334" s="187" t="str">
        <f>IFERROR((('Lab Analysis'!F334/18)/('Lab Analysis'!E334/60)),"0")</f>
        <v>0</v>
      </c>
      <c r="G334" s="188" t="str">
        <f>IFERROR(('Lab Analysis'!I334/('Lab Analysis'!I334+(1.765*'Lab Analysis'!G334))),"0")</f>
        <v>0</v>
      </c>
      <c r="H334" s="189" t="str">
        <f>IFERROR(((2*('Lab Analysis'!I334/60))+('Lab Analysis'!G334/17))/(('Lab Analysis'!H334/44)+('Lab Analysis'!I334/60)),"0")</f>
        <v>0</v>
      </c>
      <c r="I334" s="189" t="str">
        <f>IFERROR((('Lab Analysis'!J334/18)-('Lab Analysis'!I334/60))/(('Lab Analysis'!H334/44)+('Lab Analysis'!I334/60)),"0")</f>
        <v>0</v>
      </c>
      <c r="J334" s="186" t="str">
        <f>IFERROR(('Lab Analysis'!M334/('Lab Analysis'!M334+(1.765*'Lab Analysis'!K334))),"0")</f>
        <v>0</v>
      </c>
      <c r="K334" s="190" t="str">
        <f>IFERROR(((2*('Lab Analysis'!M334/60))+('Lab Analysis'!K334/17))/(('Lab Analysis'!L334/44)+('Lab Analysis'!M334/60)),"0")</f>
        <v>0</v>
      </c>
      <c r="L334" s="190" t="str">
        <f>IFERROR((('Lab Analysis'!N334/18)-('Lab Analysis'!M334/60))/(('Lab Analysis'!L334/44)+('Lab Analysis'!M334/60)),"0")</f>
        <v>0</v>
      </c>
      <c r="M334" s="187" t="str">
        <f>IFERROR(((2*('Lab Analysis'!U334/60))+('Lab Analysis'!S334/17))/(('Lab Analysis'!T334/44)+('Lab Analysis'!U334/60)),"0")</f>
        <v>0</v>
      </c>
      <c r="N334" s="187" t="str">
        <f>IFERROR((('Lab Analysis'!V334/18)-('Lab Analysis'!U334/60))/(('Lab Analysis'!T334/44)+('Lab Analysis'!U334/60)),"0")</f>
        <v>0</v>
      </c>
      <c r="O334" s="187" t="str">
        <f>IFERROR(((2*('Lab Analysis'!Y334/60)+('Lab Analysis'!W334/17))/(('Lab Analysis'!X334/44)+('Lab Analysis'!Y334/60))),"0")</f>
        <v>0</v>
      </c>
      <c r="P334" s="187" t="str">
        <f>IFERROR((('Lab Analysis'!Z334/18)-('Lab Analysis'!Y334/60))/(('Lab Analysis'!X334/44)+('Lab Analysis'!Y334/60)),"0")</f>
        <v>0</v>
      </c>
      <c r="Q334" s="191"/>
    </row>
    <row r="335" spans="1:17">
      <c r="A335" s="185">
        <v>46149</v>
      </c>
      <c r="B335" s="186" t="str">
        <f>IFERROR(('Lab Analysis'!E335/('Lab Analysis'!E335+(1.364*'Lab Analysis'!D335))),"0")</f>
        <v>0</v>
      </c>
      <c r="C335" s="186" t="str">
        <f>IFERROR((2*'Lab Analysis'!E335/60)/('Lab Analysis'!C335/17+(2*'Lab Analysis'!E335/60)),"0")</f>
        <v>0</v>
      </c>
      <c r="D335" s="187" t="str">
        <f>IFERROR(((2*('Lab Analysis'!E335/60)+('Lab Analysis'!C335/17))/(('Lab Analysis'!D335/44)+('Lab Analysis'!E335/60))),"0")</f>
        <v>0</v>
      </c>
      <c r="E335" s="187" t="str">
        <f>IFERROR((('Lab Analysis'!F335/18)-('Lab Analysis'!E335/60))/(('Lab Analysis'!D335/44)+('Lab Analysis'!E335/60)),"0")</f>
        <v>0</v>
      </c>
      <c r="F335" s="187" t="str">
        <f>IFERROR((('Lab Analysis'!F335/18)/('Lab Analysis'!E335/60)),"0")</f>
        <v>0</v>
      </c>
      <c r="G335" s="188" t="str">
        <f>IFERROR(('Lab Analysis'!I335/('Lab Analysis'!I335+(1.765*'Lab Analysis'!G335))),"0")</f>
        <v>0</v>
      </c>
      <c r="H335" s="189" t="str">
        <f>IFERROR(((2*('Lab Analysis'!I335/60))+('Lab Analysis'!G335/17))/(('Lab Analysis'!H335/44)+('Lab Analysis'!I335/60)),"0")</f>
        <v>0</v>
      </c>
      <c r="I335" s="189" t="str">
        <f>IFERROR((('Lab Analysis'!J335/18)-('Lab Analysis'!I335/60))/(('Lab Analysis'!H335/44)+('Lab Analysis'!I335/60)),"0")</f>
        <v>0</v>
      </c>
      <c r="J335" s="186" t="str">
        <f>IFERROR(('Lab Analysis'!M335/('Lab Analysis'!M335+(1.765*'Lab Analysis'!K335))),"0")</f>
        <v>0</v>
      </c>
      <c r="K335" s="190" t="str">
        <f>IFERROR(((2*('Lab Analysis'!M335/60))+('Lab Analysis'!K335/17))/(('Lab Analysis'!L335/44)+('Lab Analysis'!M335/60)),"0")</f>
        <v>0</v>
      </c>
      <c r="L335" s="190" t="str">
        <f>IFERROR((('Lab Analysis'!N335/18)-('Lab Analysis'!M335/60))/(('Lab Analysis'!L335/44)+('Lab Analysis'!M335/60)),"0")</f>
        <v>0</v>
      </c>
      <c r="M335" s="187" t="str">
        <f>IFERROR(((2*('Lab Analysis'!U335/60))+('Lab Analysis'!S335/17))/(('Lab Analysis'!T335/44)+('Lab Analysis'!U335/60)),"0")</f>
        <v>0</v>
      </c>
      <c r="N335" s="187" t="str">
        <f>IFERROR((('Lab Analysis'!V335/18)-('Lab Analysis'!U335/60))/(('Lab Analysis'!T335/44)+('Lab Analysis'!U335/60)),"0")</f>
        <v>0</v>
      </c>
      <c r="O335" s="187" t="str">
        <f>IFERROR(((2*('Lab Analysis'!Y335/60)+('Lab Analysis'!W335/17))/(('Lab Analysis'!X335/44)+('Lab Analysis'!Y335/60))),"0")</f>
        <v>0</v>
      </c>
      <c r="P335" s="187" t="str">
        <f>IFERROR((('Lab Analysis'!Z335/18)-('Lab Analysis'!Y335/60))/(('Lab Analysis'!X335/44)+('Lab Analysis'!Y335/60)),"0")</f>
        <v>0</v>
      </c>
      <c r="Q335" s="191"/>
    </row>
    <row r="336" spans="1:17">
      <c r="A336" s="185">
        <v>46150</v>
      </c>
      <c r="B336" s="186" t="str">
        <f>IFERROR(('Lab Analysis'!E336/('Lab Analysis'!E336+(1.364*'Lab Analysis'!D336))),"0")</f>
        <v>0</v>
      </c>
      <c r="C336" s="186" t="str">
        <f>IFERROR((2*'Lab Analysis'!E336/60)/('Lab Analysis'!C336/17+(2*'Lab Analysis'!E336/60)),"0")</f>
        <v>0</v>
      </c>
      <c r="D336" s="187" t="str">
        <f>IFERROR(((2*('Lab Analysis'!E336/60)+('Lab Analysis'!C336/17))/(('Lab Analysis'!D336/44)+('Lab Analysis'!E336/60))),"0")</f>
        <v>0</v>
      </c>
      <c r="E336" s="187" t="str">
        <f>IFERROR((('Lab Analysis'!F336/18)-('Lab Analysis'!E336/60))/(('Lab Analysis'!D336/44)+('Lab Analysis'!E336/60)),"0")</f>
        <v>0</v>
      </c>
      <c r="F336" s="187" t="str">
        <f>IFERROR((('Lab Analysis'!F336/18)/('Lab Analysis'!E336/60)),"0")</f>
        <v>0</v>
      </c>
      <c r="G336" s="188" t="str">
        <f>IFERROR(('Lab Analysis'!I336/('Lab Analysis'!I336+(1.765*'Lab Analysis'!G336))),"0")</f>
        <v>0</v>
      </c>
      <c r="H336" s="189" t="str">
        <f>IFERROR(((2*('Lab Analysis'!I336/60))+('Lab Analysis'!G336/17))/(('Lab Analysis'!H336/44)+('Lab Analysis'!I336/60)),"0")</f>
        <v>0</v>
      </c>
      <c r="I336" s="189" t="str">
        <f>IFERROR((('Lab Analysis'!J336/18)-('Lab Analysis'!I336/60))/(('Lab Analysis'!H336/44)+('Lab Analysis'!I336/60)),"0")</f>
        <v>0</v>
      </c>
      <c r="J336" s="186" t="str">
        <f>IFERROR(('Lab Analysis'!M336/('Lab Analysis'!M336+(1.765*'Lab Analysis'!K336))),"0")</f>
        <v>0</v>
      </c>
      <c r="K336" s="190" t="str">
        <f>IFERROR(((2*('Lab Analysis'!M336/60))+('Lab Analysis'!K336/17))/(('Lab Analysis'!L336/44)+('Lab Analysis'!M336/60)),"0")</f>
        <v>0</v>
      </c>
      <c r="L336" s="190" t="str">
        <f>IFERROR((('Lab Analysis'!N336/18)-('Lab Analysis'!M336/60))/(('Lab Analysis'!L336/44)+('Lab Analysis'!M336/60)),"0")</f>
        <v>0</v>
      </c>
      <c r="M336" s="187" t="str">
        <f>IFERROR(((2*('Lab Analysis'!U336/60))+('Lab Analysis'!S336/17))/(('Lab Analysis'!T336/44)+('Lab Analysis'!U336/60)),"0")</f>
        <v>0</v>
      </c>
      <c r="N336" s="187" t="str">
        <f>IFERROR((('Lab Analysis'!V336/18)-('Lab Analysis'!U336/60))/(('Lab Analysis'!T336/44)+('Lab Analysis'!U336/60)),"0")</f>
        <v>0</v>
      </c>
      <c r="O336" s="187" t="str">
        <f>IFERROR(((2*('Lab Analysis'!Y336/60)+('Lab Analysis'!W336/17))/(('Lab Analysis'!X336/44)+('Lab Analysis'!Y336/60))),"0")</f>
        <v>0</v>
      </c>
      <c r="P336" s="187" t="str">
        <f>IFERROR((('Lab Analysis'!Z336/18)-('Lab Analysis'!Y336/60))/(('Lab Analysis'!X336/44)+('Lab Analysis'!Y336/60)),"0")</f>
        <v>0</v>
      </c>
      <c r="Q336" s="191"/>
    </row>
    <row r="337" spans="1:17">
      <c r="A337" s="185">
        <v>46151</v>
      </c>
      <c r="B337" s="186" t="str">
        <f>IFERROR(('Lab Analysis'!E337/('Lab Analysis'!E337+(1.364*'Lab Analysis'!D337))),"0")</f>
        <v>0</v>
      </c>
      <c r="C337" s="186" t="str">
        <f>IFERROR((2*'Lab Analysis'!E337/60)/('Lab Analysis'!C337/17+(2*'Lab Analysis'!E337/60)),"0")</f>
        <v>0</v>
      </c>
      <c r="D337" s="187" t="str">
        <f>IFERROR(((2*('Lab Analysis'!E337/60)+('Lab Analysis'!C337/17))/(('Lab Analysis'!D337/44)+('Lab Analysis'!E337/60))),"0")</f>
        <v>0</v>
      </c>
      <c r="E337" s="187" t="str">
        <f>IFERROR((('Lab Analysis'!F337/18)-('Lab Analysis'!E337/60))/(('Lab Analysis'!D337/44)+('Lab Analysis'!E337/60)),"0")</f>
        <v>0</v>
      </c>
      <c r="F337" s="187" t="str">
        <f>IFERROR((('Lab Analysis'!F337/18)/('Lab Analysis'!E337/60)),"0")</f>
        <v>0</v>
      </c>
      <c r="G337" s="188" t="str">
        <f>IFERROR(('Lab Analysis'!I337/('Lab Analysis'!I337+(1.765*'Lab Analysis'!G337))),"0")</f>
        <v>0</v>
      </c>
      <c r="H337" s="189" t="str">
        <f>IFERROR(((2*('Lab Analysis'!I337/60))+('Lab Analysis'!G337/17))/(('Lab Analysis'!H337/44)+('Lab Analysis'!I337/60)),"0")</f>
        <v>0</v>
      </c>
      <c r="I337" s="189" t="str">
        <f>IFERROR((('Lab Analysis'!J337/18)-('Lab Analysis'!I337/60))/(('Lab Analysis'!H337/44)+('Lab Analysis'!I337/60)),"0")</f>
        <v>0</v>
      </c>
      <c r="J337" s="186" t="str">
        <f>IFERROR(('Lab Analysis'!M337/('Lab Analysis'!M337+(1.765*'Lab Analysis'!K337))),"0")</f>
        <v>0</v>
      </c>
      <c r="K337" s="190" t="str">
        <f>IFERROR(((2*('Lab Analysis'!M337/60))+('Lab Analysis'!K337/17))/(('Lab Analysis'!L337/44)+('Lab Analysis'!M337/60)),"0")</f>
        <v>0</v>
      </c>
      <c r="L337" s="190" t="str">
        <f>IFERROR((('Lab Analysis'!N337/18)-('Lab Analysis'!M337/60))/(('Lab Analysis'!L337/44)+('Lab Analysis'!M337/60)),"0")</f>
        <v>0</v>
      </c>
      <c r="M337" s="187" t="str">
        <f>IFERROR(((2*('Lab Analysis'!U337/60))+('Lab Analysis'!S337/17))/(('Lab Analysis'!T337/44)+('Lab Analysis'!U337/60)),"0")</f>
        <v>0</v>
      </c>
      <c r="N337" s="187" t="str">
        <f>IFERROR((('Lab Analysis'!V337/18)-('Lab Analysis'!U337/60))/(('Lab Analysis'!T337/44)+('Lab Analysis'!U337/60)),"0")</f>
        <v>0</v>
      </c>
      <c r="O337" s="187" t="str">
        <f>IFERROR(((2*('Lab Analysis'!Y337/60)+('Lab Analysis'!W337/17))/(('Lab Analysis'!X337/44)+('Lab Analysis'!Y337/60))),"0")</f>
        <v>0</v>
      </c>
      <c r="P337" s="187" t="str">
        <f>IFERROR((('Lab Analysis'!Z337/18)-('Lab Analysis'!Y337/60))/(('Lab Analysis'!X337/44)+('Lab Analysis'!Y337/60)),"0")</f>
        <v>0</v>
      </c>
      <c r="Q337" s="191"/>
    </row>
    <row r="338" spans="1:17">
      <c r="A338" s="185">
        <v>46152</v>
      </c>
      <c r="B338" s="186" t="str">
        <f>IFERROR(('Lab Analysis'!E338/('Lab Analysis'!E338+(1.364*'Lab Analysis'!D338))),"0")</f>
        <v>0</v>
      </c>
      <c r="C338" s="186" t="str">
        <f>IFERROR((2*'Lab Analysis'!E338/60)/('Lab Analysis'!C338/17+(2*'Lab Analysis'!E338/60)),"0")</f>
        <v>0</v>
      </c>
      <c r="D338" s="187" t="str">
        <f>IFERROR(((2*('Lab Analysis'!E338/60)+('Lab Analysis'!C338/17))/(('Lab Analysis'!D338/44)+('Lab Analysis'!E338/60))),"0")</f>
        <v>0</v>
      </c>
      <c r="E338" s="187" t="str">
        <f>IFERROR((('Lab Analysis'!F338/18)-('Lab Analysis'!E338/60))/(('Lab Analysis'!D338/44)+('Lab Analysis'!E338/60)),"0")</f>
        <v>0</v>
      </c>
      <c r="F338" s="187" t="str">
        <f>IFERROR((('Lab Analysis'!F338/18)/('Lab Analysis'!E338/60)),"0")</f>
        <v>0</v>
      </c>
      <c r="G338" s="188" t="str">
        <f>IFERROR(('Lab Analysis'!I338/('Lab Analysis'!I338+(1.765*'Lab Analysis'!G338))),"0")</f>
        <v>0</v>
      </c>
      <c r="H338" s="189" t="str">
        <f>IFERROR(((2*('Lab Analysis'!I338/60))+('Lab Analysis'!G338/17))/(('Lab Analysis'!H338/44)+('Lab Analysis'!I338/60)),"0")</f>
        <v>0</v>
      </c>
      <c r="I338" s="189" t="str">
        <f>IFERROR((('Lab Analysis'!J338/18)-('Lab Analysis'!I338/60))/(('Lab Analysis'!H338/44)+('Lab Analysis'!I338/60)),"0")</f>
        <v>0</v>
      </c>
      <c r="J338" s="186" t="str">
        <f>IFERROR(('Lab Analysis'!M338/('Lab Analysis'!M338+(1.765*'Lab Analysis'!K338))),"0")</f>
        <v>0</v>
      </c>
      <c r="K338" s="190" t="str">
        <f>IFERROR(((2*('Lab Analysis'!M338/60))+('Lab Analysis'!K338/17))/(('Lab Analysis'!L338/44)+('Lab Analysis'!M338/60)),"0")</f>
        <v>0</v>
      </c>
      <c r="L338" s="190" t="str">
        <f>IFERROR((('Lab Analysis'!N338/18)-('Lab Analysis'!M338/60))/(('Lab Analysis'!L338/44)+('Lab Analysis'!M338/60)),"0")</f>
        <v>0</v>
      </c>
      <c r="M338" s="187" t="str">
        <f>IFERROR(((2*('Lab Analysis'!U338/60))+('Lab Analysis'!S338/17))/(('Lab Analysis'!T338/44)+('Lab Analysis'!U338/60)),"0")</f>
        <v>0</v>
      </c>
      <c r="N338" s="187" t="str">
        <f>IFERROR((('Lab Analysis'!V338/18)-('Lab Analysis'!U338/60))/(('Lab Analysis'!T338/44)+('Lab Analysis'!U338/60)),"0")</f>
        <v>0</v>
      </c>
      <c r="O338" s="187" t="str">
        <f>IFERROR(((2*('Lab Analysis'!Y338/60)+('Lab Analysis'!W338/17))/(('Lab Analysis'!X338/44)+('Lab Analysis'!Y338/60))),"0")</f>
        <v>0</v>
      </c>
      <c r="P338" s="187" t="str">
        <f>IFERROR((('Lab Analysis'!Z338/18)-('Lab Analysis'!Y338/60))/(('Lab Analysis'!X338/44)+('Lab Analysis'!Y338/60)),"0")</f>
        <v>0</v>
      </c>
      <c r="Q338" s="191"/>
    </row>
    <row r="339" spans="1:17">
      <c r="A339" s="185">
        <v>46153</v>
      </c>
      <c r="B339" s="186" t="str">
        <f>IFERROR(('Lab Analysis'!E339/('Lab Analysis'!E339+(1.364*'Lab Analysis'!D339))),"0")</f>
        <v>0</v>
      </c>
      <c r="C339" s="186" t="str">
        <f>IFERROR((2*'Lab Analysis'!E339/60)/('Lab Analysis'!C339/17+(2*'Lab Analysis'!E339/60)),"0")</f>
        <v>0</v>
      </c>
      <c r="D339" s="187" t="str">
        <f>IFERROR(((2*('Lab Analysis'!E339/60)+('Lab Analysis'!C339/17))/(('Lab Analysis'!D339/44)+('Lab Analysis'!E339/60))),"0")</f>
        <v>0</v>
      </c>
      <c r="E339" s="187" t="str">
        <f>IFERROR((('Lab Analysis'!F339/18)-('Lab Analysis'!E339/60))/(('Lab Analysis'!D339/44)+('Lab Analysis'!E339/60)),"0")</f>
        <v>0</v>
      </c>
      <c r="F339" s="187" t="str">
        <f>IFERROR((('Lab Analysis'!F339/18)/('Lab Analysis'!E339/60)),"0")</f>
        <v>0</v>
      </c>
      <c r="G339" s="188" t="str">
        <f>IFERROR(('Lab Analysis'!I339/('Lab Analysis'!I339+(1.765*'Lab Analysis'!G339))),"0")</f>
        <v>0</v>
      </c>
      <c r="H339" s="189" t="str">
        <f>IFERROR(((2*('Lab Analysis'!I339/60))+('Lab Analysis'!G339/17))/(('Lab Analysis'!H339/44)+('Lab Analysis'!I339/60)),"0")</f>
        <v>0</v>
      </c>
      <c r="I339" s="189" t="str">
        <f>IFERROR((('Lab Analysis'!J339/18)-('Lab Analysis'!I339/60))/(('Lab Analysis'!H339/44)+('Lab Analysis'!I339/60)),"0")</f>
        <v>0</v>
      </c>
      <c r="J339" s="186" t="str">
        <f>IFERROR(('Lab Analysis'!M339/('Lab Analysis'!M339+(1.765*'Lab Analysis'!K339))),"0")</f>
        <v>0</v>
      </c>
      <c r="K339" s="190" t="str">
        <f>IFERROR(((2*('Lab Analysis'!M339/60))+('Lab Analysis'!K339/17))/(('Lab Analysis'!L339/44)+('Lab Analysis'!M339/60)),"0")</f>
        <v>0</v>
      </c>
      <c r="L339" s="190" t="str">
        <f>IFERROR((('Lab Analysis'!N339/18)-('Lab Analysis'!M339/60))/(('Lab Analysis'!L339/44)+('Lab Analysis'!M339/60)),"0")</f>
        <v>0</v>
      </c>
      <c r="M339" s="187" t="str">
        <f>IFERROR(((2*('Lab Analysis'!U339/60))+('Lab Analysis'!S339/17))/(('Lab Analysis'!T339/44)+('Lab Analysis'!U339/60)),"0")</f>
        <v>0</v>
      </c>
      <c r="N339" s="187" t="str">
        <f>IFERROR((('Lab Analysis'!V339/18)-('Lab Analysis'!U339/60))/(('Lab Analysis'!T339/44)+('Lab Analysis'!U339/60)),"0")</f>
        <v>0</v>
      </c>
      <c r="O339" s="187" t="str">
        <f>IFERROR(((2*('Lab Analysis'!Y339/60)+('Lab Analysis'!W339/17))/(('Lab Analysis'!X339/44)+('Lab Analysis'!Y339/60))),"0")</f>
        <v>0</v>
      </c>
      <c r="P339" s="187" t="str">
        <f>IFERROR((('Lab Analysis'!Z339/18)-('Lab Analysis'!Y339/60))/(('Lab Analysis'!X339/44)+('Lab Analysis'!Y339/60)),"0")</f>
        <v>0</v>
      </c>
      <c r="Q339" s="191"/>
    </row>
    <row r="340" spans="1:17">
      <c r="A340" s="185">
        <v>46154</v>
      </c>
      <c r="B340" s="186" t="str">
        <f>IFERROR(('Lab Analysis'!E340/('Lab Analysis'!E340+(1.364*'Lab Analysis'!D340))),"0")</f>
        <v>0</v>
      </c>
      <c r="C340" s="186" t="str">
        <f>IFERROR((2*'Lab Analysis'!E340/60)/('Lab Analysis'!C340/17+(2*'Lab Analysis'!E340/60)),"0")</f>
        <v>0</v>
      </c>
      <c r="D340" s="187" t="str">
        <f>IFERROR(((2*('Lab Analysis'!E340/60)+('Lab Analysis'!C340/17))/(('Lab Analysis'!D340/44)+('Lab Analysis'!E340/60))),"0")</f>
        <v>0</v>
      </c>
      <c r="E340" s="187" t="str">
        <f>IFERROR((('Lab Analysis'!F340/18)-('Lab Analysis'!E340/60))/(('Lab Analysis'!D340/44)+('Lab Analysis'!E340/60)),"0")</f>
        <v>0</v>
      </c>
      <c r="F340" s="187" t="str">
        <f>IFERROR((('Lab Analysis'!F340/18)/('Lab Analysis'!E340/60)),"0")</f>
        <v>0</v>
      </c>
      <c r="G340" s="188" t="str">
        <f>IFERROR(('Lab Analysis'!I340/('Lab Analysis'!I340+(1.765*'Lab Analysis'!G340))),"0")</f>
        <v>0</v>
      </c>
      <c r="H340" s="189" t="str">
        <f>IFERROR(((2*('Lab Analysis'!I340/60))+('Lab Analysis'!G340/17))/(('Lab Analysis'!H340/44)+('Lab Analysis'!I340/60)),"0")</f>
        <v>0</v>
      </c>
      <c r="I340" s="189" t="str">
        <f>IFERROR((('Lab Analysis'!J340/18)-('Lab Analysis'!I340/60))/(('Lab Analysis'!H340/44)+('Lab Analysis'!I340/60)),"0")</f>
        <v>0</v>
      </c>
      <c r="J340" s="186" t="str">
        <f>IFERROR(('Lab Analysis'!M340/('Lab Analysis'!M340+(1.765*'Lab Analysis'!K340))),"0")</f>
        <v>0</v>
      </c>
      <c r="K340" s="190" t="str">
        <f>IFERROR(((2*('Lab Analysis'!M340/60))+('Lab Analysis'!K340/17))/(('Lab Analysis'!L340/44)+('Lab Analysis'!M340/60)),"0")</f>
        <v>0</v>
      </c>
      <c r="L340" s="190" t="str">
        <f>IFERROR((('Lab Analysis'!N340/18)-('Lab Analysis'!M340/60))/(('Lab Analysis'!L340/44)+('Lab Analysis'!M340/60)),"0")</f>
        <v>0</v>
      </c>
      <c r="M340" s="187" t="str">
        <f>IFERROR(((2*('Lab Analysis'!U340/60))+('Lab Analysis'!S340/17))/(('Lab Analysis'!T340/44)+('Lab Analysis'!U340/60)),"0")</f>
        <v>0</v>
      </c>
      <c r="N340" s="187" t="str">
        <f>IFERROR((('Lab Analysis'!V340/18)-('Lab Analysis'!U340/60))/(('Lab Analysis'!T340/44)+('Lab Analysis'!U340/60)),"0")</f>
        <v>0</v>
      </c>
      <c r="O340" s="187" t="str">
        <f>IFERROR(((2*('Lab Analysis'!Y340/60)+('Lab Analysis'!W340/17))/(('Lab Analysis'!X340/44)+('Lab Analysis'!Y340/60))),"0")</f>
        <v>0</v>
      </c>
      <c r="P340" s="187" t="str">
        <f>IFERROR((('Lab Analysis'!Z340/18)-('Lab Analysis'!Y340/60))/(('Lab Analysis'!X340/44)+('Lab Analysis'!Y340/60)),"0")</f>
        <v>0</v>
      </c>
      <c r="Q340" s="191"/>
    </row>
    <row r="341" spans="1:17">
      <c r="A341" s="185">
        <v>46155</v>
      </c>
      <c r="B341" s="186" t="str">
        <f>IFERROR(('Lab Analysis'!E341/('Lab Analysis'!E341+(1.364*'Lab Analysis'!D341))),"0")</f>
        <v>0</v>
      </c>
      <c r="C341" s="186" t="str">
        <f>IFERROR((2*'Lab Analysis'!E341/60)/('Lab Analysis'!C341/17+(2*'Lab Analysis'!E341/60)),"0")</f>
        <v>0</v>
      </c>
      <c r="D341" s="187" t="str">
        <f>IFERROR(((2*('Lab Analysis'!E341/60)+('Lab Analysis'!C341/17))/(('Lab Analysis'!D341/44)+('Lab Analysis'!E341/60))),"0")</f>
        <v>0</v>
      </c>
      <c r="E341" s="187" t="str">
        <f>IFERROR((('Lab Analysis'!F341/18)-('Lab Analysis'!E341/60))/(('Lab Analysis'!D341/44)+('Lab Analysis'!E341/60)),"0")</f>
        <v>0</v>
      </c>
      <c r="F341" s="187" t="str">
        <f>IFERROR((('Lab Analysis'!F341/18)/('Lab Analysis'!E341/60)),"0")</f>
        <v>0</v>
      </c>
      <c r="G341" s="188" t="str">
        <f>IFERROR(('Lab Analysis'!I341/('Lab Analysis'!I341+(1.765*'Lab Analysis'!G341))),"0")</f>
        <v>0</v>
      </c>
      <c r="H341" s="189" t="str">
        <f>IFERROR(((2*('Lab Analysis'!I341/60))+('Lab Analysis'!G341/17))/(('Lab Analysis'!H341/44)+('Lab Analysis'!I341/60)),"0")</f>
        <v>0</v>
      </c>
      <c r="I341" s="189" t="str">
        <f>IFERROR((('Lab Analysis'!J341/18)-('Lab Analysis'!I341/60))/(('Lab Analysis'!H341/44)+('Lab Analysis'!I341/60)),"0")</f>
        <v>0</v>
      </c>
      <c r="J341" s="186" t="str">
        <f>IFERROR(('Lab Analysis'!M341/('Lab Analysis'!M341+(1.765*'Lab Analysis'!K341))),"0")</f>
        <v>0</v>
      </c>
      <c r="K341" s="190" t="str">
        <f>IFERROR(((2*('Lab Analysis'!M341/60))+('Lab Analysis'!K341/17))/(('Lab Analysis'!L341/44)+('Lab Analysis'!M341/60)),"0")</f>
        <v>0</v>
      </c>
      <c r="L341" s="190" t="str">
        <f>IFERROR((('Lab Analysis'!N341/18)-('Lab Analysis'!M341/60))/(('Lab Analysis'!L341/44)+('Lab Analysis'!M341/60)),"0")</f>
        <v>0</v>
      </c>
      <c r="M341" s="187" t="str">
        <f>IFERROR(((2*('Lab Analysis'!U341/60))+('Lab Analysis'!S341/17))/(('Lab Analysis'!T341/44)+('Lab Analysis'!U341/60)),"0")</f>
        <v>0</v>
      </c>
      <c r="N341" s="187" t="str">
        <f>IFERROR((('Lab Analysis'!V341/18)-('Lab Analysis'!U341/60))/(('Lab Analysis'!T341/44)+('Lab Analysis'!U341/60)),"0")</f>
        <v>0</v>
      </c>
      <c r="O341" s="187" t="str">
        <f>IFERROR(((2*('Lab Analysis'!Y341/60)+('Lab Analysis'!W341/17))/(('Lab Analysis'!X341/44)+('Lab Analysis'!Y341/60))),"0")</f>
        <v>0</v>
      </c>
      <c r="P341" s="187" t="str">
        <f>IFERROR((('Lab Analysis'!Z341/18)-('Lab Analysis'!Y341/60))/(('Lab Analysis'!X341/44)+('Lab Analysis'!Y341/60)),"0")</f>
        <v>0</v>
      </c>
      <c r="Q341" s="191"/>
    </row>
    <row r="342" spans="1:17">
      <c r="A342" s="185">
        <v>46156</v>
      </c>
      <c r="B342" s="186" t="str">
        <f>IFERROR(('Lab Analysis'!E342/('Lab Analysis'!E342+(1.364*'Lab Analysis'!D342))),"0")</f>
        <v>0</v>
      </c>
      <c r="C342" s="186" t="str">
        <f>IFERROR((2*'Lab Analysis'!E342/60)/('Lab Analysis'!C342/17+(2*'Lab Analysis'!E342/60)),"0")</f>
        <v>0</v>
      </c>
      <c r="D342" s="187" t="str">
        <f>IFERROR(((2*('Lab Analysis'!E342/60)+('Lab Analysis'!C342/17))/(('Lab Analysis'!D342/44)+('Lab Analysis'!E342/60))),"0")</f>
        <v>0</v>
      </c>
      <c r="E342" s="187" t="str">
        <f>IFERROR((('Lab Analysis'!F342/18)-('Lab Analysis'!E342/60))/(('Lab Analysis'!D342/44)+('Lab Analysis'!E342/60)),"0")</f>
        <v>0</v>
      </c>
      <c r="F342" s="187" t="str">
        <f>IFERROR((('Lab Analysis'!F342/18)/('Lab Analysis'!E342/60)),"0")</f>
        <v>0</v>
      </c>
      <c r="G342" s="188" t="str">
        <f>IFERROR(('Lab Analysis'!I342/('Lab Analysis'!I342+(1.765*'Lab Analysis'!G342))),"0")</f>
        <v>0</v>
      </c>
      <c r="H342" s="189" t="str">
        <f>IFERROR(((2*('Lab Analysis'!I342/60))+('Lab Analysis'!G342/17))/(('Lab Analysis'!H342/44)+('Lab Analysis'!I342/60)),"0")</f>
        <v>0</v>
      </c>
      <c r="I342" s="189" t="str">
        <f>IFERROR((('Lab Analysis'!J342/18)-('Lab Analysis'!I342/60))/(('Lab Analysis'!H342/44)+('Lab Analysis'!I342/60)),"0")</f>
        <v>0</v>
      </c>
      <c r="J342" s="186" t="str">
        <f>IFERROR(('Lab Analysis'!M342/('Lab Analysis'!M342+(1.765*'Lab Analysis'!K342))),"0")</f>
        <v>0</v>
      </c>
      <c r="K342" s="190" t="str">
        <f>IFERROR(((2*('Lab Analysis'!M342/60))+('Lab Analysis'!K342/17))/(('Lab Analysis'!L342/44)+('Lab Analysis'!M342/60)),"0")</f>
        <v>0</v>
      </c>
      <c r="L342" s="190" t="str">
        <f>IFERROR((('Lab Analysis'!N342/18)-('Lab Analysis'!M342/60))/(('Lab Analysis'!L342/44)+('Lab Analysis'!M342/60)),"0")</f>
        <v>0</v>
      </c>
      <c r="M342" s="187" t="str">
        <f>IFERROR(((2*('Lab Analysis'!U342/60))+('Lab Analysis'!S342/17))/(('Lab Analysis'!T342/44)+('Lab Analysis'!U342/60)),"0")</f>
        <v>0</v>
      </c>
      <c r="N342" s="187" t="str">
        <f>IFERROR((('Lab Analysis'!V342/18)-('Lab Analysis'!U342/60))/(('Lab Analysis'!T342/44)+('Lab Analysis'!U342/60)),"0")</f>
        <v>0</v>
      </c>
      <c r="O342" s="187" t="str">
        <f>IFERROR(((2*('Lab Analysis'!Y342/60)+('Lab Analysis'!W342/17))/(('Lab Analysis'!X342/44)+('Lab Analysis'!Y342/60))),"0")</f>
        <v>0</v>
      </c>
      <c r="P342" s="187" t="str">
        <f>IFERROR((('Lab Analysis'!Z342/18)-('Lab Analysis'!Y342/60))/(('Lab Analysis'!X342/44)+('Lab Analysis'!Y342/60)),"0")</f>
        <v>0</v>
      </c>
      <c r="Q342" s="191"/>
    </row>
    <row r="343" spans="1:17">
      <c r="A343" s="185">
        <v>46157</v>
      </c>
      <c r="B343" s="186" t="str">
        <f>IFERROR(('Lab Analysis'!E343/('Lab Analysis'!E343+(1.364*'Lab Analysis'!D343))),"0")</f>
        <v>0</v>
      </c>
      <c r="C343" s="186" t="str">
        <f>IFERROR((2*'Lab Analysis'!E343/60)/('Lab Analysis'!C343/17+(2*'Lab Analysis'!E343/60)),"0")</f>
        <v>0</v>
      </c>
      <c r="D343" s="187" t="str">
        <f>IFERROR(((2*('Lab Analysis'!E343/60)+('Lab Analysis'!C343/17))/(('Lab Analysis'!D343/44)+('Lab Analysis'!E343/60))),"0")</f>
        <v>0</v>
      </c>
      <c r="E343" s="187" t="str">
        <f>IFERROR((('Lab Analysis'!F343/18)-('Lab Analysis'!E343/60))/(('Lab Analysis'!D343/44)+('Lab Analysis'!E343/60)),"0")</f>
        <v>0</v>
      </c>
      <c r="F343" s="187" t="str">
        <f>IFERROR((('Lab Analysis'!F343/18)/('Lab Analysis'!E343/60)),"0")</f>
        <v>0</v>
      </c>
      <c r="G343" s="188" t="str">
        <f>IFERROR(('Lab Analysis'!I343/('Lab Analysis'!I343+(1.765*'Lab Analysis'!G343))),"0")</f>
        <v>0</v>
      </c>
      <c r="H343" s="189" t="str">
        <f>IFERROR(((2*('Lab Analysis'!I343/60))+('Lab Analysis'!G343/17))/(('Lab Analysis'!H343/44)+('Lab Analysis'!I343/60)),"0")</f>
        <v>0</v>
      </c>
      <c r="I343" s="189" t="str">
        <f>IFERROR((('Lab Analysis'!J343/18)-('Lab Analysis'!I343/60))/(('Lab Analysis'!H343/44)+('Lab Analysis'!I343/60)),"0")</f>
        <v>0</v>
      </c>
      <c r="J343" s="186" t="str">
        <f>IFERROR(('Lab Analysis'!M343/('Lab Analysis'!M343+(1.765*'Lab Analysis'!K343))),"0")</f>
        <v>0</v>
      </c>
      <c r="K343" s="190" t="str">
        <f>IFERROR(((2*('Lab Analysis'!M343/60))+('Lab Analysis'!K343/17))/(('Lab Analysis'!L343/44)+('Lab Analysis'!M343/60)),"0")</f>
        <v>0</v>
      </c>
      <c r="L343" s="190" t="str">
        <f>IFERROR((('Lab Analysis'!N343/18)-('Lab Analysis'!M343/60))/(('Lab Analysis'!L343/44)+('Lab Analysis'!M343/60)),"0")</f>
        <v>0</v>
      </c>
      <c r="M343" s="187" t="str">
        <f>IFERROR(((2*('Lab Analysis'!U343/60))+('Lab Analysis'!S343/17))/(('Lab Analysis'!T343/44)+('Lab Analysis'!U343/60)),"0")</f>
        <v>0</v>
      </c>
      <c r="N343" s="187" t="str">
        <f>IFERROR((('Lab Analysis'!V343/18)-('Lab Analysis'!U343/60))/(('Lab Analysis'!T343/44)+('Lab Analysis'!U343/60)),"0")</f>
        <v>0</v>
      </c>
      <c r="O343" s="187" t="str">
        <f>IFERROR(((2*('Lab Analysis'!Y343/60)+('Lab Analysis'!W343/17))/(('Lab Analysis'!X343/44)+('Lab Analysis'!Y343/60))),"0")</f>
        <v>0</v>
      </c>
      <c r="P343" s="187" t="str">
        <f>IFERROR((('Lab Analysis'!Z343/18)-('Lab Analysis'!Y343/60))/(('Lab Analysis'!X343/44)+('Lab Analysis'!Y343/60)),"0")</f>
        <v>0</v>
      </c>
      <c r="Q343" s="191"/>
    </row>
    <row r="344" spans="1:17">
      <c r="A344" s="185">
        <v>46158</v>
      </c>
      <c r="B344" s="186" t="str">
        <f>IFERROR(('Lab Analysis'!E344/('Lab Analysis'!E344+(1.364*'Lab Analysis'!D344))),"0")</f>
        <v>0</v>
      </c>
      <c r="C344" s="186" t="str">
        <f>IFERROR((2*'Lab Analysis'!E344/60)/('Lab Analysis'!C344/17+(2*'Lab Analysis'!E344/60)),"0")</f>
        <v>0</v>
      </c>
      <c r="D344" s="187" t="str">
        <f>IFERROR(((2*('Lab Analysis'!E344/60)+('Lab Analysis'!C344/17))/(('Lab Analysis'!D344/44)+('Lab Analysis'!E344/60))),"0")</f>
        <v>0</v>
      </c>
      <c r="E344" s="187" t="str">
        <f>IFERROR((('Lab Analysis'!F344/18)-('Lab Analysis'!E344/60))/(('Lab Analysis'!D344/44)+('Lab Analysis'!E344/60)),"0")</f>
        <v>0</v>
      </c>
      <c r="F344" s="187" t="str">
        <f>IFERROR((('Lab Analysis'!F344/18)/('Lab Analysis'!E344/60)),"0")</f>
        <v>0</v>
      </c>
      <c r="G344" s="188" t="str">
        <f>IFERROR(('Lab Analysis'!I344/('Lab Analysis'!I344+(1.765*'Lab Analysis'!G344))),"0")</f>
        <v>0</v>
      </c>
      <c r="H344" s="189" t="str">
        <f>IFERROR(((2*('Lab Analysis'!I344/60))+('Lab Analysis'!G344/17))/(('Lab Analysis'!H344/44)+('Lab Analysis'!I344/60)),"0")</f>
        <v>0</v>
      </c>
      <c r="I344" s="189" t="str">
        <f>IFERROR((('Lab Analysis'!J344/18)-('Lab Analysis'!I344/60))/(('Lab Analysis'!H344/44)+('Lab Analysis'!I344/60)),"0")</f>
        <v>0</v>
      </c>
      <c r="J344" s="186" t="str">
        <f>IFERROR(('Lab Analysis'!M344/('Lab Analysis'!M344+(1.765*'Lab Analysis'!K344))),"0")</f>
        <v>0</v>
      </c>
      <c r="K344" s="190" t="str">
        <f>IFERROR(((2*('Lab Analysis'!M344/60))+('Lab Analysis'!K344/17))/(('Lab Analysis'!L344/44)+('Lab Analysis'!M344/60)),"0")</f>
        <v>0</v>
      </c>
      <c r="L344" s="190" t="str">
        <f>IFERROR((('Lab Analysis'!N344/18)-('Lab Analysis'!M344/60))/(('Lab Analysis'!L344/44)+('Lab Analysis'!M344/60)),"0")</f>
        <v>0</v>
      </c>
      <c r="M344" s="187" t="str">
        <f>IFERROR(((2*('Lab Analysis'!U344/60))+('Lab Analysis'!S344/17))/(('Lab Analysis'!T344/44)+('Lab Analysis'!U344/60)),"0")</f>
        <v>0</v>
      </c>
      <c r="N344" s="187" t="str">
        <f>IFERROR((('Lab Analysis'!V344/18)-('Lab Analysis'!U344/60))/(('Lab Analysis'!T344/44)+('Lab Analysis'!U344/60)),"0")</f>
        <v>0</v>
      </c>
      <c r="O344" s="187" t="str">
        <f>IFERROR(((2*('Lab Analysis'!Y344/60)+('Lab Analysis'!W344/17))/(('Lab Analysis'!X344/44)+('Lab Analysis'!Y344/60))),"0")</f>
        <v>0</v>
      </c>
      <c r="P344" s="187" t="str">
        <f>IFERROR((('Lab Analysis'!Z344/18)-('Lab Analysis'!Y344/60))/(('Lab Analysis'!X344/44)+('Lab Analysis'!Y344/60)),"0")</f>
        <v>0</v>
      </c>
      <c r="Q344" s="191"/>
    </row>
    <row r="345" spans="1:17">
      <c r="A345" s="185">
        <v>46159</v>
      </c>
      <c r="B345" s="186" t="str">
        <f>IFERROR(('Lab Analysis'!E345/('Lab Analysis'!E345+(1.364*'Lab Analysis'!D345))),"0")</f>
        <v>0</v>
      </c>
      <c r="C345" s="186" t="str">
        <f>IFERROR((2*'Lab Analysis'!E345/60)/('Lab Analysis'!C345/17+(2*'Lab Analysis'!E345/60)),"0")</f>
        <v>0</v>
      </c>
      <c r="D345" s="187" t="str">
        <f>IFERROR(((2*('Lab Analysis'!E345/60)+('Lab Analysis'!C345/17))/(('Lab Analysis'!D345/44)+('Lab Analysis'!E345/60))),"0")</f>
        <v>0</v>
      </c>
      <c r="E345" s="187" t="str">
        <f>IFERROR((('Lab Analysis'!F345/18)-('Lab Analysis'!E345/60))/(('Lab Analysis'!D345/44)+('Lab Analysis'!E345/60)),"0")</f>
        <v>0</v>
      </c>
      <c r="F345" s="187" t="str">
        <f>IFERROR((('Lab Analysis'!F345/18)/('Lab Analysis'!E345/60)),"0")</f>
        <v>0</v>
      </c>
      <c r="G345" s="188" t="str">
        <f>IFERROR(('Lab Analysis'!I345/('Lab Analysis'!I345+(1.765*'Lab Analysis'!G345))),"0")</f>
        <v>0</v>
      </c>
      <c r="H345" s="189" t="str">
        <f>IFERROR(((2*('Lab Analysis'!I345/60))+('Lab Analysis'!G345/17))/(('Lab Analysis'!H345/44)+('Lab Analysis'!I345/60)),"0")</f>
        <v>0</v>
      </c>
      <c r="I345" s="189" t="str">
        <f>IFERROR((('Lab Analysis'!J345/18)-('Lab Analysis'!I345/60))/(('Lab Analysis'!H345/44)+('Lab Analysis'!I345/60)),"0")</f>
        <v>0</v>
      </c>
      <c r="J345" s="186" t="str">
        <f>IFERROR(('Lab Analysis'!M345/('Lab Analysis'!M345+(1.765*'Lab Analysis'!K345))),"0")</f>
        <v>0</v>
      </c>
      <c r="K345" s="190" t="str">
        <f>IFERROR(((2*('Lab Analysis'!M345/60))+('Lab Analysis'!K345/17))/(('Lab Analysis'!L345/44)+('Lab Analysis'!M345/60)),"0")</f>
        <v>0</v>
      </c>
      <c r="L345" s="190" t="str">
        <f>IFERROR((('Lab Analysis'!N345/18)-('Lab Analysis'!M345/60))/(('Lab Analysis'!L345/44)+('Lab Analysis'!M345/60)),"0")</f>
        <v>0</v>
      </c>
      <c r="M345" s="187" t="str">
        <f>IFERROR(((2*('Lab Analysis'!U345/60))+('Lab Analysis'!S345/17))/(('Lab Analysis'!T345/44)+('Lab Analysis'!U345/60)),"0")</f>
        <v>0</v>
      </c>
      <c r="N345" s="187" t="str">
        <f>IFERROR((('Lab Analysis'!V345/18)-('Lab Analysis'!U345/60))/(('Lab Analysis'!T345/44)+('Lab Analysis'!U345/60)),"0")</f>
        <v>0</v>
      </c>
      <c r="O345" s="187" t="str">
        <f>IFERROR(((2*('Lab Analysis'!Y345/60)+('Lab Analysis'!W345/17))/(('Lab Analysis'!X345/44)+('Lab Analysis'!Y345/60))),"0")</f>
        <v>0</v>
      </c>
      <c r="P345" s="187" t="str">
        <f>IFERROR((('Lab Analysis'!Z345/18)-('Lab Analysis'!Y345/60))/(('Lab Analysis'!X345/44)+('Lab Analysis'!Y345/60)),"0")</f>
        <v>0</v>
      </c>
      <c r="Q345" s="191"/>
    </row>
    <row r="346" spans="1:17">
      <c r="A346" s="185">
        <v>46160</v>
      </c>
      <c r="B346" s="186" t="str">
        <f>IFERROR(('Lab Analysis'!E346/('Lab Analysis'!E346+(1.364*'Lab Analysis'!D346))),"0")</f>
        <v>0</v>
      </c>
      <c r="C346" s="186" t="str">
        <f>IFERROR((2*'Lab Analysis'!E346/60)/('Lab Analysis'!C346/17+(2*'Lab Analysis'!E346/60)),"0")</f>
        <v>0</v>
      </c>
      <c r="D346" s="187" t="str">
        <f>IFERROR(((2*('Lab Analysis'!E346/60)+('Lab Analysis'!C346/17))/(('Lab Analysis'!D346/44)+('Lab Analysis'!E346/60))),"0")</f>
        <v>0</v>
      </c>
      <c r="E346" s="187" t="str">
        <f>IFERROR((('Lab Analysis'!F346/18)-('Lab Analysis'!E346/60))/(('Lab Analysis'!D346/44)+('Lab Analysis'!E346/60)),"0")</f>
        <v>0</v>
      </c>
      <c r="F346" s="187" t="str">
        <f>IFERROR((('Lab Analysis'!F346/18)/('Lab Analysis'!E346/60)),"0")</f>
        <v>0</v>
      </c>
      <c r="G346" s="188" t="str">
        <f>IFERROR(('Lab Analysis'!I346/('Lab Analysis'!I346+(1.765*'Lab Analysis'!G346))),"0")</f>
        <v>0</v>
      </c>
      <c r="H346" s="189" t="str">
        <f>IFERROR(((2*('Lab Analysis'!I346/60))+('Lab Analysis'!G346/17))/(('Lab Analysis'!H346/44)+('Lab Analysis'!I346/60)),"0")</f>
        <v>0</v>
      </c>
      <c r="I346" s="189" t="str">
        <f>IFERROR((('Lab Analysis'!J346/18)-('Lab Analysis'!I346/60))/(('Lab Analysis'!H346/44)+('Lab Analysis'!I346/60)),"0")</f>
        <v>0</v>
      </c>
      <c r="J346" s="186" t="str">
        <f>IFERROR(('Lab Analysis'!M346/('Lab Analysis'!M346+(1.765*'Lab Analysis'!K346))),"0")</f>
        <v>0</v>
      </c>
      <c r="K346" s="190" t="str">
        <f>IFERROR(((2*('Lab Analysis'!M346/60))+('Lab Analysis'!K346/17))/(('Lab Analysis'!L346/44)+('Lab Analysis'!M346/60)),"0")</f>
        <v>0</v>
      </c>
      <c r="L346" s="190" t="str">
        <f>IFERROR((('Lab Analysis'!N346/18)-('Lab Analysis'!M346/60))/(('Lab Analysis'!L346/44)+('Lab Analysis'!M346/60)),"0")</f>
        <v>0</v>
      </c>
      <c r="M346" s="187" t="str">
        <f>IFERROR(((2*('Lab Analysis'!U346/60))+('Lab Analysis'!S346/17))/(('Lab Analysis'!T346/44)+('Lab Analysis'!U346/60)),"0")</f>
        <v>0</v>
      </c>
      <c r="N346" s="187" t="str">
        <f>IFERROR((('Lab Analysis'!V346/18)-('Lab Analysis'!U346/60))/(('Lab Analysis'!T346/44)+('Lab Analysis'!U346/60)),"0")</f>
        <v>0</v>
      </c>
      <c r="O346" s="187" t="str">
        <f>IFERROR(((2*('Lab Analysis'!Y346/60)+('Lab Analysis'!W346/17))/(('Lab Analysis'!X346/44)+('Lab Analysis'!Y346/60))),"0")</f>
        <v>0</v>
      </c>
      <c r="P346" s="187" t="str">
        <f>IFERROR((('Lab Analysis'!Z346/18)-('Lab Analysis'!Y346/60))/(('Lab Analysis'!X346/44)+('Lab Analysis'!Y346/60)),"0")</f>
        <v>0</v>
      </c>
      <c r="Q346" s="191"/>
    </row>
    <row r="347" spans="1:17">
      <c r="A347" s="185">
        <v>46161</v>
      </c>
      <c r="B347" s="186" t="str">
        <f>IFERROR(('Lab Analysis'!E347/('Lab Analysis'!E347+(1.364*'Lab Analysis'!D347))),"0")</f>
        <v>0</v>
      </c>
      <c r="C347" s="186" t="str">
        <f>IFERROR((2*'Lab Analysis'!E347/60)/('Lab Analysis'!C347/17+(2*'Lab Analysis'!E347/60)),"0")</f>
        <v>0</v>
      </c>
      <c r="D347" s="187" t="str">
        <f>IFERROR(((2*('Lab Analysis'!E347/60)+('Lab Analysis'!C347/17))/(('Lab Analysis'!D347/44)+('Lab Analysis'!E347/60))),"0")</f>
        <v>0</v>
      </c>
      <c r="E347" s="187" t="str">
        <f>IFERROR((('Lab Analysis'!F347/18)-('Lab Analysis'!E347/60))/(('Lab Analysis'!D347/44)+('Lab Analysis'!E347/60)),"0")</f>
        <v>0</v>
      </c>
      <c r="F347" s="187" t="str">
        <f>IFERROR((('Lab Analysis'!F347/18)/('Lab Analysis'!E347/60)),"0")</f>
        <v>0</v>
      </c>
      <c r="G347" s="188" t="str">
        <f>IFERROR(('Lab Analysis'!I347/('Lab Analysis'!I347+(1.765*'Lab Analysis'!G347))),"0")</f>
        <v>0</v>
      </c>
      <c r="H347" s="189" t="str">
        <f>IFERROR(((2*('Lab Analysis'!I347/60))+('Lab Analysis'!G347/17))/(('Lab Analysis'!H347/44)+('Lab Analysis'!I347/60)),"0")</f>
        <v>0</v>
      </c>
      <c r="I347" s="189" t="str">
        <f>IFERROR((('Lab Analysis'!J347/18)-('Lab Analysis'!I347/60))/(('Lab Analysis'!H347/44)+('Lab Analysis'!I347/60)),"0")</f>
        <v>0</v>
      </c>
      <c r="J347" s="186" t="str">
        <f>IFERROR(('Lab Analysis'!M347/('Lab Analysis'!M347+(1.765*'Lab Analysis'!K347))),"0")</f>
        <v>0</v>
      </c>
      <c r="K347" s="190" t="str">
        <f>IFERROR(((2*('Lab Analysis'!M347/60))+('Lab Analysis'!K347/17))/(('Lab Analysis'!L347/44)+('Lab Analysis'!M347/60)),"0")</f>
        <v>0</v>
      </c>
      <c r="L347" s="190" t="str">
        <f>IFERROR((('Lab Analysis'!N347/18)-('Lab Analysis'!M347/60))/(('Lab Analysis'!L347/44)+('Lab Analysis'!M347/60)),"0")</f>
        <v>0</v>
      </c>
      <c r="M347" s="187" t="str">
        <f>IFERROR(((2*('Lab Analysis'!U347/60))+('Lab Analysis'!S347/17))/(('Lab Analysis'!T347/44)+('Lab Analysis'!U347/60)),"0")</f>
        <v>0</v>
      </c>
      <c r="N347" s="187" t="str">
        <f>IFERROR((('Lab Analysis'!V347/18)-('Lab Analysis'!U347/60))/(('Lab Analysis'!T347/44)+('Lab Analysis'!U347/60)),"0")</f>
        <v>0</v>
      </c>
      <c r="O347" s="187" t="str">
        <f>IFERROR(((2*('Lab Analysis'!Y347/60)+('Lab Analysis'!W347/17))/(('Lab Analysis'!X347/44)+('Lab Analysis'!Y347/60))),"0")</f>
        <v>0</v>
      </c>
      <c r="P347" s="187" t="str">
        <f>IFERROR((('Lab Analysis'!Z347/18)-('Lab Analysis'!Y347/60))/(('Lab Analysis'!X347/44)+('Lab Analysis'!Y347/60)),"0")</f>
        <v>0</v>
      </c>
      <c r="Q347" s="191"/>
    </row>
    <row r="348" spans="1:17">
      <c r="A348" s="185">
        <v>46162</v>
      </c>
      <c r="B348" s="186" t="str">
        <f>IFERROR(('Lab Analysis'!E348/('Lab Analysis'!E348+(1.364*'Lab Analysis'!D348))),"0")</f>
        <v>0</v>
      </c>
      <c r="C348" s="186" t="str">
        <f>IFERROR((2*'Lab Analysis'!E348/60)/('Lab Analysis'!C348/17+(2*'Lab Analysis'!E348/60)),"0")</f>
        <v>0</v>
      </c>
      <c r="D348" s="187" t="str">
        <f>IFERROR(((2*('Lab Analysis'!E348/60)+('Lab Analysis'!C348/17))/(('Lab Analysis'!D348/44)+('Lab Analysis'!E348/60))),"0")</f>
        <v>0</v>
      </c>
      <c r="E348" s="187" t="str">
        <f>IFERROR((('Lab Analysis'!F348/18)-('Lab Analysis'!E348/60))/(('Lab Analysis'!D348/44)+('Lab Analysis'!E348/60)),"0")</f>
        <v>0</v>
      </c>
      <c r="F348" s="187" t="str">
        <f>IFERROR((('Lab Analysis'!F348/18)/('Lab Analysis'!E348/60)),"0")</f>
        <v>0</v>
      </c>
      <c r="G348" s="188" t="str">
        <f>IFERROR(('Lab Analysis'!I348/('Lab Analysis'!I348+(1.765*'Lab Analysis'!G348))),"0")</f>
        <v>0</v>
      </c>
      <c r="H348" s="189" t="str">
        <f>IFERROR(((2*('Lab Analysis'!I348/60))+('Lab Analysis'!G348/17))/(('Lab Analysis'!H348/44)+('Lab Analysis'!I348/60)),"0")</f>
        <v>0</v>
      </c>
      <c r="I348" s="189" t="str">
        <f>IFERROR((('Lab Analysis'!J348/18)-('Lab Analysis'!I348/60))/(('Lab Analysis'!H348/44)+('Lab Analysis'!I348/60)),"0")</f>
        <v>0</v>
      </c>
      <c r="J348" s="186" t="str">
        <f>IFERROR(('Lab Analysis'!M348/('Lab Analysis'!M348+(1.765*'Lab Analysis'!K348))),"0")</f>
        <v>0</v>
      </c>
      <c r="K348" s="190" t="str">
        <f>IFERROR(((2*('Lab Analysis'!M348/60))+('Lab Analysis'!K348/17))/(('Lab Analysis'!L348/44)+('Lab Analysis'!M348/60)),"0")</f>
        <v>0</v>
      </c>
      <c r="L348" s="190" t="str">
        <f>IFERROR((('Lab Analysis'!N348/18)-('Lab Analysis'!M348/60))/(('Lab Analysis'!L348/44)+('Lab Analysis'!M348/60)),"0")</f>
        <v>0</v>
      </c>
      <c r="M348" s="187" t="str">
        <f>IFERROR(((2*('Lab Analysis'!U348/60))+('Lab Analysis'!S348/17))/(('Lab Analysis'!T348/44)+('Lab Analysis'!U348/60)),"0")</f>
        <v>0</v>
      </c>
      <c r="N348" s="187" t="str">
        <f>IFERROR((('Lab Analysis'!V348/18)-('Lab Analysis'!U348/60))/(('Lab Analysis'!T348/44)+('Lab Analysis'!U348/60)),"0")</f>
        <v>0</v>
      </c>
      <c r="O348" s="187" t="str">
        <f>IFERROR(((2*('Lab Analysis'!Y348/60)+('Lab Analysis'!W348/17))/(('Lab Analysis'!X348/44)+('Lab Analysis'!Y348/60))),"0")</f>
        <v>0</v>
      </c>
      <c r="P348" s="187" t="str">
        <f>IFERROR((('Lab Analysis'!Z348/18)-('Lab Analysis'!Y348/60))/(('Lab Analysis'!X348/44)+('Lab Analysis'!Y348/60)),"0")</f>
        <v>0</v>
      </c>
      <c r="Q348" s="191"/>
    </row>
    <row r="349" spans="1:17">
      <c r="A349" s="185">
        <v>46163</v>
      </c>
      <c r="B349" s="186" t="str">
        <f>IFERROR(('Lab Analysis'!E349/('Lab Analysis'!E349+(1.364*'Lab Analysis'!D349))),"0")</f>
        <v>0</v>
      </c>
      <c r="C349" s="186" t="str">
        <f>IFERROR((2*'Lab Analysis'!E349/60)/('Lab Analysis'!C349/17+(2*'Lab Analysis'!E349/60)),"0")</f>
        <v>0</v>
      </c>
      <c r="D349" s="187" t="str">
        <f>IFERROR(((2*('Lab Analysis'!E349/60)+('Lab Analysis'!C349/17))/(('Lab Analysis'!D349/44)+('Lab Analysis'!E349/60))),"0")</f>
        <v>0</v>
      </c>
      <c r="E349" s="187" t="str">
        <f>IFERROR((('Lab Analysis'!F349/18)-('Lab Analysis'!E349/60))/(('Lab Analysis'!D349/44)+('Lab Analysis'!E349/60)),"0")</f>
        <v>0</v>
      </c>
      <c r="F349" s="187" t="str">
        <f>IFERROR((('Lab Analysis'!F349/18)/('Lab Analysis'!E349/60)),"0")</f>
        <v>0</v>
      </c>
      <c r="G349" s="188" t="str">
        <f>IFERROR(('Lab Analysis'!I349/('Lab Analysis'!I349+(1.765*'Lab Analysis'!G349))),"0")</f>
        <v>0</v>
      </c>
      <c r="H349" s="189" t="str">
        <f>IFERROR(((2*('Lab Analysis'!I349/60))+('Lab Analysis'!G349/17))/(('Lab Analysis'!H349/44)+('Lab Analysis'!I349/60)),"0")</f>
        <v>0</v>
      </c>
      <c r="I349" s="189" t="str">
        <f>IFERROR((('Lab Analysis'!J349/18)-('Lab Analysis'!I349/60))/(('Lab Analysis'!H349/44)+('Lab Analysis'!I349/60)),"0")</f>
        <v>0</v>
      </c>
      <c r="J349" s="186" t="str">
        <f>IFERROR(('Lab Analysis'!M349/('Lab Analysis'!M349+(1.765*'Lab Analysis'!K349))),"0")</f>
        <v>0</v>
      </c>
      <c r="K349" s="190" t="str">
        <f>IFERROR(((2*('Lab Analysis'!M349/60))+('Lab Analysis'!K349/17))/(('Lab Analysis'!L349/44)+('Lab Analysis'!M349/60)),"0")</f>
        <v>0</v>
      </c>
      <c r="L349" s="190" t="str">
        <f>IFERROR((('Lab Analysis'!N349/18)-('Lab Analysis'!M349/60))/(('Lab Analysis'!L349/44)+('Lab Analysis'!M349/60)),"0")</f>
        <v>0</v>
      </c>
      <c r="M349" s="187" t="str">
        <f>IFERROR(((2*('Lab Analysis'!U349/60))+('Lab Analysis'!S349/17))/(('Lab Analysis'!T349/44)+('Lab Analysis'!U349/60)),"0")</f>
        <v>0</v>
      </c>
      <c r="N349" s="187" t="str">
        <f>IFERROR((('Lab Analysis'!V349/18)-('Lab Analysis'!U349/60))/(('Lab Analysis'!T349/44)+('Lab Analysis'!U349/60)),"0")</f>
        <v>0</v>
      </c>
      <c r="O349" s="187" t="str">
        <f>IFERROR(((2*('Lab Analysis'!Y349/60)+('Lab Analysis'!W349/17))/(('Lab Analysis'!X349/44)+('Lab Analysis'!Y349/60))),"0")</f>
        <v>0</v>
      </c>
      <c r="P349" s="187" t="str">
        <f>IFERROR((('Lab Analysis'!Z349/18)-('Lab Analysis'!Y349/60))/(('Lab Analysis'!X349/44)+('Lab Analysis'!Y349/60)),"0")</f>
        <v>0</v>
      </c>
      <c r="Q349" s="191"/>
    </row>
    <row r="350" spans="1:17">
      <c r="A350" s="185">
        <v>46164</v>
      </c>
      <c r="B350" s="186" t="str">
        <f>IFERROR(('Lab Analysis'!E350/('Lab Analysis'!E350+(1.364*'Lab Analysis'!D350))),"0")</f>
        <v>0</v>
      </c>
      <c r="C350" s="186" t="str">
        <f>IFERROR((2*'Lab Analysis'!E350/60)/('Lab Analysis'!C350/17+(2*'Lab Analysis'!E350/60)),"0")</f>
        <v>0</v>
      </c>
      <c r="D350" s="187" t="str">
        <f>IFERROR(((2*('Lab Analysis'!E350/60)+('Lab Analysis'!C350/17))/(('Lab Analysis'!D350/44)+('Lab Analysis'!E350/60))),"0")</f>
        <v>0</v>
      </c>
      <c r="E350" s="187" t="str">
        <f>IFERROR((('Lab Analysis'!F350/18)-('Lab Analysis'!E350/60))/(('Lab Analysis'!D350/44)+('Lab Analysis'!E350/60)),"0")</f>
        <v>0</v>
      </c>
      <c r="F350" s="187" t="str">
        <f>IFERROR((('Lab Analysis'!F350/18)/('Lab Analysis'!E350/60)),"0")</f>
        <v>0</v>
      </c>
      <c r="G350" s="188" t="str">
        <f>IFERROR(('Lab Analysis'!I350/('Lab Analysis'!I350+(1.765*'Lab Analysis'!G350))),"0")</f>
        <v>0</v>
      </c>
      <c r="H350" s="189" t="str">
        <f>IFERROR(((2*('Lab Analysis'!I350/60))+('Lab Analysis'!G350/17))/(('Lab Analysis'!H350/44)+('Lab Analysis'!I350/60)),"0")</f>
        <v>0</v>
      </c>
      <c r="I350" s="189" t="str">
        <f>IFERROR((('Lab Analysis'!J350/18)-('Lab Analysis'!I350/60))/(('Lab Analysis'!H350/44)+('Lab Analysis'!I350/60)),"0")</f>
        <v>0</v>
      </c>
      <c r="J350" s="186" t="str">
        <f>IFERROR(('Lab Analysis'!M350/('Lab Analysis'!M350+(1.765*'Lab Analysis'!K350))),"0")</f>
        <v>0</v>
      </c>
      <c r="K350" s="190" t="str">
        <f>IFERROR(((2*('Lab Analysis'!M350/60))+('Lab Analysis'!K350/17))/(('Lab Analysis'!L350/44)+('Lab Analysis'!M350/60)),"0")</f>
        <v>0</v>
      </c>
      <c r="L350" s="190" t="str">
        <f>IFERROR((('Lab Analysis'!N350/18)-('Lab Analysis'!M350/60))/(('Lab Analysis'!L350/44)+('Lab Analysis'!M350/60)),"0")</f>
        <v>0</v>
      </c>
      <c r="M350" s="187" t="str">
        <f>IFERROR(((2*('Lab Analysis'!U350/60))+('Lab Analysis'!S350/17))/(('Lab Analysis'!T350/44)+('Lab Analysis'!U350/60)),"0")</f>
        <v>0</v>
      </c>
      <c r="N350" s="187" t="str">
        <f>IFERROR((('Lab Analysis'!V350/18)-('Lab Analysis'!U350/60))/(('Lab Analysis'!T350/44)+('Lab Analysis'!U350/60)),"0")</f>
        <v>0</v>
      </c>
      <c r="O350" s="187" t="str">
        <f>IFERROR(((2*('Lab Analysis'!Y350/60)+('Lab Analysis'!W350/17))/(('Lab Analysis'!X350/44)+('Lab Analysis'!Y350/60))),"0")</f>
        <v>0</v>
      </c>
      <c r="P350" s="187" t="str">
        <f>IFERROR((('Lab Analysis'!Z350/18)-('Lab Analysis'!Y350/60))/(('Lab Analysis'!X350/44)+('Lab Analysis'!Y350/60)),"0")</f>
        <v>0</v>
      </c>
      <c r="Q350" s="191"/>
    </row>
    <row r="351" spans="1:17">
      <c r="A351" s="185">
        <v>46165</v>
      </c>
      <c r="B351" s="186" t="str">
        <f>IFERROR(('Lab Analysis'!E351/('Lab Analysis'!E351+(1.364*'Lab Analysis'!D351))),"0")</f>
        <v>0</v>
      </c>
      <c r="C351" s="186" t="str">
        <f>IFERROR((2*'Lab Analysis'!E351/60)/('Lab Analysis'!C351/17+(2*'Lab Analysis'!E351/60)),"0")</f>
        <v>0</v>
      </c>
      <c r="D351" s="187" t="str">
        <f>IFERROR(((2*('Lab Analysis'!E351/60)+('Lab Analysis'!C351/17))/(('Lab Analysis'!D351/44)+('Lab Analysis'!E351/60))),"0")</f>
        <v>0</v>
      </c>
      <c r="E351" s="187" t="str">
        <f>IFERROR((('Lab Analysis'!F351/18)-('Lab Analysis'!E351/60))/(('Lab Analysis'!D351/44)+('Lab Analysis'!E351/60)),"0")</f>
        <v>0</v>
      </c>
      <c r="F351" s="187" t="str">
        <f>IFERROR((('Lab Analysis'!F351/18)/('Lab Analysis'!E351/60)),"0")</f>
        <v>0</v>
      </c>
      <c r="G351" s="188" t="str">
        <f>IFERROR(('Lab Analysis'!I351/('Lab Analysis'!I351+(1.765*'Lab Analysis'!G351))),"0")</f>
        <v>0</v>
      </c>
      <c r="H351" s="189" t="str">
        <f>IFERROR(((2*('Lab Analysis'!I351/60))+('Lab Analysis'!G351/17))/(('Lab Analysis'!H351/44)+('Lab Analysis'!I351/60)),"0")</f>
        <v>0</v>
      </c>
      <c r="I351" s="189" t="str">
        <f>IFERROR((('Lab Analysis'!J351/18)-('Lab Analysis'!I351/60))/(('Lab Analysis'!H351/44)+('Lab Analysis'!I351/60)),"0")</f>
        <v>0</v>
      </c>
      <c r="J351" s="186" t="str">
        <f>IFERROR(('Lab Analysis'!M351/('Lab Analysis'!M351+(1.765*'Lab Analysis'!K351))),"0")</f>
        <v>0</v>
      </c>
      <c r="K351" s="190" t="str">
        <f>IFERROR(((2*('Lab Analysis'!M351/60))+('Lab Analysis'!K351/17))/(('Lab Analysis'!L351/44)+('Lab Analysis'!M351/60)),"0")</f>
        <v>0</v>
      </c>
      <c r="L351" s="190" t="str">
        <f>IFERROR((('Lab Analysis'!N351/18)-('Lab Analysis'!M351/60))/(('Lab Analysis'!L351/44)+('Lab Analysis'!M351/60)),"0")</f>
        <v>0</v>
      </c>
      <c r="M351" s="187" t="str">
        <f>IFERROR(((2*('Lab Analysis'!U351/60))+('Lab Analysis'!S351/17))/(('Lab Analysis'!T351/44)+('Lab Analysis'!U351/60)),"0")</f>
        <v>0</v>
      </c>
      <c r="N351" s="187" t="str">
        <f>IFERROR((('Lab Analysis'!V351/18)-('Lab Analysis'!U351/60))/(('Lab Analysis'!T351/44)+('Lab Analysis'!U351/60)),"0")</f>
        <v>0</v>
      </c>
      <c r="O351" s="187" t="str">
        <f>IFERROR(((2*('Lab Analysis'!Y351/60)+('Lab Analysis'!W351/17))/(('Lab Analysis'!X351/44)+('Lab Analysis'!Y351/60))),"0")</f>
        <v>0</v>
      </c>
      <c r="P351" s="187" t="str">
        <f>IFERROR((('Lab Analysis'!Z351/18)-('Lab Analysis'!Y351/60))/(('Lab Analysis'!X351/44)+('Lab Analysis'!Y351/60)),"0")</f>
        <v>0</v>
      </c>
      <c r="Q351" s="191"/>
    </row>
    <row r="352" spans="1:17">
      <c r="A352" s="185">
        <v>46166</v>
      </c>
      <c r="B352" s="186" t="str">
        <f>IFERROR(('Lab Analysis'!E352/('Lab Analysis'!E352+(1.364*'Lab Analysis'!D352))),"0")</f>
        <v>0</v>
      </c>
      <c r="C352" s="186" t="str">
        <f>IFERROR((2*'Lab Analysis'!E352/60)/('Lab Analysis'!C352/17+(2*'Lab Analysis'!E352/60)),"0")</f>
        <v>0</v>
      </c>
      <c r="D352" s="187" t="str">
        <f>IFERROR(((2*('Lab Analysis'!E352/60)+('Lab Analysis'!C352/17))/(('Lab Analysis'!D352/44)+('Lab Analysis'!E352/60))),"0")</f>
        <v>0</v>
      </c>
      <c r="E352" s="187" t="str">
        <f>IFERROR((('Lab Analysis'!F352/18)-('Lab Analysis'!E352/60))/(('Lab Analysis'!D352/44)+('Lab Analysis'!E352/60)),"0")</f>
        <v>0</v>
      </c>
      <c r="F352" s="187" t="str">
        <f>IFERROR((('Lab Analysis'!F352/18)/('Lab Analysis'!E352/60)),"0")</f>
        <v>0</v>
      </c>
      <c r="G352" s="188" t="str">
        <f>IFERROR(('Lab Analysis'!I352/('Lab Analysis'!I352+(1.765*'Lab Analysis'!G352))),"0")</f>
        <v>0</v>
      </c>
      <c r="H352" s="189" t="str">
        <f>IFERROR(((2*('Lab Analysis'!I352/60))+('Lab Analysis'!G352/17))/(('Lab Analysis'!H352/44)+('Lab Analysis'!I352/60)),"0")</f>
        <v>0</v>
      </c>
      <c r="I352" s="189" t="str">
        <f>IFERROR((('Lab Analysis'!J352/18)-('Lab Analysis'!I352/60))/(('Lab Analysis'!H352/44)+('Lab Analysis'!I352/60)),"0")</f>
        <v>0</v>
      </c>
      <c r="J352" s="186" t="str">
        <f>IFERROR(('Lab Analysis'!M352/('Lab Analysis'!M352+(1.765*'Lab Analysis'!K352))),"0")</f>
        <v>0</v>
      </c>
      <c r="K352" s="190" t="str">
        <f>IFERROR(((2*('Lab Analysis'!M352/60))+('Lab Analysis'!K352/17))/(('Lab Analysis'!L352/44)+('Lab Analysis'!M352/60)),"0")</f>
        <v>0</v>
      </c>
      <c r="L352" s="190" t="str">
        <f>IFERROR((('Lab Analysis'!N352/18)-('Lab Analysis'!M352/60))/(('Lab Analysis'!L352/44)+('Lab Analysis'!M352/60)),"0")</f>
        <v>0</v>
      </c>
      <c r="M352" s="187" t="str">
        <f>IFERROR(((2*('Lab Analysis'!U352/60))+('Lab Analysis'!S352/17))/(('Lab Analysis'!T352/44)+('Lab Analysis'!U352/60)),"0")</f>
        <v>0</v>
      </c>
      <c r="N352" s="187" t="str">
        <f>IFERROR((('Lab Analysis'!V352/18)-('Lab Analysis'!U352/60))/(('Lab Analysis'!T352/44)+('Lab Analysis'!U352/60)),"0")</f>
        <v>0</v>
      </c>
      <c r="O352" s="187" t="str">
        <f>IFERROR(((2*('Lab Analysis'!Y352/60)+('Lab Analysis'!W352/17))/(('Lab Analysis'!X352/44)+('Lab Analysis'!Y352/60))),"0")</f>
        <v>0</v>
      </c>
      <c r="P352" s="187" t="str">
        <f>IFERROR((('Lab Analysis'!Z352/18)-('Lab Analysis'!Y352/60))/(('Lab Analysis'!X352/44)+('Lab Analysis'!Y352/60)),"0")</f>
        <v>0</v>
      </c>
      <c r="Q352" s="191"/>
    </row>
    <row r="353" spans="1:17">
      <c r="A353" s="185">
        <v>46167</v>
      </c>
      <c r="B353" s="186" t="str">
        <f>IFERROR(('Lab Analysis'!E353/('Lab Analysis'!E353+(1.364*'Lab Analysis'!D353))),"0")</f>
        <v>0</v>
      </c>
      <c r="C353" s="186" t="str">
        <f>IFERROR((2*'Lab Analysis'!E353/60)/('Lab Analysis'!C353/17+(2*'Lab Analysis'!E353/60)),"0")</f>
        <v>0</v>
      </c>
      <c r="D353" s="187" t="str">
        <f>IFERROR(((2*('Lab Analysis'!E353/60)+('Lab Analysis'!C353/17))/(('Lab Analysis'!D353/44)+('Lab Analysis'!E353/60))),"0")</f>
        <v>0</v>
      </c>
      <c r="E353" s="187" t="str">
        <f>IFERROR((('Lab Analysis'!F353/18)-('Lab Analysis'!E353/60))/(('Lab Analysis'!D353/44)+('Lab Analysis'!E353/60)),"0")</f>
        <v>0</v>
      </c>
      <c r="F353" s="187" t="str">
        <f>IFERROR((('Lab Analysis'!F353/18)/('Lab Analysis'!E353/60)),"0")</f>
        <v>0</v>
      </c>
      <c r="G353" s="188" t="str">
        <f>IFERROR(('Lab Analysis'!I353/('Lab Analysis'!I353+(1.765*'Lab Analysis'!G353))),"0")</f>
        <v>0</v>
      </c>
      <c r="H353" s="189" t="str">
        <f>IFERROR(((2*('Lab Analysis'!I353/60))+('Lab Analysis'!G353/17))/(('Lab Analysis'!H353/44)+('Lab Analysis'!I353/60)),"0")</f>
        <v>0</v>
      </c>
      <c r="I353" s="189" t="str">
        <f>IFERROR((('Lab Analysis'!J353/18)-('Lab Analysis'!I353/60))/(('Lab Analysis'!H353/44)+('Lab Analysis'!I353/60)),"0")</f>
        <v>0</v>
      </c>
      <c r="J353" s="186" t="str">
        <f>IFERROR(('Lab Analysis'!M353/('Lab Analysis'!M353+(1.765*'Lab Analysis'!K353))),"0")</f>
        <v>0</v>
      </c>
      <c r="K353" s="190" t="str">
        <f>IFERROR(((2*('Lab Analysis'!M353/60))+('Lab Analysis'!K353/17))/(('Lab Analysis'!L353/44)+('Lab Analysis'!M353/60)),"0")</f>
        <v>0</v>
      </c>
      <c r="L353" s="190" t="str">
        <f>IFERROR((('Lab Analysis'!N353/18)-('Lab Analysis'!M353/60))/(('Lab Analysis'!L353/44)+('Lab Analysis'!M353/60)),"0")</f>
        <v>0</v>
      </c>
      <c r="M353" s="187" t="str">
        <f>IFERROR(((2*('Lab Analysis'!U353/60))+('Lab Analysis'!S353/17))/(('Lab Analysis'!T353/44)+('Lab Analysis'!U353/60)),"0")</f>
        <v>0</v>
      </c>
      <c r="N353" s="187" t="str">
        <f>IFERROR((('Lab Analysis'!V353/18)-('Lab Analysis'!U353/60))/(('Lab Analysis'!T353/44)+('Lab Analysis'!U353/60)),"0")</f>
        <v>0</v>
      </c>
      <c r="O353" s="187" t="str">
        <f>IFERROR(((2*('Lab Analysis'!Y353/60)+('Lab Analysis'!W353/17))/(('Lab Analysis'!X353/44)+('Lab Analysis'!Y353/60))),"0")</f>
        <v>0</v>
      </c>
      <c r="P353" s="187" t="str">
        <f>IFERROR((('Lab Analysis'!Z353/18)-('Lab Analysis'!Y353/60))/(('Lab Analysis'!X353/44)+('Lab Analysis'!Y353/60)),"0")</f>
        <v>0</v>
      </c>
      <c r="Q353" s="191"/>
    </row>
    <row r="354" spans="1:17">
      <c r="A354" s="185">
        <v>46168</v>
      </c>
      <c r="B354" s="186" t="str">
        <f>IFERROR(('Lab Analysis'!E354/('Lab Analysis'!E354+(1.364*'Lab Analysis'!D354))),"0")</f>
        <v>0</v>
      </c>
      <c r="C354" s="186" t="str">
        <f>IFERROR((2*'Lab Analysis'!E354/60)/('Lab Analysis'!C354/17+(2*'Lab Analysis'!E354/60)),"0")</f>
        <v>0</v>
      </c>
      <c r="D354" s="187" t="str">
        <f>IFERROR(((2*('Lab Analysis'!E354/60)+('Lab Analysis'!C354/17))/(('Lab Analysis'!D354/44)+('Lab Analysis'!E354/60))),"0")</f>
        <v>0</v>
      </c>
      <c r="E354" s="187" t="str">
        <f>IFERROR((('Lab Analysis'!F354/18)-('Lab Analysis'!E354/60))/(('Lab Analysis'!D354/44)+('Lab Analysis'!E354/60)),"0")</f>
        <v>0</v>
      </c>
      <c r="F354" s="187" t="str">
        <f>IFERROR((('Lab Analysis'!F354/18)/('Lab Analysis'!E354/60)),"0")</f>
        <v>0</v>
      </c>
      <c r="G354" s="188" t="str">
        <f>IFERROR(('Lab Analysis'!I354/('Lab Analysis'!I354+(1.765*'Lab Analysis'!G354))),"0")</f>
        <v>0</v>
      </c>
      <c r="H354" s="189" t="str">
        <f>IFERROR(((2*('Lab Analysis'!I354/60))+('Lab Analysis'!G354/17))/(('Lab Analysis'!H354/44)+('Lab Analysis'!I354/60)),"0")</f>
        <v>0</v>
      </c>
      <c r="I354" s="189" t="str">
        <f>IFERROR((('Lab Analysis'!J354/18)-('Lab Analysis'!I354/60))/(('Lab Analysis'!H354/44)+('Lab Analysis'!I354/60)),"0")</f>
        <v>0</v>
      </c>
      <c r="J354" s="186" t="str">
        <f>IFERROR(('Lab Analysis'!M354/('Lab Analysis'!M354+(1.765*'Lab Analysis'!K354))),"0")</f>
        <v>0</v>
      </c>
      <c r="K354" s="190" t="str">
        <f>IFERROR(((2*('Lab Analysis'!M354/60))+('Lab Analysis'!K354/17))/(('Lab Analysis'!L354/44)+('Lab Analysis'!M354/60)),"0")</f>
        <v>0</v>
      </c>
      <c r="L354" s="190" t="str">
        <f>IFERROR((('Lab Analysis'!N354/18)-('Lab Analysis'!M354/60))/(('Lab Analysis'!L354/44)+('Lab Analysis'!M354/60)),"0")</f>
        <v>0</v>
      </c>
      <c r="M354" s="187" t="str">
        <f>IFERROR(((2*('Lab Analysis'!U354/60))+('Lab Analysis'!S354/17))/(('Lab Analysis'!T354/44)+('Lab Analysis'!U354/60)),"0")</f>
        <v>0</v>
      </c>
      <c r="N354" s="187" t="str">
        <f>IFERROR((('Lab Analysis'!V354/18)-('Lab Analysis'!U354/60))/(('Lab Analysis'!T354/44)+('Lab Analysis'!U354/60)),"0")</f>
        <v>0</v>
      </c>
      <c r="O354" s="187" t="str">
        <f>IFERROR(((2*('Lab Analysis'!Y354/60)+('Lab Analysis'!W354/17))/(('Lab Analysis'!X354/44)+('Lab Analysis'!Y354/60))),"0")</f>
        <v>0</v>
      </c>
      <c r="P354" s="187" t="str">
        <f>IFERROR((('Lab Analysis'!Z354/18)-('Lab Analysis'!Y354/60))/(('Lab Analysis'!X354/44)+('Lab Analysis'!Y354/60)),"0")</f>
        <v>0</v>
      </c>
      <c r="Q354" s="191"/>
    </row>
    <row r="355" spans="1:17">
      <c r="A355" s="185">
        <v>46169</v>
      </c>
      <c r="B355" s="186" t="str">
        <f>IFERROR(('Lab Analysis'!E355/('Lab Analysis'!E355+(1.364*'Lab Analysis'!D355))),"0")</f>
        <v>0</v>
      </c>
      <c r="C355" s="186" t="str">
        <f>IFERROR((2*'Lab Analysis'!E355/60)/('Lab Analysis'!C355/17+(2*'Lab Analysis'!E355/60)),"0")</f>
        <v>0</v>
      </c>
      <c r="D355" s="187" t="str">
        <f>IFERROR(((2*('Lab Analysis'!E355/60)+('Lab Analysis'!C355/17))/(('Lab Analysis'!D355/44)+('Lab Analysis'!E355/60))),"0")</f>
        <v>0</v>
      </c>
      <c r="E355" s="187" t="str">
        <f>IFERROR((('Lab Analysis'!F355/18)-('Lab Analysis'!E355/60))/(('Lab Analysis'!D355/44)+('Lab Analysis'!E355/60)),"0")</f>
        <v>0</v>
      </c>
      <c r="F355" s="187" t="str">
        <f>IFERROR((('Lab Analysis'!F355/18)/('Lab Analysis'!E355/60)),"0")</f>
        <v>0</v>
      </c>
      <c r="G355" s="188" t="str">
        <f>IFERROR(('Lab Analysis'!I355/('Lab Analysis'!I355+(1.765*'Lab Analysis'!G355))),"0")</f>
        <v>0</v>
      </c>
      <c r="H355" s="189" t="str">
        <f>IFERROR(((2*('Lab Analysis'!I355/60))+('Lab Analysis'!G355/17))/(('Lab Analysis'!H355/44)+('Lab Analysis'!I355/60)),"0")</f>
        <v>0</v>
      </c>
      <c r="I355" s="189" t="str">
        <f>IFERROR((('Lab Analysis'!J355/18)-('Lab Analysis'!I355/60))/(('Lab Analysis'!H355/44)+('Lab Analysis'!I355/60)),"0")</f>
        <v>0</v>
      </c>
      <c r="J355" s="186" t="str">
        <f>IFERROR(('Lab Analysis'!M355/('Lab Analysis'!M355+(1.765*'Lab Analysis'!K355))),"0")</f>
        <v>0</v>
      </c>
      <c r="K355" s="190" t="str">
        <f>IFERROR(((2*('Lab Analysis'!M355/60))+('Lab Analysis'!K355/17))/(('Lab Analysis'!L355/44)+('Lab Analysis'!M355/60)),"0")</f>
        <v>0</v>
      </c>
      <c r="L355" s="190" t="str">
        <f>IFERROR((('Lab Analysis'!N355/18)-('Lab Analysis'!M355/60))/(('Lab Analysis'!L355/44)+('Lab Analysis'!M355/60)),"0")</f>
        <v>0</v>
      </c>
      <c r="M355" s="187" t="str">
        <f>IFERROR(((2*('Lab Analysis'!U355/60))+('Lab Analysis'!S355/17))/(('Lab Analysis'!T355/44)+('Lab Analysis'!U355/60)),"0")</f>
        <v>0</v>
      </c>
      <c r="N355" s="187" t="str">
        <f>IFERROR((('Lab Analysis'!V355/18)-('Lab Analysis'!U355/60))/(('Lab Analysis'!T355/44)+('Lab Analysis'!U355/60)),"0")</f>
        <v>0</v>
      </c>
      <c r="O355" s="187" t="str">
        <f>IFERROR(((2*('Lab Analysis'!Y355/60)+('Lab Analysis'!W355/17))/(('Lab Analysis'!X355/44)+('Lab Analysis'!Y355/60))),"0")</f>
        <v>0</v>
      </c>
      <c r="P355" s="187" t="str">
        <f>IFERROR((('Lab Analysis'!Z355/18)-('Lab Analysis'!Y355/60))/(('Lab Analysis'!X355/44)+('Lab Analysis'!Y355/60)),"0")</f>
        <v>0</v>
      </c>
      <c r="Q355" s="191"/>
    </row>
    <row r="356" spans="1:17">
      <c r="A356" s="185">
        <v>46170</v>
      </c>
      <c r="B356" s="186" t="str">
        <f>IFERROR(('Lab Analysis'!E356/('Lab Analysis'!E356+(1.364*'Lab Analysis'!D356))),"0")</f>
        <v>0</v>
      </c>
      <c r="C356" s="186" t="str">
        <f>IFERROR((2*'Lab Analysis'!E356/60)/('Lab Analysis'!C356/17+(2*'Lab Analysis'!E356/60)),"0")</f>
        <v>0</v>
      </c>
      <c r="D356" s="187" t="str">
        <f>IFERROR(((2*('Lab Analysis'!E356/60)+('Lab Analysis'!C356/17))/(('Lab Analysis'!D356/44)+('Lab Analysis'!E356/60))),"0")</f>
        <v>0</v>
      </c>
      <c r="E356" s="187" t="str">
        <f>IFERROR((('Lab Analysis'!F356/18)-('Lab Analysis'!E356/60))/(('Lab Analysis'!D356/44)+('Lab Analysis'!E356/60)),"0")</f>
        <v>0</v>
      </c>
      <c r="F356" s="187" t="str">
        <f>IFERROR((('Lab Analysis'!F356/18)/('Lab Analysis'!E356/60)),"0")</f>
        <v>0</v>
      </c>
      <c r="G356" s="188" t="str">
        <f>IFERROR(('Lab Analysis'!I356/('Lab Analysis'!I356+(1.765*'Lab Analysis'!G356))),"0")</f>
        <v>0</v>
      </c>
      <c r="H356" s="189" t="str">
        <f>IFERROR(((2*('Lab Analysis'!I356/60))+('Lab Analysis'!G356/17))/(('Lab Analysis'!H356/44)+('Lab Analysis'!I356/60)),"0")</f>
        <v>0</v>
      </c>
      <c r="I356" s="189" t="str">
        <f>IFERROR((('Lab Analysis'!J356/18)-('Lab Analysis'!I356/60))/(('Lab Analysis'!H356/44)+('Lab Analysis'!I356/60)),"0")</f>
        <v>0</v>
      </c>
      <c r="J356" s="186" t="str">
        <f>IFERROR(('Lab Analysis'!M356/('Lab Analysis'!M356+(1.765*'Lab Analysis'!K356))),"0")</f>
        <v>0</v>
      </c>
      <c r="K356" s="190" t="str">
        <f>IFERROR(((2*('Lab Analysis'!M356/60))+('Lab Analysis'!K356/17))/(('Lab Analysis'!L356/44)+('Lab Analysis'!M356/60)),"0")</f>
        <v>0</v>
      </c>
      <c r="L356" s="190" t="str">
        <f>IFERROR((('Lab Analysis'!N356/18)-('Lab Analysis'!M356/60))/(('Lab Analysis'!L356/44)+('Lab Analysis'!M356/60)),"0")</f>
        <v>0</v>
      </c>
      <c r="M356" s="187" t="str">
        <f>IFERROR(((2*('Lab Analysis'!U356/60))+('Lab Analysis'!S356/17))/(('Lab Analysis'!T356/44)+('Lab Analysis'!U356/60)),"0")</f>
        <v>0</v>
      </c>
      <c r="N356" s="187" t="str">
        <f>IFERROR((('Lab Analysis'!V356/18)-('Lab Analysis'!U356/60))/(('Lab Analysis'!T356/44)+('Lab Analysis'!U356/60)),"0")</f>
        <v>0</v>
      </c>
      <c r="O356" s="187" t="str">
        <f>IFERROR(((2*('Lab Analysis'!Y356/60)+('Lab Analysis'!W356/17))/(('Lab Analysis'!X356/44)+('Lab Analysis'!Y356/60))),"0")</f>
        <v>0</v>
      </c>
      <c r="P356" s="187" t="str">
        <f>IFERROR((('Lab Analysis'!Z356/18)-('Lab Analysis'!Y356/60))/(('Lab Analysis'!X356/44)+('Lab Analysis'!Y356/60)),"0")</f>
        <v>0</v>
      </c>
      <c r="Q356" s="191"/>
    </row>
    <row r="357" spans="1:17">
      <c r="A357" s="185">
        <v>46171</v>
      </c>
      <c r="B357" s="186" t="str">
        <f>IFERROR(('Lab Analysis'!E357/('Lab Analysis'!E357+(1.364*'Lab Analysis'!D357))),"0")</f>
        <v>0</v>
      </c>
      <c r="C357" s="186" t="str">
        <f>IFERROR((2*'Lab Analysis'!E357/60)/('Lab Analysis'!C357/17+(2*'Lab Analysis'!E357/60)),"0")</f>
        <v>0</v>
      </c>
      <c r="D357" s="187" t="str">
        <f>IFERROR(((2*('Lab Analysis'!E357/60)+('Lab Analysis'!C357/17))/(('Lab Analysis'!D357/44)+('Lab Analysis'!E357/60))),"0")</f>
        <v>0</v>
      </c>
      <c r="E357" s="187" t="str">
        <f>IFERROR((('Lab Analysis'!F357/18)-('Lab Analysis'!E357/60))/(('Lab Analysis'!D357/44)+('Lab Analysis'!E357/60)),"0")</f>
        <v>0</v>
      </c>
      <c r="F357" s="187" t="str">
        <f>IFERROR((('Lab Analysis'!F357/18)/('Lab Analysis'!E357/60)),"0")</f>
        <v>0</v>
      </c>
      <c r="G357" s="188" t="str">
        <f>IFERROR(('Lab Analysis'!I357/('Lab Analysis'!I357+(1.765*'Lab Analysis'!G357))),"0")</f>
        <v>0</v>
      </c>
      <c r="H357" s="189" t="str">
        <f>IFERROR(((2*('Lab Analysis'!I357/60))+('Lab Analysis'!G357/17))/(('Lab Analysis'!H357/44)+('Lab Analysis'!I357/60)),"0")</f>
        <v>0</v>
      </c>
      <c r="I357" s="189" t="str">
        <f>IFERROR((('Lab Analysis'!J357/18)-('Lab Analysis'!I357/60))/(('Lab Analysis'!H357/44)+('Lab Analysis'!I357/60)),"0")</f>
        <v>0</v>
      </c>
      <c r="J357" s="186" t="str">
        <f>IFERROR(('Lab Analysis'!M357/('Lab Analysis'!M357+(1.765*'Lab Analysis'!K357))),"0")</f>
        <v>0</v>
      </c>
      <c r="K357" s="190" t="str">
        <f>IFERROR(((2*('Lab Analysis'!M357/60))+('Lab Analysis'!K357/17))/(('Lab Analysis'!L357/44)+('Lab Analysis'!M357/60)),"0")</f>
        <v>0</v>
      </c>
      <c r="L357" s="190" t="str">
        <f>IFERROR((('Lab Analysis'!N357/18)-('Lab Analysis'!M357/60))/(('Lab Analysis'!L357/44)+('Lab Analysis'!M357/60)),"0")</f>
        <v>0</v>
      </c>
      <c r="M357" s="187" t="str">
        <f>IFERROR(((2*('Lab Analysis'!U357/60))+('Lab Analysis'!S357/17))/(('Lab Analysis'!T357/44)+('Lab Analysis'!U357/60)),"0")</f>
        <v>0</v>
      </c>
      <c r="N357" s="187" t="str">
        <f>IFERROR((('Lab Analysis'!V357/18)-('Lab Analysis'!U357/60))/(('Lab Analysis'!T357/44)+('Lab Analysis'!U357/60)),"0")</f>
        <v>0</v>
      </c>
      <c r="O357" s="187" t="str">
        <f>IFERROR(((2*('Lab Analysis'!Y357/60)+('Lab Analysis'!W357/17))/(('Lab Analysis'!X357/44)+('Lab Analysis'!Y357/60))),"0")</f>
        <v>0</v>
      </c>
      <c r="P357" s="187" t="str">
        <f>IFERROR((('Lab Analysis'!Z357/18)-('Lab Analysis'!Y357/60))/(('Lab Analysis'!X357/44)+('Lab Analysis'!Y357/60)),"0")</f>
        <v>0</v>
      </c>
      <c r="Q357" s="191"/>
    </row>
    <row r="358" spans="1:17">
      <c r="A358" s="185">
        <v>46172</v>
      </c>
      <c r="B358" s="186" t="str">
        <f>IFERROR(('Lab Analysis'!E358/('Lab Analysis'!E358+(1.364*'Lab Analysis'!D358))),"0")</f>
        <v>0</v>
      </c>
      <c r="C358" s="186" t="str">
        <f>IFERROR((2*'Lab Analysis'!E358/60)/('Lab Analysis'!C358/17+(2*'Lab Analysis'!E358/60)),"0")</f>
        <v>0</v>
      </c>
      <c r="D358" s="187" t="str">
        <f>IFERROR(((2*('Lab Analysis'!E358/60)+('Lab Analysis'!C358/17))/(('Lab Analysis'!D358/44)+('Lab Analysis'!E358/60))),"0")</f>
        <v>0</v>
      </c>
      <c r="E358" s="187" t="str">
        <f>IFERROR((('Lab Analysis'!F358/18)-('Lab Analysis'!E358/60))/(('Lab Analysis'!D358/44)+('Lab Analysis'!E358/60)),"0")</f>
        <v>0</v>
      </c>
      <c r="F358" s="187" t="str">
        <f>IFERROR((('Lab Analysis'!F358/18)/('Lab Analysis'!E358/60)),"0")</f>
        <v>0</v>
      </c>
      <c r="G358" s="188" t="str">
        <f>IFERROR(('Lab Analysis'!I358/('Lab Analysis'!I358+(1.765*'Lab Analysis'!G358))),"0")</f>
        <v>0</v>
      </c>
      <c r="H358" s="189" t="str">
        <f>IFERROR(((2*('Lab Analysis'!I358/60))+('Lab Analysis'!G358/17))/(('Lab Analysis'!H358/44)+('Lab Analysis'!I358/60)),"0")</f>
        <v>0</v>
      </c>
      <c r="I358" s="189" t="str">
        <f>IFERROR((('Lab Analysis'!J358/18)-('Lab Analysis'!I358/60))/(('Lab Analysis'!H358/44)+('Lab Analysis'!I358/60)),"0")</f>
        <v>0</v>
      </c>
      <c r="J358" s="186" t="str">
        <f>IFERROR(('Lab Analysis'!M358/('Lab Analysis'!M358+(1.765*'Lab Analysis'!K358))),"0")</f>
        <v>0</v>
      </c>
      <c r="K358" s="190" t="str">
        <f>IFERROR(((2*('Lab Analysis'!M358/60))+('Lab Analysis'!K358/17))/(('Lab Analysis'!L358/44)+('Lab Analysis'!M358/60)),"0")</f>
        <v>0</v>
      </c>
      <c r="L358" s="190" t="str">
        <f>IFERROR((('Lab Analysis'!N358/18)-('Lab Analysis'!M358/60))/(('Lab Analysis'!L358/44)+('Lab Analysis'!M358/60)),"0")</f>
        <v>0</v>
      </c>
      <c r="M358" s="187" t="str">
        <f>IFERROR(((2*('Lab Analysis'!U358/60))+('Lab Analysis'!S358/17))/(('Lab Analysis'!T358/44)+('Lab Analysis'!U358/60)),"0")</f>
        <v>0</v>
      </c>
      <c r="N358" s="187" t="str">
        <f>IFERROR((('Lab Analysis'!V358/18)-('Lab Analysis'!U358/60))/(('Lab Analysis'!T358/44)+('Lab Analysis'!U358/60)),"0")</f>
        <v>0</v>
      </c>
      <c r="O358" s="187" t="str">
        <f>IFERROR(((2*('Lab Analysis'!Y358/60)+('Lab Analysis'!W358/17))/(('Lab Analysis'!X358/44)+('Lab Analysis'!Y358/60))),"0")</f>
        <v>0</v>
      </c>
      <c r="P358" s="187" t="str">
        <f>IFERROR((('Lab Analysis'!Z358/18)-('Lab Analysis'!Y358/60))/(('Lab Analysis'!X358/44)+('Lab Analysis'!Y358/60)),"0")</f>
        <v>0</v>
      </c>
      <c r="Q358" s="191"/>
    </row>
    <row r="359" spans="1:17">
      <c r="A359" s="185">
        <v>46173</v>
      </c>
      <c r="B359" s="186" t="str">
        <f>IFERROR(('Lab Analysis'!E359/('Lab Analysis'!E359+(1.364*'Lab Analysis'!D359))),"0")</f>
        <v>0</v>
      </c>
      <c r="C359" s="186" t="str">
        <f>IFERROR((2*'Lab Analysis'!E359/60)/('Lab Analysis'!C359/17+(2*'Lab Analysis'!E359/60)),"0")</f>
        <v>0</v>
      </c>
      <c r="D359" s="187" t="str">
        <f>IFERROR(((2*('Lab Analysis'!E359/60)+('Lab Analysis'!C359/17))/(('Lab Analysis'!D359/44)+('Lab Analysis'!E359/60))),"0")</f>
        <v>0</v>
      </c>
      <c r="E359" s="187" t="str">
        <f>IFERROR((('Lab Analysis'!F359/18)-('Lab Analysis'!E359/60))/(('Lab Analysis'!D359/44)+('Lab Analysis'!E359/60)),"0")</f>
        <v>0</v>
      </c>
      <c r="F359" s="187" t="str">
        <f>IFERROR((('Lab Analysis'!F359/18)/('Lab Analysis'!E359/60)),"0")</f>
        <v>0</v>
      </c>
      <c r="G359" s="188" t="str">
        <f>IFERROR(('Lab Analysis'!I359/('Lab Analysis'!I359+(1.765*'Lab Analysis'!G359))),"0")</f>
        <v>0</v>
      </c>
      <c r="H359" s="189" t="str">
        <f>IFERROR(((2*('Lab Analysis'!I359/60))+('Lab Analysis'!G359/17))/(('Lab Analysis'!H359/44)+('Lab Analysis'!I359/60)),"0")</f>
        <v>0</v>
      </c>
      <c r="I359" s="189" t="str">
        <f>IFERROR((('Lab Analysis'!J359/18)-('Lab Analysis'!I359/60))/(('Lab Analysis'!H359/44)+('Lab Analysis'!I359/60)),"0")</f>
        <v>0</v>
      </c>
      <c r="J359" s="186" t="str">
        <f>IFERROR(('Lab Analysis'!M359/('Lab Analysis'!M359+(1.765*'Lab Analysis'!K359))),"0")</f>
        <v>0</v>
      </c>
      <c r="K359" s="190" t="str">
        <f>IFERROR(((2*('Lab Analysis'!M359/60))+('Lab Analysis'!K359/17))/(('Lab Analysis'!L359/44)+('Lab Analysis'!M359/60)),"0")</f>
        <v>0</v>
      </c>
      <c r="L359" s="190" t="str">
        <f>IFERROR((('Lab Analysis'!N359/18)-('Lab Analysis'!M359/60))/(('Lab Analysis'!L359/44)+('Lab Analysis'!M359/60)),"0")</f>
        <v>0</v>
      </c>
      <c r="M359" s="187" t="str">
        <f>IFERROR(((2*('Lab Analysis'!U359/60))+('Lab Analysis'!S359/17))/(('Lab Analysis'!T359/44)+('Lab Analysis'!U359/60)),"0")</f>
        <v>0</v>
      </c>
      <c r="N359" s="187" t="str">
        <f>IFERROR((('Lab Analysis'!V359/18)-('Lab Analysis'!U359/60))/(('Lab Analysis'!T359/44)+('Lab Analysis'!U359/60)),"0")</f>
        <v>0</v>
      </c>
      <c r="O359" s="187" t="str">
        <f>IFERROR(((2*('Lab Analysis'!Y359/60)+('Lab Analysis'!W359/17))/(('Lab Analysis'!X359/44)+('Lab Analysis'!Y359/60))),"0")</f>
        <v>0</v>
      </c>
      <c r="P359" s="187" t="str">
        <f>IFERROR((('Lab Analysis'!Z359/18)-('Lab Analysis'!Y359/60))/(('Lab Analysis'!X359/44)+('Lab Analysis'!Y359/60)),"0")</f>
        <v>0</v>
      </c>
      <c r="Q359" s="191"/>
    </row>
    <row r="360" spans="1:17">
      <c r="A360" s="185">
        <v>46174</v>
      </c>
      <c r="B360" s="186" t="str">
        <f>IFERROR(('Lab Analysis'!E360/('Lab Analysis'!E360+(1.364*'Lab Analysis'!D360))),"0")</f>
        <v>0</v>
      </c>
      <c r="C360" s="186" t="str">
        <f>IFERROR((2*'Lab Analysis'!E360/60)/('Lab Analysis'!C360/17+(2*'Lab Analysis'!E360/60)),"0")</f>
        <v>0</v>
      </c>
      <c r="D360" s="187" t="str">
        <f>IFERROR(((2*('Lab Analysis'!E360/60)+('Lab Analysis'!C360/17))/(('Lab Analysis'!D360/44)+('Lab Analysis'!E360/60))),"0")</f>
        <v>0</v>
      </c>
      <c r="E360" s="187" t="str">
        <f>IFERROR((('Lab Analysis'!F360/18)-('Lab Analysis'!E360/60))/(('Lab Analysis'!D360/44)+('Lab Analysis'!E360/60)),"0")</f>
        <v>0</v>
      </c>
      <c r="F360" s="187" t="str">
        <f>IFERROR((('Lab Analysis'!F360/18)/('Lab Analysis'!E360/60)),"0")</f>
        <v>0</v>
      </c>
      <c r="G360" s="188" t="str">
        <f>IFERROR(('Lab Analysis'!I360/('Lab Analysis'!I360+(1.765*'Lab Analysis'!G360))),"0")</f>
        <v>0</v>
      </c>
      <c r="H360" s="189" t="str">
        <f>IFERROR(((2*('Lab Analysis'!I360/60))+('Lab Analysis'!G360/17))/(('Lab Analysis'!H360/44)+('Lab Analysis'!I360/60)),"0")</f>
        <v>0</v>
      </c>
      <c r="I360" s="189" t="str">
        <f>IFERROR((('Lab Analysis'!J360/18)-('Lab Analysis'!I360/60))/(('Lab Analysis'!H360/44)+('Lab Analysis'!I360/60)),"0")</f>
        <v>0</v>
      </c>
      <c r="J360" s="186" t="str">
        <f>IFERROR(('Lab Analysis'!M360/('Lab Analysis'!M360+(1.765*'Lab Analysis'!K360))),"0")</f>
        <v>0</v>
      </c>
      <c r="K360" s="190" t="str">
        <f>IFERROR(((2*('Lab Analysis'!M360/60))+('Lab Analysis'!K360/17))/(('Lab Analysis'!L360/44)+('Lab Analysis'!M360/60)),"0")</f>
        <v>0</v>
      </c>
      <c r="L360" s="190" t="str">
        <f>IFERROR((('Lab Analysis'!N360/18)-('Lab Analysis'!M360/60))/(('Lab Analysis'!L360/44)+('Lab Analysis'!M360/60)),"0")</f>
        <v>0</v>
      </c>
      <c r="M360" s="187" t="str">
        <f>IFERROR(((2*('Lab Analysis'!U360/60))+('Lab Analysis'!S360/17))/(('Lab Analysis'!T360/44)+('Lab Analysis'!U360/60)),"0")</f>
        <v>0</v>
      </c>
      <c r="N360" s="187" t="str">
        <f>IFERROR((('Lab Analysis'!V360/18)-('Lab Analysis'!U360/60))/(('Lab Analysis'!T360/44)+('Lab Analysis'!U360/60)),"0")</f>
        <v>0</v>
      </c>
      <c r="O360" s="187" t="str">
        <f>IFERROR(((2*('Lab Analysis'!Y360/60)+('Lab Analysis'!W360/17))/(('Lab Analysis'!X360/44)+('Lab Analysis'!Y360/60))),"0")</f>
        <v>0</v>
      </c>
      <c r="P360" s="187" t="str">
        <f>IFERROR((('Lab Analysis'!Z360/18)-('Lab Analysis'!Y360/60))/(('Lab Analysis'!X360/44)+('Lab Analysis'!Y360/60)),"0")</f>
        <v>0</v>
      </c>
      <c r="Q360" s="191"/>
    </row>
    <row r="361" spans="1:17">
      <c r="A361" s="185">
        <v>46175</v>
      </c>
      <c r="B361" s="186" t="str">
        <f>IFERROR(('Lab Analysis'!E361/('Lab Analysis'!E361+(1.364*'Lab Analysis'!D361))),"0")</f>
        <v>0</v>
      </c>
      <c r="C361" s="186" t="str">
        <f>IFERROR((2*'Lab Analysis'!E361/60)/('Lab Analysis'!C361/17+(2*'Lab Analysis'!E361/60)),"0")</f>
        <v>0</v>
      </c>
      <c r="D361" s="187" t="str">
        <f>IFERROR(((2*('Lab Analysis'!E361/60)+('Lab Analysis'!C361/17))/(('Lab Analysis'!D361/44)+('Lab Analysis'!E361/60))),"0")</f>
        <v>0</v>
      </c>
      <c r="E361" s="187" t="str">
        <f>IFERROR((('Lab Analysis'!F361/18)-('Lab Analysis'!E361/60))/(('Lab Analysis'!D361/44)+('Lab Analysis'!E361/60)),"0")</f>
        <v>0</v>
      </c>
      <c r="F361" s="187" t="str">
        <f>IFERROR((('Lab Analysis'!F361/18)/('Lab Analysis'!E361/60)),"0")</f>
        <v>0</v>
      </c>
      <c r="G361" s="188" t="str">
        <f>IFERROR(('Lab Analysis'!I361/('Lab Analysis'!I361+(1.765*'Lab Analysis'!G361))),"0")</f>
        <v>0</v>
      </c>
      <c r="H361" s="189" t="str">
        <f>IFERROR(((2*('Lab Analysis'!I361/60))+('Lab Analysis'!G361/17))/(('Lab Analysis'!H361/44)+('Lab Analysis'!I361/60)),"0")</f>
        <v>0</v>
      </c>
      <c r="I361" s="189" t="str">
        <f>IFERROR((('Lab Analysis'!J361/18)-('Lab Analysis'!I361/60))/(('Lab Analysis'!H361/44)+('Lab Analysis'!I361/60)),"0")</f>
        <v>0</v>
      </c>
      <c r="J361" s="186" t="str">
        <f>IFERROR(('Lab Analysis'!M361/('Lab Analysis'!M361+(1.765*'Lab Analysis'!K361))),"0")</f>
        <v>0</v>
      </c>
      <c r="K361" s="190" t="str">
        <f>IFERROR(((2*('Lab Analysis'!M361/60))+('Lab Analysis'!K361/17))/(('Lab Analysis'!L361/44)+('Lab Analysis'!M361/60)),"0")</f>
        <v>0</v>
      </c>
      <c r="L361" s="190" t="str">
        <f>IFERROR((('Lab Analysis'!N361/18)-('Lab Analysis'!M361/60))/(('Lab Analysis'!L361/44)+('Lab Analysis'!M361/60)),"0")</f>
        <v>0</v>
      </c>
      <c r="M361" s="187" t="str">
        <f>IFERROR(((2*('Lab Analysis'!U361/60))+('Lab Analysis'!S361/17))/(('Lab Analysis'!T361/44)+('Lab Analysis'!U361/60)),"0")</f>
        <v>0</v>
      </c>
      <c r="N361" s="187" t="str">
        <f>IFERROR((('Lab Analysis'!V361/18)-('Lab Analysis'!U361/60))/(('Lab Analysis'!T361/44)+('Lab Analysis'!U361/60)),"0")</f>
        <v>0</v>
      </c>
      <c r="O361" s="187" t="str">
        <f>IFERROR(((2*('Lab Analysis'!Y361/60)+('Lab Analysis'!W361/17))/(('Lab Analysis'!X361/44)+('Lab Analysis'!Y361/60))),"0")</f>
        <v>0</v>
      </c>
      <c r="P361" s="187" t="str">
        <f>IFERROR((('Lab Analysis'!Z361/18)-('Lab Analysis'!Y361/60))/(('Lab Analysis'!X361/44)+('Lab Analysis'!Y361/60)),"0")</f>
        <v>0</v>
      </c>
      <c r="Q361" s="191"/>
    </row>
    <row r="362" spans="1:17">
      <c r="A362" s="185">
        <v>46176</v>
      </c>
      <c r="B362" s="186" t="str">
        <f>IFERROR(('Lab Analysis'!E362/('Lab Analysis'!E362+(1.364*'Lab Analysis'!D362))),"0")</f>
        <v>0</v>
      </c>
      <c r="C362" s="186" t="str">
        <f>IFERROR((2*'Lab Analysis'!E362/60)/('Lab Analysis'!C362/17+(2*'Lab Analysis'!E362/60)),"0")</f>
        <v>0</v>
      </c>
      <c r="D362" s="187" t="str">
        <f>IFERROR(((2*('Lab Analysis'!E362/60)+('Lab Analysis'!C362/17))/(('Lab Analysis'!D362/44)+('Lab Analysis'!E362/60))),"0")</f>
        <v>0</v>
      </c>
      <c r="E362" s="187" t="str">
        <f>IFERROR((('Lab Analysis'!F362/18)-('Lab Analysis'!E362/60))/(('Lab Analysis'!D362/44)+('Lab Analysis'!E362/60)),"0")</f>
        <v>0</v>
      </c>
      <c r="F362" s="187" t="str">
        <f>IFERROR((('Lab Analysis'!F362/18)/('Lab Analysis'!E362/60)),"0")</f>
        <v>0</v>
      </c>
      <c r="G362" s="188" t="str">
        <f>IFERROR(('Lab Analysis'!I362/('Lab Analysis'!I362+(1.765*'Lab Analysis'!G362))),"0")</f>
        <v>0</v>
      </c>
      <c r="H362" s="189" t="str">
        <f>IFERROR(((2*('Lab Analysis'!I362/60))+('Lab Analysis'!G362/17))/(('Lab Analysis'!H362/44)+('Lab Analysis'!I362/60)),"0")</f>
        <v>0</v>
      </c>
      <c r="I362" s="189" t="str">
        <f>IFERROR((('Lab Analysis'!J362/18)-('Lab Analysis'!I362/60))/(('Lab Analysis'!H362/44)+('Lab Analysis'!I362/60)),"0")</f>
        <v>0</v>
      </c>
      <c r="J362" s="186" t="str">
        <f>IFERROR(('Lab Analysis'!M362/('Lab Analysis'!M362+(1.765*'Lab Analysis'!K362))),"0")</f>
        <v>0</v>
      </c>
      <c r="K362" s="190" t="str">
        <f>IFERROR(((2*('Lab Analysis'!M362/60))+('Lab Analysis'!K362/17))/(('Lab Analysis'!L362/44)+('Lab Analysis'!M362/60)),"0")</f>
        <v>0</v>
      </c>
      <c r="L362" s="190" t="str">
        <f>IFERROR((('Lab Analysis'!N362/18)-('Lab Analysis'!M362/60))/(('Lab Analysis'!L362/44)+('Lab Analysis'!M362/60)),"0")</f>
        <v>0</v>
      </c>
      <c r="M362" s="187" t="str">
        <f>IFERROR(((2*('Lab Analysis'!U362/60))+('Lab Analysis'!S362/17))/(('Lab Analysis'!T362/44)+('Lab Analysis'!U362/60)),"0")</f>
        <v>0</v>
      </c>
      <c r="N362" s="187" t="str">
        <f>IFERROR((('Lab Analysis'!V362/18)-('Lab Analysis'!U362/60))/(('Lab Analysis'!T362/44)+('Lab Analysis'!U362/60)),"0")</f>
        <v>0</v>
      </c>
      <c r="O362" s="187" t="str">
        <f>IFERROR(((2*('Lab Analysis'!Y362/60)+('Lab Analysis'!W362/17))/(('Lab Analysis'!X362/44)+('Lab Analysis'!Y362/60))),"0")</f>
        <v>0</v>
      </c>
      <c r="P362" s="187" t="str">
        <f>IFERROR((('Lab Analysis'!Z362/18)-('Lab Analysis'!Y362/60))/(('Lab Analysis'!X362/44)+('Lab Analysis'!Y362/60)),"0")</f>
        <v>0</v>
      </c>
      <c r="Q362" s="191"/>
    </row>
    <row r="363" spans="1:17">
      <c r="A363" s="185">
        <v>46177</v>
      </c>
      <c r="B363" s="186" t="str">
        <f>IFERROR(('Lab Analysis'!E363/('Lab Analysis'!E363+(1.364*'Lab Analysis'!D363))),"0")</f>
        <v>0</v>
      </c>
      <c r="C363" s="186" t="str">
        <f>IFERROR((2*'Lab Analysis'!E363/60)/('Lab Analysis'!C363/17+(2*'Lab Analysis'!E363/60)),"0")</f>
        <v>0</v>
      </c>
      <c r="D363" s="187" t="str">
        <f>IFERROR(((2*('Lab Analysis'!E363/60)+('Lab Analysis'!C363/17))/(('Lab Analysis'!D363/44)+('Lab Analysis'!E363/60))),"0")</f>
        <v>0</v>
      </c>
      <c r="E363" s="187" t="str">
        <f>IFERROR((('Lab Analysis'!F363/18)-('Lab Analysis'!E363/60))/(('Lab Analysis'!D363/44)+('Lab Analysis'!E363/60)),"0")</f>
        <v>0</v>
      </c>
      <c r="F363" s="187" t="str">
        <f>IFERROR((('Lab Analysis'!F363/18)/('Lab Analysis'!E363/60)),"0")</f>
        <v>0</v>
      </c>
      <c r="G363" s="188" t="str">
        <f>IFERROR(('Lab Analysis'!I363/('Lab Analysis'!I363+(1.765*'Lab Analysis'!G363))),"0")</f>
        <v>0</v>
      </c>
      <c r="H363" s="189" t="str">
        <f>IFERROR(((2*('Lab Analysis'!I363/60))+('Lab Analysis'!G363/17))/(('Lab Analysis'!H363/44)+('Lab Analysis'!I363/60)),"0")</f>
        <v>0</v>
      </c>
      <c r="I363" s="189" t="str">
        <f>IFERROR((('Lab Analysis'!J363/18)-('Lab Analysis'!I363/60))/(('Lab Analysis'!H363/44)+('Lab Analysis'!I363/60)),"0")</f>
        <v>0</v>
      </c>
      <c r="J363" s="186" t="str">
        <f>IFERROR(('Lab Analysis'!M363/('Lab Analysis'!M363+(1.765*'Lab Analysis'!K363))),"0")</f>
        <v>0</v>
      </c>
      <c r="K363" s="190" t="str">
        <f>IFERROR(((2*('Lab Analysis'!M363/60))+('Lab Analysis'!K363/17))/(('Lab Analysis'!L363/44)+('Lab Analysis'!M363/60)),"0")</f>
        <v>0</v>
      </c>
      <c r="L363" s="190" t="str">
        <f>IFERROR((('Lab Analysis'!N363/18)-('Lab Analysis'!M363/60))/(('Lab Analysis'!L363/44)+('Lab Analysis'!M363/60)),"0")</f>
        <v>0</v>
      </c>
      <c r="M363" s="187" t="str">
        <f>IFERROR(((2*('Lab Analysis'!U363/60))+('Lab Analysis'!S363/17))/(('Lab Analysis'!T363/44)+('Lab Analysis'!U363/60)),"0")</f>
        <v>0</v>
      </c>
      <c r="N363" s="187" t="str">
        <f>IFERROR((('Lab Analysis'!V363/18)-('Lab Analysis'!U363/60))/(('Lab Analysis'!T363/44)+('Lab Analysis'!U363/60)),"0")</f>
        <v>0</v>
      </c>
      <c r="O363" s="187" t="str">
        <f>IFERROR(((2*('Lab Analysis'!Y363/60)+('Lab Analysis'!W363/17))/(('Lab Analysis'!X363/44)+('Lab Analysis'!Y363/60))),"0")</f>
        <v>0</v>
      </c>
      <c r="P363" s="187" t="str">
        <f>IFERROR((('Lab Analysis'!Z363/18)-('Lab Analysis'!Y363/60))/(('Lab Analysis'!X363/44)+('Lab Analysis'!Y363/60)),"0")</f>
        <v>0</v>
      </c>
      <c r="Q363" s="191"/>
    </row>
    <row r="364" spans="1:17">
      <c r="A364" s="185">
        <v>46178</v>
      </c>
      <c r="B364" s="186" t="str">
        <f>IFERROR(('Lab Analysis'!E364/('Lab Analysis'!E364+(1.364*'Lab Analysis'!D364))),"0")</f>
        <v>0</v>
      </c>
      <c r="C364" s="186" t="str">
        <f>IFERROR((2*'Lab Analysis'!E364/60)/('Lab Analysis'!C364/17+(2*'Lab Analysis'!E364/60)),"0")</f>
        <v>0</v>
      </c>
      <c r="D364" s="187" t="str">
        <f>IFERROR(((2*('Lab Analysis'!E364/60)+('Lab Analysis'!C364/17))/(('Lab Analysis'!D364/44)+('Lab Analysis'!E364/60))),"0")</f>
        <v>0</v>
      </c>
      <c r="E364" s="187" t="str">
        <f>IFERROR((('Lab Analysis'!F364/18)-('Lab Analysis'!E364/60))/(('Lab Analysis'!D364/44)+('Lab Analysis'!E364/60)),"0")</f>
        <v>0</v>
      </c>
      <c r="F364" s="187" t="str">
        <f>IFERROR((('Lab Analysis'!F364/18)/('Lab Analysis'!E364/60)),"0")</f>
        <v>0</v>
      </c>
      <c r="G364" s="188" t="str">
        <f>IFERROR(('Lab Analysis'!I364/('Lab Analysis'!I364+(1.765*'Lab Analysis'!G364))),"0")</f>
        <v>0</v>
      </c>
      <c r="H364" s="189" t="str">
        <f>IFERROR(((2*('Lab Analysis'!I364/60))+('Lab Analysis'!G364/17))/(('Lab Analysis'!H364/44)+('Lab Analysis'!I364/60)),"0")</f>
        <v>0</v>
      </c>
      <c r="I364" s="189" t="str">
        <f>IFERROR((('Lab Analysis'!J364/18)-('Lab Analysis'!I364/60))/(('Lab Analysis'!H364/44)+('Lab Analysis'!I364/60)),"0")</f>
        <v>0</v>
      </c>
      <c r="J364" s="186" t="str">
        <f>IFERROR(('Lab Analysis'!M364/('Lab Analysis'!M364+(1.765*'Lab Analysis'!K364))),"0")</f>
        <v>0</v>
      </c>
      <c r="K364" s="190" t="str">
        <f>IFERROR(((2*('Lab Analysis'!M364/60))+('Lab Analysis'!K364/17))/(('Lab Analysis'!L364/44)+('Lab Analysis'!M364/60)),"0")</f>
        <v>0</v>
      </c>
      <c r="L364" s="190" t="str">
        <f>IFERROR((('Lab Analysis'!N364/18)-('Lab Analysis'!M364/60))/(('Lab Analysis'!L364/44)+('Lab Analysis'!M364/60)),"0")</f>
        <v>0</v>
      </c>
      <c r="M364" s="187" t="str">
        <f>IFERROR(((2*('Lab Analysis'!U364/60))+('Lab Analysis'!S364/17))/(('Lab Analysis'!T364/44)+('Lab Analysis'!U364/60)),"0")</f>
        <v>0</v>
      </c>
      <c r="N364" s="187" t="str">
        <f>IFERROR((('Lab Analysis'!V364/18)-('Lab Analysis'!U364/60))/(('Lab Analysis'!T364/44)+('Lab Analysis'!U364/60)),"0")</f>
        <v>0</v>
      </c>
      <c r="O364" s="187" t="str">
        <f>IFERROR(((2*('Lab Analysis'!Y364/60)+('Lab Analysis'!W364/17))/(('Lab Analysis'!X364/44)+('Lab Analysis'!Y364/60))),"0")</f>
        <v>0</v>
      </c>
      <c r="P364" s="187" t="str">
        <f>IFERROR((('Lab Analysis'!Z364/18)-('Lab Analysis'!Y364/60))/(('Lab Analysis'!X364/44)+('Lab Analysis'!Y364/60)),"0")</f>
        <v>0</v>
      </c>
      <c r="Q364" s="191"/>
    </row>
    <row r="365" spans="1:17">
      <c r="A365" s="185">
        <v>46179</v>
      </c>
      <c r="B365" s="186" t="str">
        <f>IFERROR(('Lab Analysis'!E365/('Lab Analysis'!E365+(1.364*'Lab Analysis'!D365))),"0")</f>
        <v>0</v>
      </c>
      <c r="C365" s="186" t="str">
        <f>IFERROR((2*'Lab Analysis'!E365/60)/('Lab Analysis'!C365/17+(2*'Lab Analysis'!E365/60)),"0")</f>
        <v>0</v>
      </c>
      <c r="D365" s="187" t="str">
        <f>IFERROR(((2*('Lab Analysis'!E365/60)+('Lab Analysis'!C365/17))/(('Lab Analysis'!D365/44)+('Lab Analysis'!E365/60))),"0")</f>
        <v>0</v>
      </c>
      <c r="E365" s="187" t="str">
        <f>IFERROR((('Lab Analysis'!F365/18)-('Lab Analysis'!E365/60))/(('Lab Analysis'!D365/44)+('Lab Analysis'!E365/60)),"0")</f>
        <v>0</v>
      </c>
      <c r="F365" s="187" t="str">
        <f>IFERROR((('Lab Analysis'!F365/18)/('Lab Analysis'!E365/60)),"0")</f>
        <v>0</v>
      </c>
      <c r="G365" s="188" t="str">
        <f>IFERROR(('Lab Analysis'!I365/('Lab Analysis'!I365+(1.765*'Lab Analysis'!G365))),"0")</f>
        <v>0</v>
      </c>
      <c r="H365" s="189" t="str">
        <f>IFERROR(((2*('Lab Analysis'!I365/60))+('Lab Analysis'!G365/17))/(('Lab Analysis'!H365/44)+('Lab Analysis'!I365/60)),"0")</f>
        <v>0</v>
      </c>
      <c r="I365" s="189" t="str">
        <f>IFERROR((('Lab Analysis'!J365/18)-('Lab Analysis'!I365/60))/(('Lab Analysis'!H365/44)+('Lab Analysis'!I365/60)),"0")</f>
        <v>0</v>
      </c>
      <c r="J365" s="186" t="str">
        <f>IFERROR(('Lab Analysis'!M365/('Lab Analysis'!M365+(1.765*'Lab Analysis'!K365))),"0")</f>
        <v>0</v>
      </c>
      <c r="K365" s="190" t="str">
        <f>IFERROR(((2*('Lab Analysis'!M365/60))+('Lab Analysis'!K365/17))/(('Lab Analysis'!L365/44)+('Lab Analysis'!M365/60)),"0")</f>
        <v>0</v>
      </c>
      <c r="L365" s="190" t="str">
        <f>IFERROR((('Lab Analysis'!N365/18)-('Lab Analysis'!M365/60))/(('Lab Analysis'!L365/44)+('Lab Analysis'!M365/60)),"0")</f>
        <v>0</v>
      </c>
      <c r="M365" s="187" t="str">
        <f>IFERROR(((2*('Lab Analysis'!U365/60))+('Lab Analysis'!S365/17))/(('Lab Analysis'!T365/44)+('Lab Analysis'!U365/60)),"0")</f>
        <v>0</v>
      </c>
      <c r="N365" s="187" t="str">
        <f>IFERROR((('Lab Analysis'!V365/18)-('Lab Analysis'!U365/60))/(('Lab Analysis'!T365/44)+('Lab Analysis'!U365/60)),"0")</f>
        <v>0</v>
      </c>
      <c r="O365" s="187" t="str">
        <f>IFERROR(((2*('Lab Analysis'!Y365/60)+('Lab Analysis'!W365/17))/(('Lab Analysis'!X365/44)+('Lab Analysis'!Y365/60))),"0")</f>
        <v>0</v>
      </c>
      <c r="P365" s="187" t="str">
        <f>IFERROR((('Lab Analysis'!Z365/18)-('Lab Analysis'!Y365/60))/(('Lab Analysis'!X365/44)+('Lab Analysis'!Y365/60)),"0")</f>
        <v>0</v>
      </c>
      <c r="Q365" s="191"/>
    </row>
    <row r="366" spans="1:17">
      <c r="A366" s="185">
        <v>46180</v>
      </c>
      <c r="B366" s="186" t="str">
        <f>IFERROR(('Lab Analysis'!E366/('Lab Analysis'!E366+(1.364*'Lab Analysis'!D366))),"0")</f>
        <v>0</v>
      </c>
      <c r="C366" s="186" t="str">
        <f>IFERROR((2*'Lab Analysis'!E366/60)/('Lab Analysis'!C366/17+(2*'Lab Analysis'!E366/60)),"0")</f>
        <v>0</v>
      </c>
      <c r="D366" s="187" t="str">
        <f>IFERROR(((2*('Lab Analysis'!E366/60)+('Lab Analysis'!C366/17))/(('Lab Analysis'!D366/44)+('Lab Analysis'!E366/60))),"0")</f>
        <v>0</v>
      </c>
      <c r="E366" s="187" t="str">
        <f>IFERROR((('Lab Analysis'!F366/18)-('Lab Analysis'!E366/60))/(('Lab Analysis'!D366/44)+('Lab Analysis'!E366/60)),"0")</f>
        <v>0</v>
      </c>
      <c r="F366" s="187" t="str">
        <f>IFERROR((('Lab Analysis'!F366/18)/('Lab Analysis'!E366/60)),"0")</f>
        <v>0</v>
      </c>
      <c r="G366" s="188" t="str">
        <f>IFERROR(('Lab Analysis'!I366/('Lab Analysis'!I366+(1.765*'Lab Analysis'!G366))),"0")</f>
        <v>0</v>
      </c>
      <c r="H366" s="189" t="str">
        <f>IFERROR(((2*('Lab Analysis'!I366/60))+('Lab Analysis'!G366/17))/(('Lab Analysis'!H366/44)+('Lab Analysis'!I366/60)),"0")</f>
        <v>0</v>
      </c>
      <c r="I366" s="189" t="str">
        <f>IFERROR((('Lab Analysis'!J366/18)-('Lab Analysis'!I366/60))/(('Lab Analysis'!H366/44)+('Lab Analysis'!I366/60)),"0")</f>
        <v>0</v>
      </c>
      <c r="J366" s="186" t="str">
        <f>IFERROR(('Lab Analysis'!M366/('Lab Analysis'!M366+(1.765*'Lab Analysis'!K366))),"0")</f>
        <v>0</v>
      </c>
      <c r="K366" s="190" t="str">
        <f>IFERROR(((2*('Lab Analysis'!M366/60))+('Lab Analysis'!K366/17))/(('Lab Analysis'!L366/44)+('Lab Analysis'!M366/60)),"0")</f>
        <v>0</v>
      </c>
      <c r="L366" s="190" t="str">
        <f>IFERROR((('Lab Analysis'!N366/18)-('Lab Analysis'!M366/60))/(('Lab Analysis'!L366/44)+('Lab Analysis'!M366/60)),"0")</f>
        <v>0</v>
      </c>
      <c r="M366" s="187" t="str">
        <f>IFERROR(((2*('Lab Analysis'!U366/60))+('Lab Analysis'!S366/17))/(('Lab Analysis'!T366/44)+('Lab Analysis'!U366/60)),"0")</f>
        <v>0</v>
      </c>
      <c r="N366" s="187" t="str">
        <f>IFERROR((('Lab Analysis'!V366/18)-('Lab Analysis'!U366/60))/(('Lab Analysis'!T366/44)+('Lab Analysis'!U366/60)),"0")</f>
        <v>0</v>
      </c>
      <c r="O366" s="187" t="str">
        <f>IFERROR(((2*('Lab Analysis'!Y366/60)+('Lab Analysis'!W366/17))/(('Lab Analysis'!X366/44)+('Lab Analysis'!Y366/60))),"0")</f>
        <v>0</v>
      </c>
      <c r="P366" s="187" t="str">
        <f>IFERROR((('Lab Analysis'!Z366/18)-('Lab Analysis'!Y366/60))/(('Lab Analysis'!X366/44)+('Lab Analysis'!Y366/60)),"0")</f>
        <v>0</v>
      </c>
      <c r="Q366" s="191"/>
    </row>
    <row r="367" spans="1:17">
      <c r="A367" s="185">
        <v>46181</v>
      </c>
      <c r="B367" s="186" t="str">
        <f>IFERROR(('Lab Analysis'!E367/('Lab Analysis'!E367+(1.364*'Lab Analysis'!D367))),"0")</f>
        <v>0</v>
      </c>
      <c r="C367" s="186" t="str">
        <f>IFERROR((2*'Lab Analysis'!E367/60)/('Lab Analysis'!C367/17+(2*'Lab Analysis'!E367/60)),"0")</f>
        <v>0</v>
      </c>
      <c r="D367" s="187" t="str">
        <f>IFERROR(((2*('Lab Analysis'!E367/60)+('Lab Analysis'!C367/17))/(('Lab Analysis'!D367/44)+('Lab Analysis'!E367/60))),"0")</f>
        <v>0</v>
      </c>
      <c r="E367" s="187" t="str">
        <f>IFERROR((('Lab Analysis'!F367/18)-('Lab Analysis'!E367/60))/(('Lab Analysis'!D367/44)+('Lab Analysis'!E367/60)),"0")</f>
        <v>0</v>
      </c>
      <c r="F367" s="187" t="str">
        <f>IFERROR((('Lab Analysis'!F367/18)/('Lab Analysis'!E367/60)),"0")</f>
        <v>0</v>
      </c>
      <c r="G367" s="188" t="str">
        <f>IFERROR(('Lab Analysis'!I367/('Lab Analysis'!I367+(1.765*'Lab Analysis'!G367))),"0")</f>
        <v>0</v>
      </c>
      <c r="H367" s="189" t="str">
        <f>IFERROR(((2*('Lab Analysis'!I367/60))+('Lab Analysis'!G367/17))/(('Lab Analysis'!H367/44)+('Lab Analysis'!I367/60)),"0")</f>
        <v>0</v>
      </c>
      <c r="I367" s="189" t="str">
        <f>IFERROR((('Lab Analysis'!J367/18)-('Lab Analysis'!I367/60))/(('Lab Analysis'!H367/44)+('Lab Analysis'!I367/60)),"0")</f>
        <v>0</v>
      </c>
      <c r="J367" s="186" t="str">
        <f>IFERROR(('Lab Analysis'!M367/('Lab Analysis'!M367+(1.765*'Lab Analysis'!K367))),"0")</f>
        <v>0</v>
      </c>
      <c r="K367" s="190" t="str">
        <f>IFERROR(((2*('Lab Analysis'!M367/60))+('Lab Analysis'!K367/17))/(('Lab Analysis'!L367/44)+('Lab Analysis'!M367/60)),"0")</f>
        <v>0</v>
      </c>
      <c r="L367" s="190" t="str">
        <f>IFERROR((('Lab Analysis'!N367/18)-('Lab Analysis'!M367/60))/(('Lab Analysis'!L367/44)+('Lab Analysis'!M367/60)),"0")</f>
        <v>0</v>
      </c>
      <c r="M367" s="187" t="str">
        <f>IFERROR(((2*('Lab Analysis'!U367/60))+('Lab Analysis'!S367/17))/(('Lab Analysis'!T367/44)+('Lab Analysis'!U367/60)),"0")</f>
        <v>0</v>
      </c>
      <c r="N367" s="187" t="str">
        <f>IFERROR((('Lab Analysis'!V367/18)-('Lab Analysis'!U367/60))/(('Lab Analysis'!T367/44)+('Lab Analysis'!U367/60)),"0")</f>
        <v>0</v>
      </c>
      <c r="O367" s="187" t="str">
        <f>IFERROR(((2*('Lab Analysis'!Y367/60)+('Lab Analysis'!W367/17))/(('Lab Analysis'!X367/44)+('Lab Analysis'!Y367/60))),"0")</f>
        <v>0</v>
      </c>
      <c r="P367" s="187" t="str">
        <f>IFERROR((('Lab Analysis'!Z367/18)-('Lab Analysis'!Y367/60))/(('Lab Analysis'!X367/44)+('Lab Analysis'!Y367/60)),"0")</f>
        <v>0</v>
      </c>
      <c r="Q367" s="191"/>
    </row>
    <row r="368" spans="1:17">
      <c r="A368" s="185">
        <v>46182</v>
      </c>
      <c r="B368" s="186" t="str">
        <f>IFERROR(('Lab Analysis'!E368/('Lab Analysis'!E368+(1.364*'Lab Analysis'!D368))),"0")</f>
        <v>0</v>
      </c>
      <c r="C368" s="186" t="str">
        <f>IFERROR((2*'Lab Analysis'!E368/60)/('Lab Analysis'!C368/17+(2*'Lab Analysis'!E368/60)),"0")</f>
        <v>0</v>
      </c>
      <c r="D368" s="187" t="str">
        <f>IFERROR(((2*('Lab Analysis'!E368/60)+('Lab Analysis'!C368/17))/(('Lab Analysis'!D368/44)+('Lab Analysis'!E368/60))),"0")</f>
        <v>0</v>
      </c>
      <c r="E368" s="187" t="str">
        <f>IFERROR((('Lab Analysis'!F368/18)-('Lab Analysis'!E368/60))/(('Lab Analysis'!D368/44)+('Lab Analysis'!E368/60)),"0")</f>
        <v>0</v>
      </c>
      <c r="F368" s="187" t="str">
        <f>IFERROR((('Lab Analysis'!F368/18)/('Lab Analysis'!E368/60)),"0")</f>
        <v>0</v>
      </c>
      <c r="G368" s="188" t="str">
        <f>IFERROR(('Lab Analysis'!I368/('Lab Analysis'!I368+(1.765*'Lab Analysis'!G368))),"0")</f>
        <v>0</v>
      </c>
      <c r="H368" s="189" t="str">
        <f>IFERROR(((2*('Lab Analysis'!I368/60))+('Lab Analysis'!G368/17))/(('Lab Analysis'!H368/44)+('Lab Analysis'!I368/60)),"0")</f>
        <v>0</v>
      </c>
      <c r="I368" s="189" t="str">
        <f>IFERROR((('Lab Analysis'!J368/18)-('Lab Analysis'!I368/60))/(('Lab Analysis'!H368/44)+('Lab Analysis'!I368/60)),"0")</f>
        <v>0</v>
      </c>
      <c r="J368" s="186" t="str">
        <f>IFERROR(('Lab Analysis'!M368/('Lab Analysis'!M368+(1.765*'Lab Analysis'!K368))),"0")</f>
        <v>0</v>
      </c>
      <c r="K368" s="190" t="str">
        <f>IFERROR(((2*('Lab Analysis'!M368/60))+('Lab Analysis'!K368/17))/(('Lab Analysis'!L368/44)+('Lab Analysis'!M368/60)),"0")</f>
        <v>0</v>
      </c>
      <c r="L368" s="190" t="str">
        <f>IFERROR((('Lab Analysis'!N368/18)-('Lab Analysis'!M368/60))/(('Lab Analysis'!L368/44)+('Lab Analysis'!M368/60)),"0")</f>
        <v>0</v>
      </c>
      <c r="M368" s="187" t="str">
        <f>IFERROR(((2*('Lab Analysis'!U368/60))+('Lab Analysis'!S368/17))/(('Lab Analysis'!T368/44)+('Lab Analysis'!U368/60)),"0")</f>
        <v>0</v>
      </c>
      <c r="N368" s="187" t="str">
        <f>IFERROR((('Lab Analysis'!V368/18)-('Lab Analysis'!U368/60))/(('Lab Analysis'!T368/44)+('Lab Analysis'!U368/60)),"0")</f>
        <v>0</v>
      </c>
      <c r="O368" s="187" t="str">
        <f>IFERROR(((2*('Lab Analysis'!Y368/60)+('Lab Analysis'!W368/17))/(('Lab Analysis'!X368/44)+('Lab Analysis'!Y368/60))),"0")</f>
        <v>0</v>
      </c>
      <c r="P368" s="187" t="str">
        <f>IFERROR((('Lab Analysis'!Z368/18)-('Lab Analysis'!Y368/60))/(('Lab Analysis'!X368/44)+('Lab Analysis'!Y368/60)),"0")</f>
        <v>0</v>
      </c>
      <c r="Q368" s="191"/>
    </row>
    <row r="369" spans="1:17">
      <c r="A369" s="185">
        <v>46183</v>
      </c>
      <c r="B369" s="186" t="str">
        <f>IFERROR(('Lab Analysis'!E369/('Lab Analysis'!E369+(1.364*'Lab Analysis'!D369))),"0")</f>
        <v>0</v>
      </c>
      <c r="C369" s="186" t="str">
        <f>IFERROR((2*'Lab Analysis'!E369/60)/('Lab Analysis'!C369/17+(2*'Lab Analysis'!E369/60)),"0")</f>
        <v>0</v>
      </c>
      <c r="D369" s="187" t="str">
        <f>IFERROR(((2*('Lab Analysis'!E369/60)+('Lab Analysis'!C369/17))/(('Lab Analysis'!D369/44)+('Lab Analysis'!E369/60))),"0")</f>
        <v>0</v>
      </c>
      <c r="E369" s="187" t="str">
        <f>IFERROR((('Lab Analysis'!F369/18)-('Lab Analysis'!E369/60))/(('Lab Analysis'!D369/44)+('Lab Analysis'!E369/60)),"0")</f>
        <v>0</v>
      </c>
      <c r="F369" s="187" t="str">
        <f>IFERROR((('Lab Analysis'!F369/18)/('Lab Analysis'!E369/60)),"0")</f>
        <v>0</v>
      </c>
      <c r="G369" s="188" t="str">
        <f>IFERROR(('Lab Analysis'!I369/('Lab Analysis'!I369+(1.765*'Lab Analysis'!G369))),"0")</f>
        <v>0</v>
      </c>
      <c r="H369" s="189" t="str">
        <f>IFERROR(((2*('Lab Analysis'!I369/60))+('Lab Analysis'!G369/17))/(('Lab Analysis'!H369/44)+('Lab Analysis'!I369/60)),"0")</f>
        <v>0</v>
      </c>
      <c r="I369" s="189" t="str">
        <f>IFERROR((('Lab Analysis'!J369/18)-('Lab Analysis'!I369/60))/(('Lab Analysis'!H369/44)+('Lab Analysis'!I369/60)),"0")</f>
        <v>0</v>
      </c>
      <c r="J369" s="186" t="str">
        <f>IFERROR(('Lab Analysis'!M369/('Lab Analysis'!M369+(1.765*'Lab Analysis'!K369))),"0")</f>
        <v>0</v>
      </c>
      <c r="K369" s="190" t="str">
        <f>IFERROR(((2*('Lab Analysis'!M369/60))+('Lab Analysis'!K369/17))/(('Lab Analysis'!L369/44)+('Lab Analysis'!M369/60)),"0")</f>
        <v>0</v>
      </c>
      <c r="L369" s="190" t="str">
        <f>IFERROR((('Lab Analysis'!N369/18)-('Lab Analysis'!M369/60))/(('Lab Analysis'!L369/44)+('Lab Analysis'!M369/60)),"0")</f>
        <v>0</v>
      </c>
      <c r="M369" s="187" t="str">
        <f>IFERROR(((2*('Lab Analysis'!U369/60))+('Lab Analysis'!S369/17))/(('Lab Analysis'!T369/44)+('Lab Analysis'!U369/60)),"0")</f>
        <v>0</v>
      </c>
      <c r="N369" s="187" t="str">
        <f>IFERROR((('Lab Analysis'!V369/18)-('Lab Analysis'!U369/60))/(('Lab Analysis'!T369/44)+('Lab Analysis'!U369/60)),"0")</f>
        <v>0</v>
      </c>
      <c r="O369" s="187" t="str">
        <f>IFERROR(((2*('Lab Analysis'!Y369/60)+('Lab Analysis'!W369/17))/(('Lab Analysis'!X369/44)+('Lab Analysis'!Y369/60))),"0")</f>
        <v>0</v>
      </c>
      <c r="P369" s="187" t="str">
        <f>IFERROR((('Lab Analysis'!Z369/18)-('Lab Analysis'!Y369/60))/(('Lab Analysis'!X369/44)+('Lab Analysis'!Y369/60)),"0")</f>
        <v>0</v>
      </c>
      <c r="Q369" s="191"/>
    </row>
    <row r="370" spans="1:17">
      <c r="A370" s="185">
        <v>46184</v>
      </c>
      <c r="B370" s="186" t="str">
        <f>IFERROR(('Lab Analysis'!E370/('Lab Analysis'!E370+(1.364*'Lab Analysis'!D370))),"0")</f>
        <v>0</v>
      </c>
      <c r="C370" s="186" t="str">
        <f>IFERROR((2*'Lab Analysis'!E370/60)/('Lab Analysis'!C370/17+(2*'Lab Analysis'!E370/60)),"0")</f>
        <v>0</v>
      </c>
      <c r="D370" s="187" t="str">
        <f>IFERROR(((2*('Lab Analysis'!E370/60)+('Lab Analysis'!C370/17))/(('Lab Analysis'!D370/44)+('Lab Analysis'!E370/60))),"0")</f>
        <v>0</v>
      </c>
      <c r="E370" s="187" t="str">
        <f>IFERROR((('Lab Analysis'!F370/18)-('Lab Analysis'!E370/60))/(('Lab Analysis'!D370/44)+('Lab Analysis'!E370/60)),"0")</f>
        <v>0</v>
      </c>
      <c r="F370" s="187" t="str">
        <f>IFERROR((('Lab Analysis'!F370/18)/('Lab Analysis'!E370/60)),"0")</f>
        <v>0</v>
      </c>
      <c r="G370" s="188" t="str">
        <f>IFERROR(('Lab Analysis'!I370/('Lab Analysis'!I370+(1.765*'Lab Analysis'!G370))),"0")</f>
        <v>0</v>
      </c>
      <c r="H370" s="189" t="str">
        <f>IFERROR(((2*('Lab Analysis'!I370/60))+('Lab Analysis'!G370/17))/(('Lab Analysis'!H370/44)+('Lab Analysis'!I370/60)),"0")</f>
        <v>0</v>
      </c>
      <c r="I370" s="189" t="str">
        <f>IFERROR((('Lab Analysis'!J370/18)-('Lab Analysis'!I370/60))/(('Lab Analysis'!H370/44)+('Lab Analysis'!I370/60)),"0")</f>
        <v>0</v>
      </c>
      <c r="J370" s="186" t="str">
        <f>IFERROR(('Lab Analysis'!M370/('Lab Analysis'!M370+(1.765*'Lab Analysis'!K370))),"0")</f>
        <v>0</v>
      </c>
      <c r="K370" s="190" t="str">
        <f>IFERROR(((2*('Lab Analysis'!M370/60))+('Lab Analysis'!K370/17))/(('Lab Analysis'!L370/44)+('Lab Analysis'!M370/60)),"0")</f>
        <v>0</v>
      </c>
      <c r="L370" s="190" t="str">
        <f>IFERROR((('Lab Analysis'!N370/18)-('Lab Analysis'!M370/60))/(('Lab Analysis'!L370/44)+('Lab Analysis'!M370/60)),"0")</f>
        <v>0</v>
      </c>
      <c r="M370" s="187" t="str">
        <f>IFERROR(((2*('Lab Analysis'!U370/60))+('Lab Analysis'!S370/17))/(('Lab Analysis'!T370/44)+('Lab Analysis'!U370/60)),"0")</f>
        <v>0</v>
      </c>
      <c r="N370" s="187" t="str">
        <f>IFERROR((('Lab Analysis'!V370/18)-('Lab Analysis'!U370/60))/(('Lab Analysis'!T370/44)+('Lab Analysis'!U370/60)),"0")</f>
        <v>0</v>
      </c>
      <c r="O370" s="187" t="str">
        <f>IFERROR(((2*('Lab Analysis'!Y370/60)+('Lab Analysis'!W370/17))/(('Lab Analysis'!X370/44)+('Lab Analysis'!Y370/60))),"0")</f>
        <v>0</v>
      </c>
      <c r="P370" s="187" t="str">
        <f>IFERROR((('Lab Analysis'!Z370/18)-('Lab Analysis'!Y370/60))/(('Lab Analysis'!X370/44)+('Lab Analysis'!Y370/60)),"0")</f>
        <v>0</v>
      </c>
      <c r="Q370" s="191"/>
    </row>
    <row r="371" spans="1:17">
      <c r="A371" s="185">
        <v>46185</v>
      </c>
      <c r="B371" s="186" t="str">
        <f>IFERROR(('Lab Analysis'!E371/('Lab Analysis'!E371+(1.364*'Lab Analysis'!D371))),"0")</f>
        <v>0</v>
      </c>
      <c r="C371" s="186" t="str">
        <f>IFERROR((2*'Lab Analysis'!E371/60)/('Lab Analysis'!C371/17+(2*'Lab Analysis'!E371/60)),"0")</f>
        <v>0</v>
      </c>
      <c r="D371" s="187" t="str">
        <f>IFERROR(((2*('Lab Analysis'!E371/60)+('Lab Analysis'!C371/17))/(('Lab Analysis'!D371/44)+('Lab Analysis'!E371/60))),"0")</f>
        <v>0</v>
      </c>
      <c r="E371" s="187" t="str">
        <f>IFERROR((('Lab Analysis'!F371/18)-('Lab Analysis'!E371/60))/(('Lab Analysis'!D371/44)+('Lab Analysis'!E371/60)),"0")</f>
        <v>0</v>
      </c>
      <c r="F371" s="187" t="str">
        <f>IFERROR((('Lab Analysis'!F371/18)/('Lab Analysis'!E371/60)),"0")</f>
        <v>0</v>
      </c>
      <c r="G371" s="188" t="str">
        <f>IFERROR(('Lab Analysis'!I371/('Lab Analysis'!I371+(1.765*'Lab Analysis'!G371))),"0")</f>
        <v>0</v>
      </c>
      <c r="H371" s="189" t="str">
        <f>IFERROR(((2*('Lab Analysis'!I371/60))+('Lab Analysis'!G371/17))/(('Lab Analysis'!H371/44)+('Lab Analysis'!I371/60)),"0")</f>
        <v>0</v>
      </c>
      <c r="I371" s="189" t="str">
        <f>IFERROR((('Lab Analysis'!J371/18)-('Lab Analysis'!I371/60))/(('Lab Analysis'!H371/44)+('Lab Analysis'!I371/60)),"0")</f>
        <v>0</v>
      </c>
      <c r="J371" s="186" t="str">
        <f>IFERROR(('Lab Analysis'!M371/('Lab Analysis'!M371+(1.765*'Lab Analysis'!K371))),"0")</f>
        <v>0</v>
      </c>
      <c r="K371" s="190" t="str">
        <f>IFERROR(((2*('Lab Analysis'!M371/60))+('Lab Analysis'!K371/17))/(('Lab Analysis'!L371/44)+('Lab Analysis'!M371/60)),"0")</f>
        <v>0</v>
      </c>
      <c r="L371" s="190" t="str">
        <f>IFERROR((('Lab Analysis'!N371/18)-('Lab Analysis'!M371/60))/(('Lab Analysis'!L371/44)+('Lab Analysis'!M371/60)),"0")</f>
        <v>0</v>
      </c>
      <c r="M371" s="187" t="str">
        <f>IFERROR(((2*('Lab Analysis'!U371/60))+('Lab Analysis'!S371/17))/(('Lab Analysis'!T371/44)+('Lab Analysis'!U371/60)),"0")</f>
        <v>0</v>
      </c>
      <c r="N371" s="187" t="str">
        <f>IFERROR((('Lab Analysis'!V371/18)-('Lab Analysis'!U371/60))/(('Lab Analysis'!T371/44)+('Lab Analysis'!U371/60)),"0")</f>
        <v>0</v>
      </c>
      <c r="O371" s="187" t="str">
        <f>IFERROR(((2*('Lab Analysis'!Y371/60)+('Lab Analysis'!W371/17))/(('Lab Analysis'!X371/44)+('Lab Analysis'!Y371/60))),"0")</f>
        <v>0</v>
      </c>
      <c r="P371" s="187" t="str">
        <f>IFERROR((('Lab Analysis'!Z371/18)-('Lab Analysis'!Y371/60))/(('Lab Analysis'!X371/44)+('Lab Analysis'!Y371/60)),"0")</f>
        <v>0</v>
      </c>
      <c r="Q371" s="191"/>
    </row>
    <row r="372" spans="1:17">
      <c r="A372" s="185">
        <v>46186</v>
      </c>
      <c r="B372" s="186" t="str">
        <f>IFERROR(('Lab Analysis'!E372/('Lab Analysis'!E372+(1.364*'Lab Analysis'!D372))),"0")</f>
        <v>0</v>
      </c>
      <c r="C372" s="186" t="str">
        <f>IFERROR((2*'Lab Analysis'!E372/60)/('Lab Analysis'!C372/17+(2*'Lab Analysis'!E372/60)),"0")</f>
        <v>0</v>
      </c>
      <c r="D372" s="187" t="str">
        <f>IFERROR(((2*('Lab Analysis'!E372/60)+('Lab Analysis'!C372/17))/(('Lab Analysis'!D372/44)+('Lab Analysis'!E372/60))),"0")</f>
        <v>0</v>
      </c>
      <c r="E372" s="187" t="str">
        <f>IFERROR((('Lab Analysis'!F372/18)-('Lab Analysis'!E372/60))/(('Lab Analysis'!D372/44)+('Lab Analysis'!E372/60)),"0")</f>
        <v>0</v>
      </c>
      <c r="F372" s="187" t="str">
        <f>IFERROR((('Lab Analysis'!F372/18)/('Lab Analysis'!E372/60)),"0")</f>
        <v>0</v>
      </c>
      <c r="G372" s="188" t="str">
        <f>IFERROR(('Lab Analysis'!I372/('Lab Analysis'!I372+(1.765*'Lab Analysis'!G372))),"0")</f>
        <v>0</v>
      </c>
      <c r="H372" s="189" t="str">
        <f>IFERROR(((2*('Lab Analysis'!I372/60))+('Lab Analysis'!G372/17))/(('Lab Analysis'!H372/44)+('Lab Analysis'!I372/60)),"0")</f>
        <v>0</v>
      </c>
      <c r="I372" s="189" t="str">
        <f>IFERROR((('Lab Analysis'!J372/18)-('Lab Analysis'!I372/60))/(('Lab Analysis'!H372/44)+('Lab Analysis'!I372/60)),"0")</f>
        <v>0</v>
      </c>
      <c r="J372" s="186" t="str">
        <f>IFERROR(('Lab Analysis'!M372/('Lab Analysis'!M372+(1.765*'Lab Analysis'!K372))),"0")</f>
        <v>0</v>
      </c>
      <c r="K372" s="190" t="str">
        <f>IFERROR(((2*('Lab Analysis'!M372/60))+('Lab Analysis'!K372/17))/(('Lab Analysis'!L372/44)+('Lab Analysis'!M372/60)),"0")</f>
        <v>0</v>
      </c>
      <c r="L372" s="190" t="str">
        <f>IFERROR((('Lab Analysis'!N372/18)-('Lab Analysis'!M372/60))/(('Lab Analysis'!L372/44)+('Lab Analysis'!M372/60)),"0")</f>
        <v>0</v>
      </c>
      <c r="M372" s="187" t="str">
        <f>IFERROR(((2*('Lab Analysis'!U372/60))+('Lab Analysis'!S372/17))/(('Lab Analysis'!T372/44)+('Lab Analysis'!U372/60)),"0")</f>
        <v>0</v>
      </c>
      <c r="N372" s="187" t="str">
        <f>IFERROR((('Lab Analysis'!V372/18)-('Lab Analysis'!U372/60))/(('Lab Analysis'!T372/44)+('Lab Analysis'!U372/60)),"0")</f>
        <v>0</v>
      </c>
      <c r="O372" s="187" t="str">
        <f>IFERROR(((2*('Lab Analysis'!Y372/60)+('Lab Analysis'!W372/17))/(('Lab Analysis'!X372/44)+('Lab Analysis'!Y372/60))),"0")</f>
        <v>0</v>
      </c>
      <c r="P372" s="187" t="str">
        <f>IFERROR((('Lab Analysis'!Z372/18)-('Lab Analysis'!Y372/60))/(('Lab Analysis'!X372/44)+('Lab Analysis'!Y372/60)),"0")</f>
        <v>0</v>
      </c>
      <c r="Q372" s="191"/>
    </row>
    <row r="373" spans="1:17">
      <c r="A373" s="185">
        <v>46187</v>
      </c>
      <c r="B373" s="186" t="str">
        <f>IFERROR(('Lab Analysis'!E373/('Lab Analysis'!E373+(1.364*'Lab Analysis'!D373))),"0")</f>
        <v>0</v>
      </c>
      <c r="C373" s="186" t="str">
        <f>IFERROR((2*'Lab Analysis'!E373/60)/('Lab Analysis'!C373/17+(2*'Lab Analysis'!E373/60)),"0")</f>
        <v>0</v>
      </c>
      <c r="D373" s="187" t="str">
        <f>IFERROR(((2*('Lab Analysis'!E373/60)+('Lab Analysis'!C373/17))/(('Lab Analysis'!D373/44)+('Lab Analysis'!E373/60))),"0")</f>
        <v>0</v>
      </c>
      <c r="E373" s="187" t="str">
        <f>IFERROR((('Lab Analysis'!F373/18)-('Lab Analysis'!E373/60))/(('Lab Analysis'!D373/44)+('Lab Analysis'!E373/60)),"0")</f>
        <v>0</v>
      </c>
      <c r="F373" s="187" t="str">
        <f>IFERROR((('Lab Analysis'!F373/18)/('Lab Analysis'!E373/60)),"0")</f>
        <v>0</v>
      </c>
      <c r="G373" s="188" t="str">
        <f>IFERROR(('Lab Analysis'!I373/('Lab Analysis'!I373+(1.765*'Lab Analysis'!G373))),"0")</f>
        <v>0</v>
      </c>
      <c r="H373" s="189" t="str">
        <f>IFERROR(((2*('Lab Analysis'!I373/60))+('Lab Analysis'!G373/17))/(('Lab Analysis'!H373/44)+('Lab Analysis'!I373/60)),"0")</f>
        <v>0</v>
      </c>
      <c r="I373" s="189" t="str">
        <f>IFERROR((('Lab Analysis'!J373/18)-('Lab Analysis'!I373/60))/(('Lab Analysis'!H373/44)+('Lab Analysis'!I373/60)),"0")</f>
        <v>0</v>
      </c>
      <c r="J373" s="186" t="str">
        <f>IFERROR(('Lab Analysis'!M373/('Lab Analysis'!M373+(1.765*'Lab Analysis'!K373))),"0")</f>
        <v>0</v>
      </c>
      <c r="K373" s="190" t="str">
        <f>IFERROR(((2*('Lab Analysis'!M373/60))+('Lab Analysis'!K373/17))/(('Lab Analysis'!L373/44)+('Lab Analysis'!M373/60)),"0")</f>
        <v>0</v>
      </c>
      <c r="L373" s="190" t="str">
        <f>IFERROR((('Lab Analysis'!N373/18)-('Lab Analysis'!M373/60))/(('Lab Analysis'!L373/44)+('Lab Analysis'!M373/60)),"0")</f>
        <v>0</v>
      </c>
      <c r="M373" s="187" t="str">
        <f>IFERROR(((2*('Lab Analysis'!U373/60))+('Lab Analysis'!S373/17))/(('Lab Analysis'!T373/44)+('Lab Analysis'!U373/60)),"0")</f>
        <v>0</v>
      </c>
      <c r="N373" s="187" t="str">
        <f>IFERROR((('Lab Analysis'!V373/18)-('Lab Analysis'!U373/60))/(('Lab Analysis'!T373/44)+('Lab Analysis'!U373/60)),"0")</f>
        <v>0</v>
      </c>
      <c r="O373" s="187" t="str">
        <f>IFERROR(((2*('Lab Analysis'!Y373/60)+('Lab Analysis'!W373/17))/(('Lab Analysis'!X373/44)+('Lab Analysis'!Y373/60))),"0")</f>
        <v>0</v>
      </c>
      <c r="P373" s="187" t="str">
        <f>IFERROR((('Lab Analysis'!Z373/18)-('Lab Analysis'!Y373/60))/(('Lab Analysis'!X373/44)+('Lab Analysis'!Y373/60)),"0")</f>
        <v>0</v>
      </c>
      <c r="Q373" s="191"/>
    </row>
    <row r="374" spans="1:17">
      <c r="A374" s="185">
        <v>46188</v>
      </c>
      <c r="B374" s="186" t="str">
        <f>IFERROR(('Lab Analysis'!E374/('Lab Analysis'!E374+(1.364*'Lab Analysis'!D374))),"0")</f>
        <v>0</v>
      </c>
      <c r="C374" s="186" t="str">
        <f>IFERROR((2*'Lab Analysis'!E374/60)/('Lab Analysis'!C374/17+(2*'Lab Analysis'!E374/60)),"0")</f>
        <v>0</v>
      </c>
      <c r="D374" s="187" t="str">
        <f>IFERROR(((2*('Lab Analysis'!E374/60)+('Lab Analysis'!C374/17))/(('Lab Analysis'!D374/44)+('Lab Analysis'!E374/60))),"0")</f>
        <v>0</v>
      </c>
      <c r="E374" s="187" t="str">
        <f>IFERROR((('Lab Analysis'!F374/18)-('Lab Analysis'!E374/60))/(('Lab Analysis'!D374/44)+('Lab Analysis'!E374/60)),"0")</f>
        <v>0</v>
      </c>
      <c r="F374" s="187" t="str">
        <f>IFERROR((('Lab Analysis'!F374/18)/('Lab Analysis'!E374/60)),"0")</f>
        <v>0</v>
      </c>
      <c r="G374" s="188" t="str">
        <f>IFERROR(('Lab Analysis'!I374/('Lab Analysis'!I374+(1.765*'Lab Analysis'!G374))),"0")</f>
        <v>0</v>
      </c>
      <c r="H374" s="189" t="str">
        <f>IFERROR(((2*('Lab Analysis'!I374/60))+('Lab Analysis'!G374/17))/(('Lab Analysis'!H374/44)+('Lab Analysis'!I374/60)),"0")</f>
        <v>0</v>
      </c>
      <c r="I374" s="189" t="str">
        <f>IFERROR((('Lab Analysis'!J374/18)-('Lab Analysis'!I374/60))/(('Lab Analysis'!H374/44)+('Lab Analysis'!I374/60)),"0")</f>
        <v>0</v>
      </c>
      <c r="J374" s="186" t="str">
        <f>IFERROR(('Lab Analysis'!M374/('Lab Analysis'!M374+(1.765*'Lab Analysis'!K374))),"0")</f>
        <v>0</v>
      </c>
      <c r="K374" s="190" t="str">
        <f>IFERROR(((2*('Lab Analysis'!M374/60))+('Lab Analysis'!K374/17))/(('Lab Analysis'!L374/44)+('Lab Analysis'!M374/60)),"0")</f>
        <v>0</v>
      </c>
      <c r="L374" s="190" t="str">
        <f>IFERROR((('Lab Analysis'!N374/18)-('Lab Analysis'!M374/60))/(('Lab Analysis'!L374/44)+('Lab Analysis'!M374/60)),"0")</f>
        <v>0</v>
      </c>
      <c r="M374" s="187" t="str">
        <f>IFERROR(((2*('Lab Analysis'!U374/60))+('Lab Analysis'!S374/17))/(('Lab Analysis'!T374/44)+('Lab Analysis'!U374/60)),"0")</f>
        <v>0</v>
      </c>
      <c r="N374" s="187" t="str">
        <f>IFERROR((('Lab Analysis'!V374/18)-('Lab Analysis'!U374/60))/(('Lab Analysis'!T374/44)+('Lab Analysis'!U374/60)),"0")</f>
        <v>0</v>
      </c>
      <c r="O374" s="187" t="str">
        <f>IFERROR(((2*('Lab Analysis'!Y374/60)+('Lab Analysis'!W374/17))/(('Lab Analysis'!X374/44)+('Lab Analysis'!Y374/60))),"0")</f>
        <v>0</v>
      </c>
      <c r="P374" s="187" t="str">
        <f>IFERROR((('Lab Analysis'!Z374/18)-('Lab Analysis'!Y374/60))/(('Lab Analysis'!X374/44)+('Lab Analysis'!Y374/60)),"0")</f>
        <v>0</v>
      </c>
      <c r="Q374" s="191"/>
    </row>
    <row r="375" spans="1:17">
      <c r="A375" s="185">
        <v>46189</v>
      </c>
      <c r="B375" s="186" t="str">
        <f>IFERROR(('Lab Analysis'!E375/('Lab Analysis'!E375+(1.364*'Lab Analysis'!D375))),"0")</f>
        <v>0</v>
      </c>
      <c r="C375" s="186" t="str">
        <f>IFERROR((2*'Lab Analysis'!E375/60)/('Lab Analysis'!C375/17+(2*'Lab Analysis'!E375/60)),"0")</f>
        <v>0</v>
      </c>
      <c r="D375" s="187" t="str">
        <f>IFERROR(((2*('Lab Analysis'!E375/60)+('Lab Analysis'!C375/17))/(('Lab Analysis'!D375/44)+('Lab Analysis'!E375/60))),"0")</f>
        <v>0</v>
      </c>
      <c r="E375" s="187" t="str">
        <f>IFERROR((('Lab Analysis'!F375/18)-('Lab Analysis'!E375/60))/(('Lab Analysis'!D375/44)+('Lab Analysis'!E375/60)),"0")</f>
        <v>0</v>
      </c>
      <c r="F375" s="187" t="str">
        <f>IFERROR((('Lab Analysis'!F375/18)/('Lab Analysis'!E375/60)),"0")</f>
        <v>0</v>
      </c>
      <c r="G375" s="188" t="str">
        <f>IFERROR(('Lab Analysis'!I375/('Lab Analysis'!I375+(1.765*'Lab Analysis'!G375))),"0")</f>
        <v>0</v>
      </c>
      <c r="H375" s="189" t="str">
        <f>IFERROR(((2*('Lab Analysis'!I375/60))+('Lab Analysis'!G375/17))/(('Lab Analysis'!H375/44)+('Lab Analysis'!I375/60)),"0")</f>
        <v>0</v>
      </c>
      <c r="I375" s="189" t="str">
        <f>IFERROR((('Lab Analysis'!J375/18)-('Lab Analysis'!I375/60))/(('Lab Analysis'!H375/44)+('Lab Analysis'!I375/60)),"0")</f>
        <v>0</v>
      </c>
      <c r="J375" s="186" t="str">
        <f>IFERROR(('Lab Analysis'!M375/('Lab Analysis'!M375+(1.765*'Lab Analysis'!K375))),"0")</f>
        <v>0</v>
      </c>
      <c r="K375" s="190" t="str">
        <f>IFERROR(((2*('Lab Analysis'!M375/60))+('Lab Analysis'!K375/17))/(('Lab Analysis'!L375/44)+('Lab Analysis'!M375/60)),"0")</f>
        <v>0</v>
      </c>
      <c r="L375" s="190" t="str">
        <f>IFERROR((('Lab Analysis'!N375/18)-('Lab Analysis'!M375/60))/(('Lab Analysis'!L375/44)+('Lab Analysis'!M375/60)),"0")</f>
        <v>0</v>
      </c>
      <c r="M375" s="187" t="str">
        <f>IFERROR(((2*('Lab Analysis'!U375/60))+('Lab Analysis'!S375/17))/(('Lab Analysis'!T375/44)+('Lab Analysis'!U375/60)),"0")</f>
        <v>0</v>
      </c>
      <c r="N375" s="187" t="str">
        <f>IFERROR((('Lab Analysis'!V375/18)-('Lab Analysis'!U375/60))/(('Lab Analysis'!T375/44)+('Lab Analysis'!U375/60)),"0")</f>
        <v>0</v>
      </c>
      <c r="O375" s="187" t="str">
        <f>IFERROR(((2*('Lab Analysis'!Y375/60)+('Lab Analysis'!W375/17))/(('Lab Analysis'!X375/44)+('Lab Analysis'!Y375/60))),"0")</f>
        <v>0</v>
      </c>
      <c r="P375" s="187" t="str">
        <f>IFERROR((('Lab Analysis'!Z375/18)-('Lab Analysis'!Y375/60))/(('Lab Analysis'!X375/44)+('Lab Analysis'!Y375/60)),"0")</f>
        <v>0</v>
      </c>
      <c r="Q375" s="191"/>
    </row>
    <row r="376" spans="1:17">
      <c r="A376" s="185">
        <v>46190</v>
      </c>
      <c r="B376" s="186" t="str">
        <f>IFERROR(('Lab Analysis'!E376/('Lab Analysis'!E376+(1.364*'Lab Analysis'!D376))),"0")</f>
        <v>0</v>
      </c>
      <c r="C376" s="186" t="str">
        <f>IFERROR((2*'Lab Analysis'!E376/60)/('Lab Analysis'!C376/17+(2*'Lab Analysis'!E376/60)),"0")</f>
        <v>0</v>
      </c>
      <c r="D376" s="187" t="str">
        <f>IFERROR(((2*('Lab Analysis'!E376/60)+('Lab Analysis'!C376/17))/(('Lab Analysis'!D376/44)+('Lab Analysis'!E376/60))),"0")</f>
        <v>0</v>
      </c>
      <c r="E376" s="187" t="str">
        <f>IFERROR((('Lab Analysis'!F376/18)-('Lab Analysis'!E376/60))/(('Lab Analysis'!D376/44)+('Lab Analysis'!E376/60)),"0")</f>
        <v>0</v>
      </c>
      <c r="F376" s="187" t="str">
        <f>IFERROR((('Lab Analysis'!F376/18)/('Lab Analysis'!E376/60)),"0")</f>
        <v>0</v>
      </c>
      <c r="G376" s="188" t="str">
        <f>IFERROR(('Lab Analysis'!I376/('Lab Analysis'!I376+(1.765*'Lab Analysis'!G376))),"0")</f>
        <v>0</v>
      </c>
      <c r="H376" s="189" t="str">
        <f>IFERROR(((2*('Lab Analysis'!I376/60))+('Lab Analysis'!G376/17))/(('Lab Analysis'!H376/44)+('Lab Analysis'!I376/60)),"0")</f>
        <v>0</v>
      </c>
      <c r="I376" s="189" t="str">
        <f>IFERROR((('Lab Analysis'!J376/18)-('Lab Analysis'!I376/60))/(('Lab Analysis'!H376/44)+('Lab Analysis'!I376/60)),"0")</f>
        <v>0</v>
      </c>
      <c r="J376" s="186" t="str">
        <f>IFERROR(('Lab Analysis'!M376/('Lab Analysis'!M376+(1.765*'Lab Analysis'!K376))),"0")</f>
        <v>0</v>
      </c>
      <c r="K376" s="190" t="str">
        <f>IFERROR(((2*('Lab Analysis'!M376/60))+('Lab Analysis'!K376/17))/(('Lab Analysis'!L376/44)+('Lab Analysis'!M376/60)),"0")</f>
        <v>0</v>
      </c>
      <c r="L376" s="190" t="str">
        <f>IFERROR((('Lab Analysis'!N376/18)-('Lab Analysis'!M376/60))/(('Lab Analysis'!L376/44)+('Lab Analysis'!M376/60)),"0")</f>
        <v>0</v>
      </c>
      <c r="M376" s="187" t="str">
        <f>IFERROR(((2*('Lab Analysis'!U376/60))+('Lab Analysis'!S376/17))/(('Lab Analysis'!T376/44)+('Lab Analysis'!U376/60)),"0")</f>
        <v>0</v>
      </c>
      <c r="N376" s="187" t="str">
        <f>IFERROR((('Lab Analysis'!V376/18)-('Lab Analysis'!U376/60))/(('Lab Analysis'!T376/44)+('Lab Analysis'!U376/60)),"0")</f>
        <v>0</v>
      </c>
      <c r="O376" s="187" t="str">
        <f>IFERROR(((2*('Lab Analysis'!Y376/60)+('Lab Analysis'!W376/17))/(('Lab Analysis'!X376/44)+('Lab Analysis'!Y376/60))),"0")</f>
        <v>0</v>
      </c>
      <c r="P376" s="187" t="str">
        <f>IFERROR((('Lab Analysis'!Z376/18)-('Lab Analysis'!Y376/60))/(('Lab Analysis'!X376/44)+('Lab Analysis'!Y376/60)),"0")</f>
        <v>0</v>
      </c>
      <c r="Q376" s="191"/>
    </row>
    <row r="377" spans="1:17">
      <c r="A377" s="185">
        <v>46191</v>
      </c>
      <c r="B377" s="186" t="str">
        <f>IFERROR(('Lab Analysis'!E377/('Lab Analysis'!E377+(1.364*'Lab Analysis'!D377))),"0")</f>
        <v>0</v>
      </c>
      <c r="C377" s="186" t="str">
        <f>IFERROR((2*'Lab Analysis'!E377/60)/('Lab Analysis'!C377/17+(2*'Lab Analysis'!E377/60)),"0")</f>
        <v>0</v>
      </c>
      <c r="D377" s="187" t="str">
        <f>IFERROR(((2*('Lab Analysis'!E377/60)+('Lab Analysis'!C377/17))/(('Lab Analysis'!D377/44)+('Lab Analysis'!E377/60))),"0")</f>
        <v>0</v>
      </c>
      <c r="E377" s="187" t="str">
        <f>IFERROR((('Lab Analysis'!F377/18)-('Lab Analysis'!E377/60))/(('Lab Analysis'!D377/44)+('Lab Analysis'!E377/60)),"0")</f>
        <v>0</v>
      </c>
      <c r="F377" s="187" t="str">
        <f>IFERROR((('Lab Analysis'!F377/18)/('Lab Analysis'!E377/60)),"0")</f>
        <v>0</v>
      </c>
      <c r="G377" s="188" t="str">
        <f>IFERROR(('Lab Analysis'!I377/('Lab Analysis'!I377+(1.765*'Lab Analysis'!G377))),"0")</f>
        <v>0</v>
      </c>
      <c r="H377" s="189" t="str">
        <f>IFERROR(((2*('Lab Analysis'!I377/60))+('Lab Analysis'!G377/17))/(('Lab Analysis'!H377/44)+('Lab Analysis'!I377/60)),"0")</f>
        <v>0</v>
      </c>
      <c r="I377" s="189" t="str">
        <f>IFERROR((('Lab Analysis'!J377/18)-('Lab Analysis'!I377/60))/(('Lab Analysis'!H377/44)+('Lab Analysis'!I377/60)),"0")</f>
        <v>0</v>
      </c>
      <c r="J377" s="186" t="str">
        <f>IFERROR(('Lab Analysis'!M377/('Lab Analysis'!M377+(1.765*'Lab Analysis'!K377))),"0")</f>
        <v>0</v>
      </c>
      <c r="K377" s="190" t="str">
        <f>IFERROR(((2*('Lab Analysis'!M377/60))+('Lab Analysis'!K377/17))/(('Lab Analysis'!L377/44)+('Lab Analysis'!M377/60)),"0")</f>
        <v>0</v>
      </c>
      <c r="L377" s="190" t="str">
        <f>IFERROR((('Lab Analysis'!N377/18)-('Lab Analysis'!M377/60))/(('Lab Analysis'!L377/44)+('Lab Analysis'!M377/60)),"0")</f>
        <v>0</v>
      </c>
      <c r="M377" s="187" t="str">
        <f>IFERROR(((2*('Lab Analysis'!U377/60))+('Lab Analysis'!S377/17))/(('Lab Analysis'!T377/44)+('Lab Analysis'!U377/60)),"0")</f>
        <v>0</v>
      </c>
      <c r="N377" s="187" t="str">
        <f>IFERROR((('Lab Analysis'!V377/18)-('Lab Analysis'!U377/60))/(('Lab Analysis'!T377/44)+('Lab Analysis'!U377/60)),"0")</f>
        <v>0</v>
      </c>
      <c r="O377" s="187" t="str">
        <f>IFERROR(((2*('Lab Analysis'!Y377/60)+('Lab Analysis'!W377/17))/(('Lab Analysis'!X377/44)+('Lab Analysis'!Y377/60))),"0")</f>
        <v>0</v>
      </c>
      <c r="P377" s="187" t="str">
        <f>IFERROR((('Lab Analysis'!Z377/18)-('Lab Analysis'!Y377/60))/(('Lab Analysis'!X377/44)+('Lab Analysis'!Y377/60)),"0")</f>
        <v>0</v>
      </c>
      <c r="Q377" s="191"/>
    </row>
    <row r="378" spans="1:17">
      <c r="A378" s="185">
        <v>46192</v>
      </c>
      <c r="B378" s="186" t="str">
        <f>IFERROR(('Lab Analysis'!E378/('Lab Analysis'!E378+(1.364*'Lab Analysis'!D378))),"0")</f>
        <v>0</v>
      </c>
      <c r="C378" s="186" t="str">
        <f>IFERROR((2*'Lab Analysis'!E378/60)/('Lab Analysis'!C378/17+(2*'Lab Analysis'!E378/60)),"0")</f>
        <v>0</v>
      </c>
      <c r="D378" s="187" t="str">
        <f>IFERROR(((2*('Lab Analysis'!E378/60)+('Lab Analysis'!C378/17))/(('Lab Analysis'!D378/44)+('Lab Analysis'!E378/60))),"0")</f>
        <v>0</v>
      </c>
      <c r="E378" s="187" t="str">
        <f>IFERROR((('Lab Analysis'!F378/18)-('Lab Analysis'!E378/60))/(('Lab Analysis'!D378/44)+('Lab Analysis'!E378/60)),"0")</f>
        <v>0</v>
      </c>
      <c r="F378" s="187" t="str">
        <f>IFERROR((('Lab Analysis'!F378/18)/('Lab Analysis'!E378/60)),"0")</f>
        <v>0</v>
      </c>
      <c r="G378" s="188" t="str">
        <f>IFERROR(('Lab Analysis'!I378/('Lab Analysis'!I378+(1.765*'Lab Analysis'!G378))),"0")</f>
        <v>0</v>
      </c>
      <c r="H378" s="189" t="str">
        <f>IFERROR(((2*('Lab Analysis'!I378/60))+('Lab Analysis'!G378/17))/(('Lab Analysis'!H378/44)+('Lab Analysis'!I378/60)),"0")</f>
        <v>0</v>
      </c>
      <c r="I378" s="189" t="str">
        <f>IFERROR((('Lab Analysis'!J378/18)-('Lab Analysis'!I378/60))/(('Lab Analysis'!H378/44)+('Lab Analysis'!I378/60)),"0")</f>
        <v>0</v>
      </c>
      <c r="J378" s="186" t="str">
        <f>IFERROR(('Lab Analysis'!M378/('Lab Analysis'!M378+(1.765*'Lab Analysis'!K378))),"0")</f>
        <v>0</v>
      </c>
      <c r="K378" s="190" t="str">
        <f>IFERROR(((2*('Lab Analysis'!M378/60))+('Lab Analysis'!K378/17))/(('Lab Analysis'!L378/44)+('Lab Analysis'!M378/60)),"0")</f>
        <v>0</v>
      </c>
      <c r="L378" s="190" t="str">
        <f>IFERROR((('Lab Analysis'!N378/18)-('Lab Analysis'!M378/60))/(('Lab Analysis'!L378/44)+('Lab Analysis'!M378/60)),"0")</f>
        <v>0</v>
      </c>
      <c r="M378" s="187" t="str">
        <f>IFERROR(((2*('Lab Analysis'!U378/60))+('Lab Analysis'!S378/17))/(('Lab Analysis'!T378/44)+('Lab Analysis'!U378/60)),"0")</f>
        <v>0</v>
      </c>
      <c r="N378" s="187" t="str">
        <f>IFERROR((('Lab Analysis'!V378/18)-('Lab Analysis'!U378/60))/(('Lab Analysis'!T378/44)+('Lab Analysis'!U378/60)),"0")</f>
        <v>0</v>
      </c>
      <c r="O378" s="187" t="str">
        <f>IFERROR(((2*('Lab Analysis'!Y378/60)+('Lab Analysis'!W378/17))/(('Lab Analysis'!X378/44)+('Lab Analysis'!Y378/60))),"0")</f>
        <v>0</v>
      </c>
      <c r="P378" s="187" t="str">
        <f>IFERROR((('Lab Analysis'!Z378/18)-('Lab Analysis'!Y378/60))/(('Lab Analysis'!X378/44)+('Lab Analysis'!Y378/60)),"0")</f>
        <v>0</v>
      </c>
      <c r="Q378" s="191"/>
    </row>
    <row r="379" spans="1:17">
      <c r="A379" s="185">
        <v>46193</v>
      </c>
      <c r="B379" s="186" t="str">
        <f>IFERROR(('Lab Analysis'!E379/('Lab Analysis'!E379+(1.364*'Lab Analysis'!D379))),"0")</f>
        <v>0</v>
      </c>
      <c r="C379" s="186" t="str">
        <f>IFERROR((2*'Lab Analysis'!E379/60)/('Lab Analysis'!C379/17+(2*'Lab Analysis'!E379/60)),"0")</f>
        <v>0</v>
      </c>
      <c r="D379" s="187" t="str">
        <f>IFERROR(((2*('Lab Analysis'!E379/60)+('Lab Analysis'!C379/17))/(('Lab Analysis'!D379/44)+('Lab Analysis'!E379/60))),"0")</f>
        <v>0</v>
      </c>
      <c r="E379" s="187" t="str">
        <f>IFERROR((('Lab Analysis'!F379/18)-('Lab Analysis'!E379/60))/(('Lab Analysis'!D379/44)+('Lab Analysis'!E379/60)),"0")</f>
        <v>0</v>
      </c>
      <c r="F379" s="187" t="str">
        <f>IFERROR((('Lab Analysis'!F379/18)/('Lab Analysis'!E379/60)),"0")</f>
        <v>0</v>
      </c>
      <c r="G379" s="188" t="str">
        <f>IFERROR(('Lab Analysis'!I379/('Lab Analysis'!I379+(1.765*'Lab Analysis'!G379))),"0")</f>
        <v>0</v>
      </c>
      <c r="H379" s="189" t="str">
        <f>IFERROR(((2*('Lab Analysis'!I379/60))+('Lab Analysis'!G379/17))/(('Lab Analysis'!H379/44)+('Lab Analysis'!I379/60)),"0")</f>
        <v>0</v>
      </c>
      <c r="I379" s="189" t="str">
        <f>IFERROR((('Lab Analysis'!J379/18)-('Lab Analysis'!I379/60))/(('Lab Analysis'!H379/44)+('Lab Analysis'!I379/60)),"0")</f>
        <v>0</v>
      </c>
      <c r="J379" s="186" t="str">
        <f>IFERROR(('Lab Analysis'!M379/('Lab Analysis'!M379+(1.765*'Lab Analysis'!K379))),"0")</f>
        <v>0</v>
      </c>
      <c r="K379" s="190" t="str">
        <f>IFERROR(((2*('Lab Analysis'!M379/60))+('Lab Analysis'!K379/17))/(('Lab Analysis'!L379/44)+('Lab Analysis'!M379/60)),"0")</f>
        <v>0</v>
      </c>
      <c r="L379" s="190" t="str">
        <f>IFERROR((('Lab Analysis'!N379/18)-('Lab Analysis'!M379/60))/(('Lab Analysis'!L379/44)+('Lab Analysis'!M379/60)),"0")</f>
        <v>0</v>
      </c>
      <c r="M379" s="187" t="str">
        <f>IFERROR(((2*('Lab Analysis'!U379/60))+('Lab Analysis'!S379/17))/(('Lab Analysis'!T379/44)+('Lab Analysis'!U379/60)),"0")</f>
        <v>0</v>
      </c>
      <c r="N379" s="187" t="str">
        <f>IFERROR((('Lab Analysis'!V379/18)-('Lab Analysis'!U379/60))/(('Lab Analysis'!T379/44)+('Lab Analysis'!U379/60)),"0")</f>
        <v>0</v>
      </c>
      <c r="O379" s="187" t="str">
        <f>IFERROR(((2*('Lab Analysis'!Y379/60)+('Lab Analysis'!W379/17))/(('Lab Analysis'!X379/44)+('Lab Analysis'!Y379/60))),"0")</f>
        <v>0</v>
      </c>
      <c r="P379" s="187" t="str">
        <f>IFERROR((('Lab Analysis'!Z379/18)-('Lab Analysis'!Y379/60))/(('Lab Analysis'!X379/44)+('Lab Analysis'!Y379/60)),"0")</f>
        <v>0</v>
      </c>
      <c r="Q379" s="191"/>
    </row>
    <row r="380" spans="1:17">
      <c r="A380" s="185">
        <v>46194</v>
      </c>
      <c r="B380" s="186" t="str">
        <f>IFERROR(('Lab Analysis'!E380/('Lab Analysis'!E380+(1.364*'Lab Analysis'!D380))),"0")</f>
        <v>0</v>
      </c>
      <c r="C380" s="186" t="str">
        <f>IFERROR((2*'Lab Analysis'!E380/60)/('Lab Analysis'!C380/17+(2*'Lab Analysis'!E380/60)),"0")</f>
        <v>0</v>
      </c>
      <c r="D380" s="187" t="str">
        <f>IFERROR(((2*('Lab Analysis'!E380/60)+('Lab Analysis'!C380/17))/(('Lab Analysis'!D380/44)+('Lab Analysis'!E380/60))),"0")</f>
        <v>0</v>
      </c>
      <c r="E380" s="187" t="str">
        <f>IFERROR((('Lab Analysis'!F380/18)-('Lab Analysis'!E380/60))/(('Lab Analysis'!D380/44)+('Lab Analysis'!E380/60)),"0")</f>
        <v>0</v>
      </c>
      <c r="F380" s="187" t="str">
        <f>IFERROR((('Lab Analysis'!F380/18)/('Lab Analysis'!E380/60)),"0")</f>
        <v>0</v>
      </c>
      <c r="G380" s="188" t="str">
        <f>IFERROR(('Lab Analysis'!I380/('Lab Analysis'!I380+(1.765*'Lab Analysis'!G380))),"0")</f>
        <v>0</v>
      </c>
      <c r="H380" s="189" t="str">
        <f>IFERROR(((2*('Lab Analysis'!I380/60))+('Lab Analysis'!G380/17))/(('Lab Analysis'!H380/44)+('Lab Analysis'!I380/60)),"0")</f>
        <v>0</v>
      </c>
      <c r="I380" s="189" t="str">
        <f>IFERROR((('Lab Analysis'!J380/18)-('Lab Analysis'!I380/60))/(('Lab Analysis'!H380/44)+('Lab Analysis'!I380/60)),"0")</f>
        <v>0</v>
      </c>
      <c r="J380" s="186" t="str">
        <f>IFERROR(('Lab Analysis'!M380/('Lab Analysis'!M380+(1.765*'Lab Analysis'!K380))),"0")</f>
        <v>0</v>
      </c>
      <c r="K380" s="190" t="str">
        <f>IFERROR(((2*('Lab Analysis'!M380/60))+('Lab Analysis'!K380/17))/(('Lab Analysis'!L380/44)+('Lab Analysis'!M380/60)),"0")</f>
        <v>0</v>
      </c>
      <c r="L380" s="190" t="str">
        <f>IFERROR((('Lab Analysis'!N380/18)-('Lab Analysis'!M380/60))/(('Lab Analysis'!L380/44)+('Lab Analysis'!M380/60)),"0")</f>
        <v>0</v>
      </c>
      <c r="M380" s="187" t="str">
        <f>IFERROR(((2*('Lab Analysis'!U380/60))+('Lab Analysis'!S380/17))/(('Lab Analysis'!T380/44)+('Lab Analysis'!U380/60)),"0")</f>
        <v>0</v>
      </c>
      <c r="N380" s="187" t="str">
        <f>IFERROR((('Lab Analysis'!V380/18)-('Lab Analysis'!U380/60))/(('Lab Analysis'!T380/44)+('Lab Analysis'!U380/60)),"0")</f>
        <v>0</v>
      </c>
      <c r="O380" s="187" t="str">
        <f>IFERROR(((2*('Lab Analysis'!Y380/60)+('Lab Analysis'!W380/17))/(('Lab Analysis'!X380/44)+('Lab Analysis'!Y380/60))),"0")</f>
        <v>0</v>
      </c>
      <c r="P380" s="187" t="str">
        <f>IFERROR((('Lab Analysis'!Z380/18)-('Lab Analysis'!Y380/60))/(('Lab Analysis'!X380/44)+('Lab Analysis'!Y380/60)),"0")</f>
        <v>0</v>
      </c>
      <c r="Q380" s="191"/>
    </row>
    <row r="381" spans="1:17">
      <c r="A381" s="185">
        <v>46195</v>
      </c>
      <c r="B381" s="186" t="str">
        <f>IFERROR(('Lab Analysis'!E381/('Lab Analysis'!E381+(1.364*'Lab Analysis'!D381))),"0")</f>
        <v>0</v>
      </c>
      <c r="C381" s="186" t="str">
        <f>IFERROR((2*'Lab Analysis'!E381/60)/('Lab Analysis'!C381/17+(2*'Lab Analysis'!E381/60)),"0")</f>
        <v>0</v>
      </c>
      <c r="D381" s="187" t="str">
        <f>IFERROR(((2*('Lab Analysis'!E381/60)+('Lab Analysis'!C381/17))/(('Lab Analysis'!D381/44)+('Lab Analysis'!E381/60))),"0")</f>
        <v>0</v>
      </c>
      <c r="E381" s="187" t="str">
        <f>IFERROR((('Lab Analysis'!F381/18)-('Lab Analysis'!E381/60))/(('Lab Analysis'!D381/44)+('Lab Analysis'!E381/60)),"0")</f>
        <v>0</v>
      </c>
      <c r="F381" s="187" t="str">
        <f>IFERROR((('Lab Analysis'!F381/18)/('Lab Analysis'!E381/60)),"0")</f>
        <v>0</v>
      </c>
      <c r="G381" s="188" t="str">
        <f>IFERROR(('Lab Analysis'!I381/('Lab Analysis'!I381+(1.765*'Lab Analysis'!G381))),"0")</f>
        <v>0</v>
      </c>
      <c r="H381" s="189" t="str">
        <f>IFERROR(((2*('Lab Analysis'!I381/60))+('Lab Analysis'!G381/17))/(('Lab Analysis'!H381/44)+('Lab Analysis'!I381/60)),"0")</f>
        <v>0</v>
      </c>
      <c r="I381" s="189" t="str">
        <f>IFERROR((('Lab Analysis'!J381/18)-('Lab Analysis'!I381/60))/(('Lab Analysis'!H381/44)+('Lab Analysis'!I381/60)),"0")</f>
        <v>0</v>
      </c>
      <c r="J381" s="186" t="str">
        <f>IFERROR(('Lab Analysis'!M381/('Lab Analysis'!M381+(1.765*'Lab Analysis'!K381))),"0")</f>
        <v>0</v>
      </c>
      <c r="K381" s="190" t="str">
        <f>IFERROR(((2*('Lab Analysis'!M381/60))+('Lab Analysis'!K381/17))/(('Lab Analysis'!L381/44)+('Lab Analysis'!M381/60)),"0")</f>
        <v>0</v>
      </c>
      <c r="L381" s="190" t="str">
        <f>IFERROR((('Lab Analysis'!N381/18)-('Lab Analysis'!M381/60))/(('Lab Analysis'!L381/44)+('Lab Analysis'!M381/60)),"0")</f>
        <v>0</v>
      </c>
      <c r="M381" s="187" t="str">
        <f>IFERROR(((2*('Lab Analysis'!U381/60))+('Lab Analysis'!S381/17))/(('Lab Analysis'!T381/44)+('Lab Analysis'!U381/60)),"0")</f>
        <v>0</v>
      </c>
      <c r="N381" s="187" t="str">
        <f>IFERROR((('Lab Analysis'!V381/18)-('Lab Analysis'!U381/60))/(('Lab Analysis'!T381/44)+('Lab Analysis'!U381/60)),"0")</f>
        <v>0</v>
      </c>
      <c r="O381" s="187" t="str">
        <f>IFERROR(((2*('Lab Analysis'!Y381/60)+('Lab Analysis'!W381/17))/(('Lab Analysis'!X381/44)+('Lab Analysis'!Y381/60))),"0")</f>
        <v>0</v>
      </c>
      <c r="P381" s="187" t="str">
        <f>IFERROR((('Lab Analysis'!Z381/18)-('Lab Analysis'!Y381/60))/(('Lab Analysis'!X381/44)+('Lab Analysis'!Y381/60)),"0")</f>
        <v>0</v>
      </c>
      <c r="Q381" s="191"/>
    </row>
    <row r="382" spans="1:17">
      <c r="A382" s="185">
        <v>46196</v>
      </c>
      <c r="B382" s="186" t="str">
        <f>IFERROR(('Lab Analysis'!E382/('Lab Analysis'!E382+(1.364*'Lab Analysis'!D382))),"0")</f>
        <v>0</v>
      </c>
      <c r="C382" s="186" t="str">
        <f>IFERROR((2*'Lab Analysis'!E382/60)/('Lab Analysis'!C382/17+(2*'Lab Analysis'!E382/60)),"0")</f>
        <v>0</v>
      </c>
      <c r="D382" s="187" t="str">
        <f>IFERROR(((2*('Lab Analysis'!E382/60)+('Lab Analysis'!C382/17))/(('Lab Analysis'!D382/44)+('Lab Analysis'!E382/60))),"0")</f>
        <v>0</v>
      </c>
      <c r="E382" s="187" t="str">
        <f>IFERROR((('Lab Analysis'!F382/18)-('Lab Analysis'!E382/60))/(('Lab Analysis'!D382/44)+('Lab Analysis'!E382/60)),"0")</f>
        <v>0</v>
      </c>
      <c r="F382" s="187" t="str">
        <f>IFERROR((('Lab Analysis'!F382/18)/('Lab Analysis'!E382/60)),"0")</f>
        <v>0</v>
      </c>
      <c r="G382" s="188" t="str">
        <f>IFERROR(('Lab Analysis'!I382/('Lab Analysis'!I382+(1.765*'Lab Analysis'!G382))),"0")</f>
        <v>0</v>
      </c>
      <c r="H382" s="189" t="str">
        <f>IFERROR(((2*('Lab Analysis'!I382/60))+('Lab Analysis'!G382/17))/(('Lab Analysis'!H382/44)+('Lab Analysis'!I382/60)),"0")</f>
        <v>0</v>
      </c>
      <c r="I382" s="189" t="str">
        <f>IFERROR((('Lab Analysis'!J382/18)-('Lab Analysis'!I382/60))/(('Lab Analysis'!H382/44)+('Lab Analysis'!I382/60)),"0")</f>
        <v>0</v>
      </c>
      <c r="J382" s="186" t="str">
        <f>IFERROR(('Lab Analysis'!M382/('Lab Analysis'!M382+(1.765*'Lab Analysis'!K382))),"0")</f>
        <v>0</v>
      </c>
      <c r="K382" s="190" t="str">
        <f>IFERROR(((2*('Lab Analysis'!M382/60))+('Lab Analysis'!K382/17))/(('Lab Analysis'!L382/44)+('Lab Analysis'!M382/60)),"0")</f>
        <v>0</v>
      </c>
      <c r="L382" s="190" t="str">
        <f>IFERROR((('Lab Analysis'!N382/18)-('Lab Analysis'!M382/60))/(('Lab Analysis'!L382/44)+('Lab Analysis'!M382/60)),"0")</f>
        <v>0</v>
      </c>
      <c r="M382" s="187" t="str">
        <f>IFERROR(((2*('Lab Analysis'!U382/60))+('Lab Analysis'!S382/17))/(('Lab Analysis'!T382/44)+('Lab Analysis'!U382/60)),"0")</f>
        <v>0</v>
      </c>
      <c r="N382" s="187" t="str">
        <f>IFERROR((('Lab Analysis'!V382/18)-('Lab Analysis'!U382/60))/(('Lab Analysis'!T382/44)+('Lab Analysis'!U382/60)),"0")</f>
        <v>0</v>
      </c>
      <c r="O382" s="187" t="str">
        <f>IFERROR(((2*('Lab Analysis'!Y382/60)+('Lab Analysis'!W382/17))/(('Lab Analysis'!X382/44)+('Lab Analysis'!Y382/60))),"0")</f>
        <v>0</v>
      </c>
      <c r="P382" s="187" t="str">
        <f>IFERROR((('Lab Analysis'!Z382/18)-('Lab Analysis'!Y382/60))/(('Lab Analysis'!X382/44)+('Lab Analysis'!Y382/60)),"0")</f>
        <v>0</v>
      </c>
      <c r="Q382" s="191"/>
    </row>
    <row r="383" spans="1:17">
      <c r="A383" s="185">
        <v>46197</v>
      </c>
      <c r="B383" s="186" t="str">
        <f>IFERROR(('Lab Analysis'!E383/('Lab Analysis'!E383+(1.364*'Lab Analysis'!D383))),"0")</f>
        <v>0</v>
      </c>
      <c r="C383" s="186" t="str">
        <f>IFERROR((2*'Lab Analysis'!E383/60)/('Lab Analysis'!C383/17+(2*'Lab Analysis'!E383/60)),"0")</f>
        <v>0</v>
      </c>
      <c r="D383" s="187" t="str">
        <f>IFERROR(((2*('Lab Analysis'!E383/60)+('Lab Analysis'!C383/17))/(('Lab Analysis'!D383/44)+('Lab Analysis'!E383/60))),"0")</f>
        <v>0</v>
      </c>
      <c r="E383" s="187" t="str">
        <f>IFERROR((('Lab Analysis'!F383/18)-('Lab Analysis'!E383/60))/(('Lab Analysis'!D383/44)+('Lab Analysis'!E383/60)),"0")</f>
        <v>0</v>
      </c>
      <c r="F383" s="187" t="str">
        <f>IFERROR((('Lab Analysis'!F383/18)/('Lab Analysis'!E383/60)),"0")</f>
        <v>0</v>
      </c>
      <c r="G383" s="188" t="str">
        <f>IFERROR(('Lab Analysis'!I383/('Lab Analysis'!I383+(1.765*'Lab Analysis'!G383))),"0")</f>
        <v>0</v>
      </c>
      <c r="H383" s="189" t="str">
        <f>IFERROR(((2*('Lab Analysis'!I383/60))+('Lab Analysis'!G383/17))/(('Lab Analysis'!H383/44)+('Lab Analysis'!I383/60)),"0")</f>
        <v>0</v>
      </c>
      <c r="I383" s="189" t="str">
        <f>IFERROR((('Lab Analysis'!J383/18)-('Lab Analysis'!I383/60))/(('Lab Analysis'!H383/44)+('Lab Analysis'!I383/60)),"0")</f>
        <v>0</v>
      </c>
      <c r="J383" s="186" t="str">
        <f>IFERROR(('Lab Analysis'!M383/('Lab Analysis'!M383+(1.765*'Lab Analysis'!K383))),"0")</f>
        <v>0</v>
      </c>
      <c r="K383" s="190" t="str">
        <f>IFERROR(((2*('Lab Analysis'!M383/60))+('Lab Analysis'!K383/17))/(('Lab Analysis'!L383/44)+('Lab Analysis'!M383/60)),"0")</f>
        <v>0</v>
      </c>
      <c r="L383" s="190" t="str">
        <f>IFERROR((('Lab Analysis'!N383/18)-('Lab Analysis'!M383/60))/(('Lab Analysis'!L383/44)+('Lab Analysis'!M383/60)),"0")</f>
        <v>0</v>
      </c>
      <c r="M383" s="187" t="str">
        <f>IFERROR(((2*('Lab Analysis'!U383/60))+('Lab Analysis'!S383/17))/(('Lab Analysis'!T383/44)+('Lab Analysis'!U383/60)),"0")</f>
        <v>0</v>
      </c>
      <c r="N383" s="187" t="str">
        <f>IFERROR((('Lab Analysis'!V383/18)-('Lab Analysis'!U383/60))/(('Lab Analysis'!T383/44)+('Lab Analysis'!U383/60)),"0")</f>
        <v>0</v>
      </c>
      <c r="O383" s="187" t="str">
        <f>IFERROR(((2*('Lab Analysis'!Y383/60)+('Lab Analysis'!W383/17))/(('Lab Analysis'!X383/44)+('Lab Analysis'!Y383/60))),"0")</f>
        <v>0</v>
      </c>
      <c r="P383" s="187" t="str">
        <f>IFERROR((('Lab Analysis'!Z383/18)-('Lab Analysis'!Y383/60))/(('Lab Analysis'!X383/44)+('Lab Analysis'!Y383/60)),"0")</f>
        <v>0</v>
      </c>
      <c r="Q383" s="191"/>
    </row>
    <row r="384" spans="1:17">
      <c r="A384" s="185">
        <v>46198</v>
      </c>
      <c r="B384" s="186" t="str">
        <f>IFERROR(('Lab Analysis'!E384/('Lab Analysis'!E384+(1.364*'Lab Analysis'!D384))),"0")</f>
        <v>0</v>
      </c>
      <c r="C384" s="186" t="str">
        <f>IFERROR((2*'Lab Analysis'!E384/60)/('Lab Analysis'!C384/17+(2*'Lab Analysis'!E384/60)),"0")</f>
        <v>0</v>
      </c>
      <c r="D384" s="187" t="str">
        <f>IFERROR(((2*('Lab Analysis'!E384/60)+('Lab Analysis'!C384/17))/(('Lab Analysis'!D384/44)+('Lab Analysis'!E384/60))),"0")</f>
        <v>0</v>
      </c>
      <c r="E384" s="187" t="str">
        <f>IFERROR((('Lab Analysis'!F384/18)-('Lab Analysis'!E384/60))/(('Lab Analysis'!D384/44)+('Lab Analysis'!E384/60)),"0")</f>
        <v>0</v>
      </c>
      <c r="F384" s="187" t="str">
        <f>IFERROR((('Lab Analysis'!F384/18)/('Lab Analysis'!E384/60)),"0")</f>
        <v>0</v>
      </c>
      <c r="G384" s="188" t="str">
        <f>IFERROR(('Lab Analysis'!I384/('Lab Analysis'!I384+(1.765*'Lab Analysis'!G384))),"0")</f>
        <v>0</v>
      </c>
      <c r="H384" s="189" t="str">
        <f>IFERROR(((2*('Lab Analysis'!I384/60))+('Lab Analysis'!G384/17))/(('Lab Analysis'!H384/44)+('Lab Analysis'!I384/60)),"0")</f>
        <v>0</v>
      </c>
      <c r="I384" s="189" t="str">
        <f>IFERROR((('Lab Analysis'!J384/18)-('Lab Analysis'!I384/60))/(('Lab Analysis'!H384/44)+('Lab Analysis'!I384/60)),"0")</f>
        <v>0</v>
      </c>
      <c r="J384" s="186" t="str">
        <f>IFERROR(('Lab Analysis'!M384/('Lab Analysis'!M384+(1.765*'Lab Analysis'!K384))),"0")</f>
        <v>0</v>
      </c>
      <c r="K384" s="190" t="str">
        <f>IFERROR(((2*('Lab Analysis'!M384/60))+('Lab Analysis'!K384/17))/(('Lab Analysis'!L384/44)+('Lab Analysis'!M384/60)),"0")</f>
        <v>0</v>
      </c>
      <c r="L384" s="190" t="str">
        <f>IFERROR((('Lab Analysis'!N384/18)-('Lab Analysis'!M384/60))/(('Lab Analysis'!L384/44)+('Lab Analysis'!M384/60)),"0")</f>
        <v>0</v>
      </c>
      <c r="M384" s="187" t="str">
        <f>IFERROR(((2*('Lab Analysis'!U384/60))+('Lab Analysis'!S384/17))/(('Lab Analysis'!T384/44)+('Lab Analysis'!U384/60)),"0")</f>
        <v>0</v>
      </c>
      <c r="N384" s="187" t="str">
        <f>IFERROR((('Lab Analysis'!V384/18)-('Lab Analysis'!U384/60))/(('Lab Analysis'!T384/44)+('Lab Analysis'!U384/60)),"0")</f>
        <v>0</v>
      </c>
      <c r="O384" s="187" t="str">
        <f>IFERROR(((2*('Lab Analysis'!Y384/60)+('Lab Analysis'!W384/17))/(('Lab Analysis'!X384/44)+('Lab Analysis'!Y384/60))),"0")</f>
        <v>0</v>
      </c>
      <c r="P384" s="187" t="str">
        <f>IFERROR((('Lab Analysis'!Z384/18)-('Lab Analysis'!Y384/60))/(('Lab Analysis'!X384/44)+('Lab Analysis'!Y384/60)),"0")</f>
        <v>0</v>
      </c>
      <c r="Q384" s="191"/>
    </row>
    <row r="385" spans="1:17">
      <c r="A385" s="185">
        <v>46199</v>
      </c>
      <c r="B385" s="186" t="str">
        <f>IFERROR(('Lab Analysis'!E385/('Lab Analysis'!E385+(1.364*'Lab Analysis'!D385))),"0")</f>
        <v>0</v>
      </c>
      <c r="C385" s="186" t="str">
        <f>IFERROR((2*'Lab Analysis'!E385/60)/('Lab Analysis'!C385/17+(2*'Lab Analysis'!E385/60)),"0")</f>
        <v>0</v>
      </c>
      <c r="D385" s="187" t="str">
        <f>IFERROR(((2*('Lab Analysis'!E385/60)+('Lab Analysis'!C385/17))/(('Lab Analysis'!D385/44)+('Lab Analysis'!E385/60))),"0")</f>
        <v>0</v>
      </c>
      <c r="E385" s="187" t="str">
        <f>IFERROR((('Lab Analysis'!F385/18)-('Lab Analysis'!E385/60))/(('Lab Analysis'!D385/44)+('Lab Analysis'!E385/60)),"0")</f>
        <v>0</v>
      </c>
      <c r="F385" s="187" t="str">
        <f>IFERROR((('Lab Analysis'!F385/18)/('Lab Analysis'!E385/60)),"0")</f>
        <v>0</v>
      </c>
      <c r="G385" s="188" t="str">
        <f>IFERROR(('Lab Analysis'!I385/('Lab Analysis'!I385+(1.765*'Lab Analysis'!G385))),"0")</f>
        <v>0</v>
      </c>
      <c r="H385" s="189" t="str">
        <f>IFERROR(((2*('Lab Analysis'!I385/60))+('Lab Analysis'!G385/17))/(('Lab Analysis'!H385/44)+('Lab Analysis'!I385/60)),"0")</f>
        <v>0</v>
      </c>
      <c r="I385" s="189" t="str">
        <f>IFERROR((('Lab Analysis'!J385/18)-('Lab Analysis'!I385/60))/(('Lab Analysis'!H385/44)+('Lab Analysis'!I385/60)),"0")</f>
        <v>0</v>
      </c>
      <c r="J385" s="186" t="str">
        <f>IFERROR(('Lab Analysis'!M385/('Lab Analysis'!M385+(1.765*'Lab Analysis'!K385))),"0")</f>
        <v>0</v>
      </c>
      <c r="K385" s="190" t="str">
        <f>IFERROR(((2*('Lab Analysis'!M385/60))+('Lab Analysis'!K385/17))/(('Lab Analysis'!L385/44)+('Lab Analysis'!M385/60)),"0")</f>
        <v>0</v>
      </c>
      <c r="L385" s="190" t="str">
        <f>IFERROR((('Lab Analysis'!N385/18)-('Lab Analysis'!M385/60))/(('Lab Analysis'!L385/44)+('Lab Analysis'!M385/60)),"0")</f>
        <v>0</v>
      </c>
      <c r="M385" s="187" t="str">
        <f>IFERROR(((2*('Lab Analysis'!U385/60))+('Lab Analysis'!S385/17))/(('Lab Analysis'!T385/44)+('Lab Analysis'!U385/60)),"0")</f>
        <v>0</v>
      </c>
      <c r="N385" s="187" t="str">
        <f>IFERROR((('Lab Analysis'!V385/18)-('Lab Analysis'!U385/60))/(('Lab Analysis'!T385/44)+('Lab Analysis'!U385/60)),"0")</f>
        <v>0</v>
      </c>
      <c r="O385" s="187" t="str">
        <f>IFERROR(((2*('Lab Analysis'!Y385/60)+('Lab Analysis'!W385/17))/(('Lab Analysis'!X385/44)+('Lab Analysis'!Y385/60))),"0")</f>
        <v>0</v>
      </c>
      <c r="P385" s="187" t="str">
        <f>IFERROR((('Lab Analysis'!Z385/18)-('Lab Analysis'!Y385/60))/(('Lab Analysis'!X385/44)+('Lab Analysis'!Y385/60)),"0")</f>
        <v>0</v>
      </c>
      <c r="Q385" s="191"/>
    </row>
    <row r="386" spans="1:17">
      <c r="A386" s="185">
        <v>46200</v>
      </c>
      <c r="B386" s="186" t="str">
        <f>IFERROR(('Lab Analysis'!E386/('Lab Analysis'!E386+(1.364*'Lab Analysis'!D386))),"0")</f>
        <v>0</v>
      </c>
      <c r="C386" s="186" t="str">
        <f>IFERROR((2*'Lab Analysis'!E386/60)/('Lab Analysis'!C386/17+(2*'Lab Analysis'!E386/60)),"0")</f>
        <v>0</v>
      </c>
      <c r="D386" s="187" t="str">
        <f>IFERROR(((2*('Lab Analysis'!E386/60)+('Lab Analysis'!C386/17))/(('Lab Analysis'!D386/44)+('Lab Analysis'!E386/60))),"0")</f>
        <v>0</v>
      </c>
      <c r="E386" s="187" t="str">
        <f>IFERROR((('Lab Analysis'!F386/18)-('Lab Analysis'!E386/60))/(('Lab Analysis'!D386/44)+('Lab Analysis'!E386/60)),"0")</f>
        <v>0</v>
      </c>
      <c r="F386" s="187" t="str">
        <f>IFERROR((('Lab Analysis'!F386/18)/('Lab Analysis'!E386/60)),"0")</f>
        <v>0</v>
      </c>
      <c r="G386" s="188" t="str">
        <f>IFERROR(('Lab Analysis'!I386/('Lab Analysis'!I386+(1.765*'Lab Analysis'!G386))),"0")</f>
        <v>0</v>
      </c>
      <c r="H386" s="189" t="str">
        <f>IFERROR(((2*('Lab Analysis'!I386/60))+('Lab Analysis'!G386/17))/(('Lab Analysis'!H386/44)+('Lab Analysis'!I386/60)),"0")</f>
        <v>0</v>
      </c>
      <c r="I386" s="189" t="str">
        <f>IFERROR((('Lab Analysis'!J386/18)-('Lab Analysis'!I386/60))/(('Lab Analysis'!H386/44)+('Lab Analysis'!I386/60)),"0")</f>
        <v>0</v>
      </c>
      <c r="J386" s="186" t="str">
        <f>IFERROR(('Lab Analysis'!M386/('Lab Analysis'!M386+(1.765*'Lab Analysis'!K386))),"0")</f>
        <v>0</v>
      </c>
      <c r="K386" s="190" t="str">
        <f>IFERROR(((2*('Lab Analysis'!M386/60))+('Lab Analysis'!K386/17))/(('Lab Analysis'!L386/44)+('Lab Analysis'!M386/60)),"0")</f>
        <v>0</v>
      </c>
      <c r="L386" s="190" t="str">
        <f>IFERROR((('Lab Analysis'!N386/18)-('Lab Analysis'!M386/60))/(('Lab Analysis'!L386/44)+('Lab Analysis'!M386/60)),"0")</f>
        <v>0</v>
      </c>
      <c r="M386" s="187" t="str">
        <f>IFERROR(((2*('Lab Analysis'!U386/60))+('Lab Analysis'!S386/17))/(('Lab Analysis'!T386/44)+('Lab Analysis'!U386/60)),"0")</f>
        <v>0</v>
      </c>
      <c r="N386" s="187" t="str">
        <f>IFERROR((('Lab Analysis'!V386/18)-('Lab Analysis'!U386/60))/(('Lab Analysis'!T386/44)+('Lab Analysis'!U386/60)),"0")</f>
        <v>0</v>
      </c>
      <c r="O386" s="187" t="str">
        <f>IFERROR(((2*('Lab Analysis'!Y386/60)+('Lab Analysis'!W386/17))/(('Lab Analysis'!X386/44)+('Lab Analysis'!Y386/60))),"0")</f>
        <v>0</v>
      </c>
      <c r="P386" s="187" t="str">
        <f>IFERROR((('Lab Analysis'!Z386/18)-('Lab Analysis'!Y386/60))/(('Lab Analysis'!X386/44)+('Lab Analysis'!Y386/60)),"0")</f>
        <v>0</v>
      </c>
      <c r="Q386" s="191"/>
    </row>
    <row r="387" spans="1:17">
      <c r="A387" s="185">
        <v>46201</v>
      </c>
      <c r="B387" s="186" t="str">
        <f>IFERROR(('Lab Analysis'!E387/('Lab Analysis'!E387+(1.364*'Lab Analysis'!D387))),"0")</f>
        <v>0</v>
      </c>
      <c r="C387" s="186" t="str">
        <f>IFERROR((2*'Lab Analysis'!E387/60)/('Lab Analysis'!C387/17+(2*'Lab Analysis'!E387/60)),"0")</f>
        <v>0</v>
      </c>
      <c r="D387" s="187" t="str">
        <f>IFERROR(((2*('Lab Analysis'!E387/60)+('Lab Analysis'!C387/17))/(('Lab Analysis'!D387/44)+('Lab Analysis'!E387/60))),"0")</f>
        <v>0</v>
      </c>
      <c r="E387" s="187" t="str">
        <f>IFERROR((('Lab Analysis'!F387/18)-('Lab Analysis'!E387/60))/(('Lab Analysis'!D387/44)+('Lab Analysis'!E387/60)),"0")</f>
        <v>0</v>
      </c>
      <c r="F387" s="187" t="str">
        <f>IFERROR((('Lab Analysis'!F387/18)/('Lab Analysis'!E387/60)),"0")</f>
        <v>0</v>
      </c>
      <c r="G387" s="188" t="str">
        <f>IFERROR(('Lab Analysis'!I387/('Lab Analysis'!I387+(1.765*'Lab Analysis'!G387))),"0")</f>
        <v>0</v>
      </c>
      <c r="H387" s="189" t="str">
        <f>IFERROR(((2*('Lab Analysis'!I387/60))+('Lab Analysis'!G387/17))/(('Lab Analysis'!H387/44)+('Lab Analysis'!I387/60)),"0")</f>
        <v>0</v>
      </c>
      <c r="I387" s="189" t="str">
        <f>IFERROR((('Lab Analysis'!J387/18)-('Lab Analysis'!I387/60))/(('Lab Analysis'!H387/44)+('Lab Analysis'!I387/60)),"0")</f>
        <v>0</v>
      </c>
      <c r="J387" s="186" t="str">
        <f>IFERROR(('Lab Analysis'!M387/('Lab Analysis'!M387+(1.765*'Lab Analysis'!K387))),"0")</f>
        <v>0</v>
      </c>
      <c r="K387" s="190" t="str">
        <f>IFERROR(((2*('Lab Analysis'!M387/60))+('Lab Analysis'!K387/17))/(('Lab Analysis'!L387/44)+('Lab Analysis'!M387/60)),"0")</f>
        <v>0</v>
      </c>
      <c r="L387" s="190" t="str">
        <f>IFERROR((('Lab Analysis'!N387/18)-('Lab Analysis'!M387/60))/(('Lab Analysis'!L387/44)+('Lab Analysis'!M387/60)),"0")</f>
        <v>0</v>
      </c>
      <c r="M387" s="187" t="str">
        <f>IFERROR(((2*('Lab Analysis'!U387/60))+('Lab Analysis'!S387/17))/(('Lab Analysis'!T387/44)+('Lab Analysis'!U387/60)),"0")</f>
        <v>0</v>
      </c>
      <c r="N387" s="187" t="str">
        <f>IFERROR((('Lab Analysis'!V387/18)-('Lab Analysis'!U387/60))/(('Lab Analysis'!T387/44)+('Lab Analysis'!U387/60)),"0")</f>
        <v>0</v>
      </c>
      <c r="O387" s="187" t="str">
        <f>IFERROR(((2*('Lab Analysis'!Y387/60)+('Lab Analysis'!W387/17))/(('Lab Analysis'!X387/44)+('Lab Analysis'!Y387/60))),"0")</f>
        <v>0</v>
      </c>
      <c r="P387" s="187" t="str">
        <f>IFERROR((('Lab Analysis'!Z387/18)-('Lab Analysis'!Y387/60))/(('Lab Analysis'!X387/44)+('Lab Analysis'!Y387/60)),"0")</f>
        <v>0</v>
      </c>
      <c r="Q387" s="191"/>
    </row>
    <row r="388" spans="1:17">
      <c r="A388" s="185">
        <v>46202</v>
      </c>
      <c r="B388" s="186" t="str">
        <f>IFERROR(('Lab Analysis'!E388/('Lab Analysis'!E388+(1.364*'Lab Analysis'!D388))),"0")</f>
        <v>0</v>
      </c>
      <c r="C388" s="186" t="str">
        <f>IFERROR((2*'Lab Analysis'!E388/60)/('Lab Analysis'!C388/17+(2*'Lab Analysis'!E388/60)),"0")</f>
        <v>0</v>
      </c>
      <c r="D388" s="187" t="str">
        <f>IFERROR(((2*('Lab Analysis'!E388/60)+('Lab Analysis'!C388/17))/(('Lab Analysis'!D388/44)+('Lab Analysis'!E388/60))),"0")</f>
        <v>0</v>
      </c>
      <c r="E388" s="187" t="str">
        <f>IFERROR((('Lab Analysis'!F388/18)-('Lab Analysis'!E388/60))/(('Lab Analysis'!D388/44)+('Lab Analysis'!E388/60)),"0")</f>
        <v>0</v>
      </c>
      <c r="F388" s="187" t="str">
        <f>IFERROR((('Lab Analysis'!F388/18)/('Lab Analysis'!E388/60)),"0")</f>
        <v>0</v>
      </c>
      <c r="G388" s="188" t="str">
        <f>IFERROR(('Lab Analysis'!I388/('Lab Analysis'!I388+(1.765*'Lab Analysis'!G388))),"0")</f>
        <v>0</v>
      </c>
      <c r="H388" s="189" t="str">
        <f>IFERROR(((2*('Lab Analysis'!I388/60))+('Lab Analysis'!G388/17))/(('Lab Analysis'!H388/44)+('Lab Analysis'!I388/60)),"0")</f>
        <v>0</v>
      </c>
      <c r="I388" s="189" t="str">
        <f>IFERROR((('Lab Analysis'!J388/18)-('Lab Analysis'!I388/60))/(('Lab Analysis'!H388/44)+('Lab Analysis'!I388/60)),"0")</f>
        <v>0</v>
      </c>
      <c r="J388" s="186" t="str">
        <f>IFERROR(('Lab Analysis'!M388/('Lab Analysis'!M388+(1.765*'Lab Analysis'!K388))),"0")</f>
        <v>0</v>
      </c>
      <c r="K388" s="190" t="str">
        <f>IFERROR(((2*('Lab Analysis'!M388/60))+('Lab Analysis'!K388/17))/(('Lab Analysis'!L388/44)+('Lab Analysis'!M388/60)),"0")</f>
        <v>0</v>
      </c>
      <c r="L388" s="190" t="str">
        <f>IFERROR((('Lab Analysis'!N388/18)-('Lab Analysis'!M388/60))/(('Lab Analysis'!L388/44)+('Lab Analysis'!M388/60)),"0")</f>
        <v>0</v>
      </c>
      <c r="M388" s="187" t="str">
        <f>IFERROR(((2*('Lab Analysis'!U388/60))+('Lab Analysis'!S388/17))/(('Lab Analysis'!T388/44)+('Lab Analysis'!U388/60)),"0")</f>
        <v>0</v>
      </c>
      <c r="N388" s="187" t="str">
        <f>IFERROR((('Lab Analysis'!V388/18)-('Lab Analysis'!U388/60))/(('Lab Analysis'!T388/44)+('Lab Analysis'!U388/60)),"0")</f>
        <v>0</v>
      </c>
      <c r="O388" s="187" t="str">
        <f>IFERROR(((2*('Lab Analysis'!Y388/60)+('Lab Analysis'!W388/17))/(('Lab Analysis'!X388/44)+('Lab Analysis'!Y388/60))),"0")</f>
        <v>0</v>
      </c>
      <c r="P388" s="187" t="str">
        <f>IFERROR((('Lab Analysis'!Z388/18)-('Lab Analysis'!Y388/60))/(('Lab Analysis'!X388/44)+('Lab Analysis'!Y388/60)),"0")</f>
        <v>0</v>
      </c>
      <c r="Q388" s="191"/>
    </row>
    <row r="389" spans="1:17">
      <c r="A389" s="185">
        <v>46203</v>
      </c>
      <c r="B389" s="186" t="str">
        <f>IFERROR(('Lab Analysis'!E389/('Lab Analysis'!E389+(1.364*'Lab Analysis'!D389))),"0")</f>
        <v>0</v>
      </c>
      <c r="C389" s="186" t="str">
        <f>IFERROR((2*'Lab Analysis'!E389/60)/('Lab Analysis'!C389/17+(2*'Lab Analysis'!E389/60)),"0")</f>
        <v>0</v>
      </c>
      <c r="D389" s="187" t="str">
        <f>IFERROR(((2*('Lab Analysis'!E389/60)+('Lab Analysis'!C389/17))/(('Lab Analysis'!D389/44)+('Lab Analysis'!E389/60))),"0")</f>
        <v>0</v>
      </c>
      <c r="E389" s="187" t="str">
        <f>IFERROR((('Lab Analysis'!F389/18)-('Lab Analysis'!E389/60))/(('Lab Analysis'!D389/44)+('Lab Analysis'!E389/60)),"0")</f>
        <v>0</v>
      </c>
      <c r="F389" s="187" t="str">
        <f>IFERROR((('Lab Analysis'!F389/18)/('Lab Analysis'!E389/60)),"0")</f>
        <v>0</v>
      </c>
      <c r="G389" s="188" t="str">
        <f>IFERROR(('Lab Analysis'!I389/('Lab Analysis'!I389+(1.765*'Lab Analysis'!G389))),"0")</f>
        <v>0</v>
      </c>
      <c r="H389" s="189" t="str">
        <f>IFERROR(((2*('Lab Analysis'!I389/60))+('Lab Analysis'!G389/17))/(('Lab Analysis'!H389/44)+('Lab Analysis'!I389/60)),"0")</f>
        <v>0</v>
      </c>
      <c r="I389" s="189" t="str">
        <f>IFERROR((('Lab Analysis'!J389/18)-('Lab Analysis'!I389/60))/(('Lab Analysis'!H389/44)+('Lab Analysis'!I389/60)),"0")</f>
        <v>0</v>
      </c>
      <c r="J389" s="186" t="str">
        <f>IFERROR(('Lab Analysis'!M389/('Lab Analysis'!M389+(1.765*'Lab Analysis'!K389))),"0")</f>
        <v>0</v>
      </c>
      <c r="K389" s="190" t="str">
        <f>IFERROR(((2*('Lab Analysis'!M389/60))+('Lab Analysis'!K389/17))/(('Lab Analysis'!L389/44)+('Lab Analysis'!M389/60)),"0")</f>
        <v>0</v>
      </c>
      <c r="L389" s="190" t="str">
        <f>IFERROR((('Lab Analysis'!N389/18)-('Lab Analysis'!M389/60))/(('Lab Analysis'!L389/44)+('Lab Analysis'!M389/60)),"0")</f>
        <v>0</v>
      </c>
      <c r="M389" s="187" t="str">
        <f>IFERROR(((2*('Lab Analysis'!U389/60))+('Lab Analysis'!S389/17))/(('Lab Analysis'!T389/44)+('Lab Analysis'!U389/60)),"0")</f>
        <v>0</v>
      </c>
      <c r="N389" s="187" t="str">
        <f>IFERROR((('Lab Analysis'!V389/18)-('Lab Analysis'!U389/60))/(('Lab Analysis'!T389/44)+('Lab Analysis'!U389/60)),"0")</f>
        <v>0</v>
      </c>
      <c r="O389" s="187" t="str">
        <f>IFERROR(((2*('Lab Analysis'!Y389/60)+('Lab Analysis'!W389/17))/(('Lab Analysis'!X389/44)+('Lab Analysis'!Y389/60))),"0")</f>
        <v>0</v>
      </c>
      <c r="P389" s="187" t="str">
        <f>IFERROR((('Lab Analysis'!Z389/18)-('Lab Analysis'!Y389/60))/(('Lab Analysis'!X389/44)+('Lab Analysis'!Y389/60)),"0")</f>
        <v>0</v>
      </c>
      <c r="Q389" s="191"/>
    </row>
    <row r="390" spans="1:17">
      <c r="A390" s="185">
        <v>46204</v>
      </c>
      <c r="B390" s="186" t="str">
        <f>IFERROR(('Lab Analysis'!E390/('Lab Analysis'!E390+(1.364*'Lab Analysis'!D390))),"0")</f>
        <v>0</v>
      </c>
      <c r="C390" s="186" t="str">
        <f>IFERROR((2*'Lab Analysis'!E390/60)/('Lab Analysis'!C390/17+(2*'Lab Analysis'!E390/60)),"0")</f>
        <v>0</v>
      </c>
      <c r="D390" s="187" t="str">
        <f>IFERROR(((2*('Lab Analysis'!E390/60)+('Lab Analysis'!C390/17))/(('Lab Analysis'!D390/44)+('Lab Analysis'!E390/60))),"0")</f>
        <v>0</v>
      </c>
      <c r="E390" s="187" t="str">
        <f>IFERROR((('Lab Analysis'!F390/18)-('Lab Analysis'!E390/60))/(('Lab Analysis'!D390/44)+('Lab Analysis'!E390/60)),"0")</f>
        <v>0</v>
      </c>
      <c r="F390" s="187" t="str">
        <f>IFERROR((('Lab Analysis'!F390/18)/('Lab Analysis'!E390/60)),"0")</f>
        <v>0</v>
      </c>
      <c r="G390" s="188" t="str">
        <f>IFERROR(('Lab Analysis'!I390/('Lab Analysis'!I390+(1.765*'Lab Analysis'!G390))),"0")</f>
        <v>0</v>
      </c>
      <c r="H390" s="189" t="str">
        <f>IFERROR(((2*('Lab Analysis'!I390/60))+('Lab Analysis'!G390/17))/(('Lab Analysis'!H390/44)+('Lab Analysis'!I390/60)),"0")</f>
        <v>0</v>
      </c>
      <c r="I390" s="189" t="str">
        <f>IFERROR((('Lab Analysis'!J390/18)-('Lab Analysis'!I390/60))/(('Lab Analysis'!H390/44)+('Lab Analysis'!I390/60)),"0")</f>
        <v>0</v>
      </c>
      <c r="J390" s="186" t="str">
        <f>IFERROR(('Lab Analysis'!M390/('Lab Analysis'!M390+(1.765*'Lab Analysis'!K390))),"0")</f>
        <v>0</v>
      </c>
      <c r="K390" s="190" t="str">
        <f>IFERROR(((2*('Lab Analysis'!M390/60))+('Lab Analysis'!K390/17))/(('Lab Analysis'!L390/44)+('Lab Analysis'!M390/60)),"0")</f>
        <v>0</v>
      </c>
      <c r="L390" s="190" t="str">
        <f>IFERROR((('Lab Analysis'!N390/18)-('Lab Analysis'!M390/60))/(('Lab Analysis'!L390/44)+('Lab Analysis'!M390/60)),"0")</f>
        <v>0</v>
      </c>
      <c r="M390" s="187" t="str">
        <f>IFERROR(((2*('Lab Analysis'!U390/60))+('Lab Analysis'!S390/17))/(('Lab Analysis'!T390/44)+('Lab Analysis'!U390/60)),"0")</f>
        <v>0</v>
      </c>
      <c r="N390" s="187" t="str">
        <f>IFERROR((('Lab Analysis'!V390/18)-('Lab Analysis'!U390/60))/(('Lab Analysis'!T390/44)+('Lab Analysis'!U390/60)),"0")</f>
        <v>0</v>
      </c>
      <c r="O390" s="187" t="str">
        <f>IFERROR(((2*('Lab Analysis'!Y390/60)+('Lab Analysis'!W390/17))/(('Lab Analysis'!X390/44)+('Lab Analysis'!Y390/60))),"0")</f>
        <v>0</v>
      </c>
      <c r="P390" s="187" t="str">
        <f>IFERROR((('Lab Analysis'!Z390/18)-('Lab Analysis'!Y390/60))/(('Lab Analysis'!X390/44)+('Lab Analysis'!Y390/60)),"0")</f>
        <v>0</v>
      </c>
      <c r="Q390" s="191"/>
    </row>
    <row r="391" spans="1:17">
      <c r="A391" s="185">
        <v>46205</v>
      </c>
      <c r="B391" s="186" t="str">
        <f>IFERROR(('Lab Analysis'!E391/('Lab Analysis'!E391+(1.364*'Lab Analysis'!D391))),"0")</f>
        <v>0</v>
      </c>
      <c r="C391" s="186" t="str">
        <f>IFERROR((2*'Lab Analysis'!E391/60)/('Lab Analysis'!C391/17+(2*'Lab Analysis'!E391/60)),"0")</f>
        <v>0</v>
      </c>
      <c r="D391" s="187" t="str">
        <f>IFERROR(((2*('Lab Analysis'!E391/60)+('Lab Analysis'!C391/17))/(('Lab Analysis'!D391/44)+('Lab Analysis'!E391/60))),"0")</f>
        <v>0</v>
      </c>
      <c r="E391" s="187" t="str">
        <f>IFERROR((('Lab Analysis'!F391/18)-('Lab Analysis'!E391/60))/(('Lab Analysis'!D391/44)+('Lab Analysis'!E391/60)),"0")</f>
        <v>0</v>
      </c>
      <c r="F391" s="187" t="str">
        <f>IFERROR((('Lab Analysis'!F391/18)/('Lab Analysis'!E391/60)),"0")</f>
        <v>0</v>
      </c>
      <c r="G391" s="188" t="str">
        <f>IFERROR(('Lab Analysis'!I391/('Lab Analysis'!I391+(1.765*'Lab Analysis'!G391))),"0")</f>
        <v>0</v>
      </c>
      <c r="H391" s="189" t="str">
        <f>IFERROR(((2*('Lab Analysis'!I391/60))+('Lab Analysis'!G391/17))/(('Lab Analysis'!H391/44)+('Lab Analysis'!I391/60)),"0")</f>
        <v>0</v>
      </c>
      <c r="I391" s="189" t="str">
        <f>IFERROR((('Lab Analysis'!J391/18)-('Lab Analysis'!I391/60))/(('Lab Analysis'!H391/44)+('Lab Analysis'!I391/60)),"0")</f>
        <v>0</v>
      </c>
      <c r="J391" s="186" t="str">
        <f>IFERROR(('Lab Analysis'!M391/('Lab Analysis'!M391+(1.765*'Lab Analysis'!K391))),"0")</f>
        <v>0</v>
      </c>
      <c r="K391" s="190" t="str">
        <f>IFERROR(((2*('Lab Analysis'!M391/60))+('Lab Analysis'!K391/17))/(('Lab Analysis'!L391/44)+('Lab Analysis'!M391/60)),"0")</f>
        <v>0</v>
      </c>
      <c r="L391" s="190" t="str">
        <f>IFERROR((('Lab Analysis'!N391/18)-('Lab Analysis'!M391/60))/(('Lab Analysis'!L391/44)+('Lab Analysis'!M391/60)),"0")</f>
        <v>0</v>
      </c>
      <c r="M391" s="187" t="str">
        <f>IFERROR(((2*('Lab Analysis'!U391/60))+('Lab Analysis'!S391/17))/(('Lab Analysis'!T391/44)+('Lab Analysis'!U391/60)),"0")</f>
        <v>0</v>
      </c>
      <c r="N391" s="187" t="str">
        <f>IFERROR((('Lab Analysis'!V391/18)-('Lab Analysis'!U391/60))/(('Lab Analysis'!T391/44)+('Lab Analysis'!U391/60)),"0")</f>
        <v>0</v>
      </c>
      <c r="O391" s="187" t="str">
        <f>IFERROR(((2*('Lab Analysis'!Y391/60)+('Lab Analysis'!W391/17))/(('Lab Analysis'!X391/44)+('Lab Analysis'!Y391/60))),"0")</f>
        <v>0</v>
      </c>
      <c r="P391" s="187" t="str">
        <f>IFERROR((('Lab Analysis'!Z391/18)-('Lab Analysis'!Y391/60))/(('Lab Analysis'!X391/44)+('Lab Analysis'!Y391/60)),"0")</f>
        <v>0</v>
      </c>
      <c r="Q391" s="191"/>
    </row>
    <row r="392" spans="1:17">
      <c r="A392" s="185">
        <v>46206</v>
      </c>
      <c r="B392" s="186" t="str">
        <f>IFERROR(('Lab Analysis'!E392/('Lab Analysis'!E392+(1.364*'Lab Analysis'!D392))),"0")</f>
        <v>0</v>
      </c>
      <c r="C392" s="186" t="str">
        <f>IFERROR((2*'Lab Analysis'!E392/60)/('Lab Analysis'!C392/17+(2*'Lab Analysis'!E392/60)),"0")</f>
        <v>0</v>
      </c>
      <c r="D392" s="187" t="str">
        <f>IFERROR(((2*('Lab Analysis'!E392/60)+('Lab Analysis'!C392/17))/(('Lab Analysis'!D392/44)+('Lab Analysis'!E392/60))),"0")</f>
        <v>0</v>
      </c>
      <c r="E392" s="187" t="str">
        <f>IFERROR((('Lab Analysis'!F392/18)-('Lab Analysis'!E392/60))/(('Lab Analysis'!D392/44)+('Lab Analysis'!E392/60)),"0")</f>
        <v>0</v>
      </c>
      <c r="F392" s="187" t="str">
        <f>IFERROR((('Lab Analysis'!F392/18)/('Lab Analysis'!E392/60)),"0")</f>
        <v>0</v>
      </c>
      <c r="G392" s="188" t="str">
        <f>IFERROR(('Lab Analysis'!I392/('Lab Analysis'!I392+(1.765*'Lab Analysis'!G392))),"0")</f>
        <v>0</v>
      </c>
      <c r="H392" s="189" t="str">
        <f>IFERROR(((2*('Lab Analysis'!I392/60))+('Lab Analysis'!G392/17))/(('Lab Analysis'!H392/44)+('Lab Analysis'!I392/60)),"0")</f>
        <v>0</v>
      </c>
      <c r="I392" s="189" t="str">
        <f>IFERROR((('Lab Analysis'!J392/18)-('Lab Analysis'!I392/60))/(('Lab Analysis'!H392/44)+('Lab Analysis'!I392/60)),"0")</f>
        <v>0</v>
      </c>
      <c r="J392" s="186" t="str">
        <f>IFERROR(('Lab Analysis'!M392/('Lab Analysis'!M392+(1.765*'Lab Analysis'!K392))),"0")</f>
        <v>0</v>
      </c>
      <c r="K392" s="190" t="str">
        <f>IFERROR(((2*('Lab Analysis'!M392/60))+('Lab Analysis'!K392/17))/(('Lab Analysis'!L392/44)+('Lab Analysis'!M392/60)),"0")</f>
        <v>0</v>
      </c>
      <c r="L392" s="190" t="str">
        <f>IFERROR((('Lab Analysis'!N392/18)-('Lab Analysis'!M392/60))/(('Lab Analysis'!L392/44)+('Lab Analysis'!M392/60)),"0")</f>
        <v>0</v>
      </c>
      <c r="M392" s="187" t="str">
        <f>IFERROR(((2*('Lab Analysis'!U392/60))+('Lab Analysis'!S392/17))/(('Lab Analysis'!T392/44)+('Lab Analysis'!U392/60)),"0")</f>
        <v>0</v>
      </c>
      <c r="N392" s="187" t="str">
        <f>IFERROR((('Lab Analysis'!V392/18)-('Lab Analysis'!U392/60))/(('Lab Analysis'!T392/44)+('Lab Analysis'!U392/60)),"0")</f>
        <v>0</v>
      </c>
      <c r="O392" s="187" t="str">
        <f>IFERROR(((2*('Lab Analysis'!Y392/60)+('Lab Analysis'!W392/17))/(('Lab Analysis'!X392/44)+('Lab Analysis'!Y392/60))),"0")</f>
        <v>0</v>
      </c>
      <c r="P392" s="187" t="str">
        <f>IFERROR((('Lab Analysis'!Z392/18)-('Lab Analysis'!Y392/60))/(('Lab Analysis'!X392/44)+('Lab Analysis'!Y392/60)),"0")</f>
        <v>0</v>
      </c>
      <c r="Q392" s="191"/>
    </row>
    <row r="393" spans="1:17">
      <c r="A393" s="185">
        <v>46207</v>
      </c>
      <c r="B393" s="186" t="str">
        <f>IFERROR(('Lab Analysis'!E393/('Lab Analysis'!E393+(1.364*'Lab Analysis'!D393))),"0")</f>
        <v>0</v>
      </c>
      <c r="C393" s="186" t="str">
        <f>IFERROR((2*'Lab Analysis'!E393/60)/('Lab Analysis'!C393/17+(2*'Lab Analysis'!E393/60)),"0")</f>
        <v>0</v>
      </c>
      <c r="D393" s="187" t="str">
        <f>IFERROR(((2*('Lab Analysis'!E393/60)+('Lab Analysis'!C393/17))/(('Lab Analysis'!D393/44)+('Lab Analysis'!E393/60))),"0")</f>
        <v>0</v>
      </c>
      <c r="E393" s="187" t="str">
        <f>IFERROR((('Lab Analysis'!F393/18)-('Lab Analysis'!E393/60))/(('Lab Analysis'!D393/44)+('Lab Analysis'!E393/60)),"0")</f>
        <v>0</v>
      </c>
      <c r="F393" s="187" t="str">
        <f>IFERROR((('Lab Analysis'!F393/18)/('Lab Analysis'!E393/60)),"0")</f>
        <v>0</v>
      </c>
      <c r="G393" s="188" t="str">
        <f>IFERROR(('Lab Analysis'!I393/('Lab Analysis'!I393+(1.765*'Lab Analysis'!G393))),"0")</f>
        <v>0</v>
      </c>
      <c r="H393" s="189" t="str">
        <f>IFERROR(((2*('Lab Analysis'!I393/60))+('Lab Analysis'!G393/17))/(('Lab Analysis'!H393/44)+('Lab Analysis'!I393/60)),"0")</f>
        <v>0</v>
      </c>
      <c r="I393" s="189" t="str">
        <f>IFERROR((('Lab Analysis'!J393/18)-('Lab Analysis'!I393/60))/(('Lab Analysis'!H393/44)+('Lab Analysis'!I393/60)),"0")</f>
        <v>0</v>
      </c>
      <c r="J393" s="186" t="str">
        <f>IFERROR(('Lab Analysis'!M393/('Lab Analysis'!M393+(1.765*'Lab Analysis'!K393))),"0")</f>
        <v>0</v>
      </c>
      <c r="K393" s="190" t="str">
        <f>IFERROR(((2*('Lab Analysis'!M393/60))+('Lab Analysis'!K393/17))/(('Lab Analysis'!L393/44)+('Lab Analysis'!M393/60)),"0")</f>
        <v>0</v>
      </c>
      <c r="L393" s="190" t="str">
        <f>IFERROR((('Lab Analysis'!N393/18)-('Lab Analysis'!M393/60))/(('Lab Analysis'!L393/44)+('Lab Analysis'!M393/60)),"0")</f>
        <v>0</v>
      </c>
      <c r="M393" s="187" t="str">
        <f>IFERROR(((2*('Lab Analysis'!U393/60))+('Lab Analysis'!S393/17))/(('Lab Analysis'!T393/44)+('Lab Analysis'!U393/60)),"0")</f>
        <v>0</v>
      </c>
      <c r="N393" s="187" t="str">
        <f>IFERROR((('Lab Analysis'!V393/18)-('Lab Analysis'!U393/60))/(('Lab Analysis'!T393/44)+('Lab Analysis'!U393/60)),"0")</f>
        <v>0</v>
      </c>
      <c r="O393" s="187" t="str">
        <f>IFERROR(((2*('Lab Analysis'!Y393/60)+('Lab Analysis'!W393/17))/(('Lab Analysis'!X393/44)+('Lab Analysis'!Y393/60))),"0")</f>
        <v>0</v>
      </c>
      <c r="P393" s="187" t="str">
        <f>IFERROR((('Lab Analysis'!Z393/18)-('Lab Analysis'!Y393/60))/(('Lab Analysis'!X393/44)+('Lab Analysis'!Y393/60)),"0")</f>
        <v>0</v>
      </c>
      <c r="Q393" s="191"/>
    </row>
    <row r="394" spans="1:17">
      <c r="A394" s="185">
        <v>46208</v>
      </c>
      <c r="B394" s="186" t="str">
        <f>IFERROR(('Lab Analysis'!E394/('Lab Analysis'!E394+(1.364*'Lab Analysis'!D394))),"0")</f>
        <v>0</v>
      </c>
      <c r="C394" s="186" t="str">
        <f>IFERROR((2*'Lab Analysis'!E394/60)/('Lab Analysis'!C394/17+(2*'Lab Analysis'!E394/60)),"0")</f>
        <v>0</v>
      </c>
      <c r="D394" s="187" t="str">
        <f>IFERROR(((2*('Lab Analysis'!E394/60)+('Lab Analysis'!C394/17))/(('Lab Analysis'!D394/44)+('Lab Analysis'!E394/60))),"0")</f>
        <v>0</v>
      </c>
      <c r="E394" s="187" t="str">
        <f>IFERROR((('Lab Analysis'!F394/18)-('Lab Analysis'!E394/60))/(('Lab Analysis'!D394/44)+('Lab Analysis'!E394/60)),"0")</f>
        <v>0</v>
      </c>
      <c r="F394" s="187" t="str">
        <f>IFERROR((('Lab Analysis'!F394/18)/('Lab Analysis'!E394/60)),"0")</f>
        <v>0</v>
      </c>
      <c r="G394" s="188" t="str">
        <f>IFERROR(('Lab Analysis'!I394/('Lab Analysis'!I394+(1.765*'Lab Analysis'!G394))),"0")</f>
        <v>0</v>
      </c>
      <c r="H394" s="189" t="str">
        <f>IFERROR(((2*('Lab Analysis'!I394/60))+('Lab Analysis'!G394/17))/(('Lab Analysis'!H394/44)+('Lab Analysis'!I394/60)),"0")</f>
        <v>0</v>
      </c>
      <c r="I394" s="189" t="str">
        <f>IFERROR((('Lab Analysis'!J394/18)-('Lab Analysis'!I394/60))/(('Lab Analysis'!H394/44)+('Lab Analysis'!I394/60)),"0")</f>
        <v>0</v>
      </c>
      <c r="J394" s="186" t="str">
        <f>IFERROR(('Lab Analysis'!M394/('Lab Analysis'!M394+(1.765*'Lab Analysis'!K394))),"0")</f>
        <v>0</v>
      </c>
      <c r="K394" s="190" t="str">
        <f>IFERROR(((2*('Lab Analysis'!M394/60))+('Lab Analysis'!K394/17))/(('Lab Analysis'!L394/44)+('Lab Analysis'!M394/60)),"0")</f>
        <v>0</v>
      </c>
      <c r="L394" s="190" t="str">
        <f>IFERROR((('Lab Analysis'!N394/18)-('Lab Analysis'!M394/60))/(('Lab Analysis'!L394/44)+('Lab Analysis'!M394/60)),"0")</f>
        <v>0</v>
      </c>
      <c r="M394" s="187" t="str">
        <f>IFERROR(((2*('Lab Analysis'!U394/60))+('Lab Analysis'!S394/17))/(('Lab Analysis'!T394/44)+('Lab Analysis'!U394/60)),"0")</f>
        <v>0</v>
      </c>
      <c r="N394" s="187" t="str">
        <f>IFERROR((('Lab Analysis'!V394/18)-('Lab Analysis'!U394/60))/(('Lab Analysis'!T394/44)+('Lab Analysis'!U394/60)),"0")</f>
        <v>0</v>
      </c>
      <c r="O394" s="187" t="str">
        <f>IFERROR(((2*('Lab Analysis'!Y394/60)+('Lab Analysis'!W394/17))/(('Lab Analysis'!X394/44)+('Lab Analysis'!Y394/60))),"0")</f>
        <v>0</v>
      </c>
      <c r="P394" s="187" t="str">
        <f>IFERROR((('Lab Analysis'!Z394/18)-('Lab Analysis'!Y394/60))/(('Lab Analysis'!X394/44)+('Lab Analysis'!Y394/60)),"0")</f>
        <v>0</v>
      </c>
      <c r="Q394" s="191"/>
    </row>
    <row r="395" spans="1:17">
      <c r="A395" s="185">
        <v>46209</v>
      </c>
      <c r="B395" s="186" t="str">
        <f>IFERROR(('Lab Analysis'!E395/('Lab Analysis'!E395+(1.364*'Lab Analysis'!D395))),"0")</f>
        <v>0</v>
      </c>
      <c r="C395" s="186" t="str">
        <f>IFERROR((2*'Lab Analysis'!E395/60)/('Lab Analysis'!C395/17+(2*'Lab Analysis'!E395/60)),"0")</f>
        <v>0</v>
      </c>
      <c r="D395" s="187" t="str">
        <f>IFERROR(((2*('Lab Analysis'!E395/60)+('Lab Analysis'!C395/17))/(('Lab Analysis'!D395/44)+('Lab Analysis'!E395/60))),"0")</f>
        <v>0</v>
      </c>
      <c r="E395" s="187" t="str">
        <f>IFERROR((('Lab Analysis'!F395/18)-('Lab Analysis'!E395/60))/(('Lab Analysis'!D395/44)+('Lab Analysis'!E395/60)),"0")</f>
        <v>0</v>
      </c>
      <c r="F395" s="187" t="str">
        <f>IFERROR((('Lab Analysis'!F395/18)/('Lab Analysis'!E395/60)),"0")</f>
        <v>0</v>
      </c>
      <c r="G395" s="188" t="str">
        <f>IFERROR(('Lab Analysis'!I395/('Lab Analysis'!I395+(1.765*'Lab Analysis'!G395))),"0")</f>
        <v>0</v>
      </c>
      <c r="H395" s="189" t="str">
        <f>IFERROR(((2*('Lab Analysis'!I395/60))+('Lab Analysis'!G395/17))/(('Lab Analysis'!H395/44)+('Lab Analysis'!I395/60)),"0")</f>
        <v>0</v>
      </c>
      <c r="I395" s="189" t="str">
        <f>IFERROR((('Lab Analysis'!J395/18)-('Lab Analysis'!I395/60))/(('Lab Analysis'!H395/44)+('Lab Analysis'!I395/60)),"0")</f>
        <v>0</v>
      </c>
      <c r="J395" s="186" t="str">
        <f>IFERROR(('Lab Analysis'!M395/('Lab Analysis'!M395+(1.765*'Lab Analysis'!K395))),"0")</f>
        <v>0</v>
      </c>
      <c r="K395" s="190" t="str">
        <f>IFERROR(((2*('Lab Analysis'!M395/60))+('Lab Analysis'!K395/17))/(('Lab Analysis'!L395/44)+('Lab Analysis'!M395/60)),"0")</f>
        <v>0</v>
      </c>
      <c r="L395" s="190" t="str">
        <f>IFERROR((('Lab Analysis'!N395/18)-('Lab Analysis'!M395/60))/(('Lab Analysis'!L395/44)+('Lab Analysis'!M395/60)),"0")</f>
        <v>0</v>
      </c>
      <c r="M395" s="187" t="str">
        <f>IFERROR(((2*('Lab Analysis'!U395/60))+('Lab Analysis'!S395/17))/(('Lab Analysis'!T395/44)+('Lab Analysis'!U395/60)),"0")</f>
        <v>0</v>
      </c>
      <c r="N395" s="187" t="str">
        <f>IFERROR((('Lab Analysis'!V395/18)-('Lab Analysis'!U395/60))/(('Lab Analysis'!T395/44)+('Lab Analysis'!U395/60)),"0")</f>
        <v>0</v>
      </c>
      <c r="O395" s="187" t="str">
        <f>IFERROR(((2*('Lab Analysis'!Y395/60)+('Lab Analysis'!W395/17))/(('Lab Analysis'!X395/44)+('Lab Analysis'!Y395/60))),"0")</f>
        <v>0</v>
      </c>
      <c r="P395" s="187" t="str">
        <f>IFERROR((('Lab Analysis'!Z395/18)-('Lab Analysis'!Y395/60))/(('Lab Analysis'!X395/44)+('Lab Analysis'!Y395/60)),"0")</f>
        <v>0</v>
      </c>
      <c r="Q395" s="191"/>
    </row>
    <row r="396" spans="1:17">
      <c r="A396" s="185">
        <v>46210</v>
      </c>
      <c r="B396" s="186" t="str">
        <f>IFERROR(('Lab Analysis'!E396/('Lab Analysis'!E396+(1.364*'Lab Analysis'!D396))),"0")</f>
        <v>0</v>
      </c>
      <c r="C396" s="186" t="str">
        <f>IFERROR((2*'Lab Analysis'!E396/60)/('Lab Analysis'!C396/17+(2*'Lab Analysis'!E396/60)),"0")</f>
        <v>0</v>
      </c>
      <c r="D396" s="187" t="str">
        <f>IFERROR(((2*('Lab Analysis'!E396/60)+('Lab Analysis'!C396/17))/(('Lab Analysis'!D396/44)+('Lab Analysis'!E396/60))),"0")</f>
        <v>0</v>
      </c>
      <c r="E396" s="187" t="str">
        <f>IFERROR((('Lab Analysis'!F396/18)-('Lab Analysis'!E396/60))/(('Lab Analysis'!D396/44)+('Lab Analysis'!E396/60)),"0")</f>
        <v>0</v>
      </c>
      <c r="F396" s="187" t="str">
        <f>IFERROR((('Lab Analysis'!F396/18)/('Lab Analysis'!E396/60)),"0")</f>
        <v>0</v>
      </c>
      <c r="G396" s="188" t="str">
        <f>IFERROR(('Lab Analysis'!I396/('Lab Analysis'!I396+(1.765*'Lab Analysis'!G396))),"0")</f>
        <v>0</v>
      </c>
      <c r="H396" s="189" t="str">
        <f>IFERROR(((2*('Lab Analysis'!I396/60))+('Lab Analysis'!G396/17))/(('Lab Analysis'!H396/44)+('Lab Analysis'!I396/60)),"0")</f>
        <v>0</v>
      </c>
      <c r="I396" s="189" t="str">
        <f>IFERROR((('Lab Analysis'!J396/18)-('Lab Analysis'!I396/60))/(('Lab Analysis'!H396/44)+('Lab Analysis'!I396/60)),"0")</f>
        <v>0</v>
      </c>
      <c r="J396" s="186" t="str">
        <f>IFERROR(('Lab Analysis'!M396/('Lab Analysis'!M396+(1.765*'Lab Analysis'!K396))),"0")</f>
        <v>0</v>
      </c>
      <c r="K396" s="190" t="str">
        <f>IFERROR(((2*('Lab Analysis'!M396/60))+('Lab Analysis'!K396/17))/(('Lab Analysis'!L396/44)+('Lab Analysis'!M396/60)),"0")</f>
        <v>0</v>
      </c>
      <c r="L396" s="190" t="str">
        <f>IFERROR((('Lab Analysis'!N396/18)-('Lab Analysis'!M396/60))/(('Lab Analysis'!L396/44)+('Lab Analysis'!M396/60)),"0")</f>
        <v>0</v>
      </c>
      <c r="M396" s="187" t="str">
        <f>IFERROR(((2*('Lab Analysis'!U396/60))+('Lab Analysis'!S396/17))/(('Lab Analysis'!T396/44)+('Lab Analysis'!U396/60)),"0")</f>
        <v>0</v>
      </c>
      <c r="N396" s="187" t="str">
        <f>IFERROR((('Lab Analysis'!V396/18)-('Lab Analysis'!U396/60))/(('Lab Analysis'!T396/44)+('Lab Analysis'!U396/60)),"0")</f>
        <v>0</v>
      </c>
      <c r="O396" s="187" t="str">
        <f>IFERROR(((2*('Lab Analysis'!Y396/60)+('Lab Analysis'!W396/17))/(('Lab Analysis'!X396/44)+('Lab Analysis'!Y396/60))),"0")</f>
        <v>0</v>
      </c>
      <c r="P396" s="187" t="str">
        <f>IFERROR((('Lab Analysis'!Z396/18)-('Lab Analysis'!Y396/60))/(('Lab Analysis'!X396/44)+('Lab Analysis'!Y396/60)),"0")</f>
        <v>0</v>
      </c>
      <c r="Q396" s="191"/>
    </row>
    <row r="397" spans="1:17">
      <c r="A397" s="185">
        <v>46211</v>
      </c>
      <c r="B397" s="186" t="str">
        <f>IFERROR(('Lab Analysis'!E397/('Lab Analysis'!E397+(1.364*'Lab Analysis'!D397))),"0")</f>
        <v>0</v>
      </c>
      <c r="C397" s="186" t="str">
        <f>IFERROR((2*'Lab Analysis'!E397/60)/('Lab Analysis'!C397/17+(2*'Lab Analysis'!E397/60)),"0")</f>
        <v>0</v>
      </c>
      <c r="D397" s="187" t="str">
        <f>IFERROR(((2*('Lab Analysis'!E397/60)+('Lab Analysis'!C397/17))/(('Lab Analysis'!D397/44)+('Lab Analysis'!E397/60))),"0")</f>
        <v>0</v>
      </c>
      <c r="E397" s="187" t="str">
        <f>IFERROR((('Lab Analysis'!F397/18)-('Lab Analysis'!E397/60))/(('Lab Analysis'!D397/44)+('Lab Analysis'!E397/60)),"0")</f>
        <v>0</v>
      </c>
      <c r="F397" s="187" t="str">
        <f>IFERROR((('Lab Analysis'!F397/18)/('Lab Analysis'!E397/60)),"0")</f>
        <v>0</v>
      </c>
      <c r="G397" s="188" t="str">
        <f>IFERROR(('Lab Analysis'!I397/('Lab Analysis'!I397+(1.765*'Lab Analysis'!G397))),"0")</f>
        <v>0</v>
      </c>
      <c r="H397" s="189" t="str">
        <f>IFERROR(((2*('Lab Analysis'!I397/60))+('Lab Analysis'!G397/17))/(('Lab Analysis'!H397/44)+('Lab Analysis'!I397/60)),"0")</f>
        <v>0</v>
      </c>
      <c r="I397" s="189" t="str">
        <f>IFERROR((('Lab Analysis'!J397/18)-('Lab Analysis'!I397/60))/(('Lab Analysis'!H397/44)+('Lab Analysis'!I397/60)),"0")</f>
        <v>0</v>
      </c>
      <c r="J397" s="186" t="str">
        <f>IFERROR(('Lab Analysis'!M397/('Lab Analysis'!M397+(1.765*'Lab Analysis'!K397))),"0")</f>
        <v>0</v>
      </c>
      <c r="K397" s="190" t="str">
        <f>IFERROR(((2*('Lab Analysis'!M397/60))+('Lab Analysis'!K397/17))/(('Lab Analysis'!L397/44)+('Lab Analysis'!M397/60)),"0")</f>
        <v>0</v>
      </c>
      <c r="L397" s="190" t="str">
        <f>IFERROR((('Lab Analysis'!N397/18)-('Lab Analysis'!M397/60))/(('Lab Analysis'!L397/44)+('Lab Analysis'!M397/60)),"0")</f>
        <v>0</v>
      </c>
      <c r="M397" s="187" t="str">
        <f>IFERROR(((2*('Lab Analysis'!U397/60))+('Lab Analysis'!S397/17))/(('Lab Analysis'!T397/44)+('Lab Analysis'!U397/60)),"0")</f>
        <v>0</v>
      </c>
      <c r="N397" s="187" t="str">
        <f>IFERROR((('Lab Analysis'!V397/18)-('Lab Analysis'!U397/60))/(('Lab Analysis'!T397/44)+('Lab Analysis'!U397/60)),"0")</f>
        <v>0</v>
      </c>
      <c r="O397" s="187" t="str">
        <f>IFERROR(((2*('Lab Analysis'!Y397/60)+('Lab Analysis'!W397/17))/(('Lab Analysis'!X397/44)+('Lab Analysis'!Y397/60))),"0")</f>
        <v>0</v>
      </c>
      <c r="P397" s="187" t="str">
        <f>IFERROR((('Lab Analysis'!Z397/18)-('Lab Analysis'!Y397/60))/(('Lab Analysis'!X397/44)+('Lab Analysis'!Y397/60)),"0")</f>
        <v>0</v>
      </c>
      <c r="Q397" s="191"/>
    </row>
    <row r="398" spans="1:17">
      <c r="A398" s="185">
        <v>46212</v>
      </c>
      <c r="B398" s="186" t="str">
        <f>IFERROR(('Lab Analysis'!E398/('Lab Analysis'!E398+(1.364*'Lab Analysis'!D398))),"0")</f>
        <v>0</v>
      </c>
      <c r="C398" s="186" t="str">
        <f>IFERROR((2*'Lab Analysis'!E398/60)/('Lab Analysis'!C398/17+(2*'Lab Analysis'!E398/60)),"0")</f>
        <v>0</v>
      </c>
      <c r="D398" s="187" t="str">
        <f>IFERROR(((2*('Lab Analysis'!E398/60)+('Lab Analysis'!C398/17))/(('Lab Analysis'!D398/44)+('Lab Analysis'!E398/60))),"0")</f>
        <v>0</v>
      </c>
      <c r="E398" s="187" t="str">
        <f>IFERROR((('Lab Analysis'!F398/18)-('Lab Analysis'!E398/60))/(('Lab Analysis'!D398/44)+('Lab Analysis'!E398/60)),"0")</f>
        <v>0</v>
      </c>
      <c r="F398" s="187" t="str">
        <f>IFERROR((('Lab Analysis'!F398/18)/('Lab Analysis'!E398/60)),"0")</f>
        <v>0</v>
      </c>
      <c r="G398" s="188" t="str">
        <f>IFERROR(('Lab Analysis'!I398/('Lab Analysis'!I398+(1.765*'Lab Analysis'!G398))),"0")</f>
        <v>0</v>
      </c>
      <c r="H398" s="189" t="str">
        <f>IFERROR(((2*('Lab Analysis'!I398/60))+('Lab Analysis'!G398/17))/(('Lab Analysis'!H398/44)+('Lab Analysis'!I398/60)),"0")</f>
        <v>0</v>
      </c>
      <c r="I398" s="189" t="str">
        <f>IFERROR((('Lab Analysis'!J398/18)-('Lab Analysis'!I398/60))/(('Lab Analysis'!H398/44)+('Lab Analysis'!I398/60)),"0")</f>
        <v>0</v>
      </c>
      <c r="J398" s="186" t="str">
        <f>IFERROR(('Lab Analysis'!M398/('Lab Analysis'!M398+(1.765*'Lab Analysis'!K398))),"0")</f>
        <v>0</v>
      </c>
      <c r="K398" s="190" t="str">
        <f>IFERROR(((2*('Lab Analysis'!M398/60))+('Lab Analysis'!K398/17))/(('Lab Analysis'!L398/44)+('Lab Analysis'!M398/60)),"0")</f>
        <v>0</v>
      </c>
      <c r="L398" s="190" t="str">
        <f>IFERROR((('Lab Analysis'!N398/18)-('Lab Analysis'!M398/60))/(('Lab Analysis'!L398/44)+('Lab Analysis'!M398/60)),"0")</f>
        <v>0</v>
      </c>
      <c r="M398" s="187" t="str">
        <f>IFERROR(((2*('Lab Analysis'!U398/60))+('Lab Analysis'!S398/17))/(('Lab Analysis'!T398/44)+('Lab Analysis'!U398/60)),"0")</f>
        <v>0</v>
      </c>
      <c r="N398" s="187" t="str">
        <f>IFERROR((('Lab Analysis'!V398/18)-('Lab Analysis'!U398/60))/(('Lab Analysis'!T398/44)+('Lab Analysis'!U398/60)),"0")</f>
        <v>0</v>
      </c>
      <c r="O398" s="187" t="str">
        <f>IFERROR(((2*('Lab Analysis'!Y398/60)+('Lab Analysis'!W398/17))/(('Lab Analysis'!X398/44)+('Lab Analysis'!Y398/60))),"0")</f>
        <v>0</v>
      </c>
      <c r="P398" s="187" t="str">
        <f>IFERROR((('Lab Analysis'!Z398/18)-('Lab Analysis'!Y398/60))/(('Lab Analysis'!X398/44)+('Lab Analysis'!Y398/60)),"0")</f>
        <v>0</v>
      </c>
      <c r="Q398" s="191"/>
    </row>
    <row r="399" spans="1:17">
      <c r="A399" s="185">
        <v>46213</v>
      </c>
      <c r="B399" s="186" t="str">
        <f>IFERROR(('Lab Analysis'!E399/('Lab Analysis'!E399+(1.364*'Lab Analysis'!D399))),"0")</f>
        <v>0</v>
      </c>
      <c r="C399" s="186" t="str">
        <f>IFERROR((2*'Lab Analysis'!E399/60)/('Lab Analysis'!C399/17+(2*'Lab Analysis'!E399/60)),"0")</f>
        <v>0</v>
      </c>
      <c r="D399" s="187" t="str">
        <f>IFERROR(((2*('Lab Analysis'!E399/60)+('Lab Analysis'!C399/17))/(('Lab Analysis'!D399/44)+('Lab Analysis'!E399/60))),"0")</f>
        <v>0</v>
      </c>
      <c r="E399" s="187" t="str">
        <f>IFERROR((('Lab Analysis'!F399/18)-('Lab Analysis'!E399/60))/(('Lab Analysis'!D399/44)+('Lab Analysis'!E399/60)),"0")</f>
        <v>0</v>
      </c>
      <c r="F399" s="187" t="str">
        <f>IFERROR((('Lab Analysis'!F399/18)/('Lab Analysis'!E399/60)),"0")</f>
        <v>0</v>
      </c>
      <c r="G399" s="188" t="str">
        <f>IFERROR(('Lab Analysis'!I399/('Lab Analysis'!I399+(1.765*'Lab Analysis'!G399))),"0")</f>
        <v>0</v>
      </c>
      <c r="H399" s="189" t="str">
        <f>IFERROR(((2*('Lab Analysis'!I399/60))+('Lab Analysis'!G399/17))/(('Lab Analysis'!H399/44)+('Lab Analysis'!I399/60)),"0")</f>
        <v>0</v>
      </c>
      <c r="I399" s="189" t="str">
        <f>IFERROR((('Lab Analysis'!J399/18)-('Lab Analysis'!I399/60))/(('Lab Analysis'!H399/44)+('Lab Analysis'!I399/60)),"0")</f>
        <v>0</v>
      </c>
      <c r="J399" s="186" t="str">
        <f>IFERROR(('Lab Analysis'!M399/('Lab Analysis'!M399+(1.765*'Lab Analysis'!K399))),"0")</f>
        <v>0</v>
      </c>
      <c r="K399" s="190" t="str">
        <f>IFERROR(((2*('Lab Analysis'!M399/60))+('Lab Analysis'!K399/17))/(('Lab Analysis'!L399/44)+('Lab Analysis'!M399/60)),"0")</f>
        <v>0</v>
      </c>
      <c r="L399" s="190" t="str">
        <f>IFERROR((('Lab Analysis'!N399/18)-('Lab Analysis'!M399/60))/(('Lab Analysis'!L399/44)+('Lab Analysis'!M399/60)),"0")</f>
        <v>0</v>
      </c>
      <c r="M399" s="187" t="str">
        <f>IFERROR(((2*('Lab Analysis'!U399/60))+('Lab Analysis'!S399/17))/(('Lab Analysis'!T399/44)+('Lab Analysis'!U399/60)),"0")</f>
        <v>0</v>
      </c>
      <c r="N399" s="187" t="str">
        <f>IFERROR((('Lab Analysis'!V399/18)-('Lab Analysis'!U399/60))/(('Lab Analysis'!T399/44)+('Lab Analysis'!U399/60)),"0")</f>
        <v>0</v>
      </c>
      <c r="O399" s="187" t="str">
        <f>IFERROR(((2*('Lab Analysis'!Y399/60)+('Lab Analysis'!W399/17))/(('Lab Analysis'!X399/44)+('Lab Analysis'!Y399/60))),"0")</f>
        <v>0</v>
      </c>
      <c r="P399" s="187" t="str">
        <f>IFERROR((('Lab Analysis'!Z399/18)-('Lab Analysis'!Y399/60))/(('Lab Analysis'!X399/44)+('Lab Analysis'!Y399/60)),"0")</f>
        <v>0</v>
      </c>
      <c r="Q399" s="191"/>
    </row>
    <row r="400" spans="1:17">
      <c r="A400" s="185">
        <v>46214</v>
      </c>
      <c r="B400" s="186" t="str">
        <f>IFERROR(('Lab Analysis'!E400/('Lab Analysis'!E400+(1.364*'Lab Analysis'!D400))),"0")</f>
        <v>0</v>
      </c>
      <c r="C400" s="186" t="str">
        <f>IFERROR((2*'Lab Analysis'!E400/60)/('Lab Analysis'!C400/17+(2*'Lab Analysis'!E400/60)),"0")</f>
        <v>0</v>
      </c>
      <c r="D400" s="187" t="str">
        <f>IFERROR(((2*('Lab Analysis'!E400/60)+('Lab Analysis'!C400/17))/(('Lab Analysis'!D400/44)+('Lab Analysis'!E400/60))),"0")</f>
        <v>0</v>
      </c>
      <c r="E400" s="187" t="str">
        <f>IFERROR((('Lab Analysis'!F400/18)-('Lab Analysis'!E400/60))/(('Lab Analysis'!D400/44)+('Lab Analysis'!E400/60)),"0")</f>
        <v>0</v>
      </c>
      <c r="F400" s="187" t="str">
        <f>IFERROR((('Lab Analysis'!F400/18)/('Lab Analysis'!E400/60)),"0")</f>
        <v>0</v>
      </c>
      <c r="G400" s="188" t="str">
        <f>IFERROR(('Lab Analysis'!I400/('Lab Analysis'!I400+(1.765*'Lab Analysis'!G400))),"0")</f>
        <v>0</v>
      </c>
      <c r="H400" s="189" t="str">
        <f>IFERROR(((2*('Lab Analysis'!I400/60))+('Lab Analysis'!G400/17))/(('Lab Analysis'!H400/44)+('Lab Analysis'!I400/60)),"0")</f>
        <v>0</v>
      </c>
      <c r="I400" s="189" t="str">
        <f>IFERROR((('Lab Analysis'!J400/18)-('Lab Analysis'!I400/60))/(('Lab Analysis'!H400/44)+('Lab Analysis'!I400/60)),"0")</f>
        <v>0</v>
      </c>
      <c r="J400" s="186" t="str">
        <f>IFERROR(('Lab Analysis'!M400/('Lab Analysis'!M400+(1.765*'Lab Analysis'!K400))),"0")</f>
        <v>0</v>
      </c>
      <c r="K400" s="190" t="str">
        <f>IFERROR(((2*('Lab Analysis'!M400/60))+('Lab Analysis'!K400/17))/(('Lab Analysis'!L400/44)+('Lab Analysis'!M400/60)),"0")</f>
        <v>0</v>
      </c>
      <c r="L400" s="190" t="str">
        <f>IFERROR((('Lab Analysis'!N400/18)-('Lab Analysis'!M400/60))/(('Lab Analysis'!L400/44)+('Lab Analysis'!M400/60)),"0")</f>
        <v>0</v>
      </c>
      <c r="M400" s="187" t="str">
        <f>IFERROR(((2*('Lab Analysis'!U400/60))+('Lab Analysis'!S400/17))/(('Lab Analysis'!T400/44)+('Lab Analysis'!U400/60)),"0")</f>
        <v>0</v>
      </c>
      <c r="N400" s="187" t="str">
        <f>IFERROR((('Lab Analysis'!V400/18)-('Lab Analysis'!U400/60))/(('Lab Analysis'!T400/44)+('Lab Analysis'!U400/60)),"0")</f>
        <v>0</v>
      </c>
      <c r="O400" s="187" t="str">
        <f>IFERROR(((2*('Lab Analysis'!Y400/60)+('Lab Analysis'!W400/17))/(('Lab Analysis'!X400/44)+('Lab Analysis'!Y400/60))),"0")</f>
        <v>0</v>
      </c>
      <c r="P400" s="187" t="str">
        <f>IFERROR((('Lab Analysis'!Z400/18)-('Lab Analysis'!Y400/60))/(('Lab Analysis'!X400/44)+('Lab Analysis'!Y400/60)),"0")</f>
        <v>0</v>
      </c>
      <c r="Q400" s="191"/>
    </row>
    <row r="401" spans="1:17">
      <c r="A401" s="185">
        <v>46215</v>
      </c>
      <c r="B401" s="186" t="str">
        <f>IFERROR(('Lab Analysis'!E401/('Lab Analysis'!E401+(1.364*'Lab Analysis'!D401))),"0")</f>
        <v>0</v>
      </c>
      <c r="C401" s="186" t="str">
        <f>IFERROR((2*'Lab Analysis'!E401/60)/('Lab Analysis'!C401/17+(2*'Lab Analysis'!E401/60)),"0")</f>
        <v>0</v>
      </c>
      <c r="D401" s="187" t="str">
        <f>IFERROR(((2*('Lab Analysis'!E401/60)+('Lab Analysis'!C401/17))/(('Lab Analysis'!D401/44)+('Lab Analysis'!E401/60))),"0")</f>
        <v>0</v>
      </c>
      <c r="E401" s="187" t="str">
        <f>IFERROR((('Lab Analysis'!F401/18)-('Lab Analysis'!E401/60))/(('Lab Analysis'!D401/44)+('Lab Analysis'!E401/60)),"0")</f>
        <v>0</v>
      </c>
      <c r="F401" s="187" t="str">
        <f>IFERROR((('Lab Analysis'!F401/18)/('Lab Analysis'!E401/60)),"0")</f>
        <v>0</v>
      </c>
      <c r="G401" s="188" t="str">
        <f>IFERROR(('Lab Analysis'!I401/('Lab Analysis'!I401+(1.765*'Lab Analysis'!G401))),"0")</f>
        <v>0</v>
      </c>
      <c r="H401" s="189" t="str">
        <f>IFERROR(((2*('Lab Analysis'!I401/60))+('Lab Analysis'!G401/17))/(('Lab Analysis'!H401/44)+('Lab Analysis'!I401/60)),"0")</f>
        <v>0</v>
      </c>
      <c r="I401" s="189" t="str">
        <f>IFERROR((('Lab Analysis'!J401/18)-('Lab Analysis'!I401/60))/(('Lab Analysis'!H401/44)+('Lab Analysis'!I401/60)),"0")</f>
        <v>0</v>
      </c>
      <c r="J401" s="186" t="str">
        <f>IFERROR(('Lab Analysis'!M401/('Lab Analysis'!M401+(1.765*'Lab Analysis'!K401))),"0")</f>
        <v>0</v>
      </c>
      <c r="K401" s="190" t="str">
        <f>IFERROR(((2*('Lab Analysis'!M401/60))+('Lab Analysis'!K401/17))/(('Lab Analysis'!L401/44)+('Lab Analysis'!M401/60)),"0")</f>
        <v>0</v>
      </c>
      <c r="L401" s="190" t="str">
        <f>IFERROR((('Lab Analysis'!N401/18)-('Lab Analysis'!M401/60))/(('Lab Analysis'!L401/44)+('Lab Analysis'!M401/60)),"0")</f>
        <v>0</v>
      </c>
      <c r="M401" s="187" t="str">
        <f>IFERROR(((2*('Lab Analysis'!U401/60))+('Lab Analysis'!S401/17))/(('Lab Analysis'!T401/44)+('Lab Analysis'!U401/60)),"0")</f>
        <v>0</v>
      </c>
      <c r="N401" s="187" t="str">
        <f>IFERROR((('Lab Analysis'!V401/18)-('Lab Analysis'!U401/60))/(('Lab Analysis'!T401/44)+('Lab Analysis'!U401/60)),"0")</f>
        <v>0</v>
      </c>
      <c r="O401" s="187" t="str">
        <f>IFERROR(((2*('Lab Analysis'!Y401/60)+('Lab Analysis'!W401/17))/(('Lab Analysis'!X401/44)+('Lab Analysis'!Y401/60))),"0")</f>
        <v>0</v>
      </c>
      <c r="P401" s="187" t="str">
        <f>IFERROR((('Lab Analysis'!Z401/18)-('Lab Analysis'!Y401/60))/(('Lab Analysis'!X401/44)+('Lab Analysis'!Y401/60)),"0")</f>
        <v>0</v>
      </c>
      <c r="Q401" s="191"/>
    </row>
    <row r="402" spans="1:17">
      <c r="A402" s="185">
        <v>46216</v>
      </c>
      <c r="B402" s="186" t="str">
        <f>IFERROR(('Lab Analysis'!E402/('Lab Analysis'!E402+(1.364*'Lab Analysis'!D402))),"0")</f>
        <v>0</v>
      </c>
      <c r="C402" s="186" t="str">
        <f>IFERROR((2*'Lab Analysis'!E402/60)/('Lab Analysis'!C402/17+(2*'Lab Analysis'!E402/60)),"0")</f>
        <v>0</v>
      </c>
      <c r="D402" s="187" t="str">
        <f>IFERROR(((2*('Lab Analysis'!E402/60)+('Lab Analysis'!C402/17))/(('Lab Analysis'!D402/44)+('Lab Analysis'!E402/60))),"0")</f>
        <v>0</v>
      </c>
      <c r="E402" s="187" t="str">
        <f>IFERROR((('Lab Analysis'!F402/18)-('Lab Analysis'!E402/60))/(('Lab Analysis'!D402/44)+('Lab Analysis'!E402/60)),"0")</f>
        <v>0</v>
      </c>
      <c r="F402" s="187" t="str">
        <f>IFERROR((('Lab Analysis'!F402/18)/('Lab Analysis'!E402/60)),"0")</f>
        <v>0</v>
      </c>
      <c r="G402" s="188" t="str">
        <f>IFERROR(('Lab Analysis'!I402/('Lab Analysis'!I402+(1.765*'Lab Analysis'!G402))),"0")</f>
        <v>0</v>
      </c>
      <c r="H402" s="189" t="str">
        <f>IFERROR(((2*('Lab Analysis'!I402/60))+('Lab Analysis'!G402/17))/(('Lab Analysis'!H402/44)+('Lab Analysis'!I402/60)),"0")</f>
        <v>0</v>
      </c>
      <c r="I402" s="189" t="str">
        <f>IFERROR((('Lab Analysis'!J402/18)-('Lab Analysis'!I402/60))/(('Lab Analysis'!H402/44)+('Lab Analysis'!I402/60)),"0")</f>
        <v>0</v>
      </c>
      <c r="J402" s="186" t="str">
        <f>IFERROR(('Lab Analysis'!M402/('Lab Analysis'!M402+(1.765*'Lab Analysis'!K402))),"0")</f>
        <v>0</v>
      </c>
      <c r="K402" s="190" t="str">
        <f>IFERROR(((2*('Lab Analysis'!M402/60))+('Lab Analysis'!K402/17))/(('Lab Analysis'!L402/44)+('Lab Analysis'!M402/60)),"0")</f>
        <v>0</v>
      </c>
      <c r="L402" s="190" t="str">
        <f>IFERROR((('Lab Analysis'!N402/18)-('Lab Analysis'!M402/60))/(('Lab Analysis'!L402/44)+('Lab Analysis'!M402/60)),"0")</f>
        <v>0</v>
      </c>
      <c r="M402" s="187" t="str">
        <f>IFERROR(((2*('Lab Analysis'!U402/60))+('Lab Analysis'!S402/17))/(('Lab Analysis'!T402/44)+('Lab Analysis'!U402/60)),"0")</f>
        <v>0</v>
      </c>
      <c r="N402" s="187" t="str">
        <f>IFERROR((('Lab Analysis'!V402/18)-('Lab Analysis'!U402/60))/(('Lab Analysis'!T402/44)+('Lab Analysis'!U402/60)),"0")</f>
        <v>0</v>
      </c>
      <c r="O402" s="187" t="str">
        <f>IFERROR(((2*('Lab Analysis'!Y402/60)+('Lab Analysis'!W402/17))/(('Lab Analysis'!X402/44)+('Lab Analysis'!Y402/60))),"0")</f>
        <v>0</v>
      </c>
      <c r="P402" s="187" t="str">
        <f>IFERROR((('Lab Analysis'!Z402/18)-('Lab Analysis'!Y402/60))/(('Lab Analysis'!X402/44)+('Lab Analysis'!Y402/60)),"0")</f>
        <v>0</v>
      </c>
      <c r="Q402" s="191"/>
    </row>
    <row r="403" spans="1:17">
      <c r="A403" s="185">
        <v>46217</v>
      </c>
      <c r="B403" s="186" t="str">
        <f>IFERROR(('Lab Analysis'!E403/('Lab Analysis'!E403+(1.364*'Lab Analysis'!D403))),"0")</f>
        <v>0</v>
      </c>
      <c r="C403" s="186" t="str">
        <f>IFERROR((2*'Lab Analysis'!E403/60)/('Lab Analysis'!C403/17+(2*'Lab Analysis'!E403/60)),"0")</f>
        <v>0</v>
      </c>
      <c r="D403" s="187" t="str">
        <f>IFERROR(((2*('Lab Analysis'!E403/60)+('Lab Analysis'!C403/17))/(('Lab Analysis'!D403/44)+('Lab Analysis'!E403/60))),"0")</f>
        <v>0</v>
      </c>
      <c r="E403" s="187" t="str">
        <f>IFERROR((('Lab Analysis'!F403/18)-('Lab Analysis'!E403/60))/(('Lab Analysis'!D403/44)+('Lab Analysis'!E403/60)),"0")</f>
        <v>0</v>
      </c>
      <c r="F403" s="187" t="str">
        <f>IFERROR((('Lab Analysis'!F403/18)/('Lab Analysis'!E403/60)),"0")</f>
        <v>0</v>
      </c>
      <c r="G403" s="188" t="str">
        <f>IFERROR(('Lab Analysis'!I403/('Lab Analysis'!I403+(1.765*'Lab Analysis'!G403))),"0")</f>
        <v>0</v>
      </c>
      <c r="H403" s="189" t="str">
        <f>IFERROR(((2*('Lab Analysis'!I403/60))+('Lab Analysis'!G403/17))/(('Lab Analysis'!H403/44)+('Lab Analysis'!I403/60)),"0")</f>
        <v>0</v>
      </c>
      <c r="I403" s="189" t="str">
        <f>IFERROR((('Lab Analysis'!J403/18)-('Lab Analysis'!I403/60))/(('Lab Analysis'!H403/44)+('Lab Analysis'!I403/60)),"0")</f>
        <v>0</v>
      </c>
      <c r="J403" s="186" t="str">
        <f>IFERROR(('Lab Analysis'!M403/('Lab Analysis'!M403+(1.765*'Lab Analysis'!K403))),"0")</f>
        <v>0</v>
      </c>
      <c r="K403" s="190" t="str">
        <f>IFERROR(((2*('Lab Analysis'!M403/60))+('Lab Analysis'!K403/17))/(('Lab Analysis'!L403/44)+('Lab Analysis'!M403/60)),"0")</f>
        <v>0</v>
      </c>
      <c r="L403" s="190" t="str">
        <f>IFERROR((('Lab Analysis'!N403/18)-('Lab Analysis'!M403/60))/(('Lab Analysis'!L403/44)+('Lab Analysis'!M403/60)),"0")</f>
        <v>0</v>
      </c>
      <c r="M403" s="187" t="str">
        <f>IFERROR(((2*('Lab Analysis'!U403/60))+('Lab Analysis'!S403/17))/(('Lab Analysis'!T403/44)+('Lab Analysis'!U403/60)),"0")</f>
        <v>0</v>
      </c>
      <c r="N403" s="187" t="str">
        <f>IFERROR((('Lab Analysis'!V403/18)-('Lab Analysis'!U403/60))/(('Lab Analysis'!T403/44)+('Lab Analysis'!U403/60)),"0")</f>
        <v>0</v>
      </c>
      <c r="O403" s="187" t="str">
        <f>IFERROR(((2*('Lab Analysis'!Y403/60)+('Lab Analysis'!W403/17))/(('Lab Analysis'!X403/44)+('Lab Analysis'!Y403/60))),"0")</f>
        <v>0</v>
      </c>
      <c r="P403" s="187" t="str">
        <f>IFERROR((('Lab Analysis'!Z403/18)-('Lab Analysis'!Y403/60))/(('Lab Analysis'!X403/44)+('Lab Analysis'!Y403/60)),"0")</f>
        <v>0</v>
      </c>
      <c r="Q403" s="191"/>
    </row>
    <row r="404" spans="1:17">
      <c r="A404" s="185">
        <v>46218</v>
      </c>
      <c r="B404" s="186" t="str">
        <f>IFERROR(('Lab Analysis'!E404/('Lab Analysis'!E404+(1.364*'Lab Analysis'!D404))),"0")</f>
        <v>0</v>
      </c>
      <c r="C404" s="186" t="str">
        <f>IFERROR((2*'Lab Analysis'!E404/60)/('Lab Analysis'!C404/17+(2*'Lab Analysis'!E404/60)),"0")</f>
        <v>0</v>
      </c>
      <c r="D404" s="187" t="str">
        <f>IFERROR(((2*('Lab Analysis'!E404/60)+('Lab Analysis'!C404/17))/(('Lab Analysis'!D404/44)+('Lab Analysis'!E404/60))),"0")</f>
        <v>0</v>
      </c>
      <c r="E404" s="187" t="str">
        <f>IFERROR((('Lab Analysis'!F404/18)-('Lab Analysis'!E404/60))/(('Lab Analysis'!D404/44)+('Lab Analysis'!E404/60)),"0")</f>
        <v>0</v>
      </c>
      <c r="F404" s="187" t="str">
        <f>IFERROR((('Lab Analysis'!F404/18)/('Lab Analysis'!E404/60)),"0")</f>
        <v>0</v>
      </c>
      <c r="G404" s="188" t="str">
        <f>IFERROR(('Lab Analysis'!I404/('Lab Analysis'!I404+(1.765*'Lab Analysis'!G404))),"0")</f>
        <v>0</v>
      </c>
      <c r="H404" s="189" t="str">
        <f>IFERROR(((2*('Lab Analysis'!I404/60))+('Lab Analysis'!G404/17))/(('Lab Analysis'!H404/44)+('Lab Analysis'!I404/60)),"0")</f>
        <v>0</v>
      </c>
      <c r="I404" s="189" t="str">
        <f>IFERROR((('Lab Analysis'!J404/18)-('Lab Analysis'!I404/60))/(('Lab Analysis'!H404/44)+('Lab Analysis'!I404/60)),"0")</f>
        <v>0</v>
      </c>
      <c r="J404" s="186" t="str">
        <f>IFERROR(('Lab Analysis'!M404/('Lab Analysis'!M404+(1.765*'Lab Analysis'!K404))),"0")</f>
        <v>0</v>
      </c>
      <c r="K404" s="190" t="str">
        <f>IFERROR(((2*('Lab Analysis'!M404/60))+('Lab Analysis'!K404/17))/(('Lab Analysis'!L404/44)+('Lab Analysis'!M404/60)),"0")</f>
        <v>0</v>
      </c>
      <c r="L404" s="190" t="str">
        <f>IFERROR((('Lab Analysis'!N404/18)-('Lab Analysis'!M404/60))/(('Lab Analysis'!L404/44)+('Lab Analysis'!M404/60)),"0")</f>
        <v>0</v>
      </c>
      <c r="M404" s="187" t="str">
        <f>IFERROR(((2*('Lab Analysis'!U404/60))+('Lab Analysis'!S404/17))/(('Lab Analysis'!T404/44)+('Lab Analysis'!U404/60)),"0")</f>
        <v>0</v>
      </c>
      <c r="N404" s="187" t="str">
        <f>IFERROR((('Lab Analysis'!V404/18)-('Lab Analysis'!U404/60))/(('Lab Analysis'!T404/44)+('Lab Analysis'!U404/60)),"0")</f>
        <v>0</v>
      </c>
      <c r="O404" s="187" t="str">
        <f>IFERROR(((2*('Lab Analysis'!Y404/60)+('Lab Analysis'!W404/17))/(('Lab Analysis'!X404/44)+('Lab Analysis'!Y404/60))),"0")</f>
        <v>0</v>
      </c>
      <c r="P404" s="187" t="str">
        <f>IFERROR((('Lab Analysis'!Z404/18)-('Lab Analysis'!Y404/60))/(('Lab Analysis'!X404/44)+('Lab Analysis'!Y404/60)),"0")</f>
        <v>0</v>
      </c>
      <c r="Q404" s="191"/>
    </row>
    <row r="405" spans="1:17">
      <c r="A405" s="185">
        <v>46219</v>
      </c>
      <c r="B405" s="186" t="str">
        <f>IFERROR(('Lab Analysis'!E405/('Lab Analysis'!E405+(1.364*'Lab Analysis'!D405))),"0")</f>
        <v>0</v>
      </c>
      <c r="C405" s="186" t="str">
        <f>IFERROR((2*'Lab Analysis'!E405/60)/('Lab Analysis'!C405/17+(2*'Lab Analysis'!E405/60)),"0")</f>
        <v>0</v>
      </c>
      <c r="D405" s="187" t="str">
        <f>IFERROR(((2*('Lab Analysis'!E405/60)+('Lab Analysis'!C405/17))/(('Lab Analysis'!D405/44)+('Lab Analysis'!E405/60))),"0")</f>
        <v>0</v>
      </c>
      <c r="E405" s="187" t="str">
        <f>IFERROR((('Lab Analysis'!F405/18)-('Lab Analysis'!E405/60))/(('Lab Analysis'!D405/44)+('Lab Analysis'!E405/60)),"0")</f>
        <v>0</v>
      </c>
      <c r="F405" s="187" t="str">
        <f>IFERROR((('Lab Analysis'!F405/18)/('Lab Analysis'!E405/60)),"0")</f>
        <v>0</v>
      </c>
      <c r="G405" s="188" t="str">
        <f>IFERROR(('Lab Analysis'!I405/('Lab Analysis'!I405+(1.765*'Lab Analysis'!G405))),"0")</f>
        <v>0</v>
      </c>
      <c r="H405" s="189" t="str">
        <f>IFERROR(((2*('Lab Analysis'!I405/60))+('Lab Analysis'!G405/17))/(('Lab Analysis'!H405/44)+('Lab Analysis'!I405/60)),"0")</f>
        <v>0</v>
      </c>
      <c r="I405" s="189" t="str">
        <f>IFERROR((('Lab Analysis'!J405/18)-('Lab Analysis'!I405/60))/(('Lab Analysis'!H405/44)+('Lab Analysis'!I405/60)),"0")</f>
        <v>0</v>
      </c>
      <c r="J405" s="186" t="str">
        <f>IFERROR(('Lab Analysis'!M405/('Lab Analysis'!M405+(1.765*'Lab Analysis'!K405))),"0")</f>
        <v>0</v>
      </c>
      <c r="K405" s="190" t="str">
        <f>IFERROR(((2*('Lab Analysis'!M405/60))+('Lab Analysis'!K405/17))/(('Lab Analysis'!L405/44)+('Lab Analysis'!M405/60)),"0")</f>
        <v>0</v>
      </c>
      <c r="L405" s="190" t="str">
        <f>IFERROR((('Lab Analysis'!N405/18)-('Lab Analysis'!M405/60))/(('Lab Analysis'!L405/44)+('Lab Analysis'!M405/60)),"0")</f>
        <v>0</v>
      </c>
      <c r="M405" s="187" t="str">
        <f>IFERROR(((2*('Lab Analysis'!U405/60))+('Lab Analysis'!S405/17))/(('Lab Analysis'!T405/44)+('Lab Analysis'!U405/60)),"0")</f>
        <v>0</v>
      </c>
      <c r="N405" s="187" t="str">
        <f>IFERROR((('Lab Analysis'!V405/18)-('Lab Analysis'!U405/60))/(('Lab Analysis'!T405/44)+('Lab Analysis'!U405/60)),"0")</f>
        <v>0</v>
      </c>
      <c r="O405" s="187" t="str">
        <f>IFERROR(((2*('Lab Analysis'!Y405/60)+('Lab Analysis'!W405/17))/(('Lab Analysis'!X405/44)+('Lab Analysis'!Y405/60))),"0")</f>
        <v>0</v>
      </c>
      <c r="P405" s="187" t="str">
        <f>IFERROR((('Lab Analysis'!Z405/18)-('Lab Analysis'!Y405/60))/(('Lab Analysis'!X405/44)+('Lab Analysis'!Y405/60)),"0")</f>
        <v>0</v>
      </c>
      <c r="Q405" s="191"/>
    </row>
    <row r="406" spans="1:17">
      <c r="A406" s="185">
        <v>46220</v>
      </c>
      <c r="B406" s="186" t="str">
        <f>IFERROR(('Lab Analysis'!E406/('Lab Analysis'!E406+(1.364*'Lab Analysis'!D406))),"0")</f>
        <v>0</v>
      </c>
      <c r="C406" s="186" t="str">
        <f>IFERROR((2*'Lab Analysis'!E406/60)/('Lab Analysis'!C406/17+(2*'Lab Analysis'!E406/60)),"0")</f>
        <v>0</v>
      </c>
      <c r="D406" s="187" t="str">
        <f>IFERROR(((2*('Lab Analysis'!E406/60)+('Lab Analysis'!C406/17))/(('Lab Analysis'!D406/44)+('Lab Analysis'!E406/60))),"0")</f>
        <v>0</v>
      </c>
      <c r="E406" s="187" t="str">
        <f>IFERROR((('Lab Analysis'!F406/18)-('Lab Analysis'!E406/60))/(('Lab Analysis'!D406/44)+('Lab Analysis'!E406/60)),"0")</f>
        <v>0</v>
      </c>
      <c r="F406" s="187" t="str">
        <f>IFERROR((('Lab Analysis'!F406/18)/('Lab Analysis'!E406/60)),"0")</f>
        <v>0</v>
      </c>
      <c r="G406" s="188" t="str">
        <f>IFERROR(('Lab Analysis'!I406/('Lab Analysis'!I406+(1.765*'Lab Analysis'!G406))),"0")</f>
        <v>0</v>
      </c>
      <c r="H406" s="189" t="str">
        <f>IFERROR(((2*('Lab Analysis'!I406/60))+('Lab Analysis'!G406/17))/(('Lab Analysis'!H406/44)+('Lab Analysis'!I406/60)),"0")</f>
        <v>0</v>
      </c>
      <c r="I406" s="189" t="str">
        <f>IFERROR((('Lab Analysis'!J406/18)-('Lab Analysis'!I406/60))/(('Lab Analysis'!H406/44)+('Lab Analysis'!I406/60)),"0")</f>
        <v>0</v>
      </c>
      <c r="J406" s="186" t="str">
        <f>IFERROR(('Lab Analysis'!M406/('Lab Analysis'!M406+(1.765*'Lab Analysis'!K406))),"0")</f>
        <v>0</v>
      </c>
      <c r="K406" s="190" t="str">
        <f>IFERROR(((2*('Lab Analysis'!M406/60))+('Lab Analysis'!K406/17))/(('Lab Analysis'!L406/44)+('Lab Analysis'!M406/60)),"0")</f>
        <v>0</v>
      </c>
      <c r="L406" s="190" t="str">
        <f>IFERROR((('Lab Analysis'!N406/18)-('Lab Analysis'!M406/60))/(('Lab Analysis'!L406/44)+('Lab Analysis'!M406/60)),"0")</f>
        <v>0</v>
      </c>
      <c r="M406" s="187" t="str">
        <f>IFERROR(((2*('Lab Analysis'!U406/60))+('Lab Analysis'!S406/17))/(('Lab Analysis'!T406/44)+('Lab Analysis'!U406/60)),"0")</f>
        <v>0</v>
      </c>
      <c r="N406" s="187" t="str">
        <f>IFERROR((('Lab Analysis'!V406/18)-('Lab Analysis'!U406/60))/(('Lab Analysis'!T406/44)+('Lab Analysis'!U406/60)),"0")</f>
        <v>0</v>
      </c>
      <c r="O406" s="187" t="str">
        <f>IFERROR(((2*('Lab Analysis'!Y406/60)+('Lab Analysis'!W406/17))/(('Lab Analysis'!X406/44)+('Lab Analysis'!Y406/60))),"0")</f>
        <v>0</v>
      </c>
      <c r="P406" s="187" t="str">
        <f>IFERROR((('Lab Analysis'!Z406/18)-('Lab Analysis'!Y406/60))/(('Lab Analysis'!X406/44)+('Lab Analysis'!Y406/60)),"0")</f>
        <v>0</v>
      </c>
      <c r="Q406" s="191"/>
    </row>
    <row r="407" spans="1:17">
      <c r="A407" s="185">
        <v>46221</v>
      </c>
      <c r="B407" s="186" t="str">
        <f>IFERROR(('Lab Analysis'!E407/('Lab Analysis'!E407+(1.364*'Lab Analysis'!D407))),"0")</f>
        <v>0</v>
      </c>
      <c r="C407" s="186" t="str">
        <f>IFERROR((2*'Lab Analysis'!E407/60)/('Lab Analysis'!C407/17+(2*'Lab Analysis'!E407/60)),"0")</f>
        <v>0</v>
      </c>
      <c r="D407" s="187" t="str">
        <f>IFERROR(((2*('Lab Analysis'!E407/60)+('Lab Analysis'!C407/17))/(('Lab Analysis'!D407/44)+('Lab Analysis'!E407/60))),"0")</f>
        <v>0</v>
      </c>
      <c r="E407" s="187" t="str">
        <f>IFERROR((('Lab Analysis'!F407/18)-('Lab Analysis'!E407/60))/(('Lab Analysis'!D407/44)+('Lab Analysis'!E407/60)),"0")</f>
        <v>0</v>
      </c>
      <c r="F407" s="187" t="str">
        <f>IFERROR((('Lab Analysis'!F407/18)/('Lab Analysis'!E407/60)),"0")</f>
        <v>0</v>
      </c>
      <c r="G407" s="188" t="str">
        <f>IFERROR(('Lab Analysis'!I407/('Lab Analysis'!I407+(1.765*'Lab Analysis'!G407))),"0")</f>
        <v>0</v>
      </c>
      <c r="H407" s="189" t="str">
        <f>IFERROR(((2*('Lab Analysis'!I407/60))+('Lab Analysis'!G407/17))/(('Lab Analysis'!H407/44)+('Lab Analysis'!I407/60)),"0")</f>
        <v>0</v>
      </c>
      <c r="I407" s="189" t="str">
        <f>IFERROR((('Lab Analysis'!J407/18)-('Lab Analysis'!I407/60))/(('Lab Analysis'!H407/44)+('Lab Analysis'!I407/60)),"0")</f>
        <v>0</v>
      </c>
      <c r="J407" s="186" t="str">
        <f>IFERROR(('Lab Analysis'!M407/('Lab Analysis'!M407+(1.765*'Lab Analysis'!K407))),"0")</f>
        <v>0</v>
      </c>
      <c r="K407" s="190" t="str">
        <f>IFERROR(((2*('Lab Analysis'!M407/60))+('Lab Analysis'!K407/17))/(('Lab Analysis'!L407/44)+('Lab Analysis'!M407/60)),"0")</f>
        <v>0</v>
      </c>
      <c r="L407" s="190" t="str">
        <f>IFERROR((('Lab Analysis'!N407/18)-('Lab Analysis'!M407/60))/(('Lab Analysis'!L407/44)+('Lab Analysis'!M407/60)),"0")</f>
        <v>0</v>
      </c>
      <c r="M407" s="187" t="str">
        <f>IFERROR(((2*('Lab Analysis'!U407/60))+('Lab Analysis'!S407/17))/(('Lab Analysis'!T407/44)+('Lab Analysis'!U407/60)),"0")</f>
        <v>0</v>
      </c>
      <c r="N407" s="187" t="str">
        <f>IFERROR((('Lab Analysis'!V407/18)-('Lab Analysis'!U407/60))/(('Lab Analysis'!T407/44)+('Lab Analysis'!U407/60)),"0")</f>
        <v>0</v>
      </c>
      <c r="O407" s="187" t="str">
        <f>IFERROR(((2*('Lab Analysis'!Y407/60)+('Lab Analysis'!W407/17))/(('Lab Analysis'!X407/44)+('Lab Analysis'!Y407/60))),"0")</f>
        <v>0</v>
      </c>
      <c r="P407" s="187" t="str">
        <f>IFERROR((('Lab Analysis'!Z407/18)-('Lab Analysis'!Y407/60))/(('Lab Analysis'!X407/44)+('Lab Analysis'!Y407/60)),"0")</f>
        <v>0</v>
      </c>
      <c r="Q407" s="191"/>
    </row>
    <row r="408" spans="1:17">
      <c r="A408" s="185">
        <v>46222</v>
      </c>
      <c r="B408" s="186" t="str">
        <f>IFERROR(('Lab Analysis'!E408/('Lab Analysis'!E408+(1.364*'Lab Analysis'!D408))),"0")</f>
        <v>0</v>
      </c>
      <c r="C408" s="186" t="str">
        <f>IFERROR((2*'Lab Analysis'!E408/60)/('Lab Analysis'!C408/17+(2*'Lab Analysis'!E408/60)),"0")</f>
        <v>0</v>
      </c>
      <c r="D408" s="187" t="str">
        <f>IFERROR(((2*('Lab Analysis'!E408/60)+('Lab Analysis'!C408/17))/(('Lab Analysis'!D408/44)+('Lab Analysis'!E408/60))),"0")</f>
        <v>0</v>
      </c>
      <c r="E408" s="187" t="str">
        <f>IFERROR((('Lab Analysis'!F408/18)-('Lab Analysis'!E408/60))/(('Lab Analysis'!D408/44)+('Lab Analysis'!E408/60)),"0")</f>
        <v>0</v>
      </c>
      <c r="F408" s="187" t="str">
        <f>IFERROR((('Lab Analysis'!F408/18)/('Lab Analysis'!E408/60)),"0")</f>
        <v>0</v>
      </c>
      <c r="G408" s="188" t="str">
        <f>IFERROR(('Lab Analysis'!I408/('Lab Analysis'!I408+(1.765*'Lab Analysis'!G408))),"0")</f>
        <v>0</v>
      </c>
      <c r="H408" s="189" t="str">
        <f>IFERROR(((2*('Lab Analysis'!I408/60))+('Lab Analysis'!G408/17))/(('Lab Analysis'!H408/44)+('Lab Analysis'!I408/60)),"0")</f>
        <v>0</v>
      </c>
      <c r="I408" s="189" t="str">
        <f>IFERROR((('Lab Analysis'!J408/18)-('Lab Analysis'!I408/60))/(('Lab Analysis'!H408/44)+('Lab Analysis'!I408/60)),"0")</f>
        <v>0</v>
      </c>
      <c r="J408" s="186" t="str">
        <f>IFERROR(('Lab Analysis'!M408/('Lab Analysis'!M408+(1.765*'Lab Analysis'!K408))),"0")</f>
        <v>0</v>
      </c>
      <c r="K408" s="190" t="str">
        <f>IFERROR(((2*('Lab Analysis'!M408/60))+('Lab Analysis'!K408/17))/(('Lab Analysis'!L408/44)+('Lab Analysis'!M408/60)),"0")</f>
        <v>0</v>
      </c>
      <c r="L408" s="190" t="str">
        <f>IFERROR((('Lab Analysis'!N408/18)-('Lab Analysis'!M408/60))/(('Lab Analysis'!L408/44)+('Lab Analysis'!M408/60)),"0")</f>
        <v>0</v>
      </c>
      <c r="M408" s="187" t="str">
        <f>IFERROR(((2*('Lab Analysis'!U408/60))+('Lab Analysis'!S408/17))/(('Lab Analysis'!T408/44)+('Lab Analysis'!U408/60)),"0")</f>
        <v>0</v>
      </c>
      <c r="N408" s="187" t="str">
        <f>IFERROR((('Lab Analysis'!V408/18)-('Lab Analysis'!U408/60))/(('Lab Analysis'!T408/44)+('Lab Analysis'!U408/60)),"0")</f>
        <v>0</v>
      </c>
      <c r="O408" s="187" t="str">
        <f>IFERROR(((2*('Lab Analysis'!Y408/60)+('Lab Analysis'!W408/17))/(('Lab Analysis'!X408/44)+('Lab Analysis'!Y408/60))),"0")</f>
        <v>0</v>
      </c>
      <c r="P408" s="187" t="str">
        <f>IFERROR((('Lab Analysis'!Z408/18)-('Lab Analysis'!Y408/60))/(('Lab Analysis'!X408/44)+('Lab Analysis'!Y408/60)),"0")</f>
        <v>0</v>
      </c>
      <c r="Q408" s="191"/>
    </row>
    <row r="409" spans="1:17">
      <c r="A409" s="185">
        <v>46223</v>
      </c>
      <c r="B409" s="186" t="str">
        <f>IFERROR(('Lab Analysis'!E409/('Lab Analysis'!E409+(1.364*'Lab Analysis'!D409))),"0")</f>
        <v>0</v>
      </c>
      <c r="C409" s="186" t="str">
        <f>IFERROR((2*'Lab Analysis'!E409/60)/('Lab Analysis'!C409/17+(2*'Lab Analysis'!E409/60)),"0")</f>
        <v>0</v>
      </c>
      <c r="D409" s="187" t="str">
        <f>IFERROR(((2*('Lab Analysis'!E409/60)+('Lab Analysis'!C409/17))/(('Lab Analysis'!D409/44)+('Lab Analysis'!E409/60))),"0")</f>
        <v>0</v>
      </c>
      <c r="E409" s="187" t="str">
        <f>IFERROR((('Lab Analysis'!F409/18)-('Lab Analysis'!E409/60))/(('Lab Analysis'!D409/44)+('Lab Analysis'!E409/60)),"0")</f>
        <v>0</v>
      </c>
      <c r="F409" s="187" t="str">
        <f>IFERROR((('Lab Analysis'!F409/18)/('Lab Analysis'!E409/60)),"0")</f>
        <v>0</v>
      </c>
      <c r="G409" s="188" t="str">
        <f>IFERROR(('Lab Analysis'!I409/('Lab Analysis'!I409+(1.765*'Lab Analysis'!G409))),"0")</f>
        <v>0</v>
      </c>
      <c r="H409" s="189" t="str">
        <f>IFERROR(((2*('Lab Analysis'!I409/60))+('Lab Analysis'!G409/17))/(('Lab Analysis'!H409/44)+('Lab Analysis'!I409/60)),"0")</f>
        <v>0</v>
      </c>
      <c r="I409" s="189" t="str">
        <f>IFERROR((('Lab Analysis'!J409/18)-('Lab Analysis'!I409/60))/(('Lab Analysis'!H409/44)+('Lab Analysis'!I409/60)),"0")</f>
        <v>0</v>
      </c>
      <c r="J409" s="186" t="str">
        <f>IFERROR(('Lab Analysis'!M409/('Lab Analysis'!M409+(1.765*'Lab Analysis'!K409))),"0")</f>
        <v>0</v>
      </c>
      <c r="K409" s="190" t="str">
        <f>IFERROR(((2*('Lab Analysis'!M409/60))+('Lab Analysis'!K409/17))/(('Lab Analysis'!L409/44)+('Lab Analysis'!M409/60)),"0")</f>
        <v>0</v>
      </c>
      <c r="L409" s="190" t="str">
        <f>IFERROR((('Lab Analysis'!N409/18)-('Lab Analysis'!M409/60))/(('Lab Analysis'!L409/44)+('Lab Analysis'!M409/60)),"0")</f>
        <v>0</v>
      </c>
      <c r="M409" s="187" t="str">
        <f>IFERROR(((2*('Lab Analysis'!U409/60))+('Lab Analysis'!S409/17))/(('Lab Analysis'!T409/44)+('Lab Analysis'!U409/60)),"0")</f>
        <v>0</v>
      </c>
      <c r="N409" s="187" t="str">
        <f>IFERROR((('Lab Analysis'!V409/18)-('Lab Analysis'!U409/60))/(('Lab Analysis'!T409/44)+('Lab Analysis'!U409/60)),"0")</f>
        <v>0</v>
      </c>
      <c r="O409" s="187" t="str">
        <f>IFERROR(((2*('Lab Analysis'!Y409/60)+('Lab Analysis'!W409/17))/(('Lab Analysis'!X409/44)+('Lab Analysis'!Y409/60))),"0")</f>
        <v>0</v>
      </c>
      <c r="P409" s="187" t="str">
        <f>IFERROR((('Lab Analysis'!Z409/18)-('Lab Analysis'!Y409/60))/(('Lab Analysis'!X409/44)+('Lab Analysis'!Y409/60)),"0")</f>
        <v>0</v>
      </c>
      <c r="Q409" s="191"/>
    </row>
    <row r="410" spans="1:17">
      <c r="A410" s="185">
        <v>46224</v>
      </c>
      <c r="B410" s="186" t="str">
        <f>IFERROR(('Lab Analysis'!E410/('Lab Analysis'!E410+(1.364*'Lab Analysis'!D410))),"0")</f>
        <v>0</v>
      </c>
      <c r="C410" s="186" t="str">
        <f>IFERROR((2*'Lab Analysis'!E410/60)/('Lab Analysis'!C410/17+(2*'Lab Analysis'!E410/60)),"0")</f>
        <v>0</v>
      </c>
      <c r="D410" s="187" t="str">
        <f>IFERROR(((2*('Lab Analysis'!E410/60)+('Lab Analysis'!C410/17))/(('Lab Analysis'!D410/44)+('Lab Analysis'!E410/60))),"0")</f>
        <v>0</v>
      </c>
      <c r="E410" s="187" t="str">
        <f>IFERROR((('Lab Analysis'!F410/18)-('Lab Analysis'!E410/60))/(('Lab Analysis'!D410/44)+('Lab Analysis'!E410/60)),"0")</f>
        <v>0</v>
      </c>
      <c r="F410" s="187" t="str">
        <f>IFERROR((('Lab Analysis'!F410/18)/('Lab Analysis'!E410/60)),"0")</f>
        <v>0</v>
      </c>
      <c r="G410" s="188" t="str">
        <f>IFERROR(('Lab Analysis'!I410/('Lab Analysis'!I410+(1.765*'Lab Analysis'!G410))),"0")</f>
        <v>0</v>
      </c>
      <c r="H410" s="189" t="str">
        <f>IFERROR(((2*('Lab Analysis'!I410/60))+('Lab Analysis'!G410/17))/(('Lab Analysis'!H410/44)+('Lab Analysis'!I410/60)),"0")</f>
        <v>0</v>
      </c>
      <c r="I410" s="189" t="str">
        <f>IFERROR((('Lab Analysis'!J410/18)-('Lab Analysis'!I410/60))/(('Lab Analysis'!H410/44)+('Lab Analysis'!I410/60)),"0")</f>
        <v>0</v>
      </c>
      <c r="J410" s="186" t="str">
        <f>IFERROR(('Lab Analysis'!M410/('Lab Analysis'!M410+(1.765*'Lab Analysis'!K410))),"0")</f>
        <v>0</v>
      </c>
      <c r="K410" s="190" t="str">
        <f>IFERROR(((2*('Lab Analysis'!M410/60))+('Lab Analysis'!K410/17))/(('Lab Analysis'!L410/44)+('Lab Analysis'!M410/60)),"0")</f>
        <v>0</v>
      </c>
      <c r="L410" s="190" t="str">
        <f>IFERROR((('Lab Analysis'!N410/18)-('Lab Analysis'!M410/60))/(('Lab Analysis'!L410/44)+('Lab Analysis'!M410/60)),"0")</f>
        <v>0</v>
      </c>
      <c r="M410" s="187" t="str">
        <f>IFERROR(((2*('Lab Analysis'!U410/60))+('Lab Analysis'!S410/17))/(('Lab Analysis'!T410/44)+('Lab Analysis'!U410/60)),"0")</f>
        <v>0</v>
      </c>
      <c r="N410" s="187" t="str">
        <f>IFERROR((('Lab Analysis'!V410/18)-('Lab Analysis'!U410/60))/(('Lab Analysis'!T410/44)+('Lab Analysis'!U410/60)),"0")</f>
        <v>0</v>
      </c>
      <c r="O410" s="187" t="str">
        <f>IFERROR(((2*('Lab Analysis'!Y410/60)+('Lab Analysis'!W410/17))/(('Lab Analysis'!X410/44)+('Lab Analysis'!Y410/60))),"0")</f>
        <v>0</v>
      </c>
      <c r="P410" s="187" t="str">
        <f>IFERROR((('Lab Analysis'!Z410/18)-('Lab Analysis'!Y410/60))/(('Lab Analysis'!X410/44)+('Lab Analysis'!Y410/60)),"0")</f>
        <v>0</v>
      </c>
      <c r="Q410" s="191"/>
    </row>
    <row r="411" spans="1:17">
      <c r="A411" s="185">
        <v>46225</v>
      </c>
      <c r="B411" s="186" t="str">
        <f>IFERROR(('Lab Analysis'!E411/('Lab Analysis'!E411+(1.364*'Lab Analysis'!D411))),"0")</f>
        <v>0</v>
      </c>
      <c r="C411" s="186" t="str">
        <f>IFERROR((2*'Lab Analysis'!E411/60)/('Lab Analysis'!C411/17+(2*'Lab Analysis'!E411/60)),"0")</f>
        <v>0</v>
      </c>
      <c r="D411" s="187" t="str">
        <f>IFERROR(((2*('Lab Analysis'!E411/60)+('Lab Analysis'!C411/17))/(('Lab Analysis'!D411/44)+('Lab Analysis'!E411/60))),"0")</f>
        <v>0</v>
      </c>
      <c r="E411" s="187" t="str">
        <f>IFERROR((('Lab Analysis'!F411/18)-('Lab Analysis'!E411/60))/(('Lab Analysis'!D411/44)+('Lab Analysis'!E411/60)),"0")</f>
        <v>0</v>
      </c>
      <c r="F411" s="187" t="str">
        <f>IFERROR((('Lab Analysis'!F411/18)/('Lab Analysis'!E411/60)),"0")</f>
        <v>0</v>
      </c>
      <c r="G411" s="188" t="str">
        <f>IFERROR(('Lab Analysis'!I411/('Lab Analysis'!I411+(1.765*'Lab Analysis'!G411))),"0")</f>
        <v>0</v>
      </c>
      <c r="H411" s="189" t="str">
        <f>IFERROR(((2*('Lab Analysis'!I411/60))+('Lab Analysis'!G411/17))/(('Lab Analysis'!H411/44)+('Lab Analysis'!I411/60)),"0")</f>
        <v>0</v>
      </c>
      <c r="I411" s="189" t="str">
        <f>IFERROR((('Lab Analysis'!J411/18)-('Lab Analysis'!I411/60))/(('Lab Analysis'!H411/44)+('Lab Analysis'!I411/60)),"0")</f>
        <v>0</v>
      </c>
      <c r="J411" s="186" t="str">
        <f>IFERROR(('Lab Analysis'!M411/('Lab Analysis'!M411+(1.765*'Lab Analysis'!K411))),"0")</f>
        <v>0</v>
      </c>
      <c r="K411" s="190" t="str">
        <f>IFERROR(((2*('Lab Analysis'!M411/60))+('Lab Analysis'!K411/17))/(('Lab Analysis'!L411/44)+('Lab Analysis'!M411/60)),"0")</f>
        <v>0</v>
      </c>
      <c r="L411" s="190" t="str">
        <f>IFERROR((('Lab Analysis'!N411/18)-('Lab Analysis'!M411/60))/(('Lab Analysis'!L411/44)+('Lab Analysis'!M411/60)),"0")</f>
        <v>0</v>
      </c>
      <c r="M411" s="187" t="str">
        <f>IFERROR(((2*('Lab Analysis'!U411/60))+('Lab Analysis'!S411/17))/(('Lab Analysis'!T411/44)+('Lab Analysis'!U411/60)),"0")</f>
        <v>0</v>
      </c>
      <c r="N411" s="187" t="str">
        <f>IFERROR((('Lab Analysis'!V411/18)-('Lab Analysis'!U411/60))/(('Lab Analysis'!T411/44)+('Lab Analysis'!U411/60)),"0")</f>
        <v>0</v>
      </c>
      <c r="O411" s="187" t="str">
        <f>IFERROR(((2*('Lab Analysis'!Y411/60)+('Lab Analysis'!W411/17))/(('Lab Analysis'!X411/44)+('Lab Analysis'!Y411/60))),"0")</f>
        <v>0</v>
      </c>
      <c r="P411" s="187" t="str">
        <f>IFERROR((('Lab Analysis'!Z411/18)-('Lab Analysis'!Y411/60))/(('Lab Analysis'!X411/44)+('Lab Analysis'!Y411/60)),"0")</f>
        <v>0</v>
      </c>
      <c r="Q411" s="191"/>
    </row>
    <row r="412" spans="1:17">
      <c r="A412" s="185">
        <v>46226</v>
      </c>
      <c r="B412" s="186" t="str">
        <f>IFERROR(('Lab Analysis'!E412/('Lab Analysis'!E412+(1.364*'Lab Analysis'!D412))),"0")</f>
        <v>0</v>
      </c>
      <c r="C412" s="186" t="str">
        <f>IFERROR((2*'Lab Analysis'!E412/60)/('Lab Analysis'!C412/17+(2*'Lab Analysis'!E412/60)),"0")</f>
        <v>0</v>
      </c>
      <c r="D412" s="187" t="str">
        <f>IFERROR(((2*('Lab Analysis'!E412/60)+('Lab Analysis'!C412/17))/(('Lab Analysis'!D412/44)+('Lab Analysis'!E412/60))),"0")</f>
        <v>0</v>
      </c>
      <c r="E412" s="187" t="str">
        <f>IFERROR((('Lab Analysis'!F412/18)-('Lab Analysis'!E412/60))/(('Lab Analysis'!D412/44)+('Lab Analysis'!E412/60)),"0")</f>
        <v>0</v>
      </c>
      <c r="F412" s="187" t="str">
        <f>IFERROR((('Lab Analysis'!F412/18)/('Lab Analysis'!E412/60)),"0")</f>
        <v>0</v>
      </c>
      <c r="G412" s="188" t="str">
        <f>IFERROR(('Lab Analysis'!I412/('Lab Analysis'!I412+(1.765*'Lab Analysis'!G412))),"0")</f>
        <v>0</v>
      </c>
      <c r="H412" s="189" t="str">
        <f>IFERROR(((2*('Lab Analysis'!I412/60))+('Lab Analysis'!G412/17))/(('Lab Analysis'!H412/44)+('Lab Analysis'!I412/60)),"0")</f>
        <v>0</v>
      </c>
      <c r="I412" s="189" t="str">
        <f>IFERROR((('Lab Analysis'!J412/18)-('Lab Analysis'!I412/60))/(('Lab Analysis'!H412/44)+('Lab Analysis'!I412/60)),"0")</f>
        <v>0</v>
      </c>
      <c r="J412" s="186" t="str">
        <f>IFERROR(('Lab Analysis'!M412/('Lab Analysis'!M412+(1.765*'Lab Analysis'!K412))),"0")</f>
        <v>0</v>
      </c>
      <c r="K412" s="190" t="str">
        <f>IFERROR(((2*('Lab Analysis'!M412/60))+('Lab Analysis'!K412/17))/(('Lab Analysis'!L412/44)+('Lab Analysis'!M412/60)),"0")</f>
        <v>0</v>
      </c>
      <c r="L412" s="190" t="str">
        <f>IFERROR((('Lab Analysis'!N412/18)-('Lab Analysis'!M412/60))/(('Lab Analysis'!L412/44)+('Lab Analysis'!M412/60)),"0")</f>
        <v>0</v>
      </c>
      <c r="M412" s="187" t="str">
        <f>IFERROR(((2*('Lab Analysis'!U412/60))+('Lab Analysis'!S412/17))/(('Lab Analysis'!T412/44)+('Lab Analysis'!U412/60)),"0")</f>
        <v>0</v>
      </c>
      <c r="N412" s="187" t="str">
        <f>IFERROR((('Lab Analysis'!V412/18)-('Lab Analysis'!U412/60))/(('Lab Analysis'!T412/44)+('Lab Analysis'!U412/60)),"0")</f>
        <v>0</v>
      </c>
      <c r="O412" s="187" t="str">
        <f>IFERROR(((2*('Lab Analysis'!Y412/60)+('Lab Analysis'!W412/17))/(('Lab Analysis'!X412/44)+('Lab Analysis'!Y412/60))),"0")</f>
        <v>0</v>
      </c>
      <c r="P412" s="187" t="str">
        <f>IFERROR((('Lab Analysis'!Z412/18)-('Lab Analysis'!Y412/60))/(('Lab Analysis'!X412/44)+('Lab Analysis'!Y412/60)),"0")</f>
        <v>0</v>
      </c>
      <c r="Q412" s="191"/>
    </row>
    <row r="413" spans="1:17">
      <c r="A413" s="185">
        <v>46227</v>
      </c>
      <c r="B413" s="186" t="str">
        <f>IFERROR(('Lab Analysis'!E413/('Lab Analysis'!E413+(1.364*'Lab Analysis'!D413))),"0")</f>
        <v>0</v>
      </c>
      <c r="C413" s="186" t="str">
        <f>IFERROR((2*'Lab Analysis'!E413/60)/('Lab Analysis'!C413/17+(2*'Lab Analysis'!E413/60)),"0")</f>
        <v>0</v>
      </c>
      <c r="D413" s="187" t="str">
        <f>IFERROR(((2*('Lab Analysis'!E413/60)+('Lab Analysis'!C413/17))/(('Lab Analysis'!D413/44)+('Lab Analysis'!E413/60))),"0")</f>
        <v>0</v>
      </c>
      <c r="E413" s="187" t="str">
        <f>IFERROR((('Lab Analysis'!F413/18)-('Lab Analysis'!E413/60))/(('Lab Analysis'!D413/44)+('Lab Analysis'!E413/60)),"0")</f>
        <v>0</v>
      </c>
      <c r="F413" s="187" t="str">
        <f>IFERROR((('Lab Analysis'!F413/18)/('Lab Analysis'!E413/60)),"0")</f>
        <v>0</v>
      </c>
      <c r="G413" s="188" t="str">
        <f>IFERROR(('Lab Analysis'!I413/('Lab Analysis'!I413+(1.765*'Lab Analysis'!G413))),"0")</f>
        <v>0</v>
      </c>
      <c r="H413" s="189" t="str">
        <f>IFERROR(((2*('Lab Analysis'!I413/60))+('Lab Analysis'!G413/17))/(('Lab Analysis'!H413/44)+('Lab Analysis'!I413/60)),"0")</f>
        <v>0</v>
      </c>
      <c r="I413" s="189" t="str">
        <f>IFERROR((('Lab Analysis'!J413/18)-('Lab Analysis'!I413/60))/(('Lab Analysis'!H413/44)+('Lab Analysis'!I413/60)),"0")</f>
        <v>0</v>
      </c>
      <c r="J413" s="186" t="str">
        <f>IFERROR(('Lab Analysis'!M413/('Lab Analysis'!M413+(1.765*'Lab Analysis'!K413))),"0")</f>
        <v>0</v>
      </c>
      <c r="K413" s="190" t="str">
        <f>IFERROR(((2*('Lab Analysis'!M413/60))+('Lab Analysis'!K413/17))/(('Lab Analysis'!L413/44)+('Lab Analysis'!M413/60)),"0")</f>
        <v>0</v>
      </c>
      <c r="L413" s="190" t="str">
        <f>IFERROR((('Lab Analysis'!N413/18)-('Lab Analysis'!M413/60))/(('Lab Analysis'!L413/44)+('Lab Analysis'!M413/60)),"0")</f>
        <v>0</v>
      </c>
      <c r="M413" s="187" t="str">
        <f>IFERROR(((2*('Lab Analysis'!U413/60))+('Lab Analysis'!S413/17))/(('Lab Analysis'!T413/44)+('Lab Analysis'!U413/60)),"0")</f>
        <v>0</v>
      </c>
      <c r="N413" s="187" t="str">
        <f>IFERROR((('Lab Analysis'!V413/18)-('Lab Analysis'!U413/60))/(('Lab Analysis'!T413/44)+('Lab Analysis'!U413/60)),"0")</f>
        <v>0</v>
      </c>
      <c r="O413" s="187" t="str">
        <f>IFERROR(((2*('Lab Analysis'!Y413/60)+('Lab Analysis'!W413/17))/(('Lab Analysis'!X413/44)+('Lab Analysis'!Y413/60))),"0")</f>
        <v>0</v>
      </c>
      <c r="P413" s="187" t="str">
        <f>IFERROR((('Lab Analysis'!Z413/18)-('Lab Analysis'!Y413/60))/(('Lab Analysis'!X413/44)+('Lab Analysis'!Y413/60)),"0")</f>
        <v>0</v>
      </c>
      <c r="Q413" s="191"/>
    </row>
    <row r="414" spans="1:17">
      <c r="A414" s="185">
        <v>46228</v>
      </c>
      <c r="B414" s="186" t="str">
        <f>IFERROR(('Lab Analysis'!E414/('Lab Analysis'!E414+(1.364*'Lab Analysis'!D414))),"0")</f>
        <v>0</v>
      </c>
      <c r="C414" s="186" t="str">
        <f>IFERROR((2*'Lab Analysis'!E414/60)/('Lab Analysis'!C414/17+(2*'Lab Analysis'!E414/60)),"0")</f>
        <v>0</v>
      </c>
      <c r="D414" s="187" t="str">
        <f>IFERROR(((2*('Lab Analysis'!E414/60)+('Lab Analysis'!C414/17))/(('Lab Analysis'!D414/44)+('Lab Analysis'!E414/60))),"0")</f>
        <v>0</v>
      </c>
      <c r="E414" s="187" t="str">
        <f>IFERROR((('Lab Analysis'!F414/18)-('Lab Analysis'!E414/60))/(('Lab Analysis'!D414/44)+('Lab Analysis'!E414/60)),"0")</f>
        <v>0</v>
      </c>
      <c r="F414" s="187" t="str">
        <f>IFERROR((('Lab Analysis'!F414/18)/('Lab Analysis'!E414/60)),"0")</f>
        <v>0</v>
      </c>
      <c r="G414" s="188" t="str">
        <f>IFERROR(('Lab Analysis'!I414/('Lab Analysis'!I414+(1.765*'Lab Analysis'!G414))),"0")</f>
        <v>0</v>
      </c>
      <c r="H414" s="189" t="str">
        <f>IFERROR(((2*('Lab Analysis'!I414/60))+('Lab Analysis'!G414/17))/(('Lab Analysis'!H414/44)+('Lab Analysis'!I414/60)),"0")</f>
        <v>0</v>
      </c>
      <c r="I414" s="189" t="str">
        <f>IFERROR((('Lab Analysis'!J414/18)-('Lab Analysis'!I414/60))/(('Lab Analysis'!H414/44)+('Lab Analysis'!I414/60)),"0")</f>
        <v>0</v>
      </c>
      <c r="J414" s="186" t="str">
        <f>IFERROR(('Lab Analysis'!M414/('Lab Analysis'!M414+(1.765*'Lab Analysis'!K414))),"0")</f>
        <v>0</v>
      </c>
      <c r="K414" s="190" t="str">
        <f>IFERROR(((2*('Lab Analysis'!M414/60))+('Lab Analysis'!K414/17))/(('Lab Analysis'!L414/44)+('Lab Analysis'!M414/60)),"0")</f>
        <v>0</v>
      </c>
      <c r="L414" s="190" t="str">
        <f>IFERROR((('Lab Analysis'!N414/18)-('Lab Analysis'!M414/60))/(('Lab Analysis'!L414/44)+('Lab Analysis'!M414/60)),"0")</f>
        <v>0</v>
      </c>
      <c r="M414" s="187" t="str">
        <f>IFERROR(((2*('Lab Analysis'!U414/60))+('Lab Analysis'!S414/17))/(('Lab Analysis'!T414/44)+('Lab Analysis'!U414/60)),"0")</f>
        <v>0</v>
      </c>
      <c r="N414" s="187" t="str">
        <f>IFERROR((('Lab Analysis'!V414/18)-('Lab Analysis'!U414/60))/(('Lab Analysis'!T414/44)+('Lab Analysis'!U414/60)),"0")</f>
        <v>0</v>
      </c>
      <c r="O414" s="187" t="str">
        <f>IFERROR(((2*('Lab Analysis'!Y414/60)+('Lab Analysis'!W414/17))/(('Lab Analysis'!X414/44)+('Lab Analysis'!Y414/60))),"0")</f>
        <v>0</v>
      </c>
      <c r="P414" s="187" t="str">
        <f>IFERROR((('Lab Analysis'!Z414/18)-('Lab Analysis'!Y414/60))/(('Lab Analysis'!X414/44)+('Lab Analysis'!Y414/60)),"0")</f>
        <v>0</v>
      </c>
      <c r="Q414" s="191"/>
    </row>
    <row r="415" spans="1:17">
      <c r="A415" s="185">
        <v>46229</v>
      </c>
      <c r="B415" s="186" t="str">
        <f>IFERROR(('Lab Analysis'!E415/('Lab Analysis'!E415+(1.364*'Lab Analysis'!D415))),"0")</f>
        <v>0</v>
      </c>
      <c r="C415" s="186" t="str">
        <f>IFERROR((2*'Lab Analysis'!E415/60)/('Lab Analysis'!C415/17+(2*'Lab Analysis'!E415/60)),"0")</f>
        <v>0</v>
      </c>
      <c r="D415" s="187" t="str">
        <f>IFERROR(((2*('Lab Analysis'!E415/60)+('Lab Analysis'!C415/17))/(('Lab Analysis'!D415/44)+('Lab Analysis'!E415/60))),"0")</f>
        <v>0</v>
      </c>
      <c r="E415" s="187" t="str">
        <f>IFERROR((('Lab Analysis'!F415/18)-('Lab Analysis'!E415/60))/(('Lab Analysis'!D415/44)+('Lab Analysis'!E415/60)),"0")</f>
        <v>0</v>
      </c>
      <c r="F415" s="187" t="str">
        <f>IFERROR((('Lab Analysis'!F415/18)/('Lab Analysis'!E415/60)),"0")</f>
        <v>0</v>
      </c>
      <c r="G415" s="188" t="str">
        <f>IFERROR(('Lab Analysis'!I415/('Lab Analysis'!I415+(1.765*'Lab Analysis'!G415))),"0")</f>
        <v>0</v>
      </c>
      <c r="H415" s="189" t="str">
        <f>IFERROR(((2*('Lab Analysis'!I415/60))+('Lab Analysis'!G415/17))/(('Lab Analysis'!H415/44)+('Lab Analysis'!I415/60)),"0")</f>
        <v>0</v>
      </c>
      <c r="I415" s="189" t="str">
        <f>IFERROR((('Lab Analysis'!J415/18)-('Lab Analysis'!I415/60))/(('Lab Analysis'!H415/44)+('Lab Analysis'!I415/60)),"0")</f>
        <v>0</v>
      </c>
      <c r="J415" s="186" t="str">
        <f>IFERROR(('Lab Analysis'!M415/('Lab Analysis'!M415+(1.765*'Lab Analysis'!K415))),"0")</f>
        <v>0</v>
      </c>
      <c r="K415" s="190" t="str">
        <f>IFERROR(((2*('Lab Analysis'!M415/60))+('Lab Analysis'!K415/17))/(('Lab Analysis'!L415/44)+('Lab Analysis'!M415/60)),"0")</f>
        <v>0</v>
      </c>
      <c r="L415" s="190" t="str">
        <f>IFERROR((('Lab Analysis'!N415/18)-('Lab Analysis'!M415/60))/(('Lab Analysis'!L415/44)+('Lab Analysis'!M415/60)),"0")</f>
        <v>0</v>
      </c>
      <c r="M415" s="187" t="str">
        <f>IFERROR(((2*('Lab Analysis'!U415/60))+('Lab Analysis'!S415/17))/(('Lab Analysis'!T415/44)+('Lab Analysis'!U415/60)),"0")</f>
        <v>0</v>
      </c>
      <c r="N415" s="187" t="str">
        <f>IFERROR((('Lab Analysis'!V415/18)-('Lab Analysis'!U415/60))/(('Lab Analysis'!T415/44)+('Lab Analysis'!U415/60)),"0")</f>
        <v>0</v>
      </c>
      <c r="O415" s="187" t="str">
        <f>IFERROR(((2*('Lab Analysis'!Y415/60)+('Lab Analysis'!W415/17))/(('Lab Analysis'!X415/44)+('Lab Analysis'!Y415/60))),"0")</f>
        <v>0</v>
      </c>
      <c r="P415" s="187" t="str">
        <f>IFERROR((('Lab Analysis'!Z415/18)-('Lab Analysis'!Y415/60))/(('Lab Analysis'!X415/44)+('Lab Analysis'!Y415/60)),"0")</f>
        <v>0</v>
      </c>
      <c r="Q415" s="191"/>
    </row>
    <row r="416" spans="1:17">
      <c r="A416" s="185">
        <v>46230</v>
      </c>
      <c r="B416" s="186" t="str">
        <f>IFERROR(('Lab Analysis'!E416/('Lab Analysis'!E416+(1.364*'Lab Analysis'!D416))),"0")</f>
        <v>0</v>
      </c>
      <c r="C416" s="186" t="str">
        <f>IFERROR((2*'Lab Analysis'!E416/60)/('Lab Analysis'!C416/17+(2*'Lab Analysis'!E416/60)),"0")</f>
        <v>0</v>
      </c>
      <c r="D416" s="187" t="str">
        <f>IFERROR(((2*('Lab Analysis'!E416/60)+('Lab Analysis'!C416/17))/(('Lab Analysis'!D416/44)+('Lab Analysis'!E416/60))),"0")</f>
        <v>0</v>
      </c>
      <c r="E416" s="187" t="str">
        <f>IFERROR((('Lab Analysis'!F416/18)-('Lab Analysis'!E416/60))/(('Lab Analysis'!D416/44)+('Lab Analysis'!E416/60)),"0")</f>
        <v>0</v>
      </c>
      <c r="F416" s="187" t="str">
        <f>IFERROR((('Lab Analysis'!F416/18)/('Lab Analysis'!E416/60)),"0")</f>
        <v>0</v>
      </c>
      <c r="G416" s="188" t="str">
        <f>IFERROR(('Lab Analysis'!I416/('Lab Analysis'!I416+(1.765*'Lab Analysis'!G416))),"0")</f>
        <v>0</v>
      </c>
      <c r="H416" s="189" t="str">
        <f>IFERROR(((2*('Lab Analysis'!I416/60))+('Lab Analysis'!G416/17))/(('Lab Analysis'!H416/44)+('Lab Analysis'!I416/60)),"0")</f>
        <v>0</v>
      </c>
      <c r="I416" s="189" t="str">
        <f>IFERROR((('Lab Analysis'!J416/18)-('Lab Analysis'!I416/60))/(('Lab Analysis'!H416/44)+('Lab Analysis'!I416/60)),"0")</f>
        <v>0</v>
      </c>
      <c r="J416" s="186" t="str">
        <f>IFERROR(('Lab Analysis'!M416/('Lab Analysis'!M416+(1.765*'Lab Analysis'!K416))),"0")</f>
        <v>0</v>
      </c>
      <c r="K416" s="190" t="str">
        <f>IFERROR(((2*('Lab Analysis'!M416/60))+('Lab Analysis'!K416/17))/(('Lab Analysis'!L416/44)+('Lab Analysis'!M416/60)),"0")</f>
        <v>0</v>
      </c>
      <c r="L416" s="190" t="str">
        <f>IFERROR((('Lab Analysis'!N416/18)-('Lab Analysis'!M416/60))/(('Lab Analysis'!L416/44)+('Lab Analysis'!M416/60)),"0")</f>
        <v>0</v>
      </c>
      <c r="M416" s="187" t="str">
        <f>IFERROR(((2*('Lab Analysis'!U416/60))+('Lab Analysis'!S416/17))/(('Lab Analysis'!T416/44)+('Lab Analysis'!U416/60)),"0")</f>
        <v>0</v>
      </c>
      <c r="N416" s="187" t="str">
        <f>IFERROR((('Lab Analysis'!V416/18)-('Lab Analysis'!U416/60))/(('Lab Analysis'!T416/44)+('Lab Analysis'!U416/60)),"0")</f>
        <v>0</v>
      </c>
      <c r="O416" s="187" t="str">
        <f>IFERROR(((2*('Lab Analysis'!Y416/60)+('Lab Analysis'!W416/17))/(('Lab Analysis'!X416/44)+('Lab Analysis'!Y416/60))),"0")</f>
        <v>0</v>
      </c>
      <c r="P416" s="187" t="str">
        <f>IFERROR((('Lab Analysis'!Z416/18)-('Lab Analysis'!Y416/60))/(('Lab Analysis'!X416/44)+('Lab Analysis'!Y416/60)),"0")</f>
        <v>0</v>
      </c>
      <c r="Q416" s="191"/>
    </row>
    <row r="417" spans="1:17">
      <c r="A417" s="185">
        <v>46231</v>
      </c>
      <c r="B417" s="186" t="str">
        <f>IFERROR(('Lab Analysis'!E417/('Lab Analysis'!E417+(1.364*'Lab Analysis'!D417))),"0")</f>
        <v>0</v>
      </c>
      <c r="C417" s="186" t="str">
        <f>IFERROR((2*'Lab Analysis'!E417/60)/('Lab Analysis'!C417/17+(2*'Lab Analysis'!E417/60)),"0")</f>
        <v>0</v>
      </c>
      <c r="D417" s="187" t="str">
        <f>IFERROR(((2*('Lab Analysis'!E417/60)+('Lab Analysis'!C417/17))/(('Lab Analysis'!D417/44)+('Lab Analysis'!E417/60))),"0")</f>
        <v>0</v>
      </c>
      <c r="E417" s="187" t="str">
        <f>IFERROR((('Lab Analysis'!F417/18)-('Lab Analysis'!E417/60))/(('Lab Analysis'!D417/44)+('Lab Analysis'!E417/60)),"0")</f>
        <v>0</v>
      </c>
      <c r="F417" s="187" t="str">
        <f>IFERROR((('Lab Analysis'!F417/18)/('Lab Analysis'!E417/60)),"0")</f>
        <v>0</v>
      </c>
      <c r="G417" s="188" t="str">
        <f>IFERROR(('Lab Analysis'!I417/('Lab Analysis'!I417+(1.765*'Lab Analysis'!G417))),"0")</f>
        <v>0</v>
      </c>
      <c r="H417" s="189" t="str">
        <f>IFERROR(((2*('Lab Analysis'!I417/60))+('Lab Analysis'!G417/17))/(('Lab Analysis'!H417/44)+('Lab Analysis'!I417/60)),"0")</f>
        <v>0</v>
      </c>
      <c r="I417" s="189" t="str">
        <f>IFERROR((('Lab Analysis'!J417/18)-('Lab Analysis'!I417/60))/(('Lab Analysis'!H417/44)+('Lab Analysis'!I417/60)),"0")</f>
        <v>0</v>
      </c>
      <c r="J417" s="186" t="str">
        <f>IFERROR(('Lab Analysis'!M417/('Lab Analysis'!M417+(1.765*'Lab Analysis'!K417))),"0")</f>
        <v>0</v>
      </c>
      <c r="K417" s="190" t="str">
        <f>IFERROR(((2*('Lab Analysis'!M417/60))+('Lab Analysis'!K417/17))/(('Lab Analysis'!L417/44)+('Lab Analysis'!M417/60)),"0")</f>
        <v>0</v>
      </c>
      <c r="L417" s="190" t="str">
        <f>IFERROR((('Lab Analysis'!N417/18)-('Lab Analysis'!M417/60))/(('Lab Analysis'!L417/44)+('Lab Analysis'!M417/60)),"0")</f>
        <v>0</v>
      </c>
      <c r="M417" s="187" t="str">
        <f>IFERROR(((2*('Lab Analysis'!U417/60))+('Lab Analysis'!S417/17))/(('Lab Analysis'!T417/44)+('Lab Analysis'!U417/60)),"0")</f>
        <v>0</v>
      </c>
      <c r="N417" s="187" t="str">
        <f>IFERROR((('Lab Analysis'!V417/18)-('Lab Analysis'!U417/60))/(('Lab Analysis'!T417/44)+('Lab Analysis'!U417/60)),"0")</f>
        <v>0</v>
      </c>
      <c r="O417" s="187" t="str">
        <f>IFERROR(((2*('Lab Analysis'!Y417/60)+('Lab Analysis'!W417/17))/(('Lab Analysis'!X417/44)+('Lab Analysis'!Y417/60))),"0")</f>
        <v>0</v>
      </c>
      <c r="P417" s="187" t="str">
        <f>IFERROR((('Lab Analysis'!Z417/18)-('Lab Analysis'!Y417/60))/(('Lab Analysis'!X417/44)+('Lab Analysis'!Y417/60)),"0")</f>
        <v>0</v>
      </c>
      <c r="Q417" s="191"/>
    </row>
    <row r="418" spans="1:17">
      <c r="A418" s="185">
        <v>46232</v>
      </c>
      <c r="B418" s="186" t="str">
        <f>IFERROR(('Lab Analysis'!E418/('Lab Analysis'!E418+(1.364*'Lab Analysis'!D418))),"0")</f>
        <v>0</v>
      </c>
      <c r="C418" s="186" t="str">
        <f>IFERROR((2*'Lab Analysis'!E418/60)/('Lab Analysis'!C418/17+(2*'Lab Analysis'!E418/60)),"0")</f>
        <v>0</v>
      </c>
      <c r="D418" s="187" t="str">
        <f>IFERROR(((2*('Lab Analysis'!E418/60)+('Lab Analysis'!C418/17))/(('Lab Analysis'!D418/44)+('Lab Analysis'!E418/60))),"0")</f>
        <v>0</v>
      </c>
      <c r="E418" s="187" t="str">
        <f>IFERROR((('Lab Analysis'!F418/18)-('Lab Analysis'!E418/60))/(('Lab Analysis'!D418/44)+('Lab Analysis'!E418/60)),"0")</f>
        <v>0</v>
      </c>
      <c r="F418" s="187" t="str">
        <f>IFERROR((('Lab Analysis'!F418/18)/('Lab Analysis'!E418/60)),"0")</f>
        <v>0</v>
      </c>
      <c r="G418" s="188" t="str">
        <f>IFERROR(('Lab Analysis'!I418/('Lab Analysis'!I418+(1.765*'Lab Analysis'!G418))),"0")</f>
        <v>0</v>
      </c>
      <c r="H418" s="189" t="str">
        <f>IFERROR(((2*('Lab Analysis'!I418/60))+('Lab Analysis'!G418/17))/(('Lab Analysis'!H418/44)+('Lab Analysis'!I418/60)),"0")</f>
        <v>0</v>
      </c>
      <c r="I418" s="189" t="str">
        <f>IFERROR((('Lab Analysis'!J418/18)-('Lab Analysis'!I418/60))/(('Lab Analysis'!H418/44)+('Lab Analysis'!I418/60)),"0")</f>
        <v>0</v>
      </c>
      <c r="J418" s="186" t="str">
        <f>IFERROR(('Lab Analysis'!M418/('Lab Analysis'!M418+(1.765*'Lab Analysis'!K418))),"0")</f>
        <v>0</v>
      </c>
      <c r="K418" s="190" t="str">
        <f>IFERROR(((2*('Lab Analysis'!M418/60))+('Lab Analysis'!K418/17))/(('Lab Analysis'!L418/44)+('Lab Analysis'!M418/60)),"0")</f>
        <v>0</v>
      </c>
      <c r="L418" s="190" t="str">
        <f>IFERROR((('Lab Analysis'!N418/18)-('Lab Analysis'!M418/60))/(('Lab Analysis'!L418/44)+('Lab Analysis'!M418/60)),"0")</f>
        <v>0</v>
      </c>
      <c r="M418" s="187" t="str">
        <f>IFERROR(((2*('Lab Analysis'!U418/60))+('Lab Analysis'!S418/17))/(('Lab Analysis'!T418/44)+('Lab Analysis'!U418/60)),"0")</f>
        <v>0</v>
      </c>
      <c r="N418" s="187" t="str">
        <f>IFERROR((('Lab Analysis'!V418/18)-('Lab Analysis'!U418/60))/(('Lab Analysis'!T418/44)+('Lab Analysis'!U418/60)),"0")</f>
        <v>0</v>
      </c>
      <c r="O418" s="187" t="str">
        <f>IFERROR(((2*('Lab Analysis'!Y418/60)+('Lab Analysis'!W418/17))/(('Lab Analysis'!X418/44)+('Lab Analysis'!Y418/60))),"0")</f>
        <v>0</v>
      </c>
      <c r="P418" s="187" t="str">
        <f>IFERROR((('Lab Analysis'!Z418/18)-('Lab Analysis'!Y418/60))/(('Lab Analysis'!X418/44)+('Lab Analysis'!Y418/60)),"0")</f>
        <v>0</v>
      </c>
      <c r="Q418" s="191"/>
    </row>
    <row r="419" spans="1:17">
      <c r="A419" s="185">
        <v>46233</v>
      </c>
      <c r="B419" s="186" t="str">
        <f>IFERROR(('Lab Analysis'!E419/('Lab Analysis'!E419+(1.364*'Lab Analysis'!D419))),"0")</f>
        <v>0</v>
      </c>
      <c r="C419" s="186" t="str">
        <f>IFERROR((2*'Lab Analysis'!E419/60)/('Lab Analysis'!C419/17+(2*'Lab Analysis'!E419/60)),"0")</f>
        <v>0</v>
      </c>
      <c r="D419" s="187" t="str">
        <f>IFERROR(((2*('Lab Analysis'!E419/60)+('Lab Analysis'!C419/17))/(('Lab Analysis'!D419/44)+('Lab Analysis'!E419/60))),"0")</f>
        <v>0</v>
      </c>
      <c r="E419" s="187" t="str">
        <f>IFERROR((('Lab Analysis'!F419/18)-('Lab Analysis'!E419/60))/(('Lab Analysis'!D419/44)+('Lab Analysis'!E419/60)),"0")</f>
        <v>0</v>
      </c>
      <c r="F419" s="187" t="str">
        <f>IFERROR((('Lab Analysis'!F419/18)/('Lab Analysis'!E419/60)),"0")</f>
        <v>0</v>
      </c>
      <c r="G419" s="188" t="str">
        <f>IFERROR(('Lab Analysis'!I419/('Lab Analysis'!I419+(1.765*'Lab Analysis'!G419))),"0")</f>
        <v>0</v>
      </c>
      <c r="H419" s="189" t="str">
        <f>IFERROR(((2*('Lab Analysis'!I419/60))+('Lab Analysis'!G419/17))/(('Lab Analysis'!H419/44)+('Lab Analysis'!I419/60)),"0")</f>
        <v>0</v>
      </c>
      <c r="I419" s="189" t="str">
        <f>IFERROR((('Lab Analysis'!J419/18)-('Lab Analysis'!I419/60))/(('Lab Analysis'!H419/44)+('Lab Analysis'!I419/60)),"0")</f>
        <v>0</v>
      </c>
      <c r="J419" s="186" t="str">
        <f>IFERROR(('Lab Analysis'!M419/('Lab Analysis'!M419+(1.765*'Lab Analysis'!K419))),"0")</f>
        <v>0</v>
      </c>
      <c r="K419" s="190" t="str">
        <f>IFERROR(((2*('Lab Analysis'!M419/60))+('Lab Analysis'!K419/17))/(('Lab Analysis'!L419/44)+('Lab Analysis'!M419/60)),"0")</f>
        <v>0</v>
      </c>
      <c r="L419" s="190" t="str">
        <f>IFERROR((('Lab Analysis'!N419/18)-('Lab Analysis'!M419/60))/(('Lab Analysis'!L419/44)+('Lab Analysis'!M419/60)),"0")</f>
        <v>0</v>
      </c>
      <c r="M419" s="187" t="str">
        <f>IFERROR(((2*('Lab Analysis'!U419/60))+('Lab Analysis'!S419/17))/(('Lab Analysis'!T419/44)+('Lab Analysis'!U419/60)),"0")</f>
        <v>0</v>
      </c>
      <c r="N419" s="187" t="str">
        <f>IFERROR((('Lab Analysis'!V419/18)-('Lab Analysis'!U419/60))/(('Lab Analysis'!T419/44)+('Lab Analysis'!U419/60)),"0")</f>
        <v>0</v>
      </c>
      <c r="O419" s="187" t="str">
        <f>IFERROR(((2*('Lab Analysis'!Y419/60)+('Lab Analysis'!W419/17))/(('Lab Analysis'!X419/44)+('Lab Analysis'!Y419/60))),"0")</f>
        <v>0</v>
      </c>
      <c r="P419" s="187" t="str">
        <f>IFERROR((('Lab Analysis'!Z419/18)-('Lab Analysis'!Y419/60))/(('Lab Analysis'!X419/44)+('Lab Analysis'!Y419/60)),"0")</f>
        <v>0</v>
      </c>
      <c r="Q419" s="191"/>
    </row>
    <row r="420" spans="1:17">
      <c r="A420" s="185">
        <v>46234</v>
      </c>
      <c r="B420" s="186" t="str">
        <f>IFERROR(('Lab Analysis'!E420/('Lab Analysis'!E420+(1.364*'Lab Analysis'!D420))),"0")</f>
        <v>0</v>
      </c>
      <c r="C420" s="186" t="str">
        <f>IFERROR((2*'Lab Analysis'!E420/60)/('Lab Analysis'!C420/17+(2*'Lab Analysis'!E420/60)),"0")</f>
        <v>0</v>
      </c>
      <c r="D420" s="187" t="str">
        <f>IFERROR(((2*('Lab Analysis'!E420/60)+('Lab Analysis'!C420/17))/(('Lab Analysis'!D420/44)+('Lab Analysis'!E420/60))),"0")</f>
        <v>0</v>
      </c>
      <c r="E420" s="187" t="str">
        <f>IFERROR((('Lab Analysis'!F420/18)-('Lab Analysis'!E420/60))/(('Lab Analysis'!D420/44)+('Lab Analysis'!E420/60)),"0")</f>
        <v>0</v>
      </c>
      <c r="F420" s="187" t="str">
        <f>IFERROR((('Lab Analysis'!F420/18)/('Lab Analysis'!E420/60)),"0")</f>
        <v>0</v>
      </c>
      <c r="G420" s="188" t="str">
        <f>IFERROR(('Lab Analysis'!I420/('Lab Analysis'!I420+(1.765*'Lab Analysis'!G420))),"0")</f>
        <v>0</v>
      </c>
      <c r="H420" s="189" t="str">
        <f>IFERROR(((2*('Lab Analysis'!I420/60))+('Lab Analysis'!G420/17))/(('Lab Analysis'!H420/44)+('Lab Analysis'!I420/60)),"0")</f>
        <v>0</v>
      </c>
      <c r="I420" s="189" t="str">
        <f>IFERROR((('Lab Analysis'!J420/18)-('Lab Analysis'!I420/60))/(('Lab Analysis'!H420/44)+('Lab Analysis'!I420/60)),"0")</f>
        <v>0</v>
      </c>
      <c r="J420" s="186" t="str">
        <f>IFERROR(('Lab Analysis'!M420/('Lab Analysis'!M420+(1.765*'Lab Analysis'!K420))),"0")</f>
        <v>0</v>
      </c>
      <c r="K420" s="190" t="str">
        <f>IFERROR(((2*('Lab Analysis'!M420/60))+('Lab Analysis'!K420/17))/(('Lab Analysis'!L420/44)+('Lab Analysis'!M420/60)),"0")</f>
        <v>0</v>
      </c>
      <c r="L420" s="190" t="str">
        <f>IFERROR((('Lab Analysis'!N420/18)-('Lab Analysis'!M420/60))/(('Lab Analysis'!L420/44)+('Lab Analysis'!M420/60)),"0")</f>
        <v>0</v>
      </c>
      <c r="M420" s="187" t="str">
        <f>IFERROR(((2*('Lab Analysis'!U420/60))+('Lab Analysis'!S420/17))/(('Lab Analysis'!T420/44)+('Lab Analysis'!U420/60)),"0")</f>
        <v>0</v>
      </c>
      <c r="N420" s="187" t="str">
        <f>IFERROR((('Lab Analysis'!V420/18)-('Lab Analysis'!U420/60))/(('Lab Analysis'!T420/44)+('Lab Analysis'!U420/60)),"0")</f>
        <v>0</v>
      </c>
      <c r="O420" s="187" t="str">
        <f>IFERROR(((2*('Lab Analysis'!Y420/60)+('Lab Analysis'!W420/17))/(('Lab Analysis'!X420/44)+('Lab Analysis'!Y420/60))),"0")</f>
        <v>0</v>
      </c>
      <c r="P420" s="187" t="str">
        <f>IFERROR((('Lab Analysis'!Z420/18)-('Lab Analysis'!Y420/60))/(('Lab Analysis'!X420/44)+('Lab Analysis'!Y420/60)),"0")</f>
        <v>0</v>
      </c>
      <c r="Q420" s="191"/>
    </row>
    <row r="421" spans="1:17">
      <c r="A421" s="185">
        <v>46235</v>
      </c>
      <c r="B421" s="186" t="str">
        <f>IFERROR(('Lab Analysis'!E421/('Lab Analysis'!E421+(1.364*'Lab Analysis'!D421))),"0")</f>
        <v>0</v>
      </c>
      <c r="C421" s="186" t="str">
        <f>IFERROR((2*'Lab Analysis'!E421/60)/('Lab Analysis'!C421/17+(2*'Lab Analysis'!E421/60)),"0")</f>
        <v>0</v>
      </c>
      <c r="D421" s="187" t="str">
        <f>IFERROR(((2*('Lab Analysis'!E421/60)+('Lab Analysis'!C421/17))/(('Lab Analysis'!D421/44)+('Lab Analysis'!E421/60))),"0")</f>
        <v>0</v>
      </c>
      <c r="E421" s="187" t="str">
        <f>IFERROR((('Lab Analysis'!F421/18)-('Lab Analysis'!E421/60))/(('Lab Analysis'!D421/44)+('Lab Analysis'!E421/60)),"0")</f>
        <v>0</v>
      </c>
      <c r="F421" s="187" t="str">
        <f>IFERROR((('Lab Analysis'!F421/18)/('Lab Analysis'!E421/60)),"0")</f>
        <v>0</v>
      </c>
      <c r="G421" s="188" t="str">
        <f>IFERROR(('Lab Analysis'!I421/('Lab Analysis'!I421+(1.765*'Lab Analysis'!G421))),"0")</f>
        <v>0</v>
      </c>
      <c r="H421" s="189" t="str">
        <f>IFERROR(((2*('Lab Analysis'!I421/60))+('Lab Analysis'!G421/17))/(('Lab Analysis'!H421/44)+('Lab Analysis'!I421/60)),"0")</f>
        <v>0</v>
      </c>
      <c r="I421" s="189" t="str">
        <f>IFERROR((('Lab Analysis'!J421/18)-('Lab Analysis'!I421/60))/(('Lab Analysis'!H421/44)+('Lab Analysis'!I421/60)),"0")</f>
        <v>0</v>
      </c>
      <c r="J421" s="186" t="str">
        <f>IFERROR(('Lab Analysis'!M421/('Lab Analysis'!M421+(1.765*'Lab Analysis'!K421))),"0")</f>
        <v>0</v>
      </c>
      <c r="K421" s="190" t="str">
        <f>IFERROR(((2*('Lab Analysis'!M421/60))+('Lab Analysis'!K421/17))/(('Lab Analysis'!L421/44)+('Lab Analysis'!M421/60)),"0")</f>
        <v>0</v>
      </c>
      <c r="L421" s="190" t="str">
        <f>IFERROR((('Lab Analysis'!N421/18)-('Lab Analysis'!M421/60))/(('Lab Analysis'!L421/44)+('Lab Analysis'!M421/60)),"0")</f>
        <v>0</v>
      </c>
      <c r="M421" s="187" t="str">
        <f>IFERROR(((2*('Lab Analysis'!U421/60))+('Lab Analysis'!S421/17))/(('Lab Analysis'!T421/44)+('Lab Analysis'!U421/60)),"0")</f>
        <v>0</v>
      </c>
      <c r="N421" s="187" t="str">
        <f>IFERROR((('Lab Analysis'!V421/18)-('Lab Analysis'!U421/60))/(('Lab Analysis'!T421/44)+('Lab Analysis'!U421/60)),"0")</f>
        <v>0</v>
      </c>
      <c r="O421" s="187" t="str">
        <f>IFERROR(((2*('Lab Analysis'!Y421/60)+('Lab Analysis'!W421/17))/(('Lab Analysis'!X421/44)+('Lab Analysis'!Y421/60))),"0")</f>
        <v>0</v>
      </c>
      <c r="P421" s="187" t="str">
        <f>IFERROR((('Lab Analysis'!Z421/18)-('Lab Analysis'!Y421/60))/(('Lab Analysis'!X421/44)+('Lab Analysis'!Y421/60)),"0")</f>
        <v>0</v>
      </c>
      <c r="Q421" s="191"/>
    </row>
    <row r="422" spans="1:17">
      <c r="A422" s="185">
        <v>46236</v>
      </c>
      <c r="B422" s="186" t="str">
        <f>IFERROR(('Lab Analysis'!E422/('Lab Analysis'!E422+(1.364*'Lab Analysis'!D422))),"0")</f>
        <v>0</v>
      </c>
      <c r="C422" s="186" t="str">
        <f>IFERROR((2*'Lab Analysis'!E422/60)/('Lab Analysis'!C422/17+(2*'Lab Analysis'!E422/60)),"0")</f>
        <v>0</v>
      </c>
      <c r="D422" s="187" t="str">
        <f>IFERROR(((2*('Lab Analysis'!E422/60)+('Lab Analysis'!C422/17))/(('Lab Analysis'!D422/44)+('Lab Analysis'!E422/60))),"0")</f>
        <v>0</v>
      </c>
      <c r="E422" s="187" t="str">
        <f>IFERROR((('Lab Analysis'!F422/18)-('Lab Analysis'!E422/60))/(('Lab Analysis'!D422/44)+('Lab Analysis'!E422/60)),"0")</f>
        <v>0</v>
      </c>
      <c r="F422" s="187" t="str">
        <f>IFERROR((('Lab Analysis'!F422/18)/('Lab Analysis'!E422/60)),"0")</f>
        <v>0</v>
      </c>
      <c r="G422" s="188" t="str">
        <f>IFERROR(('Lab Analysis'!I422/('Lab Analysis'!I422+(1.765*'Lab Analysis'!G422))),"0")</f>
        <v>0</v>
      </c>
      <c r="H422" s="189" t="str">
        <f>IFERROR(((2*('Lab Analysis'!I422/60))+('Lab Analysis'!G422/17))/(('Lab Analysis'!H422/44)+('Lab Analysis'!I422/60)),"0")</f>
        <v>0</v>
      </c>
      <c r="I422" s="189" t="str">
        <f>IFERROR((('Lab Analysis'!J422/18)-('Lab Analysis'!I422/60))/(('Lab Analysis'!H422/44)+('Lab Analysis'!I422/60)),"0")</f>
        <v>0</v>
      </c>
      <c r="J422" s="186" t="str">
        <f>IFERROR(('Lab Analysis'!M422/('Lab Analysis'!M422+(1.765*'Lab Analysis'!K422))),"0")</f>
        <v>0</v>
      </c>
      <c r="K422" s="190" t="str">
        <f>IFERROR(((2*('Lab Analysis'!M422/60))+('Lab Analysis'!K422/17))/(('Lab Analysis'!L422/44)+('Lab Analysis'!M422/60)),"0")</f>
        <v>0</v>
      </c>
      <c r="L422" s="190" t="str">
        <f>IFERROR((('Lab Analysis'!N422/18)-('Lab Analysis'!M422/60))/(('Lab Analysis'!L422/44)+('Lab Analysis'!M422/60)),"0")</f>
        <v>0</v>
      </c>
      <c r="M422" s="187" t="str">
        <f>IFERROR(((2*('Lab Analysis'!U422/60))+('Lab Analysis'!S422/17))/(('Lab Analysis'!T422/44)+('Lab Analysis'!U422/60)),"0")</f>
        <v>0</v>
      </c>
      <c r="N422" s="187" t="str">
        <f>IFERROR((('Lab Analysis'!V422/18)-('Lab Analysis'!U422/60))/(('Lab Analysis'!T422/44)+('Lab Analysis'!U422/60)),"0")</f>
        <v>0</v>
      </c>
      <c r="O422" s="187" t="str">
        <f>IFERROR(((2*('Lab Analysis'!Y422/60)+('Lab Analysis'!W422/17))/(('Lab Analysis'!X422/44)+('Lab Analysis'!Y422/60))),"0")</f>
        <v>0</v>
      </c>
      <c r="P422" s="187" t="str">
        <f>IFERROR((('Lab Analysis'!Z422/18)-('Lab Analysis'!Y422/60))/(('Lab Analysis'!X422/44)+('Lab Analysis'!Y422/60)),"0")</f>
        <v>0</v>
      </c>
      <c r="Q422" s="191"/>
    </row>
    <row r="423" spans="1:17">
      <c r="A423" s="185">
        <v>46237</v>
      </c>
      <c r="B423" s="186" t="str">
        <f>IFERROR(('Lab Analysis'!E423/('Lab Analysis'!E423+(1.364*'Lab Analysis'!D423))),"0")</f>
        <v>0</v>
      </c>
      <c r="C423" s="186" t="str">
        <f>IFERROR((2*'Lab Analysis'!E423/60)/('Lab Analysis'!C423/17+(2*'Lab Analysis'!E423/60)),"0")</f>
        <v>0</v>
      </c>
      <c r="D423" s="187" t="str">
        <f>IFERROR(((2*('Lab Analysis'!E423/60)+('Lab Analysis'!C423/17))/(('Lab Analysis'!D423/44)+('Lab Analysis'!E423/60))),"0")</f>
        <v>0</v>
      </c>
      <c r="E423" s="187" t="str">
        <f>IFERROR((('Lab Analysis'!F423/18)-('Lab Analysis'!E423/60))/(('Lab Analysis'!D423/44)+('Lab Analysis'!E423/60)),"0")</f>
        <v>0</v>
      </c>
      <c r="F423" s="187" t="str">
        <f>IFERROR((('Lab Analysis'!F423/18)/('Lab Analysis'!E423/60)),"0")</f>
        <v>0</v>
      </c>
      <c r="G423" s="188" t="str">
        <f>IFERROR(('Lab Analysis'!I423/('Lab Analysis'!I423+(1.765*'Lab Analysis'!G423))),"0")</f>
        <v>0</v>
      </c>
      <c r="H423" s="189" t="str">
        <f>IFERROR(((2*('Lab Analysis'!I423/60))+('Lab Analysis'!G423/17))/(('Lab Analysis'!H423/44)+('Lab Analysis'!I423/60)),"0")</f>
        <v>0</v>
      </c>
      <c r="I423" s="189" t="str">
        <f>IFERROR((('Lab Analysis'!J423/18)-('Lab Analysis'!I423/60))/(('Lab Analysis'!H423/44)+('Lab Analysis'!I423/60)),"0")</f>
        <v>0</v>
      </c>
      <c r="J423" s="186" t="str">
        <f>IFERROR(('Lab Analysis'!M423/('Lab Analysis'!M423+(1.765*'Lab Analysis'!K423))),"0")</f>
        <v>0</v>
      </c>
      <c r="K423" s="190" t="str">
        <f>IFERROR(((2*('Lab Analysis'!M423/60))+('Lab Analysis'!K423/17))/(('Lab Analysis'!L423/44)+('Lab Analysis'!M423/60)),"0")</f>
        <v>0</v>
      </c>
      <c r="L423" s="190" t="str">
        <f>IFERROR((('Lab Analysis'!N423/18)-('Lab Analysis'!M423/60))/(('Lab Analysis'!L423/44)+('Lab Analysis'!M423/60)),"0")</f>
        <v>0</v>
      </c>
      <c r="M423" s="187" t="str">
        <f>IFERROR(((2*('Lab Analysis'!U423/60))+('Lab Analysis'!S423/17))/(('Lab Analysis'!T423/44)+('Lab Analysis'!U423/60)),"0")</f>
        <v>0</v>
      </c>
      <c r="N423" s="187" t="str">
        <f>IFERROR((('Lab Analysis'!V423/18)-('Lab Analysis'!U423/60))/(('Lab Analysis'!T423/44)+('Lab Analysis'!U423/60)),"0")</f>
        <v>0</v>
      </c>
      <c r="O423" s="187" t="str">
        <f>IFERROR(((2*('Lab Analysis'!Y423/60)+('Lab Analysis'!W423/17))/(('Lab Analysis'!X423/44)+('Lab Analysis'!Y423/60))),"0")</f>
        <v>0</v>
      </c>
      <c r="P423" s="187" t="str">
        <f>IFERROR((('Lab Analysis'!Z423/18)-('Lab Analysis'!Y423/60))/(('Lab Analysis'!X423/44)+('Lab Analysis'!Y423/60)),"0")</f>
        <v>0</v>
      </c>
      <c r="Q423" s="191"/>
    </row>
    <row r="424" spans="1:17">
      <c r="A424" s="185">
        <v>46238</v>
      </c>
      <c r="B424" s="186" t="str">
        <f>IFERROR(('Lab Analysis'!E424/('Lab Analysis'!E424+(1.364*'Lab Analysis'!D424))),"0")</f>
        <v>0</v>
      </c>
      <c r="C424" s="186" t="str">
        <f>IFERROR((2*'Lab Analysis'!E424/60)/('Lab Analysis'!C424/17+(2*'Lab Analysis'!E424/60)),"0")</f>
        <v>0</v>
      </c>
      <c r="D424" s="187" t="str">
        <f>IFERROR(((2*('Lab Analysis'!E424/60)+('Lab Analysis'!C424/17))/(('Lab Analysis'!D424/44)+('Lab Analysis'!E424/60))),"0")</f>
        <v>0</v>
      </c>
      <c r="E424" s="187" t="str">
        <f>IFERROR((('Lab Analysis'!F424/18)-('Lab Analysis'!E424/60))/(('Lab Analysis'!D424/44)+('Lab Analysis'!E424/60)),"0")</f>
        <v>0</v>
      </c>
      <c r="F424" s="187" t="str">
        <f>IFERROR((('Lab Analysis'!F424/18)/('Lab Analysis'!E424/60)),"0")</f>
        <v>0</v>
      </c>
      <c r="G424" s="188" t="str">
        <f>IFERROR(('Lab Analysis'!I424/('Lab Analysis'!I424+(1.765*'Lab Analysis'!G424))),"0")</f>
        <v>0</v>
      </c>
      <c r="H424" s="189" t="str">
        <f>IFERROR(((2*('Lab Analysis'!I424/60))+('Lab Analysis'!G424/17))/(('Lab Analysis'!H424/44)+('Lab Analysis'!I424/60)),"0")</f>
        <v>0</v>
      </c>
      <c r="I424" s="189" t="str">
        <f>IFERROR((('Lab Analysis'!J424/18)-('Lab Analysis'!I424/60))/(('Lab Analysis'!H424/44)+('Lab Analysis'!I424/60)),"0")</f>
        <v>0</v>
      </c>
      <c r="J424" s="186" t="str">
        <f>IFERROR(('Lab Analysis'!M424/('Lab Analysis'!M424+(1.765*'Lab Analysis'!K424))),"0")</f>
        <v>0</v>
      </c>
      <c r="K424" s="190" t="str">
        <f>IFERROR(((2*('Lab Analysis'!M424/60))+('Lab Analysis'!K424/17))/(('Lab Analysis'!L424/44)+('Lab Analysis'!M424/60)),"0")</f>
        <v>0</v>
      </c>
      <c r="L424" s="190" t="str">
        <f>IFERROR((('Lab Analysis'!N424/18)-('Lab Analysis'!M424/60))/(('Lab Analysis'!L424/44)+('Lab Analysis'!M424/60)),"0")</f>
        <v>0</v>
      </c>
      <c r="M424" s="187" t="str">
        <f>IFERROR(((2*('Lab Analysis'!U424/60))+('Lab Analysis'!S424/17))/(('Lab Analysis'!T424/44)+('Lab Analysis'!U424/60)),"0")</f>
        <v>0</v>
      </c>
      <c r="N424" s="187" t="str">
        <f>IFERROR((('Lab Analysis'!V424/18)-('Lab Analysis'!U424/60))/(('Lab Analysis'!T424/44)+('Lab Analysis'!U424/60)),"0")</f>
        <v>0</v>
      </c>
      <c r="O424" s="187" t="str">
        <f>IFERROR(((2*('Lab Analysis'!Y424/60)+('Lab Analysis'!W424/17))/(('Lab Analysis'!X424/44)+('Lab Analysis'!Y424/60))),"0")</f>
        <v>0</v>
      </c>
      <c r="P424" s="187" t="str">
        <f>IFERROR((('Lab Analysis'!Z424/18)-('Lab Analysis'!Y424/60))/(('Lab Analysis'!X424/44)+('Lab Analysis'!Y424/60)),"0")</f>
        <v>0</v>
      </c>
      <c r="Q424" s="191"/>
    </row>
    <row r="425" spans="1:17">
      <c r="A425" s="185">
        <v>46239</v>
      </c>
      <c r="B425" s="186" t="str">
        <f>IFERROR(('Lab Analysis'!E425/('Lab Analysis'!E425+(1.364*'Lab Analysis'!D425))),"0")</f>
        <v>0</v>
      </c>
      <c r="C425" s="186" t="str">
        <f>IFERROR((2*'Lab Analysis'!E425/60)/('Lab Analysis'!C425/17+(2*'Lab Analysis'!E425/60)),"0")</f>
        <v>0</v>
      </c>
      <c r="D425" s="187" t="str">
        <f>IFERROR(((2*('Lab Analysis'!E425/60)+('Lab Analysis'!C425/17))/(('Lab Analysis'!D425/44)+('Lab Analysis'!E425/60))),"0")</f>
        <v>0</v>
      </c>
      <c r="E425" s="187" t="str">
        <f>IFERROR((('Lab Analysis'!F425/18)-('Lab Analysis'!E425/60))/(('Lab Analysis'!D425/44)+('Lab Analysis'!E425/60)),"0")</f>
        <v>0</v>
      </c>
      <c r="F425" s="187" t="str">
        <f>IFERROR((('Lab Analysis'!F425/18)/('Lab Analysis'!E425/60)),"0")</f>
        <v>0</v>
      </c>
      <c r="G425" s="188" t="str">
        <f>IFERROR(('Lab Analysis'!I425/('Lab Analysis'!I425+(1.765*'Lab Analysis'!G425))),"0")</f>
        <v>0</v>
      </c>
      <c r="H425" s="189" t="str">
        <f>IFERROR(((2*('Lab Analysis'!I425/60))+('Lab Analysis'!G425/17))/(('Lab Analysis'!H425/44)+('Lab Analysis'!I425/60)),"0")</f>
        <v>0</v>
      </c>
      <c r="I425" s="189" t="str">
        <f>IFERROR((('Lab Analysis'!J425/18)-('Lab Analysis'!I425/60))/(('Lab Analysis'!H425/44)+('Lab Analysis'!I425/60)),"0")</f>
        <v>0</v>
      </c>
      <c r="J425" s="186" t="str">
        <f>IFERROR(('Lab Analysis'!M425/('Lab Analysis'!M425+(1.765*'Lab Analysis'!K425))),"0")</f>
        <v>0</v>
      </c>
      <c r="K425" s="190" t="str">
        <f>IFERROR(((2*('Lab Analysis'!M425/60))+('Lab Analysis'!K425/17))/(('Lab Analysis'!L425/44)+('Lab Analysis'!M425/60)),"0")</f>
        <v>0</v>
      </c>
      <c r="L425" s="190" t="str">
        <f>IFERROR((('Lab Analysis'!N425/18)-('Lab Analysis'!M425/60))/(('Lab Analysis'!L425/44)+('Lab Analysis'!M425/60)),"0")</f>
        <v>0</v>
      </c>
      <c r="M425" s="187" t="str">
        <f>IFERROR(((2*('Lab Analysis'!U425/60))+('Lab Analysis'!S425/17))/(('Lab Analysis'!T425/44)+('Lab Analysis'!U425/60)),"0")</f>
        <v>0</v>
      </c>
      <c r="N425" s="187" t="str">
        <f>IFERROR((('Lab Analysis'!V425/18)-('Lab Analysis'!U425/60))/(('Lab Analysis'!T425/44)+('Lab Analysis'!U425/60)),"0")</f>
        <v>0</v>
      </c>
      <c r="O425" s="187" t="str">
        <f>IFERROR(((2*('Lab Analysis'!Y425/60)+('Lab Analysis'!W425/17))/(('Lab Analysis'!X425/44)+('Lab Analysis'!Y425/60))),"0")</f>
        <v>0</v>
      </c>
      <c r="P425" s="187" t="str">
        <f>IFERROR((('Lab Analysis'!Z425/18)-('Lab Analysis'!Y425/60))/(('Lab Analysis'!X425/44)+('Lab Analysis'!Y425/60)),"0")</f>
        <v>0</v>
      </c>
      <c r="Q425" s="191"/>
    </row>
    <row r="426" spans="1:17">
      <c r="A426" s="185">
        <v>46240</v>
      </c>
      <c r="B426" s="186" t="str">
        <f>IFERROR(('Lab Analysis'!E426/('Lab Analysis'!E426+(1.364*'Lab Analysis'!D426))),"0")</f>
        <v>0</v>
      </c>
      <c r="C426" s="186" t="str">
        <f>IFERROR((2*'Lab Analysis'!E426/60)/('Lab Analysis'!C426/17+(2*'Lab Analysis'!E426/60)),"0")</f>
        <v>0</v>
      </c>
      <c r="D426" s="187" t="str">
        <f>IFERROR(((2*('Lab Analysis'!E426/60)+('Lab Analysis'!C426/17))/(('Lab Analysis'!D426/44)+('Lab Analysis'!E426/60))),"0")</f>
        <v>0</v>
      </c>
      <c r="E426" s="187" t="str">
        <f>IFERROR((('Lab Analysis'!F426/18)-('Lab Analysis'!E426/60))/(('Lab Analysis'!D426/44)+('Lab Analysis'!E426/60)),"0")</f>
        <v>0</v>
      </c>
      <c r="F426" s="187" t="str">
        <f>IFERROR((('Lab Analysis'!F426/18)/('Lab Analysis'!E426/60)),"0")</f>
        <v>0</v>
      </c>
      <c r="G426" s="188" t="str">
        <f>IFERROR(('Lab Analysis'!I426/('Lab Analysis'!I426+(1.765*'Lab Analysis'!G426))),"0")</f>
        <v>0</v>
      </c>
      <c r="H426" s="189" t="str">
        <f>IFERROR(((2*('Lab Analysis'!I426/60))+('Lab Analysis'!G426/17))/(('Lab Analysis'!H426/44)+('Lab Analysis'!I426/60)),"0")</f>
        <v>0</v>
      </c>
      <c r="I426" s="189" t="str">
        <f>IFERROR((('Lab Analysis'!J426/18)-('Lab Analysis'!I426/60))/(('Lab Analysis'!H426/44)+('Lab Analysis'!I426/60)),"0")</f>
        <v>0</v>
      </c>
      <c r="J426" s="186" t="str">
        <f>IFERROR(('Lab Analysis'!M426/('Lab Analysis'!M426+(1.765*'Lab Analysis'!K426))),"0")</f>
        <v>0</v>
      </c>
      <c r="K426" s="190" t="str">
        <f>IFERROR(((2*('Lab Analysis'!M426/60))+('Lab Analysis'!K426/17))/(('Lab Analysis'!L426/44)+('Lab Analysis'!M426/60)),"0")</f>
        <v>0</v>
      </c>
      <c r="L426" s="190" t="str">
        <f>IFERROR((('Lab Analysis'!N426/18)-('Lab Analysis'!M426/60))/(('Lab Analysis'!L426/44)+('Lab Analysis'!M426/60)),"0")</f>
        <v>0</v>
      </c>
      <c r="M426" s="187" t="str">
        <f>IFERROR(((2*('Lab Analysis'!U426/60))+('Lab Analysis'!S426/17))/(('Lab Analysis'!T426/44)+('Lab Analysis'!U426/60)),"0")</f>
        <v>0</v>
      </c>
      <c r="N426" s="187" t="str">
        <f>IFERROR((('Lab Analysis'!V426/18)-('Lab Analysis'!U426/60))/(('Lab Analysis'!T426/44)+('Lab Analysis'!U426/60)),"0")</f>
        <v>0</v>
      </c>
      <c r="O426" s="187" t="str">
        <f>IFERROR(((2*('Lab Analysis'!Y426/60)+('Lab Analysis'!W426/17))/(('Lab Analysis'!X426/44)+('Lab Analysis'!Y426/60))),"0")</f>
        <v>0</v>
      </c>
      <c r="P426" s="187" t="str">
        <f>IFERROR((('Lab Analysis'!Z426/18)-('Lab Analysis'!Y426/60))/(('Lab Analysis'!X426/44)+('Lab Analysis'!Y426/60)),"0")</f>
        <v>0</v>
      </c>
      <c r="Q426" s="191"/>
    </row>
    <row r="427" spans="1:17">
      <c r="A427" s="185">
        <v>46241</v>
      </c>
      <c r="B427" s="186" t="str">
        <f>IFERROR(('Lab Analysis'!E427/('Lab Analysis'!E427+(1.364*'Lab Analysis'!D427))),"0")</f>
        <v>0</v>
      </c>
      <c r="C427" s="186" t="str">
        <f>IFERROR((2*'Lab Analysis'!E427/60)/('Lab Analysis'!C427/17+(2*'Lab Analysis'!E427/60)),"0")</f>
        <v>0</v>
      </c>
      <c r="D427" s="187" t="str">
        <f>IFERROR(((2*('Lab Analysis'!E427/60)+('Lab Analysis'!C427/17))/(('Lab Analysis'!D427/44)+('Lab Analysis'!E427/60))),"0")</f>
        <v>0</v>
      </c>
      <c r="E427" s="187" t="str">
        <f>IFERROR((('Lab Analysis'!F427/18)-('Lab Analysis'!E427/60))/(('Lab Analysis'!D427/44)+('Lab Analysis'!E427/60)),"0")</f>
        <v>0</v>
      </c>
      <c r="F427" s="187" t="str">
        <f>IFERROR((('Lab Analysis'!F427/18)/('Lab Analysis'!E427/60)),"0")</f>
        <v>0</v>
      </c>
      <c r="G427" s="188" t="str">
        <f>IFERROR(('Lab Analysis'!I427/('Lab Analysis'!I427+(1.765*'Lab Analysis'!G427))),"0")</f>
        <v>0</v>
      </c>
      <c r="H427" s="189" t="str">
        <f>IFERROR(((2*('Lab Analysis'!I427/60))+('Lab Analysis'!G427/17))/(('Lab Analysis'!H427/44)+('Lab Analysis'!I427/60)),"0")</f>
        <v>0</v>
      </c>
      <c r="I427" s="189" t="str">
        <f>IFERROR((('Lab Analysis'!J427/18)-('Lab Analysis'!I427/60))/(('Lab Analysis'!H427/44)+('Lab Analysis'!I427/60)),"0")</f>
        <v>0</v>
      </c>
      <c r="J427" s="186" t="str">
        <f>IFERROR(('Lab Analysis'!M427/('Lab Analysis'!M427+(1.765*'Lab Analysis'!K427))),"0")</f>
        <v>0</v>
      </c>
      <c r="K427" s="190" t="str">
        <f>IFERROR(((2*('Lab Analysis'!M427/60))+('Lab Analysis'!K427/17))/(('Lab Analysis'!L427/44)+('Lab Analysis'!M427/60)),"0")</f>
        <v>0</v>
      </c>
      <c r="L427" s="190" t="str">
        <f>IFERROR((('Lab Analysis'!N427/18)-('Lab Analysis'!M427/60))/(('Lab Analysis'!L427/44)+('Lab Analysis'!M427/60)),"0")</f>
        <v>0</v>
      </c>
      <c r="M427" s="187" t="str">
        <f>IFERROR(((2*('Lab Analysis'!U427/60))+('Lab Analysis'!S427/17))/(('Lab Analysis'!T427/44)+('Lab Analysis'!U427/60)),"0")</f>
        <v>0</v>
      </c>
      <c r="N427" s="187" t="str">
        <f>IFERROR((('Lab Analysis'!V427/18)-('Lab Analysis'!U427/60))/(('Lab Analysis'!T427/44)+('Lab Analysis'!U427/60)),"0")</f>
        <v>0</v>
      </c>
      <c r="O427" s="187" t="str">
        <f>IFERROR(((2*('Lab Analysis'!Y427/60)+('Lab Analysis'!W427/17))/(('Lab Analysis'!X427/44)+('Lab Analysis'!Y427/60))),"0")</f>
        <v>0</v>
      </c>
      <c r="P427" s="187" t="str">
        <f>IFERROR((('Lab Analysis'!Z427/18)-('Lab Analysis'!Y427/60))/(('Lab Analysis'!X427/44)+('Lab Analysis'!Y427/60)),"0")</f>
        <v>0</v>
      </c>
      <c r="Q427" s="191"/>
    </row>
    <row r="428" spans="1:17">
      <c r="A428" s="185">
        <v>46242</v>
      </c>
      <c r="B428" s="186" t="str">
        <f>IFERROR(('Lab Analysis'!E428/('Lab Analysis'!E428+(1.364*'Lab Analysis'!D428))),"0")</f>
        <v>0</v>
      </c>
      <c r="C428" s="186" t="str">
        <f>IFERROR((2*'Lab Analysis'!E428/60)/('Lab Analysis'!C428/17+(2*'Lab Analysis'!E428/60)),"0")</f>
        <v>0</v>
      </c>
      <c r="D428" s="187" t="str">
        <f>IFERROR(((2*('Lab Analysis'!E428/60)+('Lab Analysis'!C428/17))/(('Lab Analysis'!D428/44)+('Lab Analysis'!E428/60))),"0")</f>
        <v>0</v>
      </c>
      <c r="E428" s="187" t="str">
        <f>IFERROR((('Lab Analysis'!F428/18)-('Lab Analysis'!E428/60))/(('Lab Analysis'!D428/44)+('Lab Analysis'!E428/60)),"0")</f>
        <v>0</v>
      </c>
      <c r="F428" s="187" t="str">
        <f>IFERROR((('Lab Analysis'!F428/18)/('Lab Analysis'!E428/60)),"0")</f>
        <v>0</v>
      </c>
      <c r="G428" s="188" t="str">
        <f>IFERROR(('Lab Analysis'!I428/('Lab Analysis'!I428+(1.765*'Lab Analysis'!G428))),"0")</f>
        <v>0</v>
      </c>
      <c r="H428" s="189" t="str">
        <f>IFERROR(((2*('Lab Analysis'!I428/60))+('Lab Analysis'!G428/17))/(('Lab Analysis'!H428/44)+('Lab Analysis'!I428/60)),"0")</f>
        <v>0</v>
      </c>
      <c r="I428" s="189" t="str">
        <f>IFERROR((('Lab Analysis'!J428/18)-('Lab Analysis'!I428/60))/(('Lab Analysis'!H428/44)+('Lab Analysis'!I428/60)),"0")</f>
        <v>0</v>
      </c>
      <c r="J428" s="186" t="str">
        <f>IFERROR(('Lab Analysis'!M428/('Lab Analysis'!M428+(1.765*'Lab Analysis'!K428))),"0")</f>
        <v>0</v>
      </c>
      <c r="K428" s="190" t="str">
        <f>IFERROR(((2*('Lab Analysis'!M428/60))+('Lab Analysis'!K428/17))/(('Lab Analysis'!L428/44)+('Lab Analysis'!M428/60)),"0")</f>
        <v>0</v>
      </c>
      <c r="L428" s="190" t="str">
        <f>IFERROR((('Lab Analysis'!N428/18)-('Lab Analysis'!M428/60))/(('Lab Analysis'!L428/44)+('Lab Analysis'!M428/60)),"0")</f>
        <v>0</v>
      </c>
      <c r="M428" s="187" t="str">
        <f>IFERROR(((2*('Lab Analysis'!U428/60))+('Lab Analysis'!S428/17))/(('Lab Analysis'!T428/44)+('Lab Analysis'!U428/60)),"0")</f>
        <v>0</v>
      </c>
      <c r="N428" s="187" t="str">
        <f>IFERROR((('Lab Analysis'!V428/18)-('Lab Analysis'!U428/60))/(('Lab Analysis'!T428/44)+('Lab Analysis'!U428/60)),"0")</f>
        <v>0</v>
      </c>
      <c r="O428" s="187" t="str">
        <f>IFERROR(((2*('Lab Analysis'!Y428/60)+('Lab Analysis'!W428/17))/(('Lab Analysis'!X428/44)+('Lab Analysis'!Y428/60))),"0")</f>
        <v>0</v>
      </c>
      <c r="P428" s="187" t="str">
        <f>IFERROR((('Lab Analysis'!Z428/18)-('Lab Analysis'!Y428/60))/(('Lab Analysis'!X428/44)+('Lab Analysis'!Y428/60)),"0")</f>
        <v>0</v>
      </c>
      <c r="Q428" s="191"/>
    </row>
    <row r="429" spans="1:17">
      <c r="A429" s="185">
        <v>46243</v>
      </c>
      <c r="B429" s="186" t="str">
        <f>IFERROR(('Lab Analysis'!E429/('Lab Analysis'!E429+(1.364*'Lab Analysis'!D429))),"0")</f>
        <v>0</v>
      </c>
      <c r="C429" s="186" t="str">
        <f>IFERROR((2*'Lab Analysis'!E429/60)/('Lab Analysis'!C429/17+(2*'Lab Analysis'!E429/60)),"0")</f>
        <v>0</v>
      </c>
      <c r="D429" s="187" t="str">
        <f>IFERROR(((2*('Lab Analysis'!E429/60)+('Lab Analysis'!C429/17))/(('Lab Analysis'!D429/44)+('Lab Analysis'!E429/60))),"0")</f>
        <v>0</v>
      </c>
      <c r="E429" s="187" t="str">
        <f>IFERROR((('Lab Analysis'!F429/18)-('Lab Analysis'!E429/60))/(('Lab Analysis'!D429/44)+('Lab Analysis'!E429/60)),"0")</f>
        <v>0</v>
      </c>
      <c r="F429" s="187" t="str">
        <f>IFERROR((('Lab Analysis'!F429/18)/('Lab Analysis'!E429/60)),"0")</f>
        <v>0</v>
      </c>
      <c r="G429" s="188" t="str">
        <f>IFERROR(('Lab Analysis'!I429/('Lab Analysis'!I429+(1.765*'Lab Analysis'!G429))),"0")</f>
        <v>0</v>
      </c>
      <c r="H429" s="189" t="str">
        <f>IFERROR(((2*('Lab Analysis'!I429/60))+('Lab Analysis'!G429/17))/(('Lab Analysis'!H429/44)+('Lab Analysis'!I429/60)),"0")</f>
        <v>0</v>
      </c>
      <c r="I429" s="189" t="str">
        <f>IFERROR((('Lab Analysis'!J429/18)-('Lab Analysis'!I429/60))/(('Lab Analysis'!H429/44)+('Lab Analysis'!I429/60)),"0")</f>
        <v>0</v>
      </c>
      <c r="J429" s="186" t="str">
        <f>IFERROR(('Lab Analysis'!M429/('Lab Analysis'!M429+(1.765*'Lab Analysis'!K429))),"0")</f>
        <v>0</v>
      </c>
      <c r="K429" s="190" t="str">
        <f>IFERROR(((2*('Lab Analysis'!M429/60))+('Lab Analysis'!K429/17))/(('Lab Analysis'!L429/44)+('Lab Analysis'!M429/60)),"0")</f>
        <v>0</v>
      </c>
      <c r="L429" s="190" t="str">
        <f>IFERROR((('Lab Analysis'!N429/18)-('Lab Analysis'!M429/60))/(('Lab Analysis'!L429/44)+('Lab Analysis'!M429/60)),"0")</f>
        <v>0</v>
      </c>
      <c r="M429" s="187" t="str">
        <f>IFERROR(((2*('Lab Analysis'!U429/60))+('Lab Analysis'!S429/17))/(('Lab Analysis'!T429/44)+('Lab Analysis'!U429/60)),"0")</f>
        <v>0</v>
      </c>
      <c r="N429" s="187" t="str">
        <f>IFERROR((('Lab Analysis'!V429/18)-('Lab Analysis'!U429/60))/(('Lab Analysis'!T429/44)+('Lab Analysis'!U429/60)),"0")</f>
        <v>0</v>
      </c>
      <c r="O429" s="187" t="str">
        <f>IFERROR(((2*('Lab Analysis'!Y429/60)+('Lab Analysis'!W429/17))/(('Lab Analysis'!X429/44)+('Lab Analysis'!Y429/60))),"0")</f>
        <v>0</v>
      </c>
      <c r="P429" s="187" t="str">
        <f>IFERROR((('Lab Analysis'!Z429/18)-('Lab Analysis'!Y429/60))/(('Lab Analysis'!X429/44)+('Lab Analysis'!Y429/60)),"0")</f>
        <v>0</v>
      </c>
      <c r="Q429" s="191"/>
    </row>
    <row r="430" spans="1:17">
      <c r="A430" s="185">
        <v>46244</v>
      </c>
      <c r="B430" s="186" t="str">
        <f>IFERROR(('Lab Analysis'!E430/('Lab Analysis'!E430+(1.364*'Lab Analysis'!D430))),"0")</f>
        <v>0</v>
      </c>
      <c r="C430" s="186" t="str">
        <f>IFERROR((2*'Lab Analysis'!E430/60)/('Lab Analysis'!C430/17+(2*'Lab Analysis'!E430/60)),"0")</f>
        <v>0</v>
      </c>
      <c r="D430" s="187" t="str">
        <f>IFERROR(((2*('Lab Analysis'!E430/60)+('Lab Analysis'!C430/17))/(('Lab Analysis'!D430/44)+('Lab Analysis'!E430/60))),"0")</f>
        <v>0</v>
      </c>
      <c r="E430" s="187" t="str">
        <f>IFERROR((('Lab Analysis'!F430/18)-('Lab Analysis'!E430/60))/(('Lab Analysis'!D430/44)+('Lab Analysis'!E430/60)),"0")</f>
        <v>0</v>
      </c>
      <c r="F430" s="187" t="str">
        <f>IFERROR((('Lab Analysis'!F430/18)/('Lab Analysis'!E430/60)),"0")</f>
        <v>0</v>
      </c>
      <c r="G430" s="188" t="str">
        <f>IFERROR(('Lab Analysis'!I430/('Lab Analysis'!I430+(1.765*'Lab Analysis'!G430))),"0")</f>
        <v>0</v>
      </c>
      <c r="H430" s="189" t="str">
        <f>IFERROR(((2*('Lab Analysis'!I430/60))+('Lab Analysis'!G430/17))/(('Lab Analysis'!H430/44)+('Lab Analysis'!I430/60)),"0")</f>
        <v>0</v>
      </c>
      <c r="I430" s="189" t="str">
        <f>IFERROR((('Lab Analysis'!J430/18)-('Lab Analysis'!I430/60))/(('Lab Analysis'!H430/44)+('Lab Analysis'!I430/60)),"0")</f>
        <v>0</v>
      </c>
      <c r="J430" s="186" t="str">
        <f>IFERROR(('Lab Analysis'!M430/('Lab Analysis'!M430+(1.765*'Lab Analysis'!K430))),"0")</f>
        <v>0</v>
      </c>
      <c r="K430" s="190" t="str">
        <f>IFERROR(((2*('Lab Analysis'!M430/60))+('Lab Analysis'!K430/17))/(('Lab Analysis'!L430/44)+('Lab Analysis'!M430/60)),"0")</f>
        <v>0</v>
      </c>
      <c r="L430" s="190" t="str">
        <f>IFERROR((('Lab Analysis'!N430/18)-('Lab Analysis'!M430/60))/(('Lab Analysis'!L430/44)+('Lab Analysis'!M430/60)),"0")</f>
        <v>0</v>
      </c>
      <c r="M430" s="187" t="str">
        <f>IFERROR(((2*('Lab Analysis'!U430/60))+('Lab Analysis'!S430/17))/(('Lab Analysis'!T430/44)+('Lab Analysis'!U430/60)),"0")</f>
        <v>0</v>
      </c>
      <c r="N430" s="187" t="str">
        <f>IFERROR((('Lab Analysis'!V430/18)-('Lab Analysis'!U430/60))/(('Lab Analysis'!T430/44)+('Lab Analysis'!U430/60)),"0")</f>
        <v>0</v>
      </c>
      <c r="O430" s="187" t="str">
        <f>IFERROR(((2*('Lab Analysis'!Y430/60)+('Lab Analysis'!W430/17))/(('Lab Analysis'!X430/44)+('Lab Analysis'!Y430/60))),"0")</f>
        <v>0</v>
      </c>
      <c r="P430" s="187" t="str">
        <f>IFERROR((('Lab Analysis'!Z430/18)-('Lab Analysis'!Y430/60))/(('Lab Analysis'!X430/44)+('Lab Analysis'!Y430/60)),"0")</f>
        <v>0</v>
      </c>
      <c r="Q430" s="191"/>
    </row>
    <row r="431" spans="1:17">
      <c r="A431" s="185">
        <v>46245</v>
      </c>
      <c r="B431" s="186" t="str">
        <f>IFERROR(('Lab Analysis'!E431/('Lab Analysis'!E431+(1.364*'Lab Analysis'!D431))),"0")</f>
        <v>0</v>
      </c>
      <c r="C431" s="186" t="str">
        <f>IFERROR((2*'Lab Analysis'!E431/60)/('Lab Analysis'!C431/17+(2*'Lab Analysis'!E431/60)),"0")</f>
        <v>0</v>
      </c>
      <c r="D431" s="187" t="str">
        <f>IFERROR(((2*('Lab Analysis'!E431/60)+('Lab Analysis'!C431/17))/(('Lab Analysis'!D431/44)+('Lab Analysis'!E431/60))),"0")</f>
        <v>0</v>
      </c>
      <c r="E431" s="187" t="str">
        <f>IFERROR((('Lab Analysis'!F431/18)-('Lab Analysis'!E431/60))/(('Lab Analysis'!D431/44)+('Lab Analysis'!E431/60)),"0")</f>
        <v>0</v>
      </c>
      <c r="F431" s="187" t="str">
        <f>IFERROR((('Lab Analysis'!F431/18)/('Lab Analysis'!E431/60)),"0")</f>
        <v>0</v>
      </c>
      <c r="G431" s="188" t="str">
        <f>IFERROR(('Lab Analysis'!I431/('Lab Analysis'!I431+(1.765*'Lab Analysis'!G431))),"0")</f>
        <v>0</v>
      </c>
      <c r="H431" s="189" t="str">
        <f>IFERROR(((2*('Lab Analysis'!I431/60))+('Lab Analysis'!G431/17))/(('Lab Analysis'!H431/44)+('Lab Analysis'!I431/60)),"0")</f>
        <v>0</v>
      </c>
      <c r="I431" s="189" t="str">
        <f>IFERROR((('Lab Analysis'!J431/18)-('Lab Analysis'!I431/60))/(('Lab Analysis'!H431/44)+('Lab Analysis'!I431/60)),"0")</f>
        <v>0</v>
      </c>
      <c r="J431" s="186" t="str">
        <f>IFERROR(('Lab Analysis'!M431/('Lab Analysis'!M431+(1.765*'Lab Analysis'!K431))),"0")</f>
        <v>0</v>
      </c>
      <c r="K431" s="190" t="str">
        <f>IFERROR(((2*('Lab Analysis'!M431/60))+('Lab Analysis'!K431/17))/(('Lab Analysis'!L431/44)+('Lab Analysis'!M431/60)),"0")</f>
        <v>0</v>
      </c>
      <c r="L431" s="190" t="str">
        <f>IFERROR((('Lab Analysis'!N431/18)-('Lab Analysis'!M431/60))/(('Lab Analysis'!L431/44)+('Lab Analysis'!M431/60)),"0")</f>
        <v>0</v>
      </c>
      <c r="M431" s="187" t="str">
        <f>IFERROR(((2*('Lab Analysis'!U431/60))+('Lab Analysis'!S431/17))/(('Lab Analysis'!T431/44)+('Lab Analysis'!U431/60)),"0")</f>
        <v>0</v>
      </c>
      <c r="N431" s="187" t="str">
        <f>IFERROR((('Lab Analysis'!V431/18)-('Lab Analysis'!U431/60))/(('Lab Analysis'!T431/44)+('Lab Analysis'!U431/60)),"0")</f>
        <v>0</v>
      </c>
      <c r="O431" s="187" t="str">
        <f>IFERROR(((2*('Lab Analysis'!Y431/60)+('Lab Analysis'!W431/17))/(('Lab Analysis'!X431/44)+('Lab Analysis'!Y431/60))),"0")</f>
        <v>0</v>
      </c>
      <c r="P431" s="187" t="str">
        <f>IFERROR((('Lab Analysis'!Z431/18)-('Lab Analysis'!Y431/60))/(('Lab Analysis'!X431/44)+('Lab Analysis'!Y431/60)),"0")</f>
        <v>0</v>
      </c>
      <c r="Q431" s="191"/>
    </row>
    <row r="432" spans="1:17">
      <c r="A432" s="185">
        <v>46246</v>
      </c>
      <c r="B432" s="186" t="str">
        <f>IFERROR(('Lab Analysis'!E432/('Lab Analysis'!E432+(1.364*'Lab Analysis'!D432))),"0")</f>
        <v>0</v>
      </c>
      <c r="C432" s="186" t="str">
        <f>IFERROR((2*'Lab Analysis'!E432/60)/('Lab Analysis'!C432/17+(2*'Lab Analysis'!E432/60)),"0")</f>
        <v>0</v>
      </c>
      <c r="D432" s="187" t="str">
        <f>IFERROR(((2*('Lab Analysis'!E432/60)+('Lab Analysis'!C432/17))/(('Lab Analysis'!D432/44)+('Lab Analysis'!E432/60))),"0")</f>
        <v>0</v>
      </c>
      <c r="E432" s="187" t="str">
        <f>IFERROR((('Lab Analysis'!F432/18)-('Lab Analysis'!E432/60))/(('Lab Analysis'!D432/44)+('Lab Analysis'!E432/60)),"0")</f>
        <v>0</v>
      </c>
      <c r="F432" s="187" t="str">
        <f>IFERROR((('Lab Analysis'!F432/18)/('Lab Analysis'!E432/60)),"0")</f>
        <v>0</v>
      </c>
      <c r="G432" s="188" t="str">
        <f>IFERROR(('Lab Analysis'!I432/('Lab Analysis'!I432+(1.765*'Lab Analysis'!G432))),"0")</f>
        <v>0</v>
      </c>
      <c r="H432" s="189" t="str">
        <f>IFERROR(((2*('Lab Analysis'!I432/60))+('Lab Analysis'!G432/17))/(('Lab Analysis'!H432/44)+('Lab Analysis'!I432/60)),"0")</f>
        <v>0</v>
      </c>
      <c r="I432" s="189" t="str">
        <f>IFERROR((('Lab Analysis'!J432/18)-('Lab Analysis'!I432/60))/(('Lab Analysis'!H432/44)+('Lab Analysis'!I432/60)),"0")</f>
        <v>0</v>
      </c>
      <c r="J432" s="186" t="str">
        <f>IFERROR(('Lab Analysis'!M432/('Lab Analysis'!M432+(1.765*'Lab Analysis'!K432))),"0")</f>
        <v>0</v>
      </c>
      <c r="K432" s="190" t="str">
        <f>IFERROR(((2*('Lab Analysis'!M432/60))+('Lab Analysis'!K432/17))/(('Lab Analysis'!L432/44)+('Lab Analysis'!M432/60)),"0")</f>
        <v>0</v>
      </c>
      <c r="L432" s="190" t="str">
        <f>IFERROR((('Lab Analysis'!N432/18)-('Lab Analysis'!M432/60))/(('Lab Analysis'!L432/44)+('Lab Analysis'!M432/60)),"0")</f>
        <v>0</v>
      </c>
      <c r="M432" s="187" t="str">
        <f>IFERROR(((2*('Lab Analysis'!U432/60))+('Lab Analysis'!S432/17))/(('Lab Analysis'!T432/44)+('Lab Analysis'!U432/60)),"0")</f>
        <v>0</v>
      </c>
      <c r="N432" s="187" t="str">
        <f>IFERROR((('Lab Analysis'!V432/18)-('Lab Analysis'!U432/60))/(('Lab Analysis'!T432/44)+('Lab Analysis'!U432/60)),"0")</f>
        <v>0</v>
      </c>
      <c r="O432" s="187" t="str">
        <f>IFERROR(((2*('Lab Analysis'!Y432/60)+('Lab Analysis'!W432/17))/(('Lab Analysis'!X432/44)+('Lab Analysis'!Y432/60))),"0")</f>
        <v>0</v>
      </c>
      <c r="P432" s="187" t="str">
        <f>IFERROR((('Lab Analysis'!Z432/18)-('Lab Analysis'!Y432/60))/(('Lab Analysis'!X432/44)+('Lab Analysis'!Y432/60)),"0")</f>
        <v>0</v>
      </c>
      <c r="Q432" s="191"/>
    </row>
    <row r="433" spans="1:17">
      <c r="A433" s="185">
        <v>46247</v>
      </c>
      <c r="B433" s="186" t="str">
        <f>IFERROR(('Lab Analysis'!E433/('Lab Analysis'!E433+(1.364*'Lab Analysis'!D433))),"0")</f>
        <v>0</v>
      </c>
      <c r="C433" s="186" t="str">
        <f>IFERROR((2*'Lab Analysis'!E433/60)/('Lab Analysis'!C433/17+(2*'Lab Analysis'!E433/60)),"0")</f>
        <v>0</v>
      </c>
      <c r="D433" s="187" t="str">
        <f>IFERROR(((2*('Lab Analysis'!E433/60)+('Lab Analysis'!C433/17))/(('Lab Analysis'!D433/44)+('Lab Analysis'!E433/60))),"0")</f>
        <v>0</v>
      </c>
      <c r="E433" s="187" t="str">
        <f>IFERROR((('Lab Analysis'!F433/18)-('Lab Analysis'!E433/60))/(('Lab Analysis'!D433/44)+('Lab Analysis'!E433/60)),"0")</f>
        <v>0</v>
      </c>
      <c r="F433" s="187" t="str">
        <f>IFERROR((('Lab Analysis'!F433/18)/('Lab Analysis'!E433/60)),"0")</f>
        <v>0</v>
      </c>
      <c r="G433" s="188" t="str">
        <f>IFERROR(('Lab Analysis'!I433/('Lab Analysis'!I433+(1.765*'Lab Analysis'!G433))),"0")</f>
        <v>0</v>
      </c>
      <c r="H433" s="189" t="str">
        <f>IFERROR(((2*('Lab Analysis'!I433/60))+('Lab Analysis'!G433/17))/(('Lab Analysis'!H433/44)+('Lab Analysis'!I433/60)),"0")</f>
        <v>0</v>
      </c>
      <c r="I433" s="189" t="str">
        <f>IFERROR((('Lab Analysis'!J433/18)-('Lab Analysis'!I433/60))/(('Lab Analysis'!H433/44)+('Lab Analysis'!I433/60)),"0")</f>
        <v>0</v>
      </c>
      <c r="J433" s="186" t="str">
        <f>IFERROR(('Lab Analysis'!M433/('Lab Analysis'!M433+(1.765*'Lab Analysis'!K433))),"0")</f>
        <v>0</v>
      </c>
      <c r="K433" s="190" t="str">
        <f>IFERROR(((2*('Lab Analysis'!M433/60))+('Lab Analysis'!K433/17))/(('Lab Analysis'!L433/44)+('Lab Analysis'!M433/60)),"0")</f>
        <v>0</v>
      </c>
      <c r="L433" s="190" t="str">
        <f>IFERROR((('Lab Analysis'!N433/18)-('Lab Analysis'!M433/60))/(('Lab Analysis'!L433/44)+('Lab Analysis'!M433/60)),"0")</f>
        <v>0</v>
      </c>
      <c r="M433" s="187" t="str">
        <f>IFERROR(((2*('Lab Analysis'!U433/60))+('Lab Analysis'!S433/17))/(('Lab Analysis'!T433/44)+('Lab Analysis'!U433/60)),"0")</f>
        <v>0</v>
      </c>
      <c r="N433" s="187" t="str">
        <f>IFERROR((('Lab Analysis'!V433/18)-('Lab Analysis'!U433/60))/(('Lab Analysis'!T433/44)+('Lab Analysis'!U433/60)),"0")</f>
        <v>0</v>
      </c>
      <c r="O433" s="187" t="str">
        <f>IFERROR(((2*('Lab Analysis'!Y433/60)+('Lab Analysis'!W433/17))/(('Lab Analysis'!X433/44)+('Lab Analysis'!Y433/60))),"0")</f>
        <v>0</v>
      </c>
      <c r="P433" s="187" t="str">
        <f>IFERROR((('Lab Analysis'!Z433/18)-('Lab Analysis'!Y433/60))/(('Lab Analysis'!X433/44)+('Lab Analysis'!Y433/60)),"0")</f>
        <v>0</v>
      </c>
      <c r="Q433" s="191"/>
    </row>
    <row r="434" spans="1:17">
      <c r="A434" s="185">
        <v>46248</v>
      </c>
      <c r="B434" s="186" t="str">
        <f>IFERROR(('Lab Analysis'!E434/('Lab Analysis'!E434+(1.364*'Lab Analysis'!D434))),"0")</f>
        <v>0</v>
      </c>
      <c r="C434" s="186" t="str">
        <f>IFERROR((2*'Lab Analysis'!E434/60)/('Lab Analysis'!C434/17+(2*'Lab Analysis'!E434/60)),"0")</f>
        <v>0</v>
      </c>
      <c r="D434" s="187" t="str">
        <f>IFERROR(((2*('Lab Analysis'!E434/60)+('Lab Analysis'!C434/17))/(('Lab Analysis'!D434/44)+('Lab Analysis'!E434/60))),"0")</f>
        <v>0</v>
      </c>
      <c r="E434" s="187" t="str">
        <f>IFERROR((('Lab Analysis'!F434/18)-('Lab Analysis'!E434/60))/(('Lab Analysis'!D434/44)+('Lab Analysis'!E434/60)),"0")</f>
        <v>0</v>
      </c>
      <c r="F434" s="187" t="str">
        <f>IFERROR((('Lab Analysis'!F434/18)/('Lab Analysis'!E434/60)),"0")</f>
        <v>0</v>
      </c>
      <c r="G434" s="188" t="str">
        <f>IFERROR(('Lab Analysis'!I434/('Lab Analysis'!I434+(1.765*'Lab Analysis'!G434))),"0")</f>
        <v>0</v>
      </c>
      <c r="H434" s="189" t="str">
        <f>IFERROR(((2*('Lab Analysis'!I434/60))+('Lab Analysis'!G434/17))/(('Lab Analysis'!H434/44)+('Lab Analysis'!I434/60)),"0")</f>
        <v>0</v>
      </c>
      <c r="I434" s="189" t="str">
        <f>IFERROR((('Lab Analysis'!J434/18)-('Lab Analysis'!I434/60))/(('Lab Analysis'!H434/44)+('Lab Analysis'!I434/60)),"0")</f>
        <v>0</v>
      </c>
      <c r="J434" s="186" t="str">
        <f>IFERROR(('Lab Analysis'!M434/('Lab Analysis'!M434+(1.765*'Lab Analysis'!K434))),"0")</f>
        <v>0</v>
      </c>
      <c r="K434" s="190" t="str">
        <f>IFERROR(((2*('Lab Analysis'!M434/60))+('Lab Analysis'!K434/17))/(('Lab Analysis'!L434/44)+('Lab Analysis'!M434/60)),"0")</f>
        <v>0</v>
      </c>
      <c r="L434" s="190" t="str">
        <f>IFERROR((('Lab Analysis'!N434/18)-('Lab Analysis'!M434/60))/(('Lab Analysis'!L434/44)+('Lab Analysis'!M434/60)),"0")</f>
        <v>0</v>
      </c>
      <c r="M434" s="187" t="str">
        <f>IFERROR(((2*('Lab Analysis'!U434/60))+('Lab Analysis'!S434/17))/(('Lab Analysis'!T434/44)+('Lab Analysis'!U434/60)),"0")</f>
        <v>0</v>
      </c>
      <c r="N434" s="187" t="str">
        <f>IFERROR((('Lab Analysis'!V434/18)-('Lab Analysis'!U434/60))/(('Lab Analysis'!T434/44)+('Lab Analysis'!U434/60)),"0")</f>
        <v>0</v>
      </c>
      <c r="O434" s="187" t="str">
        <f>IFERROR(((2*('Lab Analysis'!Y434/60)+('Lab Analysis'!W434/17))/(('Lab Analysis'!X434/44)+('Lab Analysis'!Y434/60))),"0")</f>
        <v>0</v>
      </c>
      <c r="P434" s="187" t="str">
        <f>IFERROR((('Lab Analysis'!Z434/18)-('Lab Analysis'!Y434/60))/(('Lab Analysis'!X434/44)+('Lab Analysis'!Y434/60)),"0")</f>
        <v>0</v>
      </c>
      <c r="Q434" s="191"/>
    </row>
    <row r="435" spans="1:17">
      <c r="A435" s="185">
        <v>46249</v>
      </c>
      <c r="B435" s="186" t="str">
        <f>IFERROR(('Lab Analysis'!E435/('Lab Analysis'!E435+(1.364*'Lab Analysis'!D435))),"0")</f>
        <v>0</v>
      </c>
      <c r="C435" s="186" t="str">
        <f>IFERROR((2*'Lab Analysis'!E435/60)/('Lab Analysis'!C435/17+(2*'Lab Analysis'!E435/60)),"0")</f>
        <v>0</v>
      </c>
      <c r="D435" s="187" t="str">
        <f>IFERROR(((2*('Lab Analysis'!E435/60)+('Lab Analysis'!C435/17))/(('Lab Analysis'!D435/44)+('Lab Analysis'!E435/60))),"0")</f>
        <v>0</v>
      </c>
      <c r="E435" s="187" t="str">
        <f>IFERROR((('Lab Analysis'!F435/18)-('Lab Analysis'!E435/60))/(('Lab Analysis'!D435/44)+('Lab Analysis'!E435/60)),"0")</f>
        <v>0</v>
      </c>
      <c r="F435" s="187" t="str">
        <f>IFERROR((('Lab Analysis'!F435/18)/('Lab Analysis'!E435/60)),"0")</f>
        <v>0</v>
      </c>
      <c r="G435" s="188" t="str">
        <f>IFERROR(('Lab Analysis'!I435/('Lab Analysis'!I435+(1.765*'Lab Analysis'!G435))),"0")</f>
        <v>0</v>
      </c>
      <c r="H435" s="189" t="str">
        <f>IFERROR(((2*('Lab Analysis'!I435/60))+('Lab Analysis'!G435/17))/(('Lab Analysis'!H435/44)+('Lab Analysis'!I435/60)),"0")</f>
        <v>0</v>
      </c>
      <c r="I435" s="189" t="str">
        <f>IFERROR((('Lab Analysis'!J435/18)-('Lab Analysis'!I435/60))/(('Lab Analysis'!H435/44)+('Lab Analysis'!I435/60)),"0")</f>
        <v>0</v>
      </c>
      <c r="J435" s="186" t="str">
        <f>IFERROR(('Lab Analysis'!M435/('Lab Analysis'!M435+(1.765*'Lab Analysis'!K435))),"0")</f>
        <v>0</v>
      </c>
      <c r="K435" s="190" t="str">
        <f>IFERROR(((2*('Lab Analysis'!M435/60))+('Lab Analysis'!K435/17))/(('Lab Analysis'!L435/44)+('Lab Analysis'!M435/60)),"0")</f>
        <v>0</v>
      </c>
      <c r="L435" s="190" t="str">
        <f>IFERROR((('Lab Analysis'!N435/18)-('Lab Analysis'!M435/60))/(('Lab Analysis'!L435/44)+('Lab Analysis'!M435/60)),"0")</f>
        <v>0</v>
      </c>
      <c r="M435" s="187" t="str">
        <f>IFERROR(((2*('Lab Analysis'!U435/60))+('Lab Analysis'!S435/17))/(('Lab Analysis'!T435/44)+('Lab Analysis'!U435/60)),"0")</f>
        <v>0</v>
      </c>
      <c r="N435" s="187" t="str">
        <f>IFERROR((('Lab Analysis'!V435/18)-('Lab Analysis'!U435/60))/(('Lab Analysis'!T435/44)+('Lab Analysis'!U435/60)),"0")</f>
        <v>0</v>
      </c>
      <c r="O435" s="187" t="str">
        <f>IFERROR(((2*('Lab Analysis'!Y435/60)+('Lab Analysis'!W435/17))/(('Lab Analysis'!X435/44)+('Lab Analysis'!Y435/60))),"0")</f>
        <v>0</v>
      </c>
      <c r="P435" s="187" t="str">
        <f>IFERROR((('Lab Analysis'!Z435/18)-('Lab Analysis'!Y435/60))/(('Lab Analysis'!X435/44)+('Lab Analysis'!Y435/60)),"0")</f>
        <v>0</v>
      </c>
      <c r="Q435" s="191"/>
    </row>
    <row r="436" spans="1:17">
      <c r="A436" s="185">
        <v>46250</v>
      </c>
      <c r="B436" s="186" t="str">
        <f>IFERROR(('Lab Analysis'!E436/('Lab Analysis'!E436+(1.364*'Lab Analysis'!D436))),"0")</f>
        <v>0</v>
      </c>
      <c r="C436" s="186" t="str">
        <f>IFERROR((2*'Lab Analysis'!E436/60)/('Lab Analysis'!C436/17+(2*'Lab Analysis'!E436/60)),"0")</f>
        <v>0</v>
      </c>
      <c r="D436" s="187" t="str">
        <f>IFERROR(((2*('Lab Analysis'!E436/60)+('Lab Analysis'!C436/17))/(('Lab Analysis'!D436/44)+('Lab Analysis'!E436/60))),"0")</f>
        <v>0</v>
      </c>
      <c r="E436" s="187" t="str">
        <f>IFERROR((('Lab Analysis'!F436/18)-('Lab Analysis'!E436/60))/(('Lab Analysis'!D436/44)+('Lab Analysis'!E436/60)),"0")</f>
        <v>0</v>
      </c>
      <c r="F436" s="187" t="str">
        <f>IFERROR((('Lab Analysis'!F436/18)/('Lab Analysis'!E436/60)),"0")</f>
        <v>0</v>
      </c>
      <c r="G436" s="188" t="str">
        <f>IFERROR(('Lab Analysis'!I436/('Lab Analysis'!I436+(1.765*'Lab Analysis'!G436))),"0")</f>
        <v>0</v>
      </c>
      <c r="H436" s="189" t="str">
        <f>IFERROR(((2*('Lab Analysis'!I436/60))+('Lab Analysis'!G436/17))/(('Lab Analysis'!H436/44)+('Lab Analysis'!I436/60)),"0")</f>
        <v>0</v>
      </c>
      <c r="I436" s="189" t="str">
        <f>IFERROR((('Lab Analysis'!J436/18)-('Lab Analysis'!I436/60))/(('Lab Analysis'!H436/44)+('Lab Analysis'!I436/60)),"0")</f>
        <v>0</v>
      </c>
      <c r="J436" s="186" t="str">
        <f>IFERROR(('Lab Analysis'!M436/('Lab Analysis'!M436+(1.765*'Lab Analysis'!K436))),"0")</f>
        <v>0</v>
      </c>
      <c r="K436" s="190" t="str">
        <f>IFERROR(((2*('Lab Analysis'!M436/60))+('Lab Analysis'!K436/17))/(('Lab Analysis'!L436/44)+('Lab Analysis'!M436/60)),"0")</f>
        <v>0</v>
      </c>
      <c r="L436" s="190" t="str">
        <f>IFERROR((('Lab Analysis'!N436/18)-('Lab Analysis'!M436/60))/(('Lab Analysis'!L436/44)+('Lab Analysis'!M436/60)),"0")</f>
        <v>0</v>
      </c>
      <c r="M436" s="187" t="str">
        <f>IFERROR(((2*('Lab Analysis'!U436/60))+('Lab Analysis'!S436/17))/(('Lab Analysis'!T436/44)+('Lab Analysis'!U436/60)),"0")</f>
        <v>0</v>
      </c>
      <c r="N436" s="187" t="str">
        <f>IFERROR((('Lab Analysis'!V436/18)-('Lab Analysis'!U436/60))/(('Lab Analysis'!T436/44)+('Lab Analysis'!U436/60)),"0")</f>
        <v>0</v>
      </c>
      <c r="O436" s="187" t="str">
        <f>IFERROR(((2*('Lab Analysis'!Y436/60)+('Lab Analysis'!W436/17))/(('Lab Analysis'!X436/44)+('Lab Analysis'!Y436/60))),"0")</f>
        <v>0</v>
      </c>
      <c r="P436" s="187" t="str">
        <f>IFERROR((('Lab Analysis'!Z436/18)-('Lab Analysis'!Y436/60))/(('Lab Analysis'!X436/44)+('Lab Analysis'!Y436/60)),"0")</f>
        <v>0</v>
      </c>
      <c r="Q436" s="191"/>
    </row>
    <row r="437" spans="1:17">
      <c r="A437" s="185">
        <v>46251</v>
      </c>
      <c r="B437" s="186" t="str">
        <f>IFERROR(('Lab Analysis'!E437/('Lab Analysis'!E437+(1.364*'Lab Analysis'!D437))),"0")</f>
        <v>0</v>
      </c>
      <c r="C437" s="186" t="str">
        <f>IFERROR((2*'Lab Analysis'!E437/60)/('Lab Analysis'!C437/17+(2*'Lab Analysis'!E437/60)),"0")</f>
        <v>0</v>
      </c>
      <c r="D437" s="187" t="str">
        <f>IFERROR(((2*('Lab Analysis'!E437/60)+('Lab Analysis'!C437/17))/(('Lab Analysis'!D437/44)+('Lab Analysis'!E437/60))),"0")</f>
        <v>0</v>
      </c>
      <c r="E437" s="187" t="str">
        <f>IFERROR((('Lab Analysis'!F437/18)-('Lab Analysis'!E437/60))/(('Lab Analysis'!D437/44)+('Lab Analysis'!E437/60)),"0")</f>
        <v>0</v>
      </c>
      <c r="F437" s="187" t="str">
        <f>IFERROR((('Lab Analysis'!F437/18)/('Lab Analysis'!E437/60)),"0")</f>
        <v>0</v>
      </c>
      <c r="G437" s="188" t="str">
        <f>IFERROR(('Lab Analysis'!I437/('Lab Analysis'!I437+(1.765*'Lab Analysis'!G437))),"0")</f>
        <v>0</v>
      </c>
      <c r="H437" s="189" t="str">
        <f>IFERROR(((2*('Lab Analysis'!I437/60))+('Lab Analysis'!G437/17))/(('Lab Analysis'!H437/44)+('Lab Analysis'!I437/60)),"0")</f>
        <v>0</v>
      </c>
      <c r="I437" s="189" t="str">
        <f>IFERROR((('Lab Analysis'!J437/18)-('Lab Analysis'!I437/60))/(('Lab Analysis'!H437/44)+('Lab Analysis'!I437/60)),"0")</f>
        <v>0</v>
      </c>
      <c r="J437" s="186" t="str">
        <f>IFERROR(('Lab Analysis'!M437/('Lab Analysis'!M437+(1.765*'Lab Analysis'!K437))),"0")</f>
        <v>0</v>
      </c>
      <c r="K437" s="190" t="str">
        <f>IFERROR(((2*('Lab Analysis'!M437/60))+('Lab Analysis'!K437/17))/(('Lab Analysis'!L437/44)+('Lab Analysis'!M437/60)),"0")</f>
        <v>0</v>
      </c>
      <c r="L437" s="190" t="str">
        <f>IFERROR((('Lab Analysis'!N437/18)-('Lab Analysis'!M437/60))/(('Lab Analysis'!L437/44)+('Lab Analysis'!M437/60)),"0")</f>
        <v>0</v>
      </c>
      <c r="M437" s="187" t="str">
        <f>IFERROR(((2*('Lab Analysis'!U437/60))+('Lab Analysis'!S437/17))/(('Lab Analysis'!T437/44)+('Lab Analysis'!U437/60)),"0")</f>
        <v>0</v>
      </c>
      <c r="N437" s="187" t="str">
        <f>IFERROR((('Lab Analysis'!V437/18)-('Lab Analysis'!U437/60))/(('Lab Analysis'!T437/44)+('Lab Analysis'!U437/60)),"0")</f>
        <v>0</v>
      </c>
      <c r="O437" s="187" t="str">
        <f>IFERROR(((2*('Lab Analysis'!Y437/60)+('Lab Analysis'!W437/17))/(('Lab Analysis'!X437/44)+('Lab Analysis'!Y437/60))),"0")</f>
        <v>0</v>
      </c>
      <c r="P437" s="187" t="str">
        <f>IFERROR((('Lab Analysis'!Z437/18)-('Lab Analysis'!Y437/60))/(('Lab Analysis'!X437/44)+('Lab Analysis'!Y437/60)),"0")</f>
        <v>0</v>
      </c>
      <c r="Q437" s="191"/>
    </row>
    <row r="438" spans="1:17">
      <c r="A438" s="185">
        <v>46252</v>
      </c>
      <c r="B438" s="186" t="str">
        <f>IFERROR(('Lab Analysis'!E438/('Lab Analysis'!E438+(1.364*'Lab Analysis'!D438))),"0")</f>
        <v>0</v>
      </c>
      <c r="C438" s="186" t="str">
        <f>IFERROR((2*'Lab Analysis'!E438/60)/('Lab Analysis'!C438/17+(2*'Lab Analysis'!E438/60)),"0")</f>
        <v>0</v>
      </c>
      <c r="D438" s="187" t="str">
        <f>IFERROR(((2*('Lab Analysis'!E438/60)+('Lab Analysis'!C438/17))/(('Lab Analysis'!D438/44)+('Lab Analysis'!E438/60))),"0")</f>
        <v>0</v>
      </c>
      <c r="E438" s="187" t="str">
        <f>IFERROR((('Lab Analysis'!F438/18)-('Lab Analysis'!E438/60))/(('Lab Analysis'!D438/44)+('Lab Analysis'!E438/60)),"0")</f>
        <v>0</v>
      </c>
      <c r="F438" s="187" t="str">
        <f>IFERROR((('Lab Analysis'!F438/18)/('Lab Analysis'!E438/60)),"0")</f>
        <v>0</v>
      </c>
      <c r="G438" s="188" t="str">
        <f>IFERROR(('Lab Analysis'!I438/('Lab Analysis'!I438+(1.765*'Lab Analysis'!G438))),"0")</f>
        <v>0</v>
      </c>
      <c r="H438" s="189" t="str">
        <f>IFERROR(((2*('Lab Analysis'!I438/60))+('Lab Analysis'!G438/17))/(('Lab Analysis'!H438/44)+('Lab Analysis'!I438/60)),"0")</f>
        <v>0</v>
      </c>
      <c r="I438" s="189" t="str">
        <f>IFERROR((('Lab Analysis'!J438/18)-('Lab Analysis'!I438/60))/(('Lab Analysis'!H438/44)+('Lab Analysis'!I438/60)),"0")</f>
        <v>0</v>
      </c>
      <c r="J438" s="186" t="str">
        <f>IFERROR(('Lab Analysis'!M438/('Lab Analysis'!M438+(1.765*'Lab Analysis'!K438))),"0")</f>
        <v>0</v>
      </c>
      <c r="K438" s="190" t="str">
        <f>IFERROR(((2*('Lab Analysis'!M438/60))+('Lab Analysis'!K438/17))/(('Lab Analysis'!L438/44)+('Lab Analysis'!M438/60)),"0")</f>
        <v>0</v>
      </c>
      <c r="L438" s="190" t="str">
        <f>IFERROR((('Lab Analysis'!N438/18)-('Lab Analysis'!M438/60))/(('Lab Analysis'!L438/44)+('Lab Analysis'!M438/60)),"0")</f>
        <v>0</v>
      </c>
      <c r="M438" s="187" t="str">
        <f>IFERROR(((2*('Lab Analysis'!U438/60))+('Lab Analysis'!S438/17))/(('Lab Analysis'!T438/44)+('Lab Analysis'!U438/60)),"0")</f>
        <v>0</v>
      </c>
      <c r="N438" s="187" t="str">
        <f>IFERROR((('Lab Analysis'!V438/18)-('Lab Analysis'!U438/60))/(('Lab Analysis'!T438/44)+('Lab Analysis'!U438/60)),"0")</f>
        <v>0</v>
      </c>
      <c r="O438" s="187" t="str">
        <f>IFERROR(((2*('Lab Analysis'!Y438/60)+('Lab Analysis'!W438/17))/(('Lab Analysis'!X438/44)+('Lab Analysis'!Y438/60))),"0")</f>
        <v>0</v>
      </c>
      <c r="P438" s="187" t="str">
        <f>IFERROR((('Lab Analysis'!Z438/18)-('Lab Analysis'!Y438/60))/(('Lab Analysis'!X438/44)+('Lab Analysis'!Y438/60)),"0")</f>
        <v>0</v>
      </c>
      <c r="Q438" s="191"/>
    </row>
    <row r="439" spans="1:17">
      <c r="A439" s="185">
        <v>46253</v>
      </c>
      <c r="B439" s="186" t="str">
        <f>IFERROR(('Lab Analysis'!E439/('Lab Analysis'!E439+(1.364*'Lab Analysis'!D439))),"0")</f>
        <v>0</v>
      </c>
      <c r="C439" s="186" t="str">
        <f>IFERROR((2*'Lab Analysis'!E439/60)/('Lab Analysis'!C439/17+(2*'Lab Analysis'!E439/60)),"0")</f>
        <v>0</v>
      </c>
      <c r="D439" s="187" t="str">
        <f>IFERROR(((2*('Lab Analysis'!E439/60)+('Lab Analysis'!C439/17))/(('Lab Analysis'!D439/44)+('Lab Analysis'!E439/60))),"0")</f>
        <v>0</v>
      </c>
      <c r="E439" s="187" t="str">
        <f>IFERROR((('Lab Analysis'!F439/18)-('Lab Analysis'!E439/60))/(('Lab Analysis'!D439/44)+('Lab Analysis'!E439/60)),"0")</f>
        <v>0</v>
      </c>
      <c r="F439" s="187" t="str">
        <f>IFERROR((('Lab Analysis'!F439/18)/('Lab Analysis'!E439/60)),"0")</f>
        <v>0</v>
      </c>
      <c r="G439" s="188" t="str">
        <f>IFERROR(('Lab Analysis'!I439/('Lab Analysis'!I439+(1.765*'Lab Analysis'!G439))),"0")</f>
        <v>0</v>
      </c>
      <c r="H439" s="189" t="str">
        <f>IFERROR(((2*('Lab Analysis'!I439/60))+('Lab Analysis'!G439/17))/(('Lab Analysis'!H439/44)+('Lab Analysis'!I439/60)),"0")</f>
        <v>0</v>
      </c>
      <c r="I439" s="189" t="str">
        <f>IFERROR((('Lab Analysis'!J439/18)-('Lab Analysis'!I439/60))/(('Lab Analysis'!H439/44)+('Lab Analysis'!I439/60)),"0")</f>
        <v>0</v>
      </c>
      <c r="J439" s="186" t="str">
        <f>IFERROR(('Lab Analysis'!M439/('Lab Analysis'!M439+(1.765*'Lab Analysis'!K439))),"0")</f>
        <v>0</v>
      </c>
      <c r="K439" s="190" t="str">
        <f>IFERROR(((2*('Lab Analysis'!M439/60))+('Lab Analysis'!K439/17))/(('Lab Analysis'!L439/44)+('Lab Analysis'!M439/60)),"0")</f>
        <v>0</v>
      </c>
      <c r="L439" s="190" t="str">
        <f>IFERROR((('Lab Analysis'!N439/18)-('Lab Analysis'!M439/60))/(('Lab Analysis'!L439/44)+('Lab Analysis'!M439/60)),"0")</f>
        <v>0</v>
      </c>
      <c r="M439" s="187" t="str">
        <f>IFERROR(((2*('Lab Analysis'!U439/60))+('Lab Analysis'!S439/17))/(('Lab Analysis'!T439/44)+('Lab Analysis'!U439/60)),"0")</f>
        <v>0</v>
      </c>
      <c r="N439" s="187" t="str">
        <f>IFERROR((('Lab Analysis'!V439/18)-('Lab Analysis'!U439/60))/(('Lab Analysis'!T439/44)+('Lab Analysis'!U439/60)),"0")</f>
        <v>0</v>
      </c>
      <c r="O439" s="187" t="str">
        <f>IFERROR(((2*('Lab Analysis'!Y439/60)+('Lab Analysis'!W439/17))/(('Lab Analysis'!X439/44)+('Lab Analysis'!Y439/60))),"0")</f>
        <v>0</v>
      </c>
      <c r="P439" s="187" t="str">
        <f>IFERROR((('Lab Analysis'!Z439/18)-('Lab Analysis'!Y439/60))/(('Lab Analysis'!X439/44)+('Lab Analysis'!Y439/60)),"0")</f>
        <v>0</v>
      </c>
      <c r="Q439" s="191"/>
    </row>
    <row r="440" spans="1:17">
      <c r="A440" s="185">
        <v>46254</v>
      </c>
      <c r="B440" s="186" t="str">
        <f>IFERROR(('Lab Analysis'!E440/('Lab Analysis'!E440+(1.364*'Lab Analysis'!D440))),"0")</f>
        <v>0</v>
      </c>
      <c r="C440" s="186" t="str">
        <f>IFERROR((2*'Lab Analysis'!E440/60)/('Lab Analysis'!C440/17+(2*'Lab Analysis'!E440/60)),"0")</f>
        <v>0</v>
      </c>
      <c r="D440" s="187" t="str">
        <f>IFERROR(((2*('Lab Analysis'!E440/60)+('Lab Analysis'!C440/17))/(('Lab Analysis'!D440/44)+('Lab Analysis'!E440/60))),"0")</f>
        <v>0</v>
      </c>
      <c r="E440" s="187" t="str">
        <f>IFERROR((('Lab Analysis'!F440/18)-('Lab Analysis'!E440/60))/(('Lab Analysis'!D440/44)+('Lab Analysis'!E440/60)),"0")</f>
        <v>0</v>
      </c>
      <c r="F440" s="187" t="str">
        <f>IFERROR((('Lab Analysis'!F440/18)/('Lab Analysis'!E440/60)),"0")</f>
        <v>0</v>
      </c>
      <c r="G440" s="188" t="str">
        <f>IFERROR(('Lab Analysis'!I440/('Lab Analysis'!I440+(1.765*'Lab Analysis'!G440))),"0")</f>
        <v>0</v>
      </c>
      <c r="H440" s="189" t="str">
        <f>IFERROR(((2*('Lab Analysis'!I440/60))+('Lab Analysis'!G440/17))/(('Lab Analysis'!H440/44)+('Lab Analysis'!I440/60)),"0")</f>
        <v>0</v>
      </c>
      <c r="I440" s="189" t="str">
        <f>IFERROR((('Lab Analysis'!J440/18)-('Lab Analysis'!I440/60))/(('Lab Analysis'!H440/44)+('Lab Analysis'!I440/60)),"0")</f>
        <v>0</v>
      </c>
      <c r="J440" s="186" t="str">
        <f>IFERROR(('Lab Analysis'!M440/('Lab Analysis'!M440+(1.765*'Lab Analysis'!K440))),"0")</f>
        <v>0</v>
      </c>
      <c r="K440" s="190" t="str">
        <f>IFERROR(((2*('Lab Analysis'!M440/60))+('Lab Analysis'!K440/17))/(('Lab Analysis'!L440/44)+('Lab Analysis'!M440/60)),"0")</f>
        <v>0</v>
      </c>
      <c r="L440" s="190" t="str">
        <f>IFERROR((('Lab Analysis'!N440/18)-('Lab Analysis'!M440/60))/(('Lab Analysis'!L440/44)+('Lab Analysis'!M440/60)),"0")</f>
        <v>0</v>
      </c>
      <c r="M440" s="187" t="str">
        <f>IFERROR(((2*('Lab Analysis'!U440/60))+('Lab Analysis'!S440/17))/(('Lab Analysis'!T440/44)+('Lab Analysis'!U440/60)),"0")</f>
        <v>0</v>
      </c>
      <c r="N440" s="187" t="str">
        <f>IFERROR((('Lab Analysis'!V440/18)-('Lab Analysis'!U440/60))/(('Lab Analysis'!T440/44)+('Lab Analysis'!U440/60)),"0")</f>
        <v>0</v>
      </c>
      <c r="O440" s="187" t="str">
        <f>IFERROR(((2*('Lab Analysis'!Y440/60)+('Lab Analysis'!W440/17))/(('Lab Analysis'!X440/44)+('Lab Analysis'!Y440/60))),"0")</f>
        <v>0</v>
      </c>
      <c r="P440" s="187" t="str">
        <f>IFERROR((('Lab Analysis'!Z440/18)-('Lab Analysis'!Y440/60))/(('Lab Analysis'!X440/44)+('Lab Analysis'!Y440/60)),"0")</f>
        <v>0</v>
      </c>
      <c r="Q440" s="191"/>
    </row>
    <row r="441" spans="1:17">
      <c r="A441" s="185">
        <v>46255</v>
      </c>
      <c r="B441" s="186" t="str">
        <f>IFERROR(('Lab Analysis'!E441/('Lab Analysis'!E441+(1.364*'Lab Analysis'!D441))),"0")</f>
        <v>0</v>
      </c>
      <c r="C441" s="186" t="str">
        <f>IFERROR((2*'Lab Analysis'!E441/60)/('Lab Analysis'!C441/17+(2*'Lab Analysis'!E441/60)),"0")</f>
        <v>0</v>
      </c>
      <c r="D441" s="187" t="str">
        <f>IFERROR(((2*('Lab Analysis'!E441/60)+('Lab Analysis'!C441/17))/(('Lab Analysis'!D441/44)+('Lab Analysis'!E441/60))),"0")</f>
        <v>0</v>
      </c>
      <c r="E441" s="187" t="str">
        <f>IFERROR((('Lab Analysis'!F441/18)-('Lab Analysis'!E441/60))/(('Lab Analysis'!D441/44)+('Lab Analysis'!E441/60)),"0")</f>
        <v>0</v>
      </c>
      <c r="F441" s="187" t="str">
        <f>IFERROR((('Lab Analysis'!F441/18)/('Lab Analysis'!E441/60)),"0")</f>
        <v>0</v>
      </c>
      <c r="G441" s="188" t="str">
        <f>IFERROR(('Lab Analysis'!I441/('Lab Analysis'!I441+(1.765*'Lab Analysis'!G441))),"0")</f>
        <v>0</v>
      </c>
      <c r="H441" s="189" t="str">
        <f>IFERROR(((2*('Lab Analysis'!I441/60))+('Lab Analysis'!G441/17))/(('Lab Analysis'!H441/44)+('Lab Analysis'!I441/60)),"0")</f>
        <v>0</v>
      </c>
      <c r="I441" s="189" t="str">
        <f>IFERROR((('Lab Analysis'!J441/18)-('Lab Analysis'!I441/60))/(('Lab Analysis'!H441/44)+('Lab Analysis'!I441/60)),"0")</f>
        <v>0</v>
      </c>
      <c r="J441" s="186" t="str">
        <f>IFERROR(('Lab Analysis'!M441/('Lab Analysis'!M441+(1.765*'Lab Analysis'!K441))),"0")</f>
        <v>0</v>
      </c>
      <c r="K441" s="190" t="str">
        <f>IFERROR(((2*('Lab Analysis'!M441/60))+('Lab Analysis'!K441/17))/(('Lab Analysis'!L441/44)+('Lab Analysis'!M441/60)),"0")</f>
        <v>0</v>
      </c>
      <c r="L441" s="190" t="str">
        <f>IFERROR((('Lab Analysis'!N441/18)-('Lab Analysis'!M441/60))/(('Lab Analysis'!L441/44)+('Lab Analysis'!M441/60)),"0")</f>
        <v>0</v>
      </c>
      <c r="M441" s="187" t="str">
        <f>IFERROR(((2*('Lab Analysis'!U441/60))+('Lab Analysis'!S441/17))/(('Lab Analysis'!T441/44)+('Lab Analysis'!U441/60)),"0")</f>
        <v>0</v>
      </c>
      <c r="N441" s="187" t="str">
        <f>IFERROR((('Lab Analysis'!V441/18)-('Lab Analysis'!U441/60))/(('Lab Analysis'!T441/44)+('Lab Analysis'!U441/60)),"0")</f>
        <v>0</v>
      </c>
      <c r="O441" s="187" t="str">
        <f>IFERROR(((2*('Lab Analysis'!Y441/60)+('Lab Analysis'!W441/17))/(('Lab Analysis'!X441/44)+('Lab Analysis'!Y441/60))),"0")</f>
        <v>0</v>
      </c>
      <c r="P441" s="187" t="str">
        <f>IFERROR((('Lab Analysis'!Z441/18)-('Lab Analysis'!Y441/60))/(('Lab Analysis'!X441/44)+('Lab Analysis'!Y441/60)),"0")</f>
        <v>0</v>
      </c>
      <c r="Q441" s="191"/>
    </row>
    <row r="442" spans="1:17">
      <c r="A442" s="185">
        <v>46256</v>
      </c>
      <c r="B442" s="186" t="str">
        <f>IFERROR(('Lab Analysis'!E442/('Lab Analysis'!E442+(1.364*'Lab Analysis'!D442))),"0")</f>
        <v>0</v>
      </c>
      <c r="C442" s="186" t="str">
        <f>IFERROR((2*'Lab Analysis'!E442/60)/('Lab Analysis'!C442/17+(2*'Lab Analysis'!E442/60)),"0")</f>
        <v>0</v>
      </c>
      <c r="D442" s="187" t="str">
        <f>IFERROR(((2*('Lab Analysis'!E442/60)+('Lab Analysis'!C442/17))/(('Lab Analysis'!D442/44)+('Lab Analysis'!E442/60))),"0")</f>
        <v>0</v>
      </c>
      <c r="E442" s="187" t="str">
        <f>IFERROR((('Lab Analysis'!F442/18)-('Lab Analysis'!E442/60))/(('Lab Analysis'!D442/44)+('Lab Analysis'!E442/60)),"0")</f>
        <v>0</v>
      </c>
      <c r="F442" s="187" t="str">
        <f>IFERROR((('Lab Analysis'!F442/18)/('Lab Analysis'!E442/60)),"0")</f>
        <v>0</v>
      </c>
      <c r="G442" s="188" t="str">
        <f>IFERROR(('Lab Analysis'!I442/('Lab Analysis'!I442+(1.765*'Lab Analysis'!G442))),"0")</f>
        <v>0</v>
      </c>
      <c r="H442" s="189" t="str">
        <f>IFERROR(((2*('Lab Analysis'!I442/60))+('Lab Analysis'!G442/17))/(('Lab Analysis'!H442/44)+('Lab Analysis'!I442/60)),"0")</f>
        <v>0</v>
      </c>
      <c r="I442" s="189" t="str">
        <f>IFERROR((('Lab Analysis'!J442/18)-('Lab Analysis'!I442/60))/(('Lab Analysis'!H442/44)+('Lab Analysis'!I442/60)),"0")</f>
        <v>0</v>
      </c>
      <c r="J442" s="186" t="str">
        <f>IFERROR(('Lab Analysis'!M442/('Lab Analysis'!M442+(1.765*'Lab Analysis'!K442))),"0")</f>
        <v>0</v>
      </c>
      <c r="K442" s="190" t="str">
        <f>IFERROR(((2*('Lab Analysis'!M442/60))+('Lab Analysis'!K442/17))/(('Lab Analysis'!L442/44)+('Lab Analysis'!M442/60)),"0")</f>
        <v>0</v>
      </c>
      <c r="L442" s="190" t="str">
        <f>IFERROR((('Lab Analysis'!N442/18)-('Lab Analysis'!M442/60))/(('Lab Analysis'!L442/44)+('Lab Analysis'!M442/60)),"0")</f>
        <v>0</v>
      </c>
      <c r="M442" s="187" t="str">
        <f>IFERROR(((2*('Lab Analysis'!U442/60))+('Lab Analysis'!S442/17))/(('Lab Analysis'!T442/44)+('Lab Analysis'!U442/60)),"0")</f>
        <v>0</v>
      </c>
      <c r="N442" s="187" t="str">
        <f>IFERROR((('Lab Analysis'!V442/18)-('Lab Analysis'!U442/60))/(('Lab Analysis'!T442/44)+('Lab Analysis'!U442/60)),"0")</f>
        <v>0</v>
      </c>
      <c r="O442" s="187" t="str">
        <f>IFERROR(((2*('Lab Analysis'!Y442/60)+('Lab Analysis'!W442/17))/(('Lab Analysis'!X442/44)+('Lab Analysis'!Y442/60))),"0")</f>
        <v>0</v>
      </c>
      <c r="P442" s="187" t="str">
        <f>IFERROR((('Lab Analysis'!Z442/18)-('Lab Analysis'!Y442/60))/(('Lab Analysis'!X442/44)+('Lab Analysis'!Y442/60)),"0")</f>
        <v>0</v>
      </c>
      <c r="Q442" s="191"/>
    </row>
    <row r="443" spans="1:17">
      <c r="A443" s="185">
        <v>46257</v>
      </c>
      <c r="B443" s="186" t="str">
        <f>IFERROR(('Lab Analysis'!E443/('Lab Analysis'!E443+(1.364*'Lab Analysis'!D443))),"0")</f>
        <v>0</v>
      </c>
      <c r="C443" s="186" t="str">
        <f>IFERROR((2*'Lab Analysis'!E443/60)/('Lab Analysis'!C443/17+(2*'Lab Analysis'!E443/60)),"0")</f>
        <v>0</v>
      </c>
      <c r="D443" s="187" t="str">
        <f>IFERROR(((2*('Lab Analysis'!E443/60)+('Lab Analysis'!C443/17))/(('Lab Analysis'!D443/44)+('Lab Analysis'!E443/60))),"0")</f>
        <v>0</v>
      </c>
      <c r="E443" s="187" t="str">
        <f>IFERROR((('Lab Analysis'!F443/18)-('Lab Analysis'!E443/60))/(('Lab Analysis'!D443/44)+('Lab Analysis'!E443/60)),"0")</f>
        <v>0</v>
      </c>
      <c r="F443" s="187" t="str">
        <f>IFERROR((('Lab Analysis'!F443/18)/('Lab Analysis'!E443/60)),"0")</f>
        <v>0</v>
      </c>
      <c r="G443" s="188" t="str">
        <f>IFERROR(('Lab Analysis'!I443/('Lab Analysis'!I443+(1.765*'Lab Analysis'!G443))),"0")</f>
        <v>0</v>
      </c>
      <c r="H443" s="189" t="str">
        <f>IFERROR(((2*('Lab Analysis'!I443/60))+('Lab Analysis'!G443/17))/(('Lab Analysis'!H443/44)+('Lab Analysis'!I443/60)),"0")</f>
        <v>0</v>
      </c>
      <c r="I443" s="189" t="str">
        <f>IFERROR((('Lab Analysis'!J443/18)-('Lab Analysis'!I443/60))/(('Lab Analysis'!H443/44)+('Lab Analysis'!I443/60)),"0")</f>
        <v>0</v>
      </c>
      <c r="J443" s="186" t="str">
        <f>IFERROR(('Lab Analysis'!M443/('Lab Analysis'!M443+(1.765*'Lab Analysis'!K443))),"0")</f>
        <v>0</v>
      </c>
      <c r="K443" s="190" t="str">
        <f>IFERROR(((2*('Lab Analysis'!M443/60))+('Lab Analysis'!K443/17))/(('Lab Analysis'!L443/44)+('Lab Analysis'!M443/60)),"0")</f>
        <v>0</v>
      </c>
      <c r="L443" s="190" t="str">
        <f>IFERROR((('Lab Analysis'!N443/18)-('Lab Analysis'!M443/60))/(('Lab Analysis'!L443/44)+('Lab Analysis'!M443/60)),"0")</f>
        <v>0</v>
      </c>
      <c r="M443" s="187" t="str">
        <f>IFERROR(((2*('Lab Analysis'!U443/60))+('Lab Analysis'!S443/17))/(('Lab Analysis'!T443/44)+('Lab Analysis'!U443/60)),"0")</f>
        <v>0</v>
      </c>
      <c r="N443" s="187" t="str">
        <f>IFERROR((('Lab Analysis'!V443/18)-('Lab Analysis'!U443/60))/(('Lab Analysis'!T443/44)+('Lab Analysis'!U443/60)),"0")</f>
        <v>0</v>
      </c>
      <c r="O443" s="187" t="str">
        <f>IFERROR(((2*('Lab Analysis'!Y443/60)+('Lab Analysis'!W443/17))/(('Lab Analysis'!X443/44)+('Lab Analysis'!Y443/60))),"0")</f>
        <v>0</v>
      </c>
      <c r="P443" s="187" t="str">
        <f>IFERROR((('Lab Analysis'!Z443/18)-('Lab Analysis'!Y443/60))/(('Lab Analysis'!X443/44)+('Lab Analysis'!Y443/60)),"0")</f>
        <v>0</v>
      </c>
      <c r="Q443" s="191"/>
    </row>
    <row r="444" spans="1:17">
      <c r="A444" s="185">
        <v>46258</v>
      </c>
      <c r="B444" s="186" t="str">
        <f>IFERROR(('Lab Analysis'!E444/('Lab Analysis'!E444+(1.364*'Lab Analysis'!D444))),"0")</f>
        <v>0</v>
      </c>
      <c r="C444" s="186" t="str">
        <f>IFERROR((2*'Lab Analysis'!E444/60)/('Lab Analysis'!C444/17+(2*'Lab Analysis'!E444/60)),"0")</f>
        <v>0</v>
      </c>
      <c r="D444" s="187" t="str">
        <f>IFERROR(((2*('Lab Analysis'!E444/60)+('Lab Analysis'!C444/17))/(('Lab Analysis'!D444/44)+('Lab Analysis'!E444/60))),"0")</f>
        <v>0</v>
      </c>
      <c r="E444" s="187" t="str">
        <f>IFERROR((('Lab Analysis'!F444/18)-('Lab Analysis'!E444/60))/(('Lab Analysis'!D444/44)+('Lab Analysis'!E444/60)),"0")</f>
        <v>0</v>
      </c>
      <c r="F444" s="187" t="str">
        <f>IFERROR((('Lab Analysis'!F444/18)/('Lab Analysis'!E444/60)),"0")</f>
        <v>0</v>
      </c>
      <c r="G444" s="188" t="str">
        <f>IFERROR(('Lab Analysis'!I444/('Lab Analysis'!I444+(1.765*'Lab Analysis'!G444))),"0")</f>
        <v>0</v>
      </c>
      <c r="H444" s="189" t="str">
        <f>IFERROR(((2*('Lab Analysis'!I444/60))+('Lab Analysis'!G444/17))/(('Lab Analysis'!H444/44)+('Lab Analysis'!I444/60)),"0")</f>
        <v>0</v>
      </c>
      <c r="I444" s="189" t="str">
        <f>IFERROR((('Lab Analysis'!J444/18)-('Lab Analysis'!I444/60))/(('Lab Analysis'!H444/44)+('Lab Analysis'!I444/60)),"0")</f>
        <v>0</v>
      </c>
      <c r="J444" s="186" t="str">
        <f>IFERROR(('Lab Analysis'!M444/('Lab Analysis'!M444+(1.765*'Lab Analysis'!K444))),"0")</f>
        <v>0</v>
      </c>
      <c r="K444" s="190" t="str">
        <f>IFERROR(((2*('Lab Analysis'!M444/60))+('Lab Analysis'!K444/17))/(('Lab Analysis'!L444/44)+('Lab Analysis'!M444/60)),"0")</f>
        <v>0</v>
      </c>
      <c r="L444" s="190" t="str">
        <f>IFERROR((('Lab Analysis'!N444/18)-('Lab Analysis'!M444/60))/(('Lab Analysis'!L444/44)+('Lab Analysis'!M444/60)),"0")</f>
        <v>0</v>
      </c>
      <c r="M444" s="187" t="str">
        <f>IFERROR(((2*('Lab Analysis'!U444/60))+('Lab Analysis'!S444/17))/(('Lab Analysis'!T444/44)+('Lab Analysis'!U444/60)),"0")</f>
        <v>0</v>
      </c>
      <c r="N444" s="187" t="str">
        <f>IFERROR((('Lab Analysis'!V444/18)-('Lab Analysis'!U444/60))/(('Lab Analysis'!T444/44)+('Lab Analysis'!U444/60)),"0")</f>
        <v>0</v>
      </c>
      <c r="O444" s="187" t="str">
        <f>IFERROR(((2*('Lab Analysis'!Y444/60)+('Lab Analysis'!W444/17))/(('Lab Analysis'!X444/44)+('Lab Analysis'!Y444/60))),"0")</f>
        <v>0</v>
      </c>
      <c r="P444" s="187" t="str">
        <f>IFERROR((('Lab Analysis'!Z444/18)-('Lab Analysis'!Y444/60))/(('Lab Analysis'!X444/44)+('Lab Analysis'!Y444/60)),"0")</f>
        <v>0</v>
      </c>
      <c r="Q444" s="191"/>
    </row>
    <row r="445" spans="1:17">
      <c r="A445" s="185">
        <v>46259</v>
      </c>
      <c r="B445" s="186" t="str">
        <f>IFERROR(('Lab Analysis'!E445/('Lab Analysis'!E445+(1.364*'Lab Analysis'!D445))),"0")</f>
        <v>0</v>
      </c>
      <c r="C445" s="186" t="str">
        <f>IFERROR((2*'Lab Analysis'!E445/60)/('Lab Analysis'!C445/17+(2*'Lab Analysis'!E445/60)),"0")</f>
        <v>0</v>
      </c>
      <c r="D445" s="187" t="str">
        <f>IFERROR(((2*('Lab Analysis'!E445/60)+('Lab Analysis'!C445/17))/(('Lab Analysis'!D445/44)+('Lab Analysis'!E445/60))),"0")</f>
        <v>0</v>
      </c>
      <c r="E445" s="187" t="str">
        <f>IFERROR((('Lab Analysis'!F445/18)-('Lab Analysis'!E445/60))/(('Lab Analysis'!D445/44)+('Lab Analysis'!E445/60)),"0")</f>
        <v>0</v>
      </c>
      <c r="F445" s="187" t="str">
        <f>IFERROR((('Lab Analysis'!F445/18)/('Lab Analysis'!E445/60)),"0")</f>
        <v>0</v>
      </c>
      <c r="G445" s="188" t="str">
        <f>IFERROR(('Lab Analysis'!I445/('Lab Analysis'!I445+(1.765*'Lab Analysis'!G445))),"0")</f>
        <v>0</v>
      </c>
      <c r="H445" s="189" t="str">
        <f>IFERROR(((2*('Lab Analysis'!I445/60))+('Lab Analysis'!G445/17))/(('Lab Analysis'!H445/44)+('Lab Analysis'!I445/60)),"0")</f>
        <v>0</v>
      </c>
      <c r="I445" s="189" t="str">
        <f>IFERROR((('Lab Analysis'!J445/18)-('Lab Analysis'!I445/60))/(('Lab Analysis'!H445/44)+('Lab Analysis'!I445/60)),"0")</f>
        <v>0</v>
      </c>
      <c r="J445" s="186" t="str">
        <f>IFERROR(('Lab Analysis'!M445/('Lab Analysis'!M445+(1.765*'Lab Analysis'!K445))),"0")</f>
        <v>0</v>
      </c>
      <c r="K445" s="190" t="str">
        <f>IFERROR(((2*('Lab Analysis'!M445/60))+('Lab Analysis'!K445/17))/(('Lab Analysis'!L445/44)+('Lab Analysis'!M445/60)),"0")</f>
        <v>0</v>
      </c>
      <c r="L445" s="190" t="str">
        <f>IFERROR((('Lab Analysis'!N445/18)-('Lab Analysis'!M445/60))/(('Lab Analysis'!L445/44)+('Lab Analysis'!M445/60)),"0")</f>
        <v>0</v>
      </c>
      <c r="M445" s="187" t="str">
        <f>IFERROR(((2*('Lab Analysis'!U445/60))+('Lab Analysis'!S445/17))/(('Lab Analysis'!T445/44)+('Lab Analysis'!U445/60)),"0")</f>
        <v>0</v>
      </c>
      <c r="N445" s="187" t="str">
        <f>IFERROR((('Lab Analysis'!V445/18)-('Lab Analysis'!U445/60))/(('Lab Analysis'!T445/44)+('Lab Analysis'!U445/60)),"0")</f>
        <v>0</v>
      </c>
      <c r="O445" s="187" t="str">
        <f>IFERROR(((2*('Lab Analysis'!Y445/60)+('Lab Analysis'!W445/17))/(('Lab Analysis'!X445/44)+('Lab Analysis'!Y445/60))),"0")</f>
        <v>0</v>
      </c>
      <c r="P445" s="187" t="str">
        <f>IFERROR((('Lab Analysis'!Z445/18)-('Lab Analysis'!Y445/60))/(('Lab Analysis'!X445/44)+('Lab Analysis'!Y445/60)),"0")</f>
        <v>0</v>
      </c>
      <c r="Q445" s="191"/>
    </row>
    <row r="446" spans="1:17">
      <c r="A446" s="185">
        <v>46260</v>
      </c>
      <c r="B446" s="186" t="str">
        <f>IFERROR(('Lab Analysis'!E446/('Lab Analysis'!E446+(1.364*'Lab Analysis'!D446))),"0")</f>
        <v>0</v>
      </c>
      <c r="C446" s="186" t="str">
        <f>IFERROR((2*'Lab Analysis'!E446/60)/('Lab Analysis'!C446/17+(2*'Lab Analysis'!E446/60)),"0")</f>
        <v>0</v>
      </c>
      <c r="D446" s="187" t="str">
        <f>IFERROR(((2*('Lab Analysis'!E446/60)+('Lab Analysis'!C446/17))/(('Lab Analysis'!D446/44)+('Lab Analysis'!E446/60))),"0")</f>
        <v>0</v>
      </c>
      <c r="E446" s="187" t="str">
        <f>IFERROR((('Lab Analysis'!F446/18)-('Lab Analysis'!E446/60))/(('Lab Analysis'!D446/44)+('Lab Analysis'!E446/60)),"0")</f>
        <v>0</v>
      </c>
      <c r="F446" s="187" t="str">
        <f>IFERROR((('Lab Analysis'!F446/18)/('Lab Analysis'!E446/60)),"0")</f>
        <v>0</v>
      </c>
      <c r="G446" s="188" t="str">
        <f>IFERROR(('Lab Analysis'!I446/('Lab Analysis'!I446+(1.765*'Lab Analysis'!G446))),"0")</f>
        <v>0</v>
      </c>
      <c r="H446" s="189" t="str">
        <f>IFERROR(((2*('Lab Analysis'!I446/60))+('Lab Analysis'!G446/17))/(('Lab Analysis'!H446/44)+('Lab Analysis'!I446/60)),"0")</f>
        <v>0</v>
      </c>
      <c r="I446" s="189" t="str">
        <f>IFERROR((('Lab Analysis'!J446/18)-('Lab Analysis'!I446/60))/(('Lab Analysis'!H446/44)+('Lab Analysis'!I446/60)),"0")</f>
        <v>0</v>
      </c>
      <c r="J446" s="186" t="str">
        <f>IFERROR(('Lab Analysis'!M446/('Lab Analysis'!M446+(1.765*'Lab Analysis'!K446))),"0")</f>
        <v>0</v>
      </c>
      <c r="K446" s="190" t="str">
        <f>IFERROR(((2*('Lab Analysis'!M446/60))+('Lab Analysis'!K446/17))/(('Lab Analysis'!L446/44)+('Lab Analysis'!M446/60)),"0")</f>
        <v>0</v>
      </c>
      <c r="L446" s="190" t="str">
        <f>IFERROR((('Lab Analysis'!N446/18)-('Lab Analysis'!M446/60))/(('Lab Analysis'!L446/44)+('Lab Analysis'!M446/60)),"0")</f>
        <v>0</v>
      </c>
      <c r="M446" s="187" t="str">
        <f>IFERROR(((2*('Lab Analysis'!U446/60))+('Lab Analysis'!S446/17))/(('Lab Analysis'!T446/44)+('Lab Analysis'!U446/60)),"0")</f>
        <v>0</v>
      </c>
      <c r="N446" s="187" t="str">
        <f>IFERROR((('Lab Analysis'!V446/18)-('Lab Analysis'!U446/60))/(('Lab Analysis'!T446/44)+('Lab Analysis'!U446/60)),"0")</f>
        <v>0</v>
      </c>
      <c r="O446" s="187" t="str">
        <f>IFERROR(((2*('Lab Analysis'!Y446/60)+('Lab Analysis'!W446/17))/(('Lab Analysis'!X446/44)+('Lab Analysis'!Y446/60))),"0")</f>
        <v>0</v>
      </c>
      <c r="P446" s="187" t="str">
        <f>IFERROR((('Lab Analysis'!Z446/18)-('Lab Analysis'!Y446/60))/(('Lab Analysis'!X446/44)+('Lab Analysis'!Y446/60)),"0")</f>
        <v>0</v>
      </c>
      <c r="Q446" s="191"/>
    </row>
    <row r="447" spans="1:17">
      <c r="A447" s="185">
        <v>46261</v>
      </c>
      <c r="B447" s="186" t="str">
        <f>IFERROR(('Lab Analysis'!E447/('Lab Analysis'!E447+(1.364*'Lab Analysis'!D447))),"0")</f>
        <v>0</v>
      </c>
      <c r="C447" s="186" t="str">
        <f>IFERROR((2*'Lab Analysis'!E447/60)/('Lab Analysis'!C447/17+(2*'Lab Analysis'!E447/60)),"0")</f>
        <v>0</v>
      </c>
      <c r="D447" s="187" t="str">
        <f>IFERROR(((2*('Lab Analysis'!E447/60)+('Lab Analysis'!C447/17))/(('Lab Analysis'!D447/44)+('Lab Analysis'!E447/60))),"0")</f>
        <v>0</v>
      </c>
      <c r="E447" s="187" t="str">
        <f>IFERROR((('Lab Analysis'!F447/18)-('Lab Analysis'!E447/60))/(('Lab Analysis'!D447/44)+('Lab Analysis'!E447/60)),"0")</f>
        <v>0</v>
      </c>
      <c r="F447" s="187" t="str">
        <f>IFERROR((('Lab Analysis'!F447/18)/('Lab Analysis'!E447/60)),"0")</f>
        <v>0</v>
      </c>
      <c r="G447" s="188" t="str">
        <f>IFERROR(('Lab Analysis'!I447/('Lab Analysis'!I447+(1.765*'Lab Analysis'!G447))),"0")</f>
        <v>0</v>
      </c>
      <c r="H447" s="189" t="str">
        <f>IFERROR(((2*('Lab Analysis'!I447/60))+('Lab Analysis'!G447/17))/(('Lab Analysis'!H447/44)+('Lab Analysis'!I447/60)),"0")</f>
        <v>0</v>
      </c>
      <c r="I447" s="189" t="str">
        <f>IFERROR((('Lab Analysis'!J447/18)-('Lab Analysis'!I447/60))/(('Lab Analysis'!H447/44)+('Lab Analysis'!I447/60)),"0")</f>
        <v>0</v>
      </c>
      <c r="J447" s="186" t="str">
        <f>IFERROR(('Lab Analysis'!M447/('Lab Analysis'!M447+(1.765*'Lab Analysis'!K447))),"0")</f>
        <v>0</v>
      </c>
      <c r="K447" s="190" t="str">
        <f>IFERROR(((2*('Lab Analysis'!M447/60))+('Lab Analysis'!K447/17))/(('Lab Analysis'!L447/44)+('Lab Analysis'!M447/60)),"0")</f>
        <v>0</v>
      </c>
      <c r="L447" s="190" t="str">
        <f>IFERROR((('Lab Analysis'!N447/18)-('Lab Analysis'!M447/60))/(('Lab Analysis'!L447/44)+('Lab Analysis'!M447/60)),"0")</f>
        <v>0</v>
      </c>
      <c r="M447" s="187" t="str">
        <f>IFERROR(((2*('Lab Analysis'!U447/60))+('Lab Analysis'!S447/17))/(('Lab Analysis'!T447/44)+('Lab Analysis'!U447/60)),"0")</f>
        <v>0</v>
      </c>
      <c r="N447" s="187" t="str">
        <f>IFERROR((('Lab Analysis'!V447/18)-('Lab Analysis'!U447/60))/(('Lab Analysis'!T447/44)+('Lab Analysis'!U447/60)),"0")</f>
        <v>0</v>
      </c>
      <c r="O447" s="187" t="str">
        <f>IFERROR(((2*('Lab Analysis'!Y447/60)+('Lab Analysis'!W447/17))/(('Lab Analysis'!X447/44)+('Lab Analysis'!Y447/60))),"0")</f>
        <v>0</v>
      </c>
      <c r="P447" s="187" t="str">
        <f>IFERROR((('Lab Analysis'!Z447/18)-('Lab Analysis'!Y447/60))/(('Lab Analysis'!X447/44)+('Lab Analysis'!Y447/60)),"0")</f>
        <v>0</v>
      </c>
      <c r="Q447" s="191"/>
    </row>
    <row r="448" spans="1:17">
      <c r="A448" s="185">
        <v>46262</v>
      </c>
      <c r="B448" s="186" t="str">
        <f>IFERROR(('Lab Analysis'!E448/('Lab Analysis'!E448+(1.364*'Lab Analysis'!D448))),"0")</f>
        <v>0</v>
      </c>
      <c r="C448" s="186" t="str">
        <f>IFERROR((2*'Lab Analysis'!E448/60)/('Lab Analysis'!C448/17+(2*'Lab Analysis'!E448/60)),"0")</f>
        <v>0</v>
      </c>
      <c r="D448" s="187" t="str">
        <f>IFERROR(((2*('Lab Analysis'!E448/60)+('Lab Analysis'!C448/17))/(('Lab Analysis'!D448/44)+('Lab Analysis'!E448/60))),"0")</f>
        <v>0</v>
      </c>
      <c r="E448" s="187" t="str">
        <f>IFERROR((('Lab Analysis'!F448/18)-('Lab Analysis'!E448/60))/(('Lab Analysis'!D448/44)+('Lab Analysis'!E448/60)),"0")</f>
        <v>0</v>
      </c>
      <c r="F448" s="187" t="str">
        <f>IFERROR((('Lab Analysis'!F448/18)/('Lab Analysis'!E448/60)),"0")</f>
        <v>0</v>
      </c>
      <c r="G448" s="188" t="str">
        <f>IFERROR(('Lab Analysis'!I448/('Lab Analysis'!I448+(1.765*'Lab Analysis'!G448))),"0")</f>
        <v>0</v>
      </c>
      <c r="H448" s="189" t="str">
        <f>IFERROR(((2*('Lab Analysis'!I448/60))+('Lab Analysis'!G448/17))/(('Lab Analysis'!H448/44)+('Lab Analysis'!I448/60)),"0")</f>
        <v>0</v>
      </c>
      <c r="I448" s="189" t="str">
        <f>IFERROR((('Lab Analysis'!J448/18)-('Lab Analysis'!I448/60))/(('Lab Analysis'!H448/44)+('Lab Analysis'!I448/60)),"0")</f>
        <v>0</v>
      </c>
      <c r="J448" s="186" t="str">
        <f>IFERROR(('Lab Analysis'!M448/('Lab Analysis'!M448+(1.765*'Lab Analysis'!K448))),"0")</f>
        <v>0</v>
      </c>
      <c r="K448" s="190" t="str">
        <f>IFERROR(((2*('Lab Analysis'!M448/60))+('Lab Analysis'!K448/17))/(('Lab Analysis'!L448/44)+('Lab Analysis'!M448/60)),"0")</f>
        <v>0</v>
      </c>
      <c r="L448" s="190" t="str">
        <f>IFERROR((('Lab Analysis'!N448/18)-('Lab Analysis'!M448/60))/(('Lab Analysis'!L448/44)+('Lab Analysis'!M448/60)),"0")</f>
        <v>0</v>
      </c>
      <c r="M448" s="187" t="str">
        <f>IFERROR(((2*('Lab Analysis'!U448/60))+('Lab Analysis'!S448/17))/(('Lab Analysis'!T448/44)+('Lab Analysis'!U448/60)),"0")</f>
        <v>0</v>
      </c>
      <c r="N448" s="187" t="str">
        <f>IFERROR((('Lab Analysis'!V448/18)-('Lab Analysis'!U448/60))/(('Lab Analysis'!T448/44)+('Lab Analysis'!U448/60)),"0")</f>
        <v>0</v>
      </c>
      <c r="O448" s="187" t="str">
        <f>IFERROR(((2*('Lab Analysis'!Y448/60)+('Lab Analysis'!W448/17))/(('Lab Analysis'!X448/44)+('Lab Analysis'!Y448/60))),"0")</f>
        <v>0</v>
      </c>
      <c r="P448" s="187" t="str">
        <f>IFERROR((('Lab Analysis'!Z448/18)-('Lab Analysis'!Y448/60))/(('Lab Analysis'!X448/44)+('Lab Analysis'!Y448/60)),"0")</f>
        <v>0</v>
      </c>
      <c r="Q448" s="191"/>
    </row>
    <row r="449" spans="1:17">
      <c r="A449" s="185">
        <v>46263</v>
      </c>
      <c r="B449" s="186" t="str">
        <f>IFERROR(('Lab Analysis'!E449/('Lab Analysis'!E449+(1.364*'Lab Analysis'!D449))),"0")</f>
        <v>0</v>
      </c>
      <c r="C449" s="186" t="str">
        <f>IFERROR((2*'Lab Analysis'!E449/60)/('Lab Analysis'!C449/17+(2*'Lab Analysis'!E449/60)),"0")</f>
        <v>0</v>
      </c>
      <c r="D449" s="187" t="str">
        <f>IFERROR(((2*('Lab Analysis'!E449/60)+('Lab Analysis'!C449/17))/(('Lab Analysis'!D449/44)+('Lab Analysis'!E449/60))),"0")</f>
        <v>0</v>
      </c>
      <c r="E449" s="187" t="str">
        <f>IFERROR((('Lab Analysis'!F449/18)-('Lab Analysis'!E449/60))/(('Lab Analysis'!D449/44)+('Lab Analysis'!E449/60)),"0")</f>
        <v>0</v>
      </c>
      <c r="F449" s="187" t="str">
        <f>IFERROR((('Lab Analysis'!F449/18)/('Lab Analysis'!E449/60)),"0")</f>
        <v>0</v>
      </c>
      <c r="G449" s="188" t="str">
        <f>IFERROR(('Lab Analysis'!I449/('Lab Analysis'!I449+(1.765*'Lab Analysis'!G449))),"0")</f>
        <v>0</v>
      </c>
      <c r="H449" s="189" t="str">
        <f>IFERROR(((2*('Lab Analysis'!I449/60))+('Lab Analysis'!G449/17))/(('Lab Analysis'!H449/44)+('Lab Analysis'!I449/60)),"0")</f>
        <v>0</v>
      </c>
      <c r="I449" s="189" t="str">
        <f>IFERROR((('Lab Analysis'!J449/18)-('Lab Analysis'!I449/60))/(('Lab Analysis'!H449/44)+('Lab Analysis'!I449/60)),"0")</f>
        <v>0</v>
      </c>
      <c r="J449" s="186" t="str">
        <f>IFERROR(('Lab Analysis'!M449/('Lab Analysis'!M449+(1.765*'Lab Analysis'!K449))),"0")</f>
        <v>0</v>
      </c>
      <c r="K449" s="190" t="str">
        <f>IFERROR(((2*('Lab Analysis'!M449/60))+('Lab Analysis'!K449/17))/(('Lab Analysis'!L449/44)+('Lab Analysis'!M449/60)),"0")</f>
        <v>0</v>
      </c>
      <c r="L449" s="190" t="str">
        <f>IFERROR((('Lab Analysis'!N449/18)-('Lab Analysis'!M449/60))/(('Lab Analysis'!L449/44)+('Lab Analysis'!M449/60)),"0")</f>
        <v>0</v>
      </c>
      <c r="M449" s="187" t="str">
        <f>IFERROR(((2*('Lab Analysis'!U449/60))+('Lab Analysis'!S449/17))/(('Lab Analysis'!T449/44)+('Lab Analysis'!U449/60)),"0")</f>
        <v>0</v>
      </c>
      <c r="N449" s="187" t="str">
        <f>IFERROR((('Lab Analysis'!V449/18)-('Lab Analysis'!U449/60))/(('Lab Analysis'!T449/44)+('Lab Analysis'!U449/60)),"0")</f>
        <v>0</v>
      </c>
      <c r="O449" s="187" t="str">
        <f>IFERROR(((2*('Lab Analysis'!Y449/60)+('Lab Analysis'!W449/17))/(('Lab Analysis'!X449/44)+('Lab Analysis'!Y449/60))),"0")</f>
        <v>0</v>
      </c>
      <c r="P449" s="187" t="str">
        <f>IFERROR((('Lab Analysis'!Z449/18)-('Lab Analysis'!Y449/60))/(('Lab Analysis'!X449/44)+('Lab Analysis'!Y449/60)),"0")</f>
        <v>0</v>
      </c>
      <c r="Q449" s="191"/>
    </row>
    <row r="450" spans="1:17">
      <c r="A450" s="185">
        <v>46264</v>
      </c>
      <c r="B450" s="186" t="str">
        <f>IFERROR(('Lab Analysis'!E450/('Lab Analysis'!E450+(1.364*'Lab Analysis'!D450))),"0")</f>
        <v>0</v>
      </c>
      <c r="C450" s="186" t="str">
        <f>IFERROR((2*'Lab Analysis'!E450/60)/('Lab Analysis'!C450/17+(2*'Lab Analysis'!E450/60)),"0")</f>
        <v>0</v>
      </c>
      <c r="D450" s="187" t="str">
        <f>IFERROR(((2*('Lab Analysis'!E450/60)+('Lab Analysis'!C450/17))/(('Lab Analysis'!D450/44)+('Lab Analysis'!E450/60))),"0")</f>
        <v>0</v>
      </c>
      <c r="E450" s="187" t="str">
        <f>IFERROR((('Lab Analysis'!F450/18)-('Lab Analysis'!E450/60))/(('Lab Analysis'!D450/44)+('Lab Analysis'!E450/60)),"0")</f>
        <v>0</v>
      </c>
      <c r="F450" s="187" t="str">
        <f>IFERROR((('Lab Analysis'!F450/18)/('Lab Analysis'!E450/60)),"0")</f>
        <v>0</v>
      </c>
      <c r="G450" s="188" t="str">
        <f>IFERROR(('Lab Analysis'!I450/('Lab Analysis'!I450+(1.765*'Lab Analysis'!G450))),"0")</f>
        <v>0</v>
      </c>
      <c r="H450" s="189" t="str">
        <f>IFERROR(((2*('Lab Analysis'!I450/60))+('Lab Analysis'!G450/17))/(('Lab Analysis'!H450/44)+('Lab Analysis'!I450/60)),"0")</f>
        <v>0</v>
      </c>
      <c r="I450" s="189" t="str">
        <f>IFERROR((('Lab Analysis'!J450/18)-('Lab Analysis'!I450/60))/(('Lab Analysis'!H450/44)+('Lab Analysis'!I450/60)),"0")</f>
        <v>0</v>
      </c>
      <c r="J450" s="186" t="str">
        <f>IFERROR(('Lab Analysis'!M450/('Lab Analysis'!M450+(1.765*'Lab Analysis'!K450))),"0")</f>
        <v>0</v>
      </c>
      <c r="K450" s="190" t="str">
        <f>IFERROR(((2*('Lab Analysis'!M450/60))+('Lab Analysis'!K450/17))/(('Lab Analysis'!L450/44)+('Lab Analysis'!M450/60)),"0")</f>
        <v>0</v>
      </c>
      <c r="L450" s="190" t="str">
        <f>IFERROR((('Lab Analysis'!N450/18)-('Lab Analysis'!M450/60))/(('Lab Analysis'!L450/44)+('Lab Analysis'!M450/60)),"0")</f>
        <v>0</v>
      </c>
      <c r="M450" s="187" t="str">
        <f>IFERROR(((2*('Lab Analysis'!U450/60))+('Lab Analysis'!S450/17))/(('Lab Analysis'!T450/44)+('Lab Analysis'!U450/60)),"0")</f>
        <v>0</v>
      </c>
      <c r="N450" s="187" t="str">
        <f>IFERROR((('Lab Analysis'!V450/18)-('Lab Analysis'!U450/60))/(('Lab Analysis'!T450/44)+('Lab Analysis'!U450/60)),"0")</f>
        <v>0</v>
      </c>
      <c r="O450" s="187" t="str">
        <f>IFERROR(((2*('Lab Analysis'!Y450/60)+('Lab Analysis'!W450/17))/(('Lab Analysis'!X450/44)+('Lab Analysis'!Y450/60))),"0")</f>
        <v>0</v>
      </c>
      <c r="P450" s="187" t="str">
        <f>IFERROR((('Lab Analysis'!Z450/18)-('Lab Analysis'!Y450/60))/(('Lab Analysis'!X450/44)+('Lab Analysis'!Y450/60)),"0")</f>
        <v>0</v>
      </c>
      <c r="Q450" s="191"/>
    </row>
    <row r="451" spans="1:17">
      <c r="A451" s="185">
        <v>46265</v>
      </c>
      <c r="B451" s="186" t="str">
        <f>IFERROR(('Lab Analysis'!E451/('Lab Analysis'!E451+(1.364*'Lab Analysis'!D451))),"0")</f>
        <v>0</v>
      </c>
      <c r="C451" s="186" t="str">
        <f>IFERROR((2*'Lab Analysis'!E451/60)/('Lab Analysis'!C451/17+(2*'Lab Analysis'!E451/60)),"0")</f>
        <v>0</v>
      </c>
      <c r="D451" s="187" t="str">
        <f>IFERROR(((2*('Lab Analysis'!E451/60)+('Lab Analysis'!C451/17))/(('Lab Analysis'!D451/44)+('Lab Analysis'!E451/60))),"0")</f>
        <v>0</v>
      </c>
      <c r="E451" s="187" t="str">
        <f>IFERROR((('Lab Analysis'!F451/18)-('Lab Analysis'!E451/60))/(('Lab Analysis'!D451/44)+('Lab Analysis'!E451/60)),"0")</f>
        <v>0</v>
      </c>
      <c r="F451" s="187" t="str">
        <f>IFERROR((('Lab Analysis'!F451/18)/('Lab Analysis'!E451/60)),"0")</f>
        <v>0</v>
      </c>
      <c r="G451" s="188" t="str">
        <f>IFERROR(('Lab Analysis'!I451/('Lab Analysis'!I451+(1.765*'Lab Analysis'!G451))),"0")</f>
        <v>0</v>
      </c>
      <c r="H451" s="189" t="str">
        <f>IFERROR(((2*('Lab Analysis'!I451/60))+('Lab Analysis'!G451/17))/(('Lab Analysis'!H451/44)+('Lab Analysis'!I451/60)),"0")</f>
        <v>0</v>
      </c>
      <c r="I451" s="189" t="str">
        <f>IFERROR((('Lab Analysis'!J451/18)-('Lab Analysis'!I451/60))/(('Lab Analysis'!H451/44)+('Lab Analysis'!I451/60)),"0")</f>
        <v>0</v>
      </c>
      <c r="J451" s="186" t="str">
        <f>IFERROR(('Lab Analysis'!M451/('Lab Analysis'!M451+(1.765*'Lab Analysis'!K451))),"0")</f>
        <v>0</v>
      </c>
      <c r="K451" s="190" t="str">
        <f>IFERROR(((2*('Lab Analysis'!M451/60))+('Lab Analysis'!K451/17))/(('Lab Analysis'!L451/44)+('Lab Analysis'!M451/60)),"0")</f>
        <v>0</v>
      </c>
      <c r="L451" s="190" t="str">
        <f>IFERROR((('Lab Analysis'!N451/18)-('Lab Analysis'!M451/60))/(('Lab Analysis'!L451/44)+('Lab Analysis'!M451/60)),"0")</f>
        <v>0</v>
      </c>
      <c r="M451" s="187" t="str">
        <f>IFERROR(((2*('Lab Analysis'!U451/60))+('Lab Analysis'!S451/17))/(('Lab Analysis'!T451/44)+('Lab Analysis'!U451/60)),"0")</f>
        <v>0</v>
      </c>
      <c r="N451" s="187" t="str">
        <f>IFERROR((('Lab Analysis'!V451/18)-('Lab Analysis'!U451/60))/(('Lab Analysis'!T451/44)+('Lab Analysis'!U451/60)),"0")</f>
        <v>0</v>
      </c>
      <c r="O451" s="187" t="str">
        <f>IFERROR(((2*('Lab Analysis'!Y451/60)+('Lab Analysis'!W451/17))/(('Lab Analysis'!X451/44)+('Lab Analysis'!Y451/60))),"0")</f>
        <v>0</v>
      </c>
      <c r="P451" s="187" t="str">
        <f>IFERROR((('Lab Analysis'!Z451/18)-('Lab Analysis'!Y451/60))/(('Lab Analysis'!X451/44)+('Lab Analysis'!Y451/60)),"0")</f>
        <v>0</v>
      </c>
      <c r="Q451" s="191"/>
    </row>
    <row r="452" spans="1:17">
      <c r="A452" s="185">
        <v>46266</v>
      </c>
      <c r="B452" s="186" t="str">
        <f>IFERROR(('Lab Analysis'!E452/('Lab Analysis'!E452+(1.364*'Lab Analysis'!D452))),"0")</f>
        <v>0</v>
      </c>
      <c r="C452" s="186" t="str">
        <f>IFERROR((2*'Lab Analysis'!E452/60)/('Lab Analysis'!C452/17+(2*'Lab Analysis'!E452/60)),"0")</f>
        <v>0</v>
      </c>
      <c r="D452" s="187" t="str">
        <f>IFERROR(((2*('Lab Analysis'!E452/60)+('Lab Analysis'!C452/17))/(('Lab Analysis'!D452/44)+('Lab Analysis'!E452/60))),"0")</f>
        <v>0</v>
      </c>
      <c r="E452" s="187" t="str">
        <f>IFERROR((('Lab Analysis'!F452/18)-('Lab Analysis'!E452/60))/(('Lab Analysis'!D452/44)+('Lab Analysis'!E452/60)),"0")</f>
        <v>0</v>
      </c>
      <c r="F452" s="187" t="str">
        <f>IFERROR((('Lab Analysis'!F452/18)/('Lab Analysis'!E452/60)),"0")</f>
        <v>0</v>
      </c>
      <c r="G452" s="188" t="str">
        <f>IFERROR(('Lab Analysis'!I452/('Lab Analysis'!I452+(1.765*'Lab Analysis'!G452))),"0")</f>
        <v>0</v>
      </c>
      <c r="H452" s="189" t="str">
        <f>IFERROR(((2*('Lab Analysis'!I452/60))+('Lab Analysis'!G452/17))/(('Lab Analysis'!H452/44)+('Lab Analysis'!I452/60)),"0")</f>
        <v>0</v>
      </c>
      <c r="I452" s="189" t="str">
        <f>IFERROR((('Lab Analysis'!J452/18)-('Lab Analysis'!I452/60))/(('Lab Analysis'!H452/44)+('Lab Analysis'!I452/60)),"0")</f>
        <v>0</v>
      </c>
      <c r="J452" s="186" t="str">
        <f>IFERROR(('Lab Analysis'!M452/('Lab Analysis'!M452+(1.765*'Lab Analysis'!K452))),"0")</f>
        <v>0</v>
      </c>
      <c r="K452" s="190" t="str">
        <f>IFERROR(((2*('Lab Analysis'!M452/60))+('Lab Analysis'!K452/17))/(('Lab Analysis'!L452/44)+('Lab Analysis'!M452/60)),"0")</f>
        <v>0</v>
      </c>
      <c r="L452" s="190" t="str">
        <f>IFERROR((('Lab Analysis'!N452/18)-('Lab Analysis'!M452/60))/(('Lab Analysis'!L452/44)+('Lab Analysis'!M452/60)),"0")</f>
        <v>0</v>
      </c>
      <c r="M452" s="187" t="str">
        <f>IFERROR(((2*('Lab Analysis'!U452/60))+('Lab Analysis'!S452/17))/(('Lab Analysis'!T452/44)+('Lab Analysis'!U452/60)),"0")</f>
        <v>0</v>
      </c>
      <c r="N452" s="187" t="str">
        <f>IFERROR((('Lab Analysis'!V452/18)-('Lab Analysis'!U452/60))/(('Lab Analysis'!T452/44)+('Lab Analysis'!U452/60)),"0")</f>
        <v>0</v>
      </c>
      <c r="O452" s="187" t="str">
        <f>IFERROR(((2*('Lab Analysis'!Y452/60)+('Lab Analysis'!W452/17))/(('Lab Analysis'!X452/44)+('Lab Analysis'!Y452/60))),"0")</f>
        <v>0</v>
      </c>
      <c r="P452" s="187" t="str">
        <f>IFERROR((('Lab Analysis'!Z452/18)-('Lab Analysis'!Y452/60))/(('Lab Analysis'!X452/44)+('Lab Analysis'!Y452/60)),"0")</f>
        <v>0</v>
      </c>
      <c r="Q452" s="191"/>
    </row>
    <row r="453" spans="1:17">
      <c r="A453" s="185">
        <v>46267</v>
      </c>
      <c r="B453" s="186" t="str">
        <f>IFERROR(('Lab Analysis'!E453/('Lab Analysis'!E453+(1.364*'Lab Analysis'!D453))),"0")</f>
        <v>0</v>
      </c>
      <c r="C453" s="186" t="str">
        <f>IFERROR((2*'Lab Analysis'!E453/60)/('Lab Analysis'!C453/17+(2*'Lab Analysis'!E453/60)),"0")</f>
        <v>0</v>
      </c>
      <c r="D453" s="187" t="str">
        <f>IFERROR(((2*('Lab Analysis'!E453/60)+('Lab Analysis'!C453/17))/(('Lab Analysis'!D453/44)+('Lab Analysis'!E453/60))),"0")</f>
        <v>0</v>
      </c>
      <c r="E453" s="187" t="str">
        <f>IFERROR((('Lab Analysis'!F453/18)-('Lab Analysis'!E453/60))/(('Lab Analysis'!D453/44)+('Lab Analysis'!E453/60)),"0")</f>
        <v>0</v>
      </c>
      <c r="F453" s="187" t="str">
        <f>IFERROR((('Lab Analysis'!F453/18)/('Lab Analysis'!E453/60)),"0")</f>
        <v>0</v>
      </c>
      <c r="G453" s="188" t="str">
        <f>IFERROR(('Lab Analysis'!I453/('Lab Analysis'!I453+(1.765*'Lab Analysis'!G453))),"0")</f>
        <v>0</v>
      </c>
      <c r="H453" s="189" t="str">
        <f>IFERROR(((2*('Lab Analysis'!I453/60))+('Lab Analysis'!G453/17))/(('Lab Analysis'!H453/44)+('Lab Analysis'!I453/60)),"0")</f>
        <v>0</v>
      </c>
      <c r="I453" s="189" t="str">
        <f>IFERROR((('Lab Analysis'!J453/18)-('Lab Analysis'!I453/60))/(('Lab Analysis'!H453/44)+('Lab Analysis'!I453/60)),"0")</f>
        <v>0</v>
      </c>
      <c r="J453" s="186" t="str">
        <f>IFERROR(('Lab Analysis'!M453/('Lab Analysis'!M453+(1.765*'Lab Analysis'!K453))),"0")</f>
        <v>0</v>
      </c>
      <c r="K453" s="190" t="str">
        <f>IFERROR(((2*('Lab Analysis'!M453/60))+('Lab Analysis'!K453/17))/(('Lab Analysis'!L453/44)+('Lab Analysis'!M453/60)),"0")</f>
        <v>0</v>
      </c>
      <c r="L453" s="190" t="str">
        <f>IFERROR((('Lab Analysis'!N453/18)-('Lab Analysis'!M453/60))/(('Lab Analysis'!L453/44)+('Lab Analysis'!M453/60)),"0")</f>
        <v>0</v>
      </c>
      <c r="M453" s="187" t="str">
        <f>IFERROR(((2*('Lab Analysis'!U453/60))+('Lab Analysis'!S453/17))/(('Lab Analysis'!T453/44)+('Lab Analysis'!U453/60)),"0")</f>
        <v>0</v>
      </c>
      <c r="N453" s="187" t="str">
        <f>IFERROR((('Lab Analysis'!V453/18)-('Lab Analysis'!U453/60))/(('Lab Analysis'!T453/44)+('Lab Analysis'!U453/60)),"0")</f>
        <v>0</v>
      </c>
      <c r="O453" s="187" t="str">
        <f>IFERROR(((2*('Lab Analysis'!Y453/60)+('Lab Analysis'!W453/17))/(('Lab Analysis'!X453/44)+('Lab Analysis'!Y453/60))),"0")</f>
        <v>0</v>
      </c>
      <c r="P453" s="187" t="str">
        <f>IFERROR((('Lab Analysis'!Z453/18)-('Lab Analysis'!Y453/60))/(('Lab Analysis'!X453/44)+('Lab Analysis'!Y453/60)),"0")</f>
        <v>0</v>
      </c>
      <c r="Q453" s="191"/>
    </row>
    <row r="454" spans="1:17">
      <c r="A454" s="185">
        <v>46268</v>
      </c>
      <c r="B454" s="186" t="str">
        <f>IFERROR(('Lab Analysis'!E454/('Lab Analysis'!E454+(1.364*'Lab Analysis'!D454))),"0")</f>
        <v>0</v>
      </c>
      <c r="C454" s="186" t="str">
        <f>IFERROR((2*'Lab Analysis'!E454/60)/('Lab Analysis'!C454/17+(2*'Lab Analysis'!E454/60)),"0")</f>
        <v>0</v>
      </c>
      <c r="D454" s="187" t="str">
        <f>IFERROR(((2*('Lab Analysis'!E454/60)+('Lab Analysis'!C454/17))/(('Lab Analysis'!D454/44)+('Lab Analysis'!E454/60))),"0")</f>
        <v>0</v>
      </c>
      <c r="E454" s="187" t="str">
        <f>IFERROR((('Lab Analysis'!F454/18)-('Lab Analysis'!E454/60))/(('Lab Analysis'!D454/44)+('Lab Analysis'!E454/60)),"0")</f>
        <v>0</v>
      </c>
      <c r="F454" s="187" t="str">
        <f>IFERROR((('Lab Analysis'!F454/18)/('Lab Analysis'!E454/60)),"0")</f>
        <v>0</v>
      </c>
      <c r="G454" s="188" t="str">
        <f>IFERROR(('Lab Analysis'!I454/('Lab Analysis'!I454+(1.765*'Lab Analysis'!G454))),"0")</f>
        <v>0</v>
      </c>
      <c r="H454" s="189" t="str">
        <f>IFERROR(((2*('Lab Analysis'!I454/60))+('Lab Analysis'!G454/17))/(('Lab Analysis'!H454/44)+('Lab Analysis'!I454/60)),"0")</f>
        <v>0</v>
      </c>
      <c r="I454" s="189" t="str">
        <f>IFERROR((('Lab Analysis'!J454/18)-('Lab Analysis'!I454/60))/(('Lab Analysis'!H454/44)+('Lab Analysis'!I454/60)),"0")</f>
        <v>0</v>
      </c>
      <c r="J454" s="186" t="str">
        <f>IFERROR(('Lab Analysis'!M454/('Lab Analysis'!M454+(1.765*'Lab Analysis'!K454))),"0")</f>
        <v>0</v>
      </c>
      <c r="K454" s="190" t="str">
        <f>IFERROR(((2*('Lab Analysis'!M454/60))+('Lab Analysis'!K454/17))/(('Lab Analysis'!L454/44)+('Lab Analysis'!M454/60)),"0")</f>
        <v>0</v>
      </c>
      <c r="L454" s="190" t="str">
        <f>IFERROR((('Lab Analysis'!N454/18)-('Lab Analysis'!M454/60))/(('Lab Analysis'!L454/44)+('Lab Analysis'!M454/60)),"0")</f>
        <v>0</v>
      </c>
      <c r="M454" s="187" t="str">
        <f>IFERROR(((2*('Lab Analysis'!U454/60))+('Lab Analysis'!S454/17))/(('Lab Analysis'!T454/44)+('Lab Analysis'!U454/60)),"0")</f>
        <v>0</v>
      </c>
      <c r="N454" s="187" t="str">
        <f>IFERROR((('Lab Analysis'!V454/18)-('Lab Analysis'!U454/60))/(('Lab Analysis'!T454/44)+('Lab Analysis'!U454/60)),"0")</f>
        <v>0</v>
      </c>
      <c r="O454" s="187" t="str">
        <f>IFERROR(((2*('Lab Analysis'!Y454/60)+('Lab Analysis'!W454/17))/(('Lab Analysis'!X454/44)+('Lab Analysis'!Y454/60))),"0")</f>
        <v>0</v>
      </c>
      <c r="P454" s="187" t="str">
        <f>IFERROR((('Lab Analysis'!Z454/18)-('Lab Analysis'!Y454/60))/(('Lab Analysis'!X454/44)+('Lab Analysis'!Y454/60)),"0")</f>
        <v>0</v>
      </c>
      <c r="Q454" s="191"/>
    </row>
    <row r="455" spans="1:17">
      <c r="A455" s="185">
        <v>46269</v>
      </c>
      <c r="B455" s="186" t="str">
        <f>IFERROR(('Lab Analysis'!E455/('Lab Analysis'!E455+(1.364*'Lab Analysis'!D455))),"0")</f>
        <v>0</v>
      </c>
      <c r="C455" s="186" t="str">
        <f>IFERROR((2*'Lab Analysis'!E455/60)/('Lab Analysis'!C455/17+(2*'Lab Analysis'!E455/60)),"0")</f>
        <v>0</v>
      </c>
      <c r="D455" s="187" t="str">
        <f>IFERROR(((2*('Lab Analysis'!E455/60)+('Lab Analysis'!C455/17))/(('Lab Analysis'!D455/44)+('Lab Analysis'!E455/60))),"0")</f>
        <v>0</v>
      </c>
      <c r="E455" s="187" t="str">
        <f>IFERROR((('Lab Analysis'!F455/18)-('Lab Analysis'!E455/60))/(('Lab Analysis'!D455/44)+('Lab Analysis'!E455/60)),"0")</f>
        <v>0</v>
      </c>
      <c r="F455" s="187" t="str">
        <f>IFERROR((('Lab Analysis'!F455/18)/('Lab Analysis'!E455/60)),"0")</f>
        <v>0</v>
      </c>
      <c r="G455" s="188" t="str">
        <f>IFERROR(('Lab Analysis'!I455/('Lab Analysis'!I455+(1.765*'Lab Analysis'!G455))),"0")</f>
        <v>0</v>
      </c>
      <c r="H455" s="189" t="str">
        <f>IFERROR(((2*('Lab Analysis'!I455/60))+('Lab Analysis'!G455/17))/(('Lab Analysis'!H455/44)+('Lab Analysis'!I455/60)),"0")</f>
        <v>0</v>
      </c>
      <c r="I455" s="189" t="str">
        <f>IFERROR((('Lab Analysis'!J455/18)-('Lab Analysis'!I455/60))/(('Lab Analysis'!H455/44)+('Lab Analysis'!I455/60)),"0")</f>
        <v>0</v>
      </c>
      <c r="J455" s="186" t="str">
        <f>IFERROR(('Lab Analysis'!M455/('Lab Analysis'!M455+(1.765*'Lab Analysis'!K455))),"0")</f>
        <v>0</v>
      </c>
      <c r="K455" s="190" t="str">
        <f>IFERROR(((2*('Lab Analysis'!M455/60))+('Lab Analysis'!K455/17))/(('Lab Analysis'!L455/44)+('Lab Analysis'!M455/60)),"0")</f>
        <v>0</v>
      </c>
      <c r="L455" s="190" t="str">
        <f>IFERROR((('Lab Analysis'!N455/18)-('Lab Analysis'!M455/60))/(('Lab Analysis'!L455/44)+('Lab Analysis'!M455/60)),"0")</f>
        <v>0</v>
      </c>
      <c r="M455" s="187" t="str">
        <f>IFERROR(((2*('Lab Analysis'!U455/60))+('Lab Analysis'!S455/17))/(('Lab Analysis'!T455/44)+('Lab Analysis'!U455/60)),"0")</f>
        <v>0</v>
      </c>
      <c r="N455" s="187" t="str">
        <f>IFERROR((('Lab Analysis'!V455/18)-('Lab Analysis'!U455/60))/(('Lab Analysis'!T455/44)+('Lab Analysis'!U455/60)),"0")</f>
        <v>0</v>
      </c>
      <c r="O455" s="187" t="str">
        <f>IFERROR(((2*('Lab Analysis'!Y455/60)+('Lab Analysis'!W455/17))/(('Lab Analysis'!X455/44)+('Lab Analysis'!Y455/60))),"0")</f>
        <v>0</v>
      </c>
      <c r="P455" s="187" t="str">
        <f>IFERROR((('Lab Analysis'!Z455/18)-('Lab Analysis'!Y455/60))/(('Lab Analysis'!X455/44)+('Lab Analysis'!Y455/60)),"0")</f>
        <v>0</v>
      </c>
      <c r="Q455" s="191"/>
    </row>
    <row r="456" spans="1:17">
      <c r="A456" s="185">
        <v>46270</v>
      </c>
      <c r="B456" s="186" t="str">
        <f>IFERROR(('Lab Analysis'!E456/('Lab Analysis'!E456+(1.364*'Lab Analysis'!D456))),"0")</f>
        <v>0</v>
      </c>
      <c r="C456" s="186" t="str">
        <f>IFERROR((2*'Lab Analysis'!E456/60)/('Lab Analysis'!C456/17+(2*'Lab Analysis'!E456/60)),"0")</f>
        <v>0</v>
      </c>
      <c r="D456" s="187" t="str">
        <f>IFERROR(((2*('Lab Analysis'!E456/60)+('Lab Analysis'!C456/17))/(('Lab Analysis'!D456/44)+('Lab Analysis'!E456/60))),"0")</f>
        <v>0</v>
      </c>
      <c r="E456" s="187" t="str">
        <f>IFERROR((('Lab Analysis'!F456/18)-('Lab Analysis'!E456/60))/(('Lab Analysis'!D456/44)+('Lab Analysis'!E456/60)),"0")</f>
        <v>0</v>
      </c>
      <c r="F456" s="187" t="str">
        <f>IFERROR((('Lab Analysis'!F456/18)/('Lab Analysis'!E456/60)),"0")</f>
        <v>0</v>
      </c>
      <c r="G456" s="188" t="str">
        <f>IFERROR(('Lab Analysis'!I456/('Lab Analysis'!I456+(1.765*'Lab Analysis'!G456))),"0")</f>
        <v>0</v>
      </c>
      <c r="H456" s="189" t="str">
        <f>IFERROR(((2*('Lab Analysis'!I456/60))+('Lab Analysis'!G456/17))/(('Lab Analysis'!H456/44)+('Lab Analysis'!I456/60)),"0")</f>
        <v>0</v>
      </c>
      <c r="I456" s="189" t="str">
        <f>IFERROR((('Lab Analysis'!J456/18)-('Lab Analysis'!I456/60))/(('Lab Analysis'!H456/44)+('Lab Analysis'!I456/60)),"0")</f>
        <v>0</v>
      </c>
      <c r="J456" s="186" t="str">
        <f>IFERROR(('Lab Analysis'!M456/('Lab Analysis'!M456+(1.765*'Lab Analysis'!K456))),"0")</f>
        <v>0</v>
      </c>
      <c r="K456" s="190" t="str">
        <f>IFERROR(((2*('Lab Analysis'!M456/60))+('Lab Analysis'!K456/17))/(('Lab Analysis'!L456/44)+('Lab Analysis'!M456/60)),"0")</f>
        <v>0</v>
      </c>
      <c r="L456" s="190" t="str">
        <f>IFERROR((('Lab Analysis'!N456/18)-('Lab Analysis'!M456/60))/(('Lab Analysis'!L456/44)+('Lab Analysis'!M456/60)),"0")</f>
        <v>0</v>
      </c>
      <c r="M456" s="187" t="str">
        <f>IFERROR(((2*('Lab Analysis'!U456/60))+('Lab Analysis'!S456/17))/(('Lab Analysis'!T456/44)+('Lab Analysis'!U456/60)),"0")</f>
        <v>0</v>
      </c>
      <c r="N456" s="187" t="str">
        <f>IFERROR((('Lab Analysis'!V456/18)-('Lab Analysis'!U456/60))/(('Lab Analysis'!T456/44)+('Lab Analysis'!U456/60)),"0")</f>
        <v>0</v>
      </c>
      <c r="O456" s="187" t="str">
        <f>IFERROR(((2*('Lab Analysis'!Y456/60)+('Lab Analysis'!W456/17))/(('Lab Analysis'!X456/44)+('Lab Analysis'!Y456/60))),"0")</f>
        <v>0</v>
      </c>
      <c r="P456" s="187" t="str">
        <f>IFERROR((('Lab Analysis'!Z456/18)-('Lab Analysis'!Y456/60))/(('Lab Analysis'!X456/44)+('Lab Analysis'!Y456/60)),"0")</f>
        <v>0</v>
      </c>
      <c r="Q456" s="191"/>
    </row>
    <row r="457" spans="1:17">
      <c r="A457" s="185">
        <v>46271</v>
      </c>
      <c r="B457" s="186" t="str">
        <f>IFERROR(('Lab Analysis'!E457/('Lab Analysis'!E457+(1.364*'Lab Analysis'!D457))),"0")</f>
        <v>0</v>
      </c>
      <c r="C457" s="186" t="str">
        <f>IFERROR((2*'Lab Analysis'!E457/60)/('Lab Analysis'!C457/17+(2*'Lab Analysis'!E457/60)),"0")</f>
        <v>0</v>
      </c>
      <c r="D457" s="187" t="str">
        <f>IFERROR(((2*('Lab Analysis'!E457/60)+('Lab Analysis'!C457/17))/(('Lab Analysis'!D457/44)+('Lab Analysis'!E457/60))),"0")</f>
        <v>0</v>
      </c>
      <c r="E457" s="187" t="str">
        <f>IFERROR((('Lab Analysis'!F457/18)-('Lab Analysis'!E457/60))/(('Lab Analysis'!D457/44)+('Lab Analysis'!E457/60)),"0")</f>
        <v>0</v>
      </c>
      <c r="F457" s="187" t="str">
        <f>IFERROR((('Lab Analysis'!F457/18)/('Lab Analysis'!E457/60)),"0")</f>
        <v>0</v>
      </c>
      <c r="G457" s="188" t="str">
        <f>IFERROR(('Lab Analysis'!I457/('Lab Analysis'!I457+(1.765*'Lab Analysis'!G457))),"0")</f>
        <v>0</v>
      </c>
      <c r="H457" s="189" t="str">
        <f>IFERROR(((2*('Lab Analysis'!I457/60))+('Lab Analysis'!G457/17))/(('Lab Analysis'!H457/44)+('Lab Analysis'!I457/60)),"0")</f>
        <v>0</v>
      </c>
      <c r="I457" s="189" t="str">
        <f>IFERROR((('Lab Analysis'!J457/18)-('Lab Analysis'!I457/60))/(('Lab Analysis'!H457/44)+('Lab Analysis'!I457/60)),"0")</f>
        <v>0</v>
      </c>
      <c r="J457" s="186" t="str">
        <f>IFERROR(('Lab Analysis'!M457/('Lab Analysis'!M457+(1.765*'Lab Analysis'!K457))),"0")</f>
        <v>0</v>
      </c>
      <c r="K457" s="190" t="str">
        <f>IFERROR(((2*('Lab Analysis'!M457/60))+('Lab Analysis'!K457/17))/(('Lab Analysis'!L457/44)+('Lab Analysis'!M457/60)),"0")</f>
        <v>0</v>
      </c>
      <c r="L457" s="190" t="str">
        <f>IFERROR((('Lab Analysis'!N457/18)-('Lab Analysis'!M457/60))/(('Lab Analysis'!L457/44)+('Lab Analysis'!M457/60)),"0")</f>
        <v>0</v>
      </c>
      <c r="M457" s="187" t="str">
        <f>IFERROR(((2*('Lab Analysis'!U457/60))+('Lab Analysis'!S457/17))/(('Lab Analysis'!T457/44)+('Lab Analysis'!U457/60)),"0")</f>
        <v>0</v>
      </c>
      <c r="N457" s="187" t="str">
        <f>IFERROR((('Lab Analysis'!V457/18)-('Lab Analysis'!U457/60))/(('Lab Analysis'!T457/44)+('Lab Analysis'!U457/60)),"0")</f>
        <v>0</v>
      </c>
      <c r="O457" s="187" t="str">
        <f>IFERROR(((2*('Lab Analysis'!Y457/60)+('Lab Analysis'!W457/17))/(('Lab Analysis'!X457/44)+('Lab Analysis'!Y457/60))),"0")</f>
        <v>0</v>
      </c>
      <c r="P457" s="187" t="str">
        <f>IFERROR((('Lab Analysis'!Z457/18)-('Lab Analysis'!Y457/60))/(('Lab Analysis'!X457/44)+('Lab Analysis'!Y457/60)),"0")</f>
        <v>0</v>
      </c>
      <c r="Q457" s="191"/>
    </row>
    <row r="458" spans="1:17">
      <c r="A458" s="185">
        <v>46272</v>
      </c>
      <c r="B458" s="186" t="str">
        <f>IFERROR(('Lab Analysis'!E458/('Lab Analysis'!E458+(1.364*'Lab Analysis'!D458))),"0")</f>
        <v>0</v>
      </c>
      <c r="C458" s="186" t="str">
        <f>IFERROR((2*'Lab Analysis'!E458/60)/('Lab Analysis'!C458/17+(2*'Lab Analysis'!E458/60)),"0")</f>
        <v>0</v>
      </c>
      <c r="D458" s="187" t="str">
        <f>IFERROR(((2*('Lab Analysis'!E458/60)+('Lab Analysis'!C458/17))/(('Lab Analysis'!D458/44)+('Lab Analysis'!E458/60))),"0")</f>
        <v>0</v>
      </c>
      <c r="E458" s="187" t="str">
        <f>IFERROR((('Lab Analysis'!F458/18)-('Lab Analysis'!E458/60))/(('Lab Analysis'!D458/44)+('Lab Analysis'!E458/60)),"0")</f>
        <v>0</v>
      </c>
      <c r="F458" s="187" t="str">
        <f>IFERROR((('Lab Analysis'!F458/18)/('Lab Analysis'!E458/60)),"0")</f>
        <v>0</v>
      </c>
      <c r="G458" s="188" t="str">
        <f>IFERROR(('Lab Analysis'!I458/('Lab Analysis'!I458+(1.765*'Lab Analysis'!G458))),"0")</f>
        <v>0</v>
      </c>
      <c r="H458" s="189" t="str">
        <f>IFERROR(((2*('Lab Analysis'!I458/60))+('Lab Analysis'!G458/17))/(('Lab Analysis'!H458/44)+('Lab Analysis'!I458/60)),"0")</f>
        <v>0</v>
      </c>
      <c r="I458" s="189" t="str">
        <f>IFERROR((('Lab Analysis'!J458/18)-('Lab Analysis'!I458/60))/(('Lab Analysis'!H458/44)+('Lab Analysis'!I458/60)),"0")</f>
        <v>0</v>
      </c>
      <c r="J458" s="186" t="str">
        <f>IFERROR(('Lab Analysis'!M458/('Lab Analysis'!M458+(1.765*'Lab Analysis'!K458))),"0")</f>
        <v>0</v>
      </c>
      <c r="K458" s="190" t="str">
        <f>IFERROR(((2*('Lab Analysis'!M458/60))+('Lab Analysis'!K458/17))/(('Lab Analysis'!L458/44)+('Lab Analysis'!M458/60)),"0")</f>
        <v>0</v>
      </c>
      <c r="L458" s="190" t="str">
        <f>IFERROR((('Lab Analysis'!N458/18)-('Lab Analysis'!M458/60))/(('Lab Analysis'!L458/44)+('Lab Analysis'!M458/60)),"0")</f>
        <v>0</v>
      </c>
      <c r="M458" s="187" t="str">
        <f>IFERROR(((2*('Lab Analysis'!U458/60))+('Lab Analysis'!S458/17))/(('Lab Analysis'!T458/44)+('Lab Analysis'!U458/60)),"0")</f>
        <v>0</v>
      </c>
      <c r="N458" s="187" t="str">
        <f>IFERROR((('Lab Analysis'!V458/18)-('Lab Analysis'!U458/60))/(('Lab Analysis'!T458/44)+('Lab Analysis'!U458/60)),"0")</f>
        <v>0</v>
      </c>
      <c r="O458" s="187" t="str">
        <f>IFERROR(((2*('Lab Analysis'!Y458/60)+('Lab Analysis'!W458/17))/(('Lab Analysis'!X458/44)+('Lab Analysis'!Y458/60))),"0")</f>
        <v>0</v>
      </c>
      <c r="P458" s="187" t="str">
        <f>IFERROR((('Lab Analysis'!Z458/18)-('Lab Analysis'!Y458/60))/(('Lab Analysis'!X458/44)+('Lab Analysis'!Y458/60)),"0")</f>
        <v>0</v>
      </c>
      <c r="Q458" s="191"/>
    </row>
    <row r="459" spans="1:17">
      <c r="A459" s="185">
        <v>46273</v>
      </c>
      <c r="B459" s="186" t="str">
        <f>IFERROR(('Lab Analysis'!E459/('Lab Analysis'!E459+(1.364*'Lab Analysis'!D459))),"0")</f>
        <v>0</v>
      </c>
      <c r="C459" s="186" t="str">
        <f>IFERROR((2*'Lab Analysis'!E459/60)/('Lab Analysis'!C459/17+(2*'Lab Analysis'!E459/60)),"0")</f>
        <v>0</v>
      </c>
      <c r="D459" s="187" t="str">
        <f>IFERROR(((2*('Lab Analysis'!E459/60)+('Lab Analysis'!C459/17))/(('Lab Analysis'!D459/44)+('Lab Analysis'!E459/60))),"0")</f>
        <v>0</v>
      </c>
      <c r="E459" s="187" t="str">
        <f>IFERROR((('Lab Analysis'!F459/18)-('Lab Analysis'!E459/60))/(('Lab Analysis'!D459/44)+('Lab Analysis'!E459/60)),"0")</f>
        <v>0</v>
      </c>
      <c r="F459" s="187" t="str">
        <f>IFERROR((('Lab Analysis'!F459/18)/('Lab Analysis'!E459/60)),"0")</f>
        <v>0</v>
      </c>
      <c r="G459" s="188" t="str">
        <f>IFERROR(('Lab Analysis'!I459/('Lab Analysis'!I459+(1.765*'Lab Analysis'!G459))),"0")</f>
        <v>0</v>
      </c>
      <c r="H459" s="189" t="str">
        <f>IFERROR(((2*('Lab Analysis'!I459/60))+('Lab Analysis'!G459/17))/(('Lab Analysis'!H459/44)+('Lab Analysis'!I459/60)),"0")</f>
        <v>0</v>
      </c>
      <c r="I459" s="189" t="str">
        <f>IFERROR((('Lab Analysis'!J459/18)-('Lab Analysis'!I459/60))/(('Lab Analysis'!H459/44)+('Lab Analysis'!I459/60)),"0")</f>
        <v>0</v>
      </c>
      <c r="J459" s="186" t="str">
        <f>IFERROR(('Lab Analysis'!M459/('Lab Analysis'!M459+(1.765*'Lab Analysis'!K459))),"0")</f>
        <v>0</v>
      </c>
      <c r="K459" s="190" t="str">
        <f>IFERROR(((2*('Lab Analysis'!M459/60))+('Lab Analysis'!K459/17))/(('Lab Analysis'!L459/44)+('Lab Analysis'!M459/60)),"0")</f>
        <v>0</v>
      </c>
      <c r="L459" s="190" t="str">
        <f>IFERROR((('Lab Analysis'!N459/18)-('Lab Analysis'!M459/60))/(('Lab Analysis'!L459/44)+('Lab Analysis'!M459/60)),"0")</f>
        <v>0</v>
      </c>
      <c r="M459" s="187" t="str">
        <f>IFERROR(((2*('Lab Analysis'!U459/60))+('Lab Analysis'!S459/17))/(('Lab Analysis'!T459/44)+('Lab Analysis'!U459/60)),"0")</f>
        <v>0</v>
      </c>
      <c r="N459" s="187" t="str">
        <f>IFERROR((('Lab Analysis'!V459/18)-('Lab Analysis'!U459/60))/(('Lab Analysis'!T459/44)+('Lab Analysis'!U459/60)),"0")</f>
        <v>0</v>
      </c>
      <c r="O459" s="187" t="str">
        <f>IFERROR(((2*('Lab Analysis'!Y459/60)+('Lab Analysis'!W459/17))/(('Lab Analysis'!X459/44)+('Lab Analysis'!Y459/60))),"0")</f>
        <v>0</v>
      </c>
      <c r="P459" s="187" t="str">
        <f>IFERROR((('Lab Analysis'!Z459/18)-('Lab Analysis'!Y459/60))/(('Lab Analysis'!X459/44)+('Lab Analysis'!Y459/60)),"0")</f>
        <v>0</v>
      </c>
      <c r="Q459" s="191"/>
    </row>
    <row r="460" spans="1:17">
      <c r="A460" s="185">
        <v>46274</v>
      </c>
      <c r="B460" s="186" t="str">
        <f>IFERROR(('Lab Analysis'!E460/('Lab Analysis'!E460+(1.364*'Lab Analysis'!D460))),"0")</f>
        <v>0</v>
      </c>
      <c r="C460" s="186" t="str">
        <f>IFERROR((2*'Lab Analysis'!E460/60)/('Lab Analysis'!C460/17+(2*'Lab Analysis'!E460/60)),"0")</f>
        <v>0</v>
      </c>
      <c r="D460" s="187" t="str">
        <f>IFERROR(((2*('Lab Analysis'!E460/60)+('Lab Analysis'!C460/17))/(('Lab Analysis'!D460/44)+('Lab Analysis'!E460/60))),"0")</f>
        <v>0</v>
      </c>
      <c r="E460" s="187" t="str">
        <f>IFERROR((('Lab Analysis'!F460/18)-('Lab Analysis'!E460/60))/(('Lab Analysis'!D460/44)+('Lab Analysis'!E460/60)),"0")</f>
        <v>0</v>
      </c>
      <c r="F460" s="187" t="str">
        <f>IFERROR((('Lab Analysis'!F460/18)/('Lab Analysis'!E460/60)),"0")</f>
        <v>0</v>
      </c>
      <c r="G460" s="188" t="str">
        <f>IFERROR(('Lab Analysis'!I460/('Lab Analysis'!I460+(1.765*'Lab Analysis'!G460))),"0")</f>
        <v>0</v>
      </c>
      <c r="H460" s="189" t="str">
        <f>IFERROR(((2*('Lab Analysis'!I460/60))+('Lab Analysis'!G460/17))/(('Lab Analysis'!H460/44)+('Lab Analysis'!I460/60)),"0")</f>
        <v>0</v>
      </c>
      <c r="I460" s="189" t="str">
        <f>IFERROR((('Lab Analysis'!J460/18)-('Lab Analysis'!I460/60))/(('Lab Analysis'!H460/44)+('Lab Analysis'!I460/60)),"0")</f>
        <v>0</v>
      </c>
      <c r="J460" s="186" t="str">
        <f>IFERROR(('Lab Analysis'!M460/('Lab Analysis'!M460+(1.765*'Lab Analysis'!K460))),"0")</f>
        <v>0</v>
      </c>
      <c r="K460" s="190" t="str">
        <f>IFERROR(((2*('Lab Analysis'!M460/60))+('Lab Analysis'!K460/17))/(('Lab Analysis'!L460/44)+('Lab Analysis'!M460/60)),"0")</f>
        <v>0</v>
      </c>
      <c r="L460" s="190" t="str">
        <f>IFERROR((('Lab Analysis'!N460/18)-('Lab Analysis'!M460/60))/(('Lab Analysis'!L460/44)+('Lab Analysis'!M460/60)),"0")</f>
        <v>0</v>
      </c>
      <c r="M460" s="187" t="str">
        <f>IFERROR(((2*('Lab Analysis'!U460/60))+('Lab Analysis'!S460/17))/(('Lab Analysis'!T460/44)+('Lab Analysis'!U460/60)),"0")</f>
        <v>0</v>
      </c>
      <c r="N460" s="187" t="str">
        <f>IFERROR((('Lab Analysis'!V460/18)-('Lab Analysis'!U460/60))/(('Lab Analysis'!T460/44)+('Lab Analysis'!U460/60)),"0")</f>
        <v>0</v>
      </c>
      <c r="O460" s="187" t="str">
        <f>IFERROR(((2*('Lab Analysis'!Y460/60)+('Lab Analysis'!W460/17))/(('Lab Analysis'!X460/44)+('Lab Analysis'!Y460/60))),"0")</f>
        <v>0</v>
      </c>
      <c r="P460" s="187" t="str">
        <f>IFERROR((('Lab Analysis'!Z460/18)-('Lab Analysis'!Y460/60))/(('Lab Analysis'!X460/44)+('Lab Analysis'!Y460/60)),"0")</f>
        <v>0</v>
      </c>
      <c r="Q460" s="191"/>
    </row>
    <row r="461" spans="1:17">
      <c r="A461" s="185">
        <v>46275</v>
      </c>
      <c r="B461" s="186" t="str">
        <f>IFERROR(('Lab Analysis'!E461/('Lab Analysis'!E461+(1.364*'Lab Analysis'!D461))),"0")</f>
        <v>0</v>
      </c>
      <c r="C461" s="186" t="str">
        <f>IFERROR((2*'Lab Analysis'!E461/60)/('Lab Analysis'!C461/17+(2*'Lab Analysis'!E461/60)),"0")</f>
        <v>0</v>
      </c>
      <c r="D461" s="187" t="str">
        <f>IFERROR(((2*('Lab Analysis'!E461/60)+('Lab Analysis'!C461/17))/(('Lab Analysis'!D461/44)+('Lab Analysis'!E461/60))),"0")</f>
        <v>0</v>
      </c>
      <c r="E461" s="187" t="str">
        <f>IFERROR((('Lab Analysis'!F461/18)-('Lab Analysis'!E461/60))/(('Lab Analysis'!D461/44)+('Lab Analysis'!E461/60)),"0")</f>
        <v>0</v>
      </c>
      <c r="F461" s="187" t="str">
        <f>IFERROR((('Lab Analysis'!F461/18)/('Lab Analysis'!E461/60)),"0")</f>
        <v>0</v>
      </c>
      <c r="G461" s="188" t="str">
        <f>IFERROR(('Lab Analysis'!I461/('Lab Analysis'!I461+(1.765*'Lab Analysis'!G461))),"0")</f>
        <v>0</v>
      </c>
      <c r="H461" s="189" t="str">
        <f>IFERROR(((2*('Lab Analysis'!I461/60))+('Lab Analysis'!G461/17))/(('Lab Analysis'!H461/44)+('Lab Analysis'!I461/60)),"0")</f>
        <v>0</v>
      </c>
      <c r="I461" s="189" t="str">
        <f>IFERROR((('Lab Analysis'!J461/18)-('Lab Analysis'!I461/60))/(('Lab Analysis'!H461/44)+('Lab Analysis'!I461/60)),"0")</f>
        <v>0</v>
      </c>
      <c r="J461" s="186" t="str">
        <f>IFERROR(('Lab Analysis'!M461/('Lab Analysis'!M461+(1.765*'Lab Analysis'!K461))),"0")</f>
        <v>0</v>
      </c>
      <c r="K461" s="190" t="str">
        <f>IFERROR(((2*('Lab Analysis'!M461/60))+('Lab Analysis'!K461/17))/(('Lab Analysis'!L461/44)+('Lab Analysis'!M461/60)),"0")</f>
        <v>0</v>
      </c>
      <c r="L461" s="190" t="str">
        <f>IFERROR((('Lab Analysis'!N461/18)-('Lab Analysis'!M461/60))/(('Lab Analysis'!L461/44)+('Lab Analysis'!M461/60)),"0")</f>
        <v>0</v>
      </c>
      <c r="M461" s="187" t="str">
        <f>IFERROR(((2*('Lab Analysis'!U461/60))+('Lab Analysis'!S461/17))/(('Lab Analysis'!T461/44)+('Lab Analysis'!U461/60)),"0")</f>
        <v>0</v>
      </c>
      <c r="N461" s="187" t="str">
        <f>IFERROR((('Lab Analysis'!V461/18)-('Lab Analysis'!U461/60))/(('Lab Analysis'!T461/44)+('Lab Analysis'!U461/60)),"0")</f>
        <v>0</v>
      </c>
      <c r="O461" s="187" t="str">
        <f>IFERROR(((2*('Lab Analysis'!Y461/60)+('Lab Analysis'!W461/17))/(('Lab Analysis'!X461/44)+('Lab Analysis'!Y461/60))),"0")</f>
        <v>0</v>
      </c>
      <c r="P461" s="187" t="str">
        <f>IFERROR((('Lab Analysis'!Z461/18)-('Lab Analysis'!Y461/60))/(('Lab Analysis'!X461/44)+('Lab Analysis'!Y461/60)),"0")</f>
        <v>0</v>
      </c>
      <c r="Q461" s="191"/>
    </row>
    <row r="462" spans="1:17">
      <c r="A462" s="185">
        <v>46276</v>
      </c>
      <c r="B462" s="186" t="str">
        <f>IFERROR(('Lab Analysis'!E462/('Lab Analysis'!E462+(1.364*'Lab Analysis'!D462))),"0")</f>
        <v>0</v>
      </c>
      <c r="C462" s="186" t="str">
        <f>IFERROR((2*'Lab Analysis'!E462/60)/('Lab Analysis'!C462/17+(2*'Lab Analysis'!E462/60)),"0")</f>
        <v>0</v>
      </c>
      <c r="D462" s="187" t="str">
        <f>IFERROR(((2*('Lab Analysis'!E462/60)+('Lab Analysis'!C462/17))/(('Lab Analysis'!D462/44)+('Lab Analysis'!E462/60))),"0")</f>
        <v>0</v>
      </c>
      <c r="E462" s="187" t="str">
        <f>IFERROR((('Lab Analysis'!F462/18)-('Lab Analysis'!E462/60))/(('Lab Analysis'!D462/44)+('Lab Analysis'!E462/60)),"0")</f>
        <v>0</v>
      </c>
      <c r="F462" s="187" t="str">
        <f>IFERROR((('Lab Analysis'!F462/18)/('Lab Analysis'!E462/60)),"0")</f>
        <v>0</v>
      </c>
      <c r="G462" s="188" t="str">
        <f>IFERROR(('Lab Analysis'!I462/('Lab Analysis'!I462+(1.765*'Lab Analysis'!G462))),"0")</f>
        <v>0</v>
      </c>
      <c r="H462" s="189" t="str">
        <f>IFERROR(((2*('Lab Analysis'!I462/60))+('Lab Analysis'!G462/17))/(('Lab Analysis'!H462/44)+('Lab Analysis'!I462/60)),"0")</f>
        <v>0</v>
      </c>
      <c r="I462" s="189" t="str">
        <f>IFERROR((('Lab Analysis'!J462/18)-('Lab Analysis'!I462/60))/(('Lab Analysis'!H462/44)+('Lab Analysis'!I462/60)),"0")</f>
        <v>0</v>
      </c>
      <c r="J462" s="186" t="str">
        <f>IFERROR(('Lab Analysis'!M462/('Lab Analysis'!M462+(1.765*'Lab Analysis'!K462))),"0")</f>
        <v>0</v>
      </c>
      <c r="K462" s="190" t="str">
        <f>IFERROR(((2*('Lab Analysis'!M462/60))+('Lab Analysis'!K462/17))/(('Lab Analysis'!L462/44)+('Lab Analysis'!M462/60)),"0")</f>
        <v>0</v>
      </c>
      <c r="L462" s="190" t="str">
        <f>IFERROR((('Lab Analysis'!N462/18)-('Lab Analysis'!M462/60))/(('Lab Analysis'!L462/44)+('Lab Analysis'!M462/60)),"0")</f>
        <v>0</v>
      </c>
      <c r="M462" s="187" t="str">
        <f>IFERROR(((2*('Lab Analysis'!U462/60))+('Lab Analysis'!S462/17))/(('Lab Analysis'!T462/44)+('Lab Analysis'!U462/60)),"0")</f>
        <v>0</v>
      </c>
      <c r="N462" s="187" t="str">
        <f>IFERROR((('Lab Analysis'!V462/18)-('Lab Analysis'!U462/60))/(('Lab Analysis'!T462/44)+('Lab Analysis'!U462/60)),"0")</f>
        <v>0</v>
      </c>
      <c r="O462" s="187" t="str">
        <f>IFERROR(((2*('Lab Analysis'!Y462/60)+('Lab Analysis'!W462/17))/(('Lab Analysis'!X462/44)+('Lab Analysis'!Y462/60))),"0")</f>
        <v>0</v>
      </c>
      <c r="P462" s="187" t="str">
        <f>IFERROR((('Lab Analysis'!Z462/18)-('Lab Analysis'!Y462/60))/(('Lab Analysis'!X462/44)+('Lab Analysis'!Y462/60)),"0")</f>
        <v>0</v>
      </c>
      <c r="Q462" s="191"/>
    </row>
    <row r="463" spans="1:17">
      <c r="A463" s="185">
        <v>46277</v>
      </c>
      <c r="B463" s="186" t="str">
        <f>IFERROR(('Lab Analysis'!E463/('Lab Analysis'!E463+(1.364*'Lab Analysis'!D463))),"0")</f>
        <v>0</v>
      </c>
      <c r="C463" s="186" t="str">
        <f>IFERROR((2*'Lab Analysis'!E463/60)/('Lab Analysis'!C463/17+(2*'Lab Analysis'!E463/60)),"0")</f>
        <v>0</v>
      </c>
      <c r="D463" s="187" t="str">
        <f>IFERROR(((2*('Lab Analysis'!E463/60)+('Lab Analysis'!C463/17))/(('Lab Analysis'!D463/44)+('Lab Analysis'!E463/60))),"0")</f>
        <v>0</v>
      </c>
      <c r="E463" s="187" t="str">
        <f>IFERROR((('Lab Analysis'!F463/18)-('Lab Analysis'!E463/60))/(('Lab Analysis'!D463/44)+('Lab Analysis'!E463/60)),"0")</f>
        <v>0</v>
      </c>
      <c r="F463" s="187" t="str">
        <f>IFERROR((('Lab Analysis'!F463/18)/('Lab Analysis'!E463/60)),"0")</f>
        <v>0</v>
      </c>
      <c r="G463" s="188" t="str">
        <f>IFERROR(('Lab Analysis'!I463/('Lab Analysis'!I463+(1.765*'Lab Analysis'!G463))),"0")</f>
        <v>0</v>
      </c>
      <c r="H463" s="189" t="str">
        <f>IFERROR(((2*('Lab Analysis'!I463/60))+('Lab Analysis'!G463/17))/(('Lab Analysis'!H463/44)+('Lab Analysis'!I463/60)),"0")</f>
        <v>0</v>
      </c>
      <c r="I463" s="189" t="str">
        <f>IFERROR((('Lab Analysis'!J463/18)-('Lab Analysis'!I463/60))/(('Lab Analysis'!H463/44)+('Lab Analysis'!I463/60)),"0")</f>
        <v>0</v>
      </c>
      <c r="J463" s="186" t="str">
        <f>IFERROR(('Lab Analysis'!M463/('Lab Analysis'!M463+(1.765*'Lab Analysis'!K463))),"0")</f>
        <v>0</v>
      </c>
      <c r="K463" s="190" t="str">
        <f>IFERROR(((2*('Lab Analysis'!M463/60))+('Lab Analysis'!K463/17))/(('Lab Analysis'!L463/44)+('Lab Analysis'!M463/60)),"0")</f>
        <v>0</v>
      </c>
      <c r="L463" s="190" t="str">
        <f>IFERROR((('Lab Analysis'!N463/18)-('Lab Analysis'!M463/60))/(('Lab Analysis'!L463/44)+('Lab Analysis'!M463/60)),"0")</f>
        <v>0</v>
      </c>
      <c r="M463" s="187" t="str">
        <f>IFERROR(((2*('Lab Analysis'!U463/60))+('Lab Analysis'!S463/17))/(('Lab Analysis'!T463/44)+('Lab Analysis'!U463/60)),"0")</f>
        <v>0</v>
      </c>
      <c r="N463" s="187" t="str">
        <f>IFERROR((('Lab Analysis'!V463/18)-('Lab Analysis'!U463/60))/(('Lab Analysis'!T463/44)+('Lab Analysis'!U463/60)),"0")</f>
        <v>0</v>
      </c>
      <c r="O463" s="187" t="str">
        <f>IFERROR(((2*('Lab Analysis'!Y463/60)+('Lab Analysis'!W463/17))/(('Lab Analysis'!X463/44)+('Lab Analysis'!Y463/60))),"0")</f>
        <v>0</v>
      </c>
      <c r="P463" s="187" t="str">
        <f>IFERROR((('Lab Analysis'!Z463/18)-('Lab Analysis'!Y463/60))/(('Lab Analysis'!X463/44)+('Lab Analysis'!Y463/60)),"0")</f>
        <v>0</v>
      </c>
      <c r="Q463" s="191"/>
    </row>
    <row r="464" spans="1:17">
      <c r="A464" s="185">
        <v>46278</v>
      </c>
      <c r="B464" s="186" t="str">
        <f>IFERROR(('Lab Analysis'!E464/('Lab Analysis'!E464+(1.364*'Lab Analysis'!D464))),"0")</f>
        <v>0</v>
      </c>
      <c r="C464" s="186" t="str">
        <f>IFERROR((2*'Lab Analysis'!E464/60)/('Lab Analysis'!C464/17+(2*'Lab Analysis'!E464/60)),"0")</f>
        <v>0</v>
      </c>
      <c r="D464" s="187" t="str">
        <f>IFERROR(((2*('Lab Analysis'!E464/60)+('Lab Analysis'!C464/17))/(('Lab Analysis'!D464/44)+('Lab Analysis'!E464/60))),"0")</f>
        <v>0</v>
      </c>
      <c r="E464" s="187" t="str">
        <f>IFERROR((('Lab Analysis'!F464/18)-('Lab Analysis'!E464/60))/(('Lab Analysis'!D464/44)+('Lab Analysis'!E464/60)),"0")</f>
        <v>0</v>
      </c>
      <c r="F464" s="187" t="str">
        <f>IFERROR((('Lab Analysis'!F464/18)/('Lab Analysis'!E464/60)),"0")</f>
        <v>0</v>
      </c>
      <c r="G464" s="188" t="str">
        <f>IFERROR(('Lab Analysis'!I464/('Lab Analysis'!I464+(1.765*'Lab Analysis'!G464))),"0")</f>
        <v>0</v>
      </c>
      <c r="H464" s="189" t="str">
        <f>IFERROR(((2*('Lab Analysis'!I464/60))+('Lab Analysis'!G464/17))/(('Lab Analysis'!H464/44)+('Lab Analysis'!I464/60)),"0")</f>
        <v>0</v>
      </c>
      <c r="I464" s="189" t="str">
        <f>IFERROR((('Lab Analysis'!J464/18)-('Lab Analysis'!I464/60))/(('Lab Analysis'!H464/44)+('Lab Analysis'!I464/60)),"0")</f>
        <v>0</v>
      </c>
      <c r="J464" s="186" t="str">
        <f>IFERROR(('Lab Analysis'!M464/('Lab Analysis'!M464+(1.765*'Lab Analysis'!K464))),"0")</f>
        <v>0</v>
      </c>
      <c r="K464" s="190" t="str">
        <f>IFERROR(((2*('Lab Analysis'!M464/60))+('Lab Analysis'!K464/17))/(('Lab Analysis'!L464/44)+('Lab Analysis'!M464/60)),"0")</f>
        <v>0</v>
      </c>
      <c r="L464" s="190" t="str">
        <f>IFERROR((('Lab Analysis'!N464/18)-('Lab Analysis'!M464/60))/(('Lab Analysis'!L464/44)+('Lab Analysis'!M464/60)),"0")</f>
        <v>0</v>
      </c>
      <c r="M464" s="187" t="str">
        <f>IFERROR(((2*('Lab Analysis'!U464/60))+('Lab Analysis'!S464/17))/(('Lab Analysis'!T464/44)+('Lab Analysis'!U464/60)),"0")</f>
        <v>0</v>
      </c>
      <c r="N464" s="187" t="str">
        <f>IFERROR((('Lab Analysis'!V464/18)-('Lab Analysis'!U464/60))/(('Lab Analysis'!T464/44)+('Lab Analysis'!U464/60)),"0")</f>
        <v>0</v>
      </c>
      <c r="O464" s="187" t="str">
        <f>IFERROR(((2*('Lab Analysis'!Y464/60)+('Lab Analysis'!W464/17))/(('Lab Analysis'!X464/44)+('Lab Analysis'!Y464/60))),"0")</f>
        <v>0</v>
      </c>
      <c r="P464" s="187" t="str">
        <f>IFERROR((('Lab Analysis'!Z464/18)-('Lab Analysis'!Y464/60))/(('Lab Analysis'!X464/44)+('Lab Analysis'!Y464/60)),"0")</f>
        <v>0</v>
      </c>
      <c r="Q464" s="191"/>
    </row>
    <row r="465" spans="1:17">
      <c r="A465" s="185">
        <v>46279</v>
      </c>
      <c r="B465" s="186" t="str">
        <f>IFERROR(('Lab Analysis'!E465/('Lab Analysis'!E465+(1.364*'Lab Analysis'!D465))),"0")</f>
        <v>0</v>
      </c>
      <c r="C465" s="186" t="str">
        <f>IFERROR((2*'Lab Analysis'!E465/60)/('Lab Analysis'!C465/17+(2*'Lab Analysis'!E465/60)),"0")</f>
        <v>0</v>
      </c>
      <c r="D465" s="187" t="str">
        <f>IFERROR(((2*('Lab Analysis'!E465/60)+('Lab Analysis'!C465/17))/(('Lab Analysis'!D465/44)+('Lab Analysis'!E465/60))),"0")</f>
        <v>0</v>
      </c>
      <c r="E465" s="187" t="str">
        <f>IFERROR((('Lab Analysis'!F465/18)-('Lab Analysis'!E465/60))/(('Lab Analysis'!D465/44)+('Lab Analysis'!E465/60)),"0")</f>
        <v>0</v>
      </c>
      <c r="F465" s="187" t="str">
        <f>IFERROR((('Lab Analysis'!F465/18)/('Lab Analysis'!E465/60)),"0")</f>
        <v>0</v>
      </c>
      <c r="G465" s="188" t="str">
        <f>IFERROR(('Lab Analysis'!I465/('Lab Analysis'!I465+(1.765*'Lab Analysis'!G465))),"0")</f>
        <v>0</v>
      </c>
      <c r="H465" s="189" t="str">
        <f>IFERROR(((2*('Lab Analysis'!I465/60))+('Lab Analysis'!G465/17))/(('Lab Analysis'!H465/44)+('Lab Analysis'!I465/60)),"0")</f>
        <v>0</v>
      </c>
      <c r="I465" s="189" t="str">
        <f>IFERROR((('Lab Analysis'!J465/18)-('Lab Analysis'!I465/60))/(('Lab Analysis'!H465/44)+('Lab Analysis'!I465/60)),"0")</f>
        <v>0</v>
      </c>
      <c r="J465" s="186" t="str">
        <f>IFERROR(('Lab Analysis'!M465/('Lab Analysis'!M465+(1.765*'Lab Analysis'!K465))),"0")</f>
        <v>0</v>
      </c>
      <c r="K465" s="190" t="str">
        <f>IFERROR(((2*('Lab Analysis'!M465/60))+('Lab Analysis'!K465/17))/(('Lab Analysis'!L465/44)+('Lab Analysis'!M465/60)),"0")</f>
        <v>0</v>
      </c>
      <c r="L465" s="190" t="str">
        <f>IFERROR((('Lab Analysis'!N465/18)-('Lab Analysis'!M465/60))/(('Lab Analysis'!L465/44)+('Lab Analysis'!M465/60)),"0")</f>
        <v>0</v>
      </c>
      <c r="M465" s="187" t="str">
        <f>IFERROR(((2*('Lab Analysis'!U465/60))+('Lab Analysis'!S465/17))/(('Lab Analysis'!T465/44)+('Lab Analysis'!U465/60)),"0")</f>
        <v>0</v>
      </c>
      <c r="N465" s="187" t="str">
        <f>IFERROR((('Lab Analysis'!V465/18)-('Lab Analysis'!U465/60))/(('Lab Analysis'!T465/44)+('Lab Analysis'!U465/60)),"0")</f>
        <v>0</v>
      </c>
      <c r="O465" s="187" t="str">
        <f>IFERROR(((2*('Lab Analysis'!Y465/60)+('Lab Analysis'!W465/17))/(('Lab Analysis'!X465/44)+('Lab Analysis'!Y465/60))),"0")</f>
        <v>0</v>
      </c>
      <c r="P465" s="187" t="str">
        <f>IFERROR((('Lab Analysis'!Z465/18)-('Lab Analysis'!Y465/60))/(('Lab Analysis'!X465/44)+('Lab Analysis'!Y465/60)),"0")</f>
        <v>0</v>
      </c>
      <c r="Q465" s="191"/>
    </row>
    <row r="466" spans="1:17">
      <c r="A466" s="185">
        <v>46280</v>
      </c>
      <c r="B466" s="186" t="str">
        <f>IFERROR(('Lab Analysis'!E466/('Lab Analysis'!E466+(1.364*'Lab Analysis'!D466))),"0")</f>
        <v>0</v>
      </c>
      <c r="C466" s="186" t="str">
        <f>IFERROR((2*'Lab Analysis'!E466/60)/('Lab Analysis'!C466/17+(2*'Lab Analysis'!E466/60)),"0")</f>
        <v>0</v>
      </c>
      <c r="D466" s="187" t="str">
        <f>IFERROR(((2*('Lab Analysis'!E466/60)+('Lab Analysis'!C466/17))/(('Lab Analysis'!D466/44)+('Lab Analysis'!E466/60))),"0")</f>
        <v>0</v>
      </c>
      <c r="E466" s="187" t="str">
        <f>IFERROR((('Lab Analysis'!F466/18)-('Lab Analysis'!E466/60))/(('Lab Analysis'!D466/44)+('Lab Analysis'!E466/60)),"0")</f>
        <v>0</v>
      </c>
      <c r="F466" s="187" t="str">
        <f>IFERROR((('Lab Analysis'!F466/18)/('Lab Analysis'!E466/60)),"0")</f>
        <v>0</v>
      </c>
      <c r="G466" s="188" t="str">
        <f>IFERROR(('Lab Analysis'!I466/('Lab Analysis'!I466+(1.765*'Lab Analysis'!G466))),"0")</f>
        <v>0</v>
      </c>
      <c r="H466" s="189" t="str">
        <f>IFERROR(((2*('Lab Analysis'!I466/60))+('Lab Analysis'!G466/17))/(('Lab Analysis'!H466/44)+('Lab Analysis'!I466/60)),"0")</f>
        <v>0</v>
      </c>
      <c r="I466" s="189" t="str">
        <f>IFERROR((('Lab Analysis'!J466/18)-('Lab Analysis'!I466/60))/(('Lab Analysis'!H466/44)+('Lab Analysis'!I466/60)),"0")</f>
        <v>0</v>
      </c>
      <c r="J466" s="186" t="str">
        <f>IFERROR(('Lab Analysis'!M466/('Lab Analysis'!M466+(1.765*'Lab Analysis'!K466))),"0")</f>
        <v>0</v>
      </c>
      <c r="K466" s="190" t="str">
        <f>IFERROR(((2*('Lab Analysis'!M466/60))+('Lab Analysis'!K466/17))/(('Lab Analysis'!L466/44)+('Lab Analysis'!M466/60)),"0")</f>
        <v>0</v>
      </c>
      <c r="L466" s="190" t="str">
        <f>IFERROR((('Lab Analysis'!N466/18)-('Lab Analysis'!M466/60))/(('Lab Analysis'!L466/44)+('Lab Analysis'!M466/60)),"0")</f>
        <v>0</v>
      </c>
      <c r="M466" s="187" t="str">
        <f>IFERROR(((2*('Lab Analysis'!U466/60))+('Lab Analysis'!S466/17))/(('Lab Analysis'!T466/44)+('Lab Analysis'!U466/60)),"0")</f>
        <v>0</v>
      </c>
      <c r="N466" s="187" t="str">
        <f>IFERROR((('Lab Analysis'!V466/18)-('Lab Analysis'!U466/60))/(('Lab Analysis'!T466/44)+('Lab Analysis'!U466/60)),"0")</f>
        <v>0</v>
      </c>
      <c r="O466" s="187" t="str">
        <f>IFERROR(((2*('Lab Analysis'!Y466/60)+('Lab Analysis'!W466/17))/(('Lab Analysis'!X466/44)+('Lab Analysis'!Y466/60))),"0")</f>
        <v>0</v>
      </c>
      <c r="P466" s="187" t="str">
        <f>IFERROR((('Lab Analysis'!Z466/18)-('Lab Analysis'!Y466/60))/(('Lab Analysis'!X466/44)+('Lab Analysis'!Y466/60)),"0")</f>
        <v>0</v>
      </c>
      <c r="Q466" s="191"/>
    </row>
    <row r="467" spans="1:17">
      <c r="A467" s="185">
        <v>46281</v>
      </c>
      <c r="B467" s="186" t="str">
        <f>IFERROR(('Lab Analysis'!E467/('Lab Analysis'!E467+(1.364*'Lab Analysis'!D467))),"0")</f>
        <v>0</v>
      </c>
      <c r="C467" s="186" t="str">
        <f>IFERROR((2*'Lab Analysis'!E467/60)/('Lab Analysis'!C467/17+(2*'Lab Analysis'!E467/60)),"0")</f>
        <v>0</v>
      </c>
      <c r="D467" s="187" t="str">
        <f>IFERROR(((2*('Lab Analysis'!E467/60)+('Lab Analysis'!C467/17))/(('Lab Analysis'!D467/44)+('Lab Analysis'!E467/60))),"0")</f>
        <v>0</v>
      </c>
      <c r="E467" s="187" t="str">
        <f>IFERROR((('Lab Analysis'!F467/18)-('Lab Analysis'!E467/60))/(('Lab Analysis'!D467/44)+('Lab Analysis'!E467/60)),"0")</f>
        <v>0</v>
      </c>
      <c r="F467" s="187" t="str">
        <f>IFERROR((('Lab Analysis'!F467/18)/('Lab Analysis'!E467/60)),"0")</f>
        <v>0</v>
      </c>
      <c r="G467" s="188" t="str">
        <f>IFERROR(('Lab Analysis'!I467/('Lab Analysis'!I467+(1.765*'Lab Analysis'!G467))),"0")</f>
        <v>0</v>
      </c>
      <c r="H467" s="189" t="str">
        <f>IFERROR(((2*('Lab Analysis'!I467/60))+('Lab Analysis'!G467/17))/(('Lab Analysis'!H467/44)+('Lab Analysis'!I467/60)),"0")</f>
        <v>0</v>
      </c>
      <c r="I467" s="189" t="str">
        <f>IFERROR((('Lab Analysis'!J467/18)-('Lab Analysis'!I467/60))/(('Lab Analysis'!H467/44)+('Lab Analysis'!I467/60)),"0")</f>
        <v>0</v>
      </c>
      <c r="J467" s="186" t="str">
        <f>IFERROR(('Lab Analysis'!M467/('Lab Analysis'!M467+(1.765*'Lab Analysis'!K467))),"0")</f>
        <v>0</v>
      </c>
      <c r="K467" s="190" t="str">
        <f>IFERROR(((2*('Lab Analysis'!M467/60))+('Lab Analysis'!K467/17))/(('Lab Analysis'!L467/44)+('Lab Analysis'!M467/60)),"0")</f>
        <v>0</v>
      </c>
      <c r="L467" s="190" t="str">
        <f>IFERROR((('Lab Analysis'!N467/18)-('Lab Analysis'!M467/60))/(('Lab Analysis'!L467/44)+('Lab Analysis'!M467/60)),"0")</f>
        <v>0</v>
      </c>
      <c r="M467" s="187" t="str">
        <f>IFERROR(((2*('Lab Analysis'!U467/60))+('Lab Analysis'!S467/17))/(('Lab Analysis'!T467/44)+('Lab Analysis'!U467/60)),"0")</f>
        <v>0</v>
      </c>
      <c r="N467" s="187" t="str">
        <f>IFERROR((('Lab Analysis'!V467/18)-('Lab Analysis'!U467/60))/(('Lab Analysis'!T467/44)+('Lab Analysis'!U467/60)),"0")</f>
        <v>0</v>
      </c>
      <c r="O467" s="187" t="str">
        <f>IFERROR(((2*('Lab Analysis'!Y467/60)+('Lab Analysis'!W467/17))/(('Lab Analysis'!X467/44)+('Lab Analysis'!Y467/60))),"0")</f>
        <v>0</v>
      </c>
      <c r="P467" s="187" t="str">
        <f>IFERROR((('Lab Analysis'!Z467/18)-('Lab Analysis'!Y467/60))/(('Lab Analysis'!X467/44)+('Lab Analysis'!Y467/60)),"0")</f>
        <v>0</v>
      </c>
      <c r="Q467" s="191"/>
    </row>
    <row r="468" spans="1:17">
      <c r="A468" s="185">
        <v>46282</v>
      </c>
      <c r="B468" s="186" t="str">
        <f>IFERROR(('Lab Analysis'!E468/('Lab Analysis'!E468+(1.364*'Lab Analysis'!D468))),"0")</f>
        <v>0</v>
      </c>
      <c r="C468" s="186" t="str">
        <f>IFERROR((2*'Lab Analysis'!E468/60)/('Lab Analysis'!C468/17+(2*'Lab Analysis'!E468/60)),"0")</f>
        <v>0</v>
      </c>
      <c r="D468" s="187" t="str">
        <f>IFERROR(((2*('Lab Analysis'!E468/60)+('Lab Analysis'!C468/17))/(('Lab Analysis'!D468/44)+('Lab Analysis'!E468/60))),"0")</f>
        <v>0</v>
      </c>
      <c r="E468" s="187" t="str">
        <f>IFERROR((('Lab Analysis'!F468/18)-('Lab Analysis'!E468/60))/(('Lab Analysis'!D468/44)+('Lab Analysis'!E468/60)),"0")</f>
        <v>0</v>
      </c>
      <c r="F468" s="187" t="str">
        <f>IFERROR((('Lab Analysis'!F468/18)/('Lab Analysis'!E468/60)),"0")</f>
        <v>0</v>
      </c>
      <c r="G468" s="188" t="str">
        <f>IFERROR(('Lab Analysis'!I468/('Lab Analysis'!I468+(1.765*'Lab Analysis'!G468))),"0")</f>
        <v>0</v>
      </c>
      <c r="H468" s="189" t="str">
        <f>IFERROR(((2*('Lab Analysis'!I468/60))+('Lab Analysis'!G468/17))/(('Lab Analysis'!H468/44)+('Lab Analysis'!I468/60)),"0")</f>
        <v>0</v>
      </c>
      <c r="I468" s="189" t="str">
        <f>IFERROR((('Lab Analysis'!J468/18)-('Lab Analysis'!I468/60))/(('Lab Analysis'!H468/44)+('Lab Analysis'!I468/60)),"0")</f>
        <v>0</v>
      </c>
      <c r="J468" s="186" t="str">
        <f>IFERROR(('Lab Analysis'!M468/('Lab Analysis'!M468+(1.765*'Lab Analysis'!K468))),"0")</f>
        <v>0</v>
      </c>
      <c r="K468" s="190" t="str">
        <f>IFERROR(((2*('Lab Analysis'!M468/60))+('Lab Analysis'!K468/17))/(('Lab Analysis'!L468/44)+('Lab Analysis'!M468/60)),"0")</f>
        <v>0</v>
      </c>
      <c r="L468" s="190" t="str">
        <f>IFERROR((('Lab Analysis'!N468/18)-('Lab Analysis'!M468/60))/(('Lab Analysis'!L468/44)+('Lab Analysis'!M468/60)),"0")</f>
        <v>0</v>
      </c>
      <c r="M468" s="187" t="str">
        <f>IFERROR(((2*('Lab Analysis'!U468/60))+('Lab Analysis'!S468/17))/(('Lab Analysis'!T468/44)+('Lab Analysis'!U468/60)),"0")</f>
        <v>0</v>
      </c>
      <c r="N468" s="187" t="str">
        <f>IFERROR((('Lab Analysis'!V468/18)-('Lab Analysis'!U468/60))/(('Lab Analysis'!T468/44)+('Lab Analysis'!U468/60)),"0")</f>
        <v>0</v>
      </c>
      <c r="O468" s="187" t="str">
        <f>IFERROR(((2*('Lab Analysis'!Y468/60)+('Lab Analysis'!W468/17))/(('Lab Analysis'!X468/44)+('Lab Analysis'!Y468/60))),"0")</f>
        <v>0</v>
      </c>
      <c r="P468" s="187" t="str">
        <f>IFERROR((('Lab Analysis'!Z468/18)-('Lab Analysis'!Y468/60))/(('Lab Analysis'!X468/44)+('Lab Analysis'!Y468/60)),"0")</f>
        <v>0</v>
      </c>
      <c r="Q468" s="191"/>
    </row>
    <row r="469" spans="1:17">
      <c r="A469" s="185">
        <v>46283</v>
      </c>
      <c r="B469" s="186" t="str">
        <f>IFERROR(('Lab Analysis'!E469/('Lab Analysis'!E469+(1.364*'Lab Analysis'!D469))),"0")</f>
        <v>0</v>
      </c>
      <c r="C469" s="186" t="str">
        <f>IFERROR((2*'Lab Analysis'!E469/60)/('Lab Analysis'!C469/17+(2*'Lab Analysis'!E469/60)),"0")</f>
        <v>0</v>
      </c>
      <c r="D469" s="187" t="str">
        <f>IFERROR(((2*('Lab Analysis'!E469/60)+('Lab Analysis'!C469/17))/(('Lab Analysis'!D469/44)+('Lab Analysis'!E469/60))),"0")</f>
        <v>0</v>
      </c>
      <c r="E469" s="187" t="str">
        <f>IFERROR((('Lab Analysis'!F469/18)-('Lab Analysis'!E469/60))/(('Lab Analysis'!D469/44)+('Lab Analysis'!E469/60)),"0")</f>
        <v>0</v>
      </c>
      <c r="F469" s="187" t="str">
        <f>IFERROR((('Lab Analysis'!F469/18)/('Lab Analysis'!E469/60)),"0")</f>
        <v>0</v>
      </c>
      <c r="G469" s="188" t="str">
        <f>IFERROR(('Lab Analysis'!I469/('Lab Analysis'!I469+(1.765*'Lab Analysis'!G469))),"0")</f>
        <v>0</v>
      </c>
      <c r="H469" s="189" t="str">
        <f>IFERROR(((2*('Lab Analysis'!I469/60))+('Lab Analysis'!G469/17))/(('Lab Analysis'!H469/44)+('Lab Analysis'!I469/60)),"0")</f>
        <v>0</v>
      </c>
      <c r="I469" s="189" t="str">
        <f>IFERROR((('Lab Analysis'!J469/18)-('Lab Analysis'!I469/60))/(('Lab Analysis'!H469/44)+('Lab Analysis'!I469/60)),"0")</f>
        <v>0</v>
      </c>
      <c r="J469" s="186" t="str">
        <f>IFERROR(('Lab Analysis'!M469/('Lab Analysis'!M469+(1.765*'Lab Analysis'!K469))),"0")</f>
        <v>0</v>
      </c>
      <c r="K469" s="190" t="str">
        <f>IFERROR(((2*('Lab Analysis'!M469/60))+('Lab Analysis'!K469/17))/(('Lab Analysis'!L469/44)+('Lab Analysis'!M469/60)),"0")</f>
        <v>0</v>
      </c>
      <c r="L469" s="190" t="str">
        <f>IFERROR((('Lab Analysis'!N469/18)-('Lab Analysis'!M469/60))/(('Lab Analysis'!L469/44)+('Lab Analysis'!M469/60)),"0")</f>
        <v>0</v>
      </c>
      <c r="M469" s="187" t="str">
        <f>IFERROR(((2*('Lab Analysis'!U469/60))+('Lab Analysis'!S469/17))/(('Lab Analysis'!T469/44)+('Lab Analysis'!U469/60)),"0")</f>
        <v>0</v>
      </c>
      <c r="N469" s="187" t="str">
        <f>IFERROR((('Lab Analysis'!V469/18)-('Lab Analysis'!U469/60))/(('Lab Analysis'!T469/44)+('Lab Analysis'!U469/60)),"0")</f>
        <v>0</v>
      </c>
      <c r="O469" s="187" t="str">
        <f>IFERROR(((2*('Lab Analysis'!Y469/60)+('Lab Analysis'!W469/17))/(('Lab Analysis'!X469/44)+('Lab Analysis'!Y469/60))),"0")</f>
        <v>0</v>
      </c>
      <c r="P469" s="187" t="str">
        <f>IFERROR((('Lab Analysis'!Z469/18)-('Lab Analysis'!Y469/60))/(('Lab Analysis'!X469/44)+('Lab Analysis'!Y469/60)),"0")</f>
        <v>0</v>
      </c>
      <c r="Q469" s="191"/>
    </row>
    <row r="470" spans="1:17">
      <c r="A470" s="185">
        <v>46284</v>
      </c>
      <c r="B470" s="186" t="str">
        <f>IFERROR(('Lab Analysis'!E470/('Lab Analysis'!E470+(1.364*'Lab Analysis'!D470))),"0")</f>
        <v>0</v>
      </c>
      <c r="C470" s="186" t="str">
        <f>IFERROR((2*'Lab Analysis'!E470/60)/('Lab Analysis'!C470/17+(2*'Lab Analysis'!E470/60)),"0")</f>
        <v>0</v>
      </c>
      <c r="D470" s="187" t="str">
        <f>IFERROR(((2*('Lab Analysis'!E470/60)+('Lab Analysis'!C470/17))/(('Lab Analysis'!D470/44)+('Lab Analysis'!E470/60))),"0")</f>
        <v>0</v>
      </c>
      <c r="E470" s="187" t="str">
        <f>IFERROR((('Lab Analysis'!F470/18)-('Lab Analysis'!E470/60))/(('Lab Analysis'!D470/44)+('Lab Analysis'!E470/60)),"0")</f>
        <v>0</v>
      </c>
      <c r="F470" s="187" t="str">
        <f>IFERROR((('Lab Analysis'!F470/18)/('Lab Analysis'!E470/60)),"0")</f>
        <v>0</v>
      </c>
      <c r="G470" s="188" t="str">
        <f>IFERROR(('Lab Analysis'!I470/('Lab Analysis'!I470+(1.765*'Lab Analysis'!G470))),"0")</f>
        <v>0</v>
      </c>
      <c r="H470" s="189" t="str">
        <f>IFERROR(((2*('Lab Analysis'!I470/60))+('Lab Analysis'!G470/17))/(('Lab Analysis'!H470/44)+('Lab Analysis'!I470/60)),"0")</f>
        <v>0</v>
      </c>
      <c r="I470" s="189" t="str">
        <f>IFERROR((('Lab Analysis'!J470/18)-('Lab Analysis'!I470/60))/(('Lab Analysis'!H470/44)+('Lab Analysis'!I470/60)),"0")</f>
        <v>0</v>
      </c>
      <c r="J470" s="186" t="str">
        <f>IFERROR(('Lab Analysis'!M470/('Lab Analysis'!M470+(1.765*'Lab Analysis'!K470))),"0")</f>
        <v>0</v>
      </c>
      <c r="K470" s="190" t="str">
        <f>IFERROR(((2*('Lab Analysis'!M470/60))+('Lab Analysis'!K470/17))/(('Lab Analysis'!L470/44)+('Lab Analysis'!M470/60)),"0")</f>
        <v>0</v>
      </c>
      <c r="L470" s="190" t="str">
        <f>IFERROR((('Lab Analysis'!N470/18)-('Lab Analysis'!M470/60))/(('Lab Analysis'!L470/44)+('Lab Analysis'!M470/60)),"0")</f>
        <v>0</v>
      </c>
      <c r="M470" s="187" t="str">
        <f>IFERROR(((2*('Lab Analysis'!U470/60))+('Lab Analysis'!S470/17))/(('Lab Analysis'!T470/44)+('Lab Analysis'!U470/60)),"0")</f>
        <v>0</v>
      </c>
      <c r="N470" s="187" t="str">
        <f>IFERROR((('Lab Analysis'!V470/18)-('Lab Analysis'!U470/60))/(('Lab Analysis'!T470/44)+('Lab Analysis'!U470/60)),"0")</f>
        <v>0</v>
      </c>
      <c r="O470" s="187" t="str">
        <f>IFERROR(((2*('Lab Analysis'!Y470/60)+('Lab Analysis'!W470/17))/(('Lab Analysis'!X470/44)+('Lab Analysis'!Y470/60))),"0")</f>
        <v>0</v>
      </c>
      <c r="P470" s="187" t="str">
        <f>IFERROR((('Lab Analysis'!Z470/18)-('Lab Analysis'!Y470/60))/(('Lab Analysis'!X470/44)+('Lab Analysis'!Y470/60)),"0")</f>
        <v>0</v>
      </c>
      <c r="Q470" s="191"/>
    </row>
    <row r="471" spans="1:17">
      <c r="A471" s="185">
        <v>46285</v>
      </c>
      <c r="B471" s="186" t="str">
        <f>IFERROR(('Lab Analysis'!E471/('Lab Analysis'!E471+(1.364*'Lab Analysis'!D471))),"0")</f>
        <v>0</v>
      </c>
      <c r="C471" s="186" t="str">
        <f>IFERROR((2*'Lab Analysis'!E471/60)/('Lab Analysis'!C471/17+(2*'Lab Analysis'!E471/60)),"0")</f>
        <v>0</v>
      </c>
      <c r="D471" s="187" t="str">
        <f>IFERROR(((2*('Lab Analysis'!E471/60)+('Lab Analysis'!C471/17))/(('Lab Analysis'!D471/44)+('Lab Analysis'!E471/60))),"0")</f>
        <v>0</v>
      </c>
      <c r="E471" s="187" t="str">
        <f>IFERROR((('Lab Analysis'!F471/18)-('Lab Analysis'!E471/60))/(('Lab Analysis'!D471/44)+('Lab Analysis'!E471/60)),"0")</f>
        <v>0</v>
      </c>
      <c r="F471" s="187" t="str">
        <f>IFERROR((('Lab Analysis'!F471/18)/('Lab Analysis'!E471/60)),"0")</f>
        <v>0</v>
      </c>
      <c r="G471" s="188" t="str">
        <f>IFERROR(('Lab Analysis'!I471/('Lab Analysis'!I471+(1.765*'Lab Analysis'!G471))),"0")</f>
        <v>0</v>
      </c>
      <c r="H471" s="189" t="str">
        <f>IFERROR(((2*('Lab Analysis'!I471/60))+('Lab Analysis'!G471/17))/(('Lab Analysis'!H471/44)+('Lab Analysis'!I471/60)),"0")</f>
        <v>0</v>
      </c>
      <c r="I471" s="189" t="str">
        <f>IFERROR((('Lab Analysis'!J471/18)-('Lab Analysis'!I471/60))/(('Lab Analysis'!H471/44)+('Lab Analysis'!I471/60)),"0")</f>
        <v>0</v>
      </c>
      <c r="J471" s="186" t="str">
        <f>IFERROR(('Lab Analysis'!M471/('Lab Analysis'!M471+(1.765*'Lab Analysis'!K471))),"0")</f>
        <v>0</v>
      </c>
      <c r="K471" s="190" t="str">
        <f>IFERROR(((2*('Lab Analysis'!M471/60))+('Lab Analysis'!K471/17))/(('Lab Analysis'!L471/44)+('Lab Analysis'!M471/60)),"0")</f>
        <v>0</v>
      </c>
      <c r="L471" s="190" t="str">
        <f>IFERROR((('Lab Analysis'!N471/18)-('Lab Analysis'!M471/60))/(('Lab Analysis'!L471/44)+('Lab Analysis'!M471/60)),"0")</f>
        <v>0</v>
      </c>
      <c r="M471" s="187" t="str">
        <f>IFERROR(((2*('Lab Analysis'!U471/60))+('Lab Analysis'!S471/17))/(('Lab Analysis'!T471/44)+('Lab Analysis'!U471/60)),"0")</f>
        <v>0</v>
      </c>
      <c r="N471" s="187" t="str">
        <f>IFERROR((('Lab Analysis'!V471/18)-('Lab Analysis'!U471/60))/(('Lab Analysis'!T471/44)+('Lab Analysis'!U471/60)),"0")</f>
        <v>0</v>
      </c>
      <c r="O471" s="187" t="str">
        <f>IFERROR(((2*('Lab Analysis'!Y471/60)+('Lab Analysis'!W471/17))/(('Lab Analysis'!X471/44)+('Lab Analysis'!Y471/60))),"0")</f>
        <v>0</v>
      </c>
      <c r="P471" s="187" t="str">
        <f>IFERROR((('Lab Analysis'!Z471/18)-('Lab Analysis'!Y471/60))/(('Lab Analysis'!X471/44)+('Lab Analysis'!Y471/60)),"0")</f>
        <v>0</v>
      </c>
      <c r="Q471" s="191"/>
    </row>
    <row r="472" spans="1:17">
      <c r="A472" s="185">
        <v>46286</v>
      </c>
      <c r="B472" s="186" t="str">
        <f>IFERROR(('Lab Analysis'!E472/('Lab Analysis'!E472+(1.364*'Lab Analysis'!D472))),"0")</f>
        <v>0</v>
      </c>
      <c r="C472" s="186" t="str">
        <f>IFERROR((2*'Lab Analysis'!E472/60)/('Lab Analysis'!C472/17+(2*'Lab Analysis'!E472/60)),"0")</f>
        <v>0</v>
      </c>
      <c r="D472" s="187" t="str">
        <f>IFERROR(((2*('Lab Analysis'!E472/60)+('Lab Analysis'!C472/17))/(('Lab Analysis'!D472/44)+('Lab Analysis'!E472/60))),"0")</f>
        <v>0</v>
      </c>
      <c r="E472" s="187" t="str">
        <f>IFERROR((('Lab Analysis'!F472/18)-('Lab Analysis'!E472/60))/(('Lab Analysis'!D472/44)+('Lab Analysis'!E472/60)),"0")</f>
        <v>0</v>
      </c>
      <c r="F472" s="187" t="str">
        <f>IFERROR((('Lab Analysis'!F472/18)/('Lab Analysis'!E472/60)),"0")</f>
        <v>0</v>
      </c>
      <c r="G472" s="188" t="str">
        <f>IFERROR(('Lab Analysis'!I472/('Lab Analysis'!I472+(1.765*'Lab Analysis'!G472))),"0")</f>
        <v>0</v>
      </c>
      <c r="H472" s="189" t="str">
        <f>IFERROR(((2*('Lab Analysis'!I472/60))+('Lab Analysis'!G472/17))/(('Lab Analysis'!H472/44)+('Lab Analysis'!I472/60)),"0")</f>
        <v>0</v>
      </c>
      <c r="I472" s="189" t="str">
        <f>IFERROR((('Lab Analysis'!J472/18)-('Lab Analysis'!I472/60))/(('Lab Analysis'!H472/44)+('Lab Analysis'!I472/60)),"0")</f>
        <v>0</v>
      </c>
      <c r="J472" s="186" t="str">
        <f>IFERROR(('Lab Analysis'!M472/('Lab Analysis'!M472+(1.765*'Lab Analysis'!K472))),"0")</f>
        <v>0</v>
      </c>
      <c r="K472" s="190" t="str">
        <f>IFERROR(((2*('Lab Analysis'!M472/60))+('Lab Analysis'!K472/17))/(('Lab Analysis'!L472/44)+('Lab Analysis'!M472/60)),"0")</f>
        <v>0</v>
      </c>
      <c r="L472" s="190" t="str">
        <f>IFERROR((('Lab Analysis'!N472/18)-('Lab Analysis'!M472/60))/(('Lab Analysis'!L472/44)+('Lab Analysis'!M472/60)),"0")</f>
        <v>0</v>
      </c>
      <c r="M472" s="187" t="str">
        <f>IFERROR(((2*('Lab Analysis'!U472/60))+('Lab Analysis'!S472/17))/(('Lab Analysis'!T472/44)+('Lab Analysis'!U472/60)),"0")</f>
        <v>0</v>
      </c>
      <c r="N472" s="187" t="str">
        <f>IFERROR((('Lab Analysis'!V472/18)-('Lab Analysis'!U472/60))/(('Lab Analysis'!T472/44)+('Lab Analysis'!U472/60)),"0")</f>
        <v>0</v>
      </c>
      <c r="O472" s="187" t="str">
        <f>IFERROR(((2*('Lab Analysis'!Y472/60)+('Lab Analysis'!W472/17))/(('Lab Analysis'!X472/44)+('Lab Analysis'!Y472/60))),"0")</f>
        <v>0</v>
      </c>
      <c r="P472" s="187" t="str">
        <f>IFERROR((('Lab Analysis'!Z472/18)-('Lab Analysis'!Y472/60))/(('Lab Analysis'!X472/44)+('Lab Analysis'!Y472/60)),"0")</f>
        <v>0</v>
      </c>
      <c r="Q472" s="191"/>
    </row>
    <row r="473" spans="1:17">
      <c r="A473" s="185">
        <v>46287</v>
      </c>
      <c r="B473" s="186" t="str">
        <f>IFERROR(('Lab Analysis'!E473/('Lab Analysis'!E473+(1.364*'Lab Analysis'!D473))),"0")</f>
        <v>0</v>
      </c>
      <c r="C473" s="186" t="str">
        <f>IFERROR((2*'Lab Analysis'!E473/60)/('Lab Analysis'!C473/17+(2*'Lab Analysis'!E473/60)),"0")</f>
        <v>0</v>
      </c>
      <c r="D473" s="187" t="str">
        <f>IFERROR(((2*('Lab Analysis'!E473/60)+('Lab Analysis'!C473/17))/(('Lab Analysis'!D473/44)+('Lab Analysis'!E473/60))),"0")</f>
        <v>0</v>
      </c>
      <c r="E473" s="187" t="str">
        <f>IFERROR((('Lab Analysis'!F473/18)-('Lab Analysis'!E473/60))/(('Lab Analysis'!D473/44)+('Lab Analysis'!E473/60)),"0")</f>
        <v>0</v>
      </c>
      <c r="F473" s="187" t="str">
        <f>IFERROR((('Lab Analysis'!F473/18)/('Lab Analysis'!E473/60)),"0")</f>
        <v>0</v>
      </c>
      <c r="G473" s="188" t="str">
        <f>IFERROR(('Lab Analysis'!I473/('Lab Analysis'!I473+(1.765*'Lab Analysis'!G473))),"0")</f>
        <v>0</v>
      </c>
      <c r="H473" s="189" t="str">
        <f>IFERROR(((2*('Lab Analysis'!I473/60))+('Lab Analysis'!G473/17))/(('Lab Analysis'!H473/44)+('Lab Analysis'!I473/60)),"0")</f>
        <v>0</v>
      </c>
      <c r="I473" s="189" t="str">
        <f>IFERROR((('Lab Analysis'!J473/18)-('Lab Analysis'!I473/60))/(('Lab Analysis'!H473/44)+('Lab Analysis'!I473/60)),"0")</f>
        <v>0</v>
      </c>
      <c r="J473" s="186" t="str">
        <f>IFERROR(('Lab Analysis'!M473/('Lab Analysis'!M473+(1.765*'Lab Analysis'!K473))),"0")</f>
        <v>0</v>
      </c>
      <c r="K473" s="190" t="str">
        <f>IFERROR(((2*('Lab Analysis'!M473/60))+('Lab Analysis'!K473/17))/(('Lab Analysis'!L473/44)+('Lab Analysis'!M473/60)),"0")</f>
        <v>0</v>
      </c>
      <c r="L473" s="190" t="str">
        <f>IFERROR((('Lab Analysis'!N473/18)-('Lab Analysis'!M473/60))/(('Lab Analysis'!L473/44)+('Lab Analysis'!M473/60)),"0")</f>
        <v>0</v>
      </c>
      <c r="M473" s="187" t="str">
        <f>IFERROR(((2*('Lab Analysis'!U473/60))+('Lab Analysis'!S473/17))/(('Lab Analysis'!T473/44)+('Lab Analysis'!U473/60)),"0")</f>
        <v>0</v>
      </c>
      <c r="N473" s="187" t="str">
        <f>IFERROR((('Lab Analysis'!V473/18)-('Lab Analysis'!U473/60))/(('Lab Analysis'!T473/44)+('Lab Analysis'!U473/60)),"0")</f>
        <v>0</v>
      </c>
      <c r="O473" s="187" t="str">
        <f>IFERROR(((2*('Lab Analysis'!Y473/60)+('Lab Analysis'!W473/17))/(('Lab Analysis'!X473/44)+('Lab Analysis'!Y473/60))),"0")</f>
        <v>0</v>
      </c>
      <c r="P473" s="187" t="str">
        <f>IFERROR((('Lab Analysis'!Z473/18)-('Lab Analysis'!Y473/60))/(('Lab Analysis'!X473/44)+('Lab Analysis'!Y473/60)),"0")</f>
        <v>0</v>
      </c>
      <c r="Q473" s="191"/>
    </row>
    <row r="474" spans="1:17">
      <c r="A474" s="185">
        <v>46288</v>
      </c>
      <c r="B474" s="186" t="str">
        <f>IFERROR(('Lab Analysis'!E474/('Lab Analysis'!E474+(1.364*'Lab Analysis'!D474))),"0")</f>
        <v>0</v>
      </c>
      <c r="C474" s="186" t="str">
        <f>IFERROR((2*'Lab Analysis'!E474/60)/('Lab Analysis'!C474/17+(2*'Lab Analysis'!E474/60)),"0")</f>
        <v>0</v>
      </c>
      <c r="D474" s="187" t="str">
        <f>IFERROR(((2*('Lab Analysis'!E474/60)+('Lab Analysis'!C474/17))/(('Lab Analysis'!D474/44)+('Lab Analysis'!E474/60))),"0")</f>
        <v>0</v>
      </c>
      <c r="E474" s="187" t="str">
        <f>IFERROR((('Lab Analysis'!F474/18)-('Lab Analysis'!E474/60))/(('Lab Analysis'!D474/44)+('Lab Analysis'!E474/60)),"0")</f>
        <v>0</v>
      </c>
      <c r="F474" s="187" t="str">
        <f>IFERROR((('Lab Analysis'!F474/18)/('Lab Analysis'!E474/60)),"0")</f>
        <v>0</v>
      </c>
      <c r="G474" s="188" t="str">
        <f>IFERROR(('Lab Analysis'!I474/('Lab Analysis'!I474+(1.765*'Lab Analysis'!G474))),"0")</f>
        <v>0</v>
      </c>
      <c r="H474" s="189" t="str">
        <f>IFERROR(((2*('Lab Analysis'!I474/60))+('Lab Analysis'!G474/17))/(('Lab Analysis'!H474/44)+('Lab Analysis'!I474/60)),"0")</f>
        <v>0</v>
      </c>
      <c r="I474" s="189" t="str">
        <f>IFERROR((('Lab Analysis'!J474/18)-('Lab Analysis'!I474/60))/(('Lab Analysis'!H474/44)+('Lab Analysis'!I474/60)),"0")</f>
        <v>0</v>
      </c>
      <c r="J474" s="186" t="str">
        <f>IFERROR(('Lab Analysis'!M474/('Lab Analysis'!M474+(1.765*'Lab Analysis'!K474))),"0")</f>
        <v>0</v>
      </c>
      <c r="K474" s="190" t="str">
        <f>IFERROR(((2*('Lab Analysis'!M474/60))+('Lab Analysis'!K474/17))/(('Lab Analysis'!L474/44)+('Lab Analysis'!M474/60)),"0")</f>
        <v>0</v>
      </c>
      <c r="L474" s="190" t="str">
        <f>IFERROR((('Lab Analysis'!N474/18)-('Lab Analysis'!M474/60))/(('Lab Analysis'!L474/44)+('Lab Analysis'!M474/60)),"0")</f>
        <v>0</v>
      </c>
      <c r="M474" s="187" t="str">
        <f>IFERROR(((2*('Lab Analysis'!U474/60))+('Lab Analysis'!S474/17))/(('Lab Analysis'!T474/44)+('Lab Analysis'!U474/60)),"0")</f>
        <v>0</v>
      </c>
      <c r="N474" s="187" t="str">
        <f>IFERROR((('Lab Analysis'!V474/18)-('Lab Analysis'!U474/60))/(('Lab Analysis'!T474/44)+('Lab Analysis'!U474/60)),"0")</f>
        <v>0</v>
      </c>
      <c r="O474" s="187" t="str">
        <f>IFERROR(((2*('Lab Analysis'!Y474/60)+('Lab Analysis'!W474/17))/(('Lab Analysis'!X474/44)+('Lab Analysis'!Y474/60))),"0")</f>
        <v>0</v>
      </c>
      <c r="P474" s="187" t="str">
        <f>IFERROR((('Lab Analysis'!Z474/18)-('Lab Analysis'!Y474/60))/(('Lab Analysis'!X474/44)+('Lab Analysis'!Y474/60)),"0")</f>
        <v>0</v>
      </c>
      <c r="Q474" s="191"/>
    </row>
    <row r="475" spans="1:17">
      <c r="A475" s="185">
        <v>46289</v>
      </c>
      <c r="B475" s="186" t="str">
        <f>IFERROR(('Lab Analysis'!E475/('Lab Analysis'!E475+(1.364*'Lab Analysis'!D475))),"0")</f>
        <v>0</v>
      </c>
      <c r="C475" s="186" t="str">
        <f>IFERROR((2*'Lab Analysis'!E475/60)/('Lab Analysis'!C475/17+(2*'Lab Analysis'!E475/60)),"0")</f>
        <v>0</v>
      </c>
      <c r="D475" s="187" t="str">
        <f>IFERROR(((2*('Lab Analysis'!E475/60)+('Lab Analysis'!C475/17))/(('Lab Analysis'!D475/44)+('Lab Analysis'!E475/60))),"0")</f>
        <v>0</v>
      </c>
      <c r="E475" s="187" t="str">
        <f>IFERROR((('Lab Analysis'!F475/18)-('Lab Analysis'!E475/60))/(('Lab Analysis'!D475/44)+('Lab Analysis'!E475/60)),"0")</f>
        <v>0</v>
      </c>
      <c r="F475" s="187" t="str">
        <f>IFERROR((('Lab Analysis'!F475/18)/('Lab Analysis'!E475/60)),"0")</f>
        <v>0</v>
      </c>
      <c r="G475" s="188" t="str">
        <f>IFERROR(('Lab Analysis'!I475/('Lab Analysis'!I475+(1.765*'Lab Analysis'!G475))),"0")</f>
        <v>0</v>
      </c>
      <c r="H475" s="189" t="str">
        <f>IFERROR(((2*('Lab Analysis'!I475/60))+('Lab Analysis'!G475/17))/(('Lab Analysis'!H475/44)+('Lab Analysis'!I475/60)),"0")</f>
        <v>0</v>
      </c>
      <c r="I475" s="189" t="str">
        <f>IFERROR((('Lab Analysis'!J475/18)-('Lab Analysis'!I475/60))/(('Lab Analysis'!H475/44)+('Lab Analysis'!I475/60)),"0")</f>
        <v>0</v>
      </c>
      <c r="J475" s="186" t="str">
        <f>IFERROR(('Lab Analysis'!M475/('Lab Analysis'!M475+(1.765*'Lab Analysis'!K475))),"0")</f>
        <v>0</v>
      </c>
      <c r="K475" s="190" t="str">
        <f>IFERROR(((2*('Lab Analysis'!M475/60))+('Lab Analysis'!K475/17))/(('Lab Analysis'!L475/44)+('Lab Analysis'!M475/60)),"0")</f>
        <v>0</v>
      </c>
      <c r="L475" s="190" t="str">
        <f>IFERROR((('Lab Analysis'!N475/18)-('Lab Analysis'!M475/60))/(('Lab Analysis'!L475/44)+('Lab Analysis'!M475/60)),"0")</f>
        <v>0</v>
      </c>
      <c r="M475" s="187" t="str">
        <f>IFERROR(((2*('Lab Analysis'!U475/60))+('Lab Analysis'!S475/17))/(('Lab Analysis'!T475/44)+('Lab Analysis'!U475/60)),"0")</f>
        <v>0</v>
      </c>
      <c r="N475" s="187" t="str">
        <f>IFERROR((('Lab Analysis'!V475/18)-('Lab Analysis'!U475/60))/(('Lab Analysis'!T475/44)+('Lab Analysis'!U475/60)),"0")</f>
        <v>0</v>
      </c>
      <c r="O475" s="187" t="str">
        <f>IFERROR(((2*('Lab Analysis'!Y475/60)+('Lab Analysis'!W475/17))/(('Lab Analysis'!X475/44)+('Lab Analysis'!Y475/60))),"0")</f>
        <v>0</v>
      </c>
      <c r="P475" s="187" t="str">
        <f>IFERROR((('Lab Analysis'!Z475/18)-('Lab Analysis'!Y475/60))/(('Lab Analysis'!X475/44)+('Lab Analysis'!Y475/60)),"0")</f>
        <v>0</v>
      </c>
      <c r="Q475" s="191"/>
    </row>
    <row r="476" spans="1:17">
      <c r="A476" s="185">
        <v>46290</v>
      </c>
      <c r="B476" s="186" t="str">
        <f>IFERROR(('Lab Analysis'!E476/('Lab Analysis'!E476+(1.364*'Lab Analysis'!D476))),"0")</f>
        <v>0</v>
      </c>
      <c r="C476" s="186" t="str">
        <f>IFERROR((2*'Lab Analysis'!E476/60)/('Lab Analysis'!C476/17+(2*'Lab Analysis'!E476/60)),"0")</f>
        <v>0</v>
      </c>
      <c r="D476" s="187" t="str">
        <f>IFERROR(((2*('Lab Analysis'!E476/60)+('Lab Analysis'!C476/17))/(('Lab Analysis'!D476/44)+('Lab Analysis'!E476/60))),"0")</f>
        <v>0</v>
      </c>
      <c r="E476" s="187" t="str">
        <f>IFERROR((('Lab Analysis'!F476/18)-('Lab Analysis'!E476/60))/(('Lab Analysis'!D476/44)+('Lab Analysis'!E476/60)),"0")</f>
        <v>0</v>
      </c>
      <c r="F476" s="187" t="str">
        <f>IFERROR((('Lab Analysis'!F476/18)/('Lab Analysis'!E476/60)),"0")</f>
        <v>0</v>
      </c>
      <c r="G476" s="188" t="str">
        <f>IFERROR(('Lab Analysis'!I476/('Lab Analysis'!I476+(1.765*'Lab Analysis'!G476))),"0")</f>
        <v>0</v>
      </c>
      <c r="H476" s="189" t="str">
        <f>IFERROR(((2*('Lab Analysis'!I476/60))+('Lab Analysis'!G476/17))/(('Lab Analysis'!H476/44)+('Lab Analysis'!I476/60)),"0")</f>
        <v>0</v>
      </c>
      <c r="I476" s="189" t="str">
        <f>IFERROR((('Lab Analysis'!J476/18)-('Lab Analysis'!I476/60))/(('Lab Analysis'!H476/44)+('Lab Analysis'!I476/60)),"0")</f>
        <v>0</v>
      </c>
      <c r="J476" s="186" t="str">
        <f>IFERROR(('Lab Analysis'!M476/('Lab Analysis'!M476+(1.765*'Lab Analysis'!K476))),"0")</f>
        <v>0</v>
      </c>
      <c r="K476" s="190" t="str">
        <f>IFERROR(((2*('Lab Analysis'!M476/60))+('Lab Analysis'!K476/17))/(('Lab Analysis'!L476/44)+('Lab Analysis'!M476/60)),"0")</f>
        <v>0</v>
      </c>
      <c r="L476" s="190" t="str">
        <f>IFERROR((('Lab Analysis'!N476/18)-('Lab Analysis'!M476/60))/(('Lab Analysis'!L476/44)+('Lab Analysis'!M476/60)),"0")</f>
        <v>0</v>
      </c>
      <c r="M476" s="187" t="str">
        <f>IFERROR(((2*('Lab Analysis'!U476/60))+('Lab Analysis'!S476/17))/(('Lab Analysis'!T476/44)+('Lab Analysis'!U476/60)),"0")</f>
        <v>0</v>
      </c>
      <c r="N476" s="187" t="str">
        <f>IFERROR((('Lab Analysis'!V476/18)-('Lab Analysis'!U476/60))/(('Lab Analysis'!T476/44)+('Lab Analysis'!U476/60)),"0")</f>
        <v>0</v>
      </c>
      <c r="O476" s="187" t="str">
        <f>IFERROR(((2*('Lab Analysis'!Y476/60)+('Lab Analysis'!W476/17))/(('Lab Analysis'!X476/44)+('Lab Analysis'!Y476/60))),"0")</f>
        <v>0</v>
      </c>
      <c r="P476" s="187" t="str">
        <f>IFERROR((('Lab Analysis'!Z476/18)-('Lab Analysis'!Y476/60))/(('Lab Analysis'!X476/44)+('Lab Analysis'!Y476/60)),"0")</f>
        <v>0</v>
      </c>
      <c r="Q476" s="191"/>
    </row>
    <row r="477" spans="1:17">
      <c r="A477" s="185">
        <v>46291</v>
      </c>
      <c r="B477" s="186" t="str">
        <f>IFERROR(('Lab Analysis'!E477/('Lab Analysis'!E477+(1.364*'Lab Analysis'!D477))),"0")</f>
        <v>0</v>
      </c>
      <c r="C477" s="186" t="str">
        <f>IFERROR((2*'Lab Analysis'!E477/60)/('Lab Analysis'!C477/17+(2*'Lab Analysis'!E477/60)),"0")</f>
        <v>0</v>
      </c>
      <c r="D477" s="187" t="str">
        <f>IFERROR(((2*('Lab Analysis'!E477/60)+('Lab Analysis'!C477/17))/(('Lab Analysis'!D477/44)+('Lab Analysis'!E477/60))),"0")</f>
        <v>0</v>
      </c>
      <c r="E477" s="187" t="str">
        <f>IFERROR((('Lab Analysis'!F477/18)-('Lab Analysis'!E477/60))/(('Lab Analysis'!D477/44)+('Lab Analysis'!E477/60)),"0")</f>
        <v>0</v>
      </c>
      <c r="F477" s="187" t="str">
        <f>IFERROR((('Lab Analysis'!F477/18)/('Lab Analysis'!E477/60)),"0")</f>
        <v>0</v>
      </c>
      <c r="G477" s="188" t="str">
        <f>IFERROR(('Lab Analysis'!I477/('Lab Analysis'!I477+(1.765*'Lab Analysis'!G477))),"0")</f>
        <v>0</v>
      </c>
      <c r="H477" s="189" t="str">
        <f>IFERROR(((2*('Lab Analysis'!I477/60))+('Lab Analysis'!G477/17))/(('Lab Analysis'!H477/44)+('Lab Analysis'!I477/60)),"0")</f>
        <v>0</v>
      </c>
      <c r="I477" s="189" t="str">
        <f>IFERROR((('Lab Analysis'!J477/18)-('Lab Analysis'!I477/60))/(('Lab Analysis'!H477/44)+('Lab Analysis'!I477/60)),"0")</f>
        <v>0</v>
      </c>
      <c r="J477" s="186" t="str">
        <f>IFERROR(('Lab Analysis'!M477/('Lab Analysis'!M477+(1.765*'Lab Analysis'!K477))),"0")</f>
        <v>0</v>
      </c>
      <c r="K477" s="190" t="str">
        <f>IFERROR(((2*('Lab Analysis'!M477/60))+('Lab Analysis'!K477/17))/(('Lab Analysis'!L477/44)+('Lab Analysis'!M477/60)),"0")</f>
        <v>0</v>
      </c>
      <c r="L477" s="190" t="str">
        <f>IFERROR((('Lab Analysis'!N477/18)-('Lab Analysis'!M477/60))/(('Lab Analysis'!L477/44)+('Lab Analysis'!M477/60)),"0")</f>
        <v>0</v>
      </c>
      <c r="M477" s="187" t="str">
        <f>IFERROR(((2*('Lab Analysis'!U477/60))+('Lab Analysis'!S477/17))/(('Lab Analysis'!T477/44)+('Lab Analysis'!U477/60)),"0")</f>
        <v>0</v>
      </c>
      <c r="N477" s="187" t="str">
        <f>IFERROR((('Lab Analysis'!V477/18)-('Lab Analysis'!U477/60))/(('Lab Analysis'!T477/44)+('Lab Analysis'!U477/60)),"0")</f>
        <v>0</v>
      </c>
      <c r="O477" s="187" t="str">
        <f>IFERROR(((2*('Lab Analysis'!Y477/60)+('Lab Analysis'!W477/17))/(('Lab Analysis'!X477/44)+('Lab Analysis'!Y477/60))),"0")</f>
        <v>0</v>
      </c>
      <c r="P477" s="187" t="str">
        <f>IFERROR((('Lab Analysis'!Z477/18)-('Lab Analysis'!Y477/60))/(('Lab Analysis'!X477/44)+('Lab Analysis'!Y477/60)),"0")</f>
        <v>0</v>
      </c>
      <c r="Q477" s="191"/>
    </row>
    <row r="478" spans="1:17">
      <c r="A478" s="185">
        <v>46292</v>
      </c>
      <c r="B478" s="186" t="str">
        <f>IFERROR(('Lab Analysis'!E478/('Lab Analysis'!E478+(1.364*'Lab Analysis'!D478))),"0")</f>
        <v>0</v>
      </c>
      <c r="C478" s="186" t="str">
        <f>IFERROR((2*'Lab Analysis'!E478/60)/('Lab Analysis'!C478/17+(2*'Lab Analysis'!E478/60)),"0")</f>
        <v>0</v>
      </c>
      <c r="D478" s="187" t="str">
        <f>IFERROR(((2*('Lab Analysis'!E478/60)+('Lab Analysis'!C478/17))/(('Lab Analysis'!D478/44)+('Lab Analysis'!E478/60))),"0")</f>
        <v>0</v>
      </c>
      <c r="E478" s="187" t="str">
        <f>IFERROR((('Lab Analysis'!F478/18)-('Lab Analysis'!E478/60))/(('Lab Analysis'!D478/44)+('Lab Analysis'!E478/60)),"0")</f>
        <v>0</v>
      </c>
      <c r="F478" s="187" t="str">
        <f>IFERROR((('Lab Analysis'!F478/18)/('Lab Analysis'!E478/60)),"0")</f>
        <v>0</v>
      </c>
      <c r="G478" s="188" t="str">
        <f>IFERROR(('Lab Analysis'!I478/('Lab Analysis'!I478+(1.765*'Lab Analysis'!G478))),"0")</f>
        <v>0</v>
      </c>
      <c r="H478" s="189" t="str">
        <f>IFERROR(((2*('Lab Analysis'!I478/60))+('Lab Analysis'!G478/17))/(('Lab Analysis'!H478/44)+('Lab Analysis'!I478/60)),"0")</f>
        <v>0</v>
      </c>
      <c r="I478" s="189" t="str">
        <f>IFERROR((('Lab Analysis'!J478/18)-('Lab Analysis'!I478/60))/(('Lab Analysis'!H478/44)+('Lab Analysis'!I478/60)),"0")</f>
        <v>0</v>
      </c>
      <c r="J478" s="186" t="str">
        <f>IFERROR(('Lab Analysis'!M478/('Lab Analysis'!M478+(1.765*'Lab Analysis'!K478))),"0")</f>
        <v>0</v>
      </c>
      <c r="K478" s="190" t="str">
        <f>IFERROR(((2*('Lab Analysis'!M478/60))+('Lab Analysis'!K478/17))/(('Lab Analysis'!L478/44)+('Lab Analysis'!M478/60)),"0")</f>
        <v>0</v>
      </c>
      <c r="L478" s="190" t="str">
        <f>IFERROR((('Lab Analysis'!N478/18)-('Lab Analysis'!M478/60))/(('Lab Analysis'!L478/44)+('Lab Analysis'!M478/60)),"0")</f>
        <v>0</v>
      </c>
      <c r="M478" s="187" t="str">
        <f>IFERROR(((2*('Lab Analysis'!U478/60))+('Lab Analysis'!S478/17))/(('Lab Analysis'!T478/44)+('Lab Analysis'!U478/60)),"0")</f>
        <v>0</v>
      </c>
      <c r="N478" s="187" t="str">
        <f>IFERROR((('Lab Analysis'!V478/18)-('Lab Analysis'!U478/60))/(('Lab Analysis'!T478/44)+('Lab Analysis'!U478/60)),"0")</f>
        <v>0</v>
      </c>
      <c r="O478" s="187" t="str">
        <f>IFERROR(((2*('Lab Analysis'!Y478/60)+('Lab Analysis'!W478/17))/(('Lab Analysis'!X478/44)+('Lab Analysis'!Y478/60))),"0")</f>
        <v>0</v>
      </c>
      <c r="P478" s="187" t="str">
        <f>IFERROR((('Lab Analysis'!Z478/18)-('Lab Analysis'!Y478/60))/(('Lab Analysis'!X478/44)+('Lab Analysis'!Y478/60)),"0")</f>
        <v>0</v>
      </c>
      <c r="Q478" s="191"/>
    </row>
    <row r="479" spans="1:17">
      <c r="A479" s="185">
        <v>46293</v>
      </c>
      <c r="B479" s="186" t="str">
        <f>IFERROR(('Lab Analysis'!E479/('Lab Analysis'!E479+(1.364*'Lab Analysis'!D479))),"0")</f>
        <v>0</v>
      </c>
      <c r="C479" s="186" t="str">
        <f>IFERROR((2*'Lab Analysis'!E479/60)/('Lab Analysis'!C479/17+(2*'Lab Analysis'!E479/60)),"0")</f>
        <v>0</v>
      </c>
      <c r="D479" s="187" t="str">
        <f>IFERROR(((2*('Lab Analysis'!E479/60)+('Lab Analysis'!C479/17))/(('Lab Analysis'!D479/44)+('Lab Analysis'!E479/60))),"0")</f>
        <v>0</v>
      </c>
      <c r="E479" s="187" t="str">
        <f>IFERROR((('Lab Analysis'!F479/18)-('Lab Analysis'!E479/60))/(('Lab Analysis'!D479/44)+('Lab Analysis'!E479/60)),"0")</f>
        <v>0</v>
      </c>
      <c r="F479" s="187" t="str">
        <f>IFERROR((('Lab Analysis'!F479/18)/('Lab Analysis'!E479/60)),"0")</f>
        <v>0</v>
      </c>
      <c r="G479" s="188" t="str">
        <f>IFERROR(('Lab Analysis'!I479/('Lab Analysis'!I479+(1.765*'Lab Analysis'!G479))),"0")</f>
        <v>0</v>
      </c>
      <c r="H479" s="189" t="str">
        <f>IFERROR(((2*('Lab Analysis'!I479/60))+('Lab Analysis'!G479/17))/(('Lab Analysis'!H479/44)+('Lab Analysis'!I479/60)),"0")</f>
        <v>0</v>
      </c>
      <c r="I479" s="189" t="str">
        <f>IFERROR((('Lab Analysis'!J479/18)-('Lab Analysis'!I479/60))/(('Lab Analysis'!H479/44)+('Lab Analysis'!I479/60)),"0")</f>
        <v>0</v>
      </c>
      <c r="J479" s="186" t="str">
        <f>IFERROR(('Lab Analysis'!M479/('Lab Analysis'!M479+(1.765*'Lab Analysis'!K479))),"0")</f>
        <v>0</v>
      </c>
      <c r="K479" s="190" t="str">
        <f>IFERROR(((2*('Lab Analysis'!M479/60))+('Lab Analysis'!K479/17))/(('Lab Analysis'!L479/44)+('Lab Analysis'!M479/60)),"0")</f>
        <v>0</v>
      </c>
      <c r="L479" s="190" t="str">
        <f>IFERROR((('Lab Analysis'!N479/18)-('Lab Analysis'!M479/60))/(('Lab Analysis'!L479/44)+('Lab Analysis'!M479/60)),"0")</f>
        <v>0</v>
      </c>
      <c r="M479" s="187" t="str">
        <f>IFERROR(((2*('Lab Analysis'!U479/60))+('Lab Analysis'!S479/17))/(('Lab Analysis'!T479/44)+('Lab Analysis'!U479/60)),"0")</f>
        <v>0</v>
      </c>
      <c r="N479" s="187" t="str">
        <f>IFERROR((('Lab Analysis'!V479/18)-('Lab Analysis'!U479/60))/(('Lab Analysis'!T479/44)+('Lab Analysis'!U479/60)),"0")</f>
        <v>0</v>
      </c>
      <c r="O479" s="187" t="str">
        <f>IFERROR(((2*('Lab Analysis'!Y479/60)+('Lab Analysis'!W479/17))/(('Lab Analysis'!X479/44)+('Lab Analysis'!Y479/60))),"0")</f>
        <v>0</v>
      </c>
      <c r="P479" s="187" t="str">
        <f>IFERROR((('Lab Analysis'!Z479/18)-('Lab Analysis'!Y479/60))/(('Lab Analysis'!X479/44)+('Lab Analysis'!Y479/60)),"0")</f>
        <v>0</v>
      </c>
      <c r="Q479" s="191"/>
    </row>
    <row r="480" spans="1:17">
      <c r="A480" s="185">
        <v>46294</v>
      </c>
      <c r="B480" s="186" t="str">
        <f>IFERROR(('Lab Analysis'!E480/('Lab Analysis'!E480+(1.364*'Lab Analysis'!D480))),"0")</f>
        <v>0</v>
      </c>
      <c r="C480" s="186" t="str">
        <f>IFERROR((2*'Lab Analysis'!E480/60)/('Lab Analysis'!C480/17+(2*'Lab Analysis'!E480/60)),"0")</f>
        <v>0</v>
      </c>
      <c r="D480" s="187" t="str">
        <f>IFERROR(((2*('Lab Analysis'!E480/60)+('Lab Analysis'!C480/17))/(('Lab Analysis'!D480/44)+('Lab Analysis'!E480/60))),"0")</f>
        <v>0</v>
      </c>
      <c r="E480" s="187" t="str">
        <f>IFERROR((('Lab Analysis'!F480/18)-('Lab Analysis'!E480/60))/(('Lab Analysis'!D480/44)+('Lab Analysis'!E480/60)),"0")</f>
        <v>0</v>
      </c>
      <c r="F480" s="187" t="str">
        <f>IFERROR((('Lab Analysis'!F480/18)/('Lab Analysis'!E480/60)),"0")</f>
        <v>0</v>
      </c>
      <c r="G480" s="188" t="str">
        <f>IFERROR(('Lab Analysis'!I480/('Lab Analysis'!I480+(1.765*'Lab Analysis'!G480))),"0")</f>
        <v>0</v>
      </c>
      <c r="H480" s="189" t="str">
        <f>IFERROR(((2*('Lab Analysis'!I480/60))+('Lab Analysis'!G480/17))/(('Lab Analysis'!H480/44)+('Lab Analysis'!I480/60)),"0")</f>
        <v>0</v>
      </c>
      <c r="I480" s="189" t="str">
        <f>IFERROR((('Lab Analysis'!J480/18)-('Lab Analysis'!I480/60))/(('Lab Analysis'!H480/44)+('Lab Analysis'!I480/60)),"0")</f>
        <v>0</v>
      </c>
      <c r="J480" s="186" t="str">
        <f>IFERROR(('Lab Analysis'!M480/('Lab Analysis'!M480+(1.765*'Lab Analysis'!K480))),"0")</f>
        <v>0</v>
      </c>
      <c r="K480" s="190" t="str">
        <f>IFERROR(((2*('Lab Analysis'!M480/60))+('Lab Analysis'!K480/17))/(('Lab Analysis'!L480/44)+('Lab Analysis'!M480/60)),"0")</f>
        <v>0</v>
      </c>
      <c r="L480" s="190" t="str">
        <f>IFERROR((('Lab Analysis'!N480/18)-('Lab Analysis'!M480/60))/(('Lab Analysis'!L480/44)+('Lab Analysis'!M480/60)),"0")</f>
        <v>0</v>
      </c>
      <c r="M480" s="187" t="str">
        <f>IFERROR(((2*('Lab Analysis'!U480/60))+('Lab Analysis'!S480/17))/(('Lab Analysis'!T480/44)+('Lab Analysis'!U480/60)),"0")</f>
        <v>0</v>
      </c>
      <c r="N480" s="187" t="str">
        <f>IFERROR((('Lab Analysis'!V480/18)-('Lab Analysis'!U480/60))/(('Lab Analysis'!T480/44)+('Lab Analysis'!U480/60)),"0")</f>
        <v>0</v>
      </c>
      <c r="O480" s="187" t="str">
        <f>IFERROR(((2*('Lab Analysis'!Y480/60)+('Lab Analysis'!W480/17))/(('Lab Analysis'!X480/44)+('Lab Analysis'!Y480/60))),"0")</f>
        <v>0</v>
      </c>
      <c r="P480" s="187" t="str">
        <f>IFERROR((('Lab Analysis'!Z480/18)-('Lab Analysis'!Y480/60))/(('Lab Analysis'!X480/44)+('Lab Analysis'!Y480/60)),"0")</f>
        <v>0</v>
      </c>
      <c r="Q480" s="191"/>
    </row>
    <row r="481" spans="1:17">
      <c r="A481" s="185">
        <v>46295</v>
      </c>
      <c r="B481" s="186" t="str">
        <f>IFERROR(('Lab Analysis'!E481/('Lab Analysis'!E481+(1.364*'Lab Analysis'!D481))),"0")</f>
        <v>0</v>
      </c>
      <c r="C481" s="186" t="str">
        <f>IFERROR((2*'Lab Analysis'!E481/60)/('Lab Analysis'!C481/17+(2*'Lab Analysis'!E481/60)),"0")</f>
        <v>0</v>
      </c>
      <c r="D481" s="187" t="str">
        <f>IFERROR(((2*('Lab Analysis'!E481/60)+('Lab Analysis'!C481/17))/(('Lab Analysis'!D481/44)+('Lab Analysis'!E481/60))),"0")</f>
        <v>0</v>
      </c>
      <c r="E481" s="187" t="str">
        <f>IFERROR((('Lab Analysis'!F481/18)-('Lab Analysis'!E481/60))/(('Lab Analysis'!D481/44)+('Lab Analysis'!E481/60)),"0")</f>
        <v>0</v>
      </c>
      <c r="F481" s="187" t="str">
        <f>IFERROR((('Lab Analysis'!F481/18)/('Lab Analysis'!E481/60)),"0")</f>
        <v>0</v>
      </c>
      <c r="G481" s="188" t="str">
        <f>IFERROR(('Lab Analysis'!I481/('Lab Analysis'!I481+(1.765*'Lab Analysis'!G481))),"0")</f>
        <v>0</v>
      </c>
      <c r="H481" s="189" t="str">
        <f>IFERROR(((2*('Lab Analysis'!I481/60))+('Lab Analysis'!G481/17))/(('Lab Analysis'!H481/44)+('Lab Analysis'!I481/60)),"0")</f>
        <v>0</v>
      </c>
      <c r="I481" s="189" t="str">
        <f>IFERROR((('Lab Analysis'!J481/18)-('Lab Analysis'!I481/60))/(('Lab Analysis'!H481/44)+('Lab Analysis'!I481/60)),"0")</f>
        <v>0</v>
      </c>
      <c r="J481" s="186" t="str">
        <f>IFERROR(('Lab Analysis'!M481/('Lab Analysis'!M481+(1.765*'Lab Analysis'!K481))),"0")</f>
        <v>0</v>
      </c>
      <c r="K481" s="190" t="str">
        <f>IFERROR(((2*('Lab Analysis'!M481/60))+('Lab Analysis'!K481/17))/(('Lab Analysis'!L481/44)+('Lab Analysis'!M481/60)),"0")</f>
        <v>0</v>
      </c>
      <c r="L481" s="190" t="str">
        <f>IFERROR((('Lab Analysis'!N481/18)-('Lab Analysis'!M481/60))/(('Lab Analysis'!L481/44)+('Lab Analysis'!M481/60)),"0")</f>
        <v>0</v>
      </c>
      <c r="M481" s="187" t="str">
        <f>IFERROR(((2*('Lab Analysis'!U481/60))+('Lab Analysis'!S481/17))/(('Lab Analysis'!T481/44)+('Lab Analysis'!U481/60)),"0")</f>
        <v>0</v>
      </c>
      <c r="N481" s="187" t="str">
        <f>IFERROR((('Lab Analysis'!V481/18)-('Lab Analysis'!U481/60))/(('Lab Analysis'!T481/44)+('Lab Analysis'!U481/60)),"0")</f>
        <v>0</v>
      </c>
      <c r="O481" s="187" t="str">
        <f>IFERROR(((2*('Lab Analysis'!Y481/60)+('Lab Analysis'!W481/17))/(('Lab Analysis'!X481/44)+('Lab Analysis'!Y481/60))),"0")</f>
        <v>0</v>
      </c>
      <c r="P481" s="187" t="str">
        <f>IFERROR((('Lab Analysis'!Z481/18)-('Lab Analysis'!Y481/60))/(('Lab Analysis'!X481/44)+('Lab Analysis'!Y481/60)),"0")</f>
        <v>0</v>
      </c>
      <c r="Q481" s="191"/>
    </row>
    <row r="482" spans="1:17">
      <c r="A482" s="185">
        <v>46296</v>
      </c>
      <c r="B482" s="186" t="str">
        <f>IFERROR(('Lab Analysis'!E482/('Lab Analysis'!E482+(1.364*'Lab Analysis'!D482))),"0")</f>
        <v>0</v>
      </c>
      <c r="C482" s="186" t="str">
        <f>IFERROR((2*'Lab Analysis'!E482/60)/('Lab Analysis'!C482/17+(2*'Lab Analysis'!E482/60)),"0")</f>
        <v>0</v>
      </c>
      <c r="D482" s="187" t="str">
        <f>IFERROR(((2*('Lab Analysis'!E482/60)+('Lab Analysis'!C482/17))/(('Lab Analysis'!D482/44)+('Lab Analysis'!E482/60))),"0")</f>
        <v>0</v>
      </c>
      <c r="E482" s="187" t="str">
        <f>IFERROR((('Lab Analysis'!F482/18)-('Lab Analysis'!E482/60))/(('Lab Analysis'!D482/44)+('Lab Analysis'!E482/60)),"0")</f>
        <v>0</v>
      </c>
      <c r="F482" s="187" t="str">
        <f>IFERROR((('Lab Analysis'!F482/18)/('Lab Analysis'!E482/60)),"0")</f>
        <v>0</v>
      </c>
      <c r="G482" s="188" t="str">
        <f>IFERROR(('Lab Analysis'!I482/('Lab Analysis'!I482+(1.765*'Lab Analysis'!G482))),"0")</f>
        <v>0</v>
      </c>
      <c r="H482" s="189" t="str">
        <f>IFERROR(((2*('Lab Analysis'!I482/60))+('Lab Analysis'!G482/17))/(('Lab Analysis'!H482/44)+('Lab Analysis'!I482/60)),"0")</f>
        <v>0</v>
      </c>
      <c r="I482" s="189" t="str">
        <f>IFERROR((('Lab Analysis'!J482/18)-('Lab Analysis'!I482/60))/(('Lab Analysis'!H482/44)+('Lab Analysis'!I482/60)),"0")</f>
        <v>0</v>
      </c>
      <c r="J482" s="186" t="str">
        <f>IFERROR(('Lab Analysis'!M482/('Lab Analysis'!M482+(1.765*'Lab Analysis'!K482))),"0")</f>
        <v>0</v>
      </c>
      <c r="K482" s="190" t="str">
        <f>IFERROR(((2*('Lab Analysis'!M482/60))+('Lab Analysis'!K482/17))/(('Lab Analysis'!L482/44)+('Lab Analysis'!M482/60)),"0")</f>
        <v>0</v>
      </c>
      <c r="L482" s="190" t="str">
        <f>IFERROR((('Lab Analysis'!N482/18)-('Lab Analysis'!M482/60))/(('Lab Analysis'!L482/44)+('Lab Analysis'!M482/60)),"0")</f>
        <v>0</v>
      </c>
      <c r="M482" s="187" t="str">
        <f>IFERROR(((2*('Lab Analysis'!U482/60))+('Lab Analysis'!S482/17))/(('Lab Analysis'!T482/44)+('Lab Analysis'!U482/60)),"0")</f>
        <v>0</v>
      </c>
      <c r="N482" s="187" t="str">
        <f>IFERROR((('Lab Analysis'!V482/18)-('Lab Analysis'!U482/60))/(('Lab Analysis'!T482/44)+('Lab Analysis'!U482/60)),"0")</f>
        <v>0</v>
      </c>
      <c r="O482" s="187" t="str">
        <f>IFERROR(((2*('Lab Analysis'!Y482/60)+('Lab Analysis'!W482/17))/(('Lab Analysis'!X482/44)+('Lab Analysis'!Y482/60))),"0")</f>
        <v>0</v>
      </c>
      <c r="P482" s="187" t="str">
        <f>IFERROR((('Lab Analysis'!Z482/18)-('Lab Analysis'!Y482/60))/(('Lab Analysis'!X482/44)+('Lab Analysis'!Y482/60)),"0")</f>
        <v>0</v>
      </c>
      <c r="Q482" s="191"/>
    </row>
    <row r="483" spans="1:17">
      <c r="A483" s="185">
        <v>46297</v>
      </c>
      <c r="B483" s="186" t="str">
        <f>IFERROR(('Lab Analysis'!E483/('Lab Analysis'!E483+(1.364*'Lab Analysis'!D483))),"0")</f>
        <v>0</v>
      </c>
      <c r="C483" s="186" t="str">
        <f>IFERROR((2*'Lab Analysis'!E483/60)/('Lab Analysis'!C483/17+(2*'Lab Analysis'!E483/60)),"0")</f>
        <v>0</v>
      </c>
      <c r="D483" s="187" t="str">
        <f>IFERROR(((2*('Lab Analysis'!E483/60)+('Lab Analysis'!C483/17))/(('Lab Analysis'!D483/44)+('Lab Analysis'!E483/60))),"0")</f>
        <v>0</v>
      </c>
      <c r="E483" s="187" t="str">
        <f>IFERROR((('Lab Analysis'!F483/18)-('Lab Analysis'!E483/60))/(('Lab Analysis'!D483/44)+('Lab Analysis'!E483/60)),"0")</f>
        <v>0</v>
      </c>
      <c r="F483" s="187" t="str">
        <f>IFERROR((('Lab Analysis'!F483/18)/('Lab Analysis'!E483/60)),"0")</f>
        <v>0</v>
      </c>
      <c r="G483" s="188" t="str">
        <f>IFERROR(('Lab Analysis'!I483/('Lab Analysis'!I483+(1.765*'Lab Analysis'!G483))),"0")</f>
        <v>0</v>
      </c>
      <c r="H483" s="189" t="str">
        <f>IFERROR(((2*('Lab Analysis'!I483/60))+('Lab Analysis'!G483/17))/(('Lab Analysis'!H483/44)+('Lab Analysis'!I483/60)),"0")</f>
        <v>0</v>
      </c>
      <c r="I483" s="189" t="str">
        <f>IFERROR((('Lab Analysis'!J483/18)-('Lab Analysis'!I483/60))/(('Lab Analysis'!H483/44)+('Lab Analysis'!I483/60)),"0")</f>
        <v>0</v>
      </c>
      <c r="J483" s="186" t="str">
        <f>IFERROR(('Lab Analysis'!M483/('Lab Analysis'!M483+(1.765*'Lab Analysis'!K483))),"0")</f>
        <v>0</v>
      </c>
      <c r="K483" s="190" t="str">
        <f>IFERROR(((2*('Lab Analysis'!M483/60))+('Lab Analysis'!K483/17))/(('Lab Analysis'!L483/44)+('Lab Analysis'!M483/60)),"0")</f>
        <v>0</v>
      </c>
      <c r="L483" s="190" t="str">
        <f>IFERROR((('Lab Analysis'!N483/18)-('Lab Analysis'!M483/60))/(('Lab Analysis'!L483/44)+('Lab Analysis'!M483/60)),"0")</f>
        <v>0</v>
      </c>
      <c r="M483" s="187" t="str">
        <f>IFERROR(((2*('Lab Analysis'!U483/60))+('Lab Analysis'!S483/17))/(('Lab Analysis'!T483/44)+('Lab Analysis'!U483/60)),"0")</f>
        <v>0</v>
      </c>
      <c r="N483" s="187" t="str">
        <f>IFERROR((('Lab Analysis'!V483/18)-('Lab Analysis'!U483/60))/(('Lab Analysis'!T483/44)+('Lab Analysis'!U483/60)),"0")</f>
        <v>0</v>
      </c>
      <c r="O483" s="187" t="str">
        <f>IFERROR(((2*('Lab Analysis'!Y483/60)+('Lab Analysis'!W483/17))/(('Lab Analysis'!X483/44)+('Lab Analysis'!Y483/60))),"0")</f>
        <v>0</v>
      </c>
      <c r="P483" s="187" t="str">
        <f>IFERROR((('Lab Analysis'!Z483/18)-('Lab Analysis'!Y483/60))/(('Lab Analysis'!X483/44)+('Lab Analysis'!Y483/60)),"0")</f>
        <v>0</v>
      </c>
      <c r="Q483" s="191"/>
    </row>
    <row r="484" spans="1:17">
      <c r="A484" s="185">
        <v>46298</v>
      </c>
      <c r="B484" s="186" t="str">
        <f>IFERROR(('Lab Analysis'!E484/('Lab Analysis'!E484+(1.364*'Lab Analysis'!D484))),"0")</f>
        <v>0</v>
      </c>
      <c r="C484" s="186" t="str">
        <f>IFERROR((2*'Lab Analysis'!E484/60)/('Lab Analysis'!C484/17+(2*'Lab Analysis'!E484/60)),"0")</f>
        <v>0</v>
      </c>
      <c r="D484" s="187" t="str">
        <f>IFERROR(((2*('Lab Analysis'!E484/60)+('Lab Analysis'!C484/17))/(('Lab Analysis'!D484/44)+('Lab Analysis'!E484/60))),"0")</f>
        <v>0</v>
      </c>
      <c r="E484" s="187" t="str">
        <f>IFERROR((('Lab Analysis'!F484/18)-('Lab Analysis'!E484/60))/(('Lab Analysis'!D484/44)+('Lab Analysis'!E484/60)),"0")</f>
        <v>0</v>
      </c>
      <c r="F484" s="187" t="str">
        <f>IFERROR((('Lab Analysis'!F484/18)/('Lab Analysis'!E484/60)),"0")</f>
        <v>0</v>
      </c>
      <c r="G484" s="188" t="str">
        <f>IFERROR(('Lab Analysis'!I484/('Lab Analysis'!I484+(1.765*'Lab Analysis'!G484))),"0")</f>
        <v>0</v>
      </c>
      <c r="H484" s="189" t="str">
        <f>IFERROR(((2*('Lab Analysis'!I484/60))+('Lab Analysis'!G484/17))/(('Lab Analysis'!H484/44)+('Lab Analysis'!I484/60)),"0")</f>
        <v>0</v>
      </c>
      <c r="I484" s="189" t="str">
        <f>IFERROR((('Lab Analysis'!J484/18)-('Lab Analysis'!I484/60))/(('Lab Analysis'!H484/44)+('Lab Analysis'!I484/60)),"0")</f>
        <v>0</v>
      </c>
      <c r="J484" s="186" t="str">
        <f>IFERROR(('Lab Analysis'!M484/('Lab Analysis'!M484+(1.765*'Lab Analysis'!K484))),"0")</f>
        <v>0</v>
      </c>
      <c r="K484" s="190" t="str">
        <f>IFERROR(((2*('Lab Analysis'!M484/60))+('Lab Analysis'!K484/17))/(('Lab Analysis'!L484/44)+('Lab Analysis'!M484/60)),"0")</f>
        <v>0</v>
      </c>
      <c r="L484" s="190" t="str">
        <f>IFERROR((('Lab Analysis'!N484/18)-('Lab Analysis'!M484/60))/(('Lab Analysis'!L484/44)+('Lab Analysis'!M484/60)),"0")</f>
        <v>0</v>
      </c>
      <c r="M484" s="187" t="str">
        <f>IFERROR(((2*('Lab Analysis'!U484/60))+('Lab Analysis'!S484/17))/(('Lab Analysis'!T484/44)+('Lab Analysis'!U484/60)),"0")</f>
        <v>0</v>
      </c>
      <c r="N484" s="187" t="str">
        <f>IFERROR((('Lab Analysis'!V484/18)-('Lab Analysis'!U484/60))/(('Lab Analysis'!T484/44)+('Lab Analysis'!U484/60)),"0")</f>
        <v>0</v>
      </c>
      <c r="O484" s="187" t="str">
        <f>IFERROR(((2*('Lab Analysis'!Y484/60)+('Lab Analysis'!W484/17))/(('Lab Analysis'!X484/44)+('Lab Analysis'!Y484/60))),"0")</f>
        <v>0</v>
      </c>
      <c r="P484" s="187" t="str">
        <f>IFERROR((('Lab Analysis'!Z484/18)-('Lab Analysis'!Y484/60))/(('Lab Analysis'!X484/44)+('Lab Analysis'!Y484/60)),"0")</f>
        <v>0</v>
      </c>
      <c r="Q484" s="191"/>
    </row>
    <row r="485" spans="1:17">
      <c r="A485" s="185">
        <v>46299</v>
      </c>
      <c r="B485" s="186" t="str">
        <f>IFERROR(('Lab Analysis'!E485/('Lab Analysis'!E485+(1.364*'Lab Analysis'!D485))),"0")</f>
        <v>0</v>
      </c>
      <c r="C485" s="186" t="str">
        <f>IFERROR((2*'Lab Analysis'!E485/60)/('Lab Analysis'!C485/17+(2*'Lab Analysis'!E485/60)),"0")</f>
        <v>0</v>
      </c>
      <c r="D485" s="187" t="str">
        <f>IFERROR(((2*('Lab Analysis'!E485/60)+('Lab Analysis'!C485/17))/(('Lab Analysis'!D485/44)+('Lab Analysis'!E485/60))),"0")</f>
        <v>0</v>
      </c>
      <c r="E485" s="187" t="str">
        <f>IFERROR((('Lab Analysis'!F485/18)-('Lab Analysis'!E485/60))/(('Lab Analysis'!D485/44)+('Lab Analysis'!E485/60)),"0")</f>
        <v>0</v>
      </c>
      <c r="F485" s="187" t="str">
        <f>IFERROR((('Lab Analysis'!F485/18)/('Lab Analysis'!E485/60)),"0")</f>
        <v>0</v>
      </c>
      <c r="G485" s="188" t="str">
        <f>IFERROR(('Lab Analysis'!I485/('Lab Analysis'!I485+(1.765*'Lab Analysis'!G485))),"0")</f>
        <v>0</v>
      </c>
      <c r="H485" s="189" t="str">
        <f>IFERROR(((2*('Lab Analysis'!I485/60))+('Lab Analysis'!G485/17))/(('Lab Analysis'!H485/44)+('Lab Analysis'!I485/60)),"0")</f>
        <v>0</v>
      </c>
      <c r="I485" s="189" t="str">
        <f>IFERROR((('Lab Analysis'!J485/18)-('Lab Analysis'!I485/60))/(('Lab Analysis'!H485/44)+('Lab Analysis'!I485/60)),"0")</f>
        <v>0</v>
      </c>
      <c r="J485" s="186" t="str">
        <f>IFERROR(('Lab Analysis'!M485/('Lab Analysis'!M485+(1.765*'Lab Analysis'!K485))),"0")</f>
        <v>0</v>
      </c>
      <c r="K485" s="190" t="str">
        <f>IFERROR(((2*('Lab Analysis'!M485/60))+('Lab Analysis'!K485/17))/(('Lab Analysis'!L485/44)+('Lab Analysis'!M485/60)),"0")</f>
        <v>0</v>
      </c>
      <c r="L485" s="190" t="str">
        <f>IFERROR((('Lab Analysis'!N485/18)-('Lab Analysis'!M485/60))/(('Lab Analysis'!L485/44)+('Lab Analysis'!M485/60)),"0")</f>
        <v>0</v>
      </c>
      <c r="M485" s="187" t="str">
        <f>IFERROR(((2*('Lab Analysis'!U485/60))+('Lab Analysis'!S485/17))/(('Lab Analysis'!T485/44)+('Lab Analysis'!U485/60)),"0")</f>
        <v>0</v>
      </c>
      <c r="N485" s="187" t="str">
        <f>IFERROR((('Lab Analysis'!V485/18)-('Lab Analysis'!U485/60))/(('Lab Analysis'!T485/44)+('Lab Analysis'!U485/60)),"0")</f>
        <v>0</v>
      </c>
      <c r="O485" s="187" t="str">
        <f>IFERROR(((2*('Lab Analysis'!Y485/60)+('Lab Analysis'!W485/17))/(('Lab Analysis'!X485/44)+('Lab Analysis'!Y485/60))),"0")</f>
        <v>0</v>
      </c>
      <c r="P485" s="187" t="str">
        <f>IFERROR((('Lab Analysis'!Z485/18)-('Lab Analysis'!Y485/60))/(('Lab Analysis'!X485/44)+('Lab Analysis'!Y485/60)),"0")</f>
        <v>0</v>
      </c>
      <c r="Q485" s="191"/>
    </row>
    <row r="486" spans="1:17">
      <c r="A486" s="185">
        <v>46300</v>
      </c>
      <c r="B486" s="186" t="str">
        <f>IFERROR(('Lab Analysis'!E486/('Lab Analysis'!E486+(1.364*'Lab Analysis'!D486))),"0")</f>
        <v>0</v>
      </c>
      <c r="C486" s="186" t="str">
        <f>IFERROR((2*'Lab Analysis'!E486/60)/('Lab Analysis'!C486/17+(2*'Lab Analysis'!E486/60)),"0")</f>
        <v>0</v>
      </c>
      <c r="D486" s="187" t="str">
        <f>IFERROR(((2*('Lab Analysis'!E486/60)+('Lab Analysis'!C486/17))/(('Lab Analysis'!D486/44)+('Lab Analysis'!E486/60))),"0")</f>
        <v>0</v>
      </c>
      <c r="E486" s="187" t="str">
        <f>IFERROR((('Lab Analysis'!F486/18)-('Lab Analysis'!E486/60))/(('Lab Analysis'!D486/44)+('Lab Analysis'!E486/60)),"0")</f>
        <v>0</v>
      </c>
      <c r="F486" s="187" t="str">
        <f>IFERROR((('Lab Analysis'!F486/18)/('Lab Analysis'!E486/60)),"0")</f>
        <v>0</v>
      </c>
      <c r="G486" s="188" t="str">
        <f>IFERROR(('Lab Analysis'!I486/('Lab Analysis'!I486+(1.765*'Lab Analysis'!G486))),"0")</f>
        <v>0</v>
      </c>
      <c r="H486" s="189" t="str">
        <f>IFERROR(((2*('Lab Analysis'!I486/60))+('Lab Analysis'!G486/17))/(('Lab Analysis'!H486/44)+('Lab Analysis'!I486/60)),"0")</f>
        <v>0</v>
      </c>
      <c r="I486" s="189" t="str">
        <f>IFERROR((('Lab Analysis'!J486/18)-('Lab Analysis'!I486/60))/(('Lab Analysis'!H486/44)+('Lab Analysis'!I486/60)),"0")</f>
        <v>0</v>
      </c>
      <c r="J486" s="186" t="str">
        <f>IFERROR(('Lab Analysis'!M486/('Lab Analysis'!M486+(1.765*'Lab Analysis'!K486))),"0")</f>
        <v>0</v>
      </c>
      <c r="K486" s="190" t="str">
        <f>IFERROR(((2*('Lab Analysis'!M486/60))+('Lab Analysis'!K486/17))/(('Lab Analysis'!L486/44)+('Lab Analysis'!M486/60)),"0")</f>
        <v>0</v>
      </c>
      <c r="L486" s="190" t="str">
        <f>IFERROR((('Lab Analysis'!N486/18)-('Lab Analysis'!M486/60))/(('Lab Analysis'!L486/44)+('Lab Analysis'!M486/60)),"0")</f>
        <v>0</v>
      </c>
      <c r="M486" s="187" t="str">
        <f>IFERROR(((2*('Lab Analysis'!U486/60))+('Lab Analysis'!S486/17))/(('Lab Analysis'!T486/44)+('Lab Analysis'!U486/60)),"0")</f>
        <v>0</v>
      </c>
      <c r="N486" s="187" t="str">
        <f>IFERROR((('Lab Analysis'!V486/18)-('Lab Analysis'!U486/60))/(('Lab Analysis'!T486/44)+('Lab Analysis'!U486/60)),"0")</f>
        <v>0</v>
      </c>
      <c r="O486" s="187" t="str">
        <f>IFERROR(((2*('Lab Analysis'!Y486/60)+('Lab Analysis'!W486/17))/(('Lab Analysis'!X486/44)+('Lab Analysis'!Y486/60))),"0")</f>
        <v>0</v>
      </c>
      <c r="P486" s="187" t="str">
        <f>IFERROR((('Lab Analysis'!Z486/18)-('Lab Analysis'!Y486/60))/(('Lab Analysis'!X486/44)+('Lab Analysis'!Y486/60)),"0")</f>
        <v>0</v>
      </c>
      <c r="Q486" s="191"/>
    </row>
    <row r="487" spans="1:17">
      <c r="A487" s="185">
        <v>46301</v>
      </c>
      <c r="B487" s="186" t="str">
        <f>IFERROR(('Lab Analysis'!E487/('Lab Analysis'!E487+(1.364*'Lab Analysis'!D487))),"0")</f>
        <v>0</v>
      </c>
      <c r="C487" s="186" t="str">
        <f>IFERROR((2*'Lab Analysis'!E487/60)/('Lab Analysis'!C487/17+(2*'Lab Analysis'!E487/60)),"0")</f>
        <v>0</v>
      </c>
      <c r="D487" s="187" t="str">
        <f>IFERROR(((2*('Lab Analysis'!E487/60)+('Lab Analysis'!C487/17))/(('Lab Analysis'!D487/44)+('Lab Analysis'!E487/60))),"0")</f>
        <v>0</v>
      </c>
      <c r="E487" s="187" t="str">
        <f>IFERROR((('Lab Analysis'!F487/18)-('Lab Analysis'!E487/60))/(('Lab Analysis'!D487/44)+('Lab Analysis'!E487/60)),"0")</f>
        <v>0</v>
      </c>
      <c r="F487" s="187" t="str">
        <f>IFERROR((('Lab Analysis'!F487/18)/('Lab Analysis'!E487/60)),"0")</f>
        <v>0</v>
      </c>
      <c r="G487" s="188" t="str">
        <f>IFERROR(('Lab Analysis'!I487/('Lab Analysis'!I487+(1.765*'Lab Analysis'!G487))),"0")</f>
        <v>0</v>
      </c>
      <c r="H487" s="189" t="str">
        <f>IFERROR(((2*('Lab Analysis'!I487/60))+('Lab Analysis'!G487/17))/(('Lab Analysis'!H487/44)+('Lab Analysis'!I487/60)),"0")</f>
        <v>0</v>
      </c>
      <c r="I487" s="189" t="str">
        <f>IFERROR((('Lab Analysis'!J487/18)-('Lab Analysis'!I487/60))/(('Lab Analysis'!H487/44)+('Lab Analysis'!I487/60)),"0")</f>
        <v>0</v>
      </c>
      <c r="J487" s="186" t="str">
        <f>IFERROR(('Lab Analysis'!M487/('Lab Analysis'!M487+(1.765*'Lab Analysis'!K487))),"0")</f>
        <v>0</v>
      </c>
      <c r="K487" s="190" t="str">
        <f>IFERROR(((2*('Lab Analysis'!M487/60))+('Lab Analysis'!K487/17))/(('Lab Analysis'!L487/44)+('Lab Analysis'!M487/60)),"0")</f>
        <v>0</v>
      </c>
      <c r="L487" s="190" t="str">
        <f>IFERROR((('Lab Analysis'!N487/18)-('Lab Analysis'!M487/60))/(('Lab Analysis'!L487/44)+('Lab Analysis'!M487/60)),"0")</f>
        <v>0</v>
      </c>
      <c r="M487" s="187" t="str">
        <f>IFERROR(((2*('Lab Analysis'!U487/60))+('Lab Analysis'!S487/17))/(('Lab Analysis'!T487/44)+('Lab Analysis'!U487/60)),"0")</f>
        <v>0</v>
      </c>
      <c r="N487" s="187" t="str">
        <f>IFERROR((('Lab Analysis'!V487/18)-('Lab Analysis'!U487/60))/(('Lab Analysis'!T487/44)+('Lab Analysis'!U487/60)),"0")</f>
        <v>0</v>
      </c>
      <c r="O487" s="187" t="str">
        <f>IFERROR(((2*('Lab Analysis'!Y487/60)+('Lab Analysis'!W487/17))/(('Lab Analysis'!X487/44)+('Lab Analysis'!Y487/60))),"0")</f>
        <v>0</v>
      </c>
      <c r="P487" s="187" t="str">
        <f>IFERROR((('Lab Analysis'!Z487/18)-('Lab Analysis'!Y487/60))/(('Lab Analysis'!X487/44)+('Lab Analysis'!Y487/60)),"0")</f>
        <v>0</v>
      </c>
      <c r="Q487" s="191"/>
    </row>
    <row r="488" spans="1:17">
      <c r="A488" s="185">
        <v>46302</v>
      </c>
      <c r="B488" s="186" t="str">
        <f>IFERROR(('Lab Analysis'!E488/('Lab Analysis'!E488+(1.364*'Lab Analysis'!D488))),"0")</f>
        <v>0</v>
      </c>
      <c r="C488" s="186" t="str">
        <f>IFERROR((2*'Lab Analysis'!E488/60)/('Lab Analysis'!C488/17+(2*'Lab Analysis'!E488/60)),"0")</f>
        <v>0</v>
      </c>
      <c r="D488" s="187" t="str">
        <f>IFERROR(((2*('Lab Analysis'!E488/60)+('Lab Analysis'!C488/17))/(('Lab Analysis'!D488/44)+('Lab Analysis'!E488/60))),"0")</f>
        <v>0</v>
      </c>
      <c r="E488" s="187" t="str">
        <f>IFERROR((('Lab Analysis'!F488/18)-('Lab Analysis'!E488/60))/(('Lab Analysis'!D488/44)+('Lab Analysis'!E488/60)),"0")</f>
        <v>0</v>
      </c>
      <c r="F488" s="187" t="str">
        <f>IFERROR((('Lab Analysis'!F488/18)/('Lab Analysis'!E488/60)),"0")</f>
        <v>0</v>
      </c>
      <c r="G488" s="188" t="str">
        <f>IFERROR(('Lab Analysis'!I488/('Lab Analysis'!I488+(1.765*'Lab Analysis'!G488))),"0")</f>
        <v>0</v>
      </c>
      <c r="H488" s="189" t="str">
        <f>IFERROR(((2*('Lab Analysis'!I488/60))+('Lab Analysis'!G488/17))/(('Lab Analysis'!H488/44)+('Lab Analysis'!I488/60)),"0")</f>
        <v>0</v>
      </c>
      <c r="I488" s="189" t="str">
        <f>IFERROR((('Lab Analysis'!J488/18)-('Lab Analysis'!I488/60))/(('Lab Analysis'!H488/44)+('Lab Analysis'!I488/60)),"0")</f>
        <v>0</v>
      </c>
      <c r="J488" s="186" t="str">
        <f>IFERROR(('Lab Analysis'!M488/('Lab Analysis'!M488+(1.765*'Lab Analysis'!K488))),"0")</f>
        <v>0</v>
      </c>
      <c r="K488" s="190" t="str">
        <f>IFERROR(((2*('Lab Analysis'!M488/60))+('Lab Analysis'!K488/17))/(('Lab Analysis'!L488/44)+('Lab Analysis'!M488/60)),"0")</f>
        <v>0</v>
      </c>
      <c r="L488" s="190" t="str">
        <f>IFERROR((('Lab Analysis'!N488/18)-('Lab Analysis'!M488/60))/(('Lab Analysis'!L488/44)+('Lab Analysis'!M488/60)),"0")</f>
        <v>0</v>
      </c>
      <c r="M488" s="187" t="str">
        <f>IFERROR(((2*('Lab Analysis'!U488/60))+('Lab Analysis'!S488/17))/(('Lab Analysis'!T488/44)+('Lab Analysis'!U488/60)),"0")</f>
        <v>0</v>
      </c>
      <c r="N488" s="187" t="str">
        <f>IFERROR((('Lab Analysis'!V488/18)-('Lab Analysis'!U488/60))/(('Lab Analysis'!T488/44)+('Lab Analysis'!U488/60)),"0")</f>
        <v>0</v>
      </c>
      <c r="O488" s="187" t="str">
        <f>IFERROR(((2*('Lab Analysis'!Y488/60)+('Lab Analysis'!W488/17))/(('Lab Analysis'!X488/44)+('Lab Analysis'!Y488/60))),"0")</f>
        <v>0</v>
      </c>
      <c r="P488" s="187" t="str">
        <f>IFERROR((('Lab Analysis'!Z488/18)-('Lab Analysis'!Y488/60))/(('Lab Analysis'!X488/44)+('Lab Analysis'!Y488/60)),"0")</f>
        <v>0</v>
      </c>
      <c r="Q488" s="191"/>
    </row>
    <row r="489" spans="1:17">
      <c r="A489" s="185">
        <v>46303</v>
      </c>
      <c r="B489" s="186" t="str">
        <f>IFERROR(('Lab Analysis'!E489/('Lab Analysis'!E489+(1.364*'Lab Analysis'!D489))),"0")</f>
        <v>0</v>
      </c>
      <c r="C489" s="186" t="str">
        <f>IFERROR((2*'Lab Analysis'!E489/60)/('Lab Analysis'!C489/17+(2*'Lab Analysis'!E489/60)),"0")</f>
        <v>0</v>
      </c>
      <c r="D489" s="187" t="str">
        <f>IFERROR(((2*('Lab Analysis'!E489/60)+('Lab Analysis'!C489/17))/(('Lab Analysis'!D489/44)+('Lab Analysis'!E489/60))),"0")</f>
        <v>0</v>
      </c>
      <c r="E489" s="187" t="str">
        <f>IFERROR((('Lab Analysis'!F489/18)-('Lab Analysis'!E489/60))/(('Lab Analysis'!D489/44)+('Lab Analysis'!E489/60)),"0")</f>
        <v>0</v>
      </c>
      <c r="F489" s="187" t="str">
        <f>IFERROR((('Lab Analysis'!F489/18)/('Lab Analysis'!E489/60)),"0")</f>
        <v>0</v>
      </c>
      <c r="G489" s="188" t="str">
        <f>IFERROR(('Lab Analysis'!I489/('Lab Analysis'!I489+(1.765*'Lab Analysis'!G489))),"0")</f>
        <v>0</v>
      </c>
      <c r="H489" s="189" t="str">
        <f>IFERROR(((2*('Lab Analysis'!I489/60))+('Lab Analysis'!G489/17))/(('Lab Analysis'!H489/44)+('Lab Analysis'!I489/60)),"0")</f>
        <v>0</v>
      </c>
      <c r="I489" s="189" t="str">
        <f>IFERROR((('Lab Analysis'!J489/18)-('Lab Analysis'!I489/60))/(('Lab Analysis'!H489/44)+('Lab Analysis'!I489/60)),"0")</f>
        <v>0</v>
      </c>
      <c r="J489" s="186" t="str">
        <f>IFERROR(('Lab Analysis'!M489/('Lab Analysis'!M489+(1.765*'Lab Analysis'!K489))),"0")</f>
        <v>0</v>
      </c>
      <c r="K489" s="190" t="str">
        <f>IFERROR(((2*('Lab Analysis'!M489/60))+('Lab Analysis'!K489/17))/(('Lab Analysis'!L489/44)+('Lab Analysis'!M489/60)),"0")</f>
        <v>0</v>
      </c>
      <c r="L489" s="190" t="str">
        <f>IFERROR((('Lab Analysis'!N489/18)-('Lab Analysis'!M489/60))/(('Lab Analysis'!L489/44)+('Lab Analysis'!M489/60)),"0")</f>
        <v>0</v>
      </c>
      <c r="M489" s="187" t="str">
        <f>IFERROR(((2*('Lab Analysis'!U489/60))+('Lab Analysis'!S489/17))/(('Lab Analysis'!T489/44)+('Lab Analysis'!U489/60)),"0")</f>
        <v>0</v>
      </c>
      <c r="N489" s="187" t="str">
        <f>IFERROR((('Lab Analysis'!V489/18)-('Lab Analysis'!U489/60))/(('Lab Analysis'!T489/44)+('Lab Analysis'!U489/60)),"0")</f>
        <v>0</v>
      </c>
      <c r="O489" s="187" t="str">
        <f>IFERROR(((2*('Lab Analysis'!Y489/60)+('Lab Analysis'!W489/17))/(('Lab Analysis'!X489/44)+('Lab Analysis'!Y489/60))),"0")</f>
        <v>0</v>
      </c>
      <c r="P489" s="187" t="str">
        <f>IFERROR((('Lab Analysis'!Z489/18)-('Lab Analysis'!Y489/60))/(('Lab Analysis'!X489/44)+('Lab Analysis'!Y489/60)),"0")</f>
        <v>0</v>
      </c>
      <c r="Q489" s="191"/>
    </row>
    <row r="490" spans="1:17">
      <c r="A490" s="185">
        <v>46304</v>
      </c>
      <c r="B490" s="186" t="str">
        <f>IFERROR(('Lab Analysis'!E490/('Lab Analysis'!E490+(1.364*'Lab Analysis'!D490))),"0")</f>
        <v>0</v>
      </c>
      <c r="C490" s="186" t="str">
        <f>IFERROR((2*'Lab Analysis'!E490/60)/('Lab Analysis'!C490/17+(2*'Lab Analysis'!E490/60)),"0")</f>
        <v>0</v>
      </c>
      <c r="D490" s="187" t="str">
        <f>IFERROR(((2*('Lab Analysis'!E490/60)+('Lab Analysis'!C490/17))/(('Lab Analysis'!D490/44)+('Lab Analysis'!E490/60))),"0")</f>
        <v>0</v>
      </c>
      <c r="E490" s="187" t="str">
        <f>IFERROR((('Lab Analysis'!F490/18)-('Lab Analysis'!E490/60))/(('Lab Analysis'!D490/44)+('Lab Analysis'!E490/60)),"0")</f>
        <v>0</v>
      </c>
      <c r="F490" s="187" t="str">
        <f>IFERROR((('Lab Analysis'!F490/18)/('Lab Analysis'!E490/60)),"0")</f>
        <v>0</v>
      </c>
      <c r="G490" s="188" t="str">
        <f>IFERROR(('Lab Analysis'!I490/('Lab Analysis'!I490+(1.765*'Lab Analysis'!G490))),"0")</f>
        <v>0</v>
      </c>
      <c r="H490" s="189" t="str">
        <f>IFERROR(((2*('Lab Analysis'!I490/60))+('Lab Analysis'!G490/17))/(('Lab Analysis'!H490/44)+('Lab Analysis'!I490/60)),"0")</f>
        <v>0</v>
      </c>
      <c r="I490" s="189" t="str">
        <f>IFERROR((('Lab Analysis'!J490/18)-('Lab Analysis'!I490/60))/(('Lab Analysis'!H490/44)+('Lab Analysis'!I490/60)),"0")</f>
        <v>0</v>
      </c>
      <c r="J490" s="186" t="str">
        <f>IFERROR(('Lab Analysis'!M490/('Lab Analysis'!M490+(1.765*'Lab Analysis'!K490))),"0")</f>
        <v>0</v>
      </c>
      <c r="K490" s="190" t="str">
        <f>IFERROR(((2*('Lab Analysis'!M490/60))+('Lab Analysis'!K490/17))/(('Lab Analysis'!L490/44)+('Lab Analysis'!M490/60)),"0")</f>
        <v>0</v>
      </c>
      <c r="L490" s="190" t="str">
        <f>IFERROR((('Lab Analysis'!N490/18)-('Lab Analysis'!M490/60))/(('Lab Analysis'!L490/44)+('Lab Analysis'!M490/60)),"0")</f>
        <v>0</v>
      </c>
      <c r="M490" s="187" t="str">
        <f>IFERROR(((2*('Lab Analysis'!U490/60))+('Lab Analysis'!S490/17))/(('Lab Analysis'!T490/44)+('Lab Analysis'!U490/60)),"0")</f>
        <v>0</v>
      </c>
      <c r="N490" s="187" t="str">
        <f>IFERROR((('Lab Analysis'!V490/18)-('Lab Analysis'!U490/60))/(('Lab Analysis'!T490/44)+('Lab Analysis'!U490/60)),"0")</f>
        <v>0</v>
      </c>
      <c r="O490" s="187" t="str">
        <f>IFERROR(((2*('Lab Analysis'!Y490/60)+('Lab Analysis'!W490/17))/(('Lab Analysis'!X490/44)+('Lab Analysis'!Y490/60))),"0")</f>
        <v>0</v>
      </c>
      <c r="P490" s="187" t="str">
        <f>IFERROR((('Lab Analysis'!Z490/18)-('Lab Analysis'!Y490/60))/(('Lab Analysis'!X490/44)+('Lab Analysis'!Y490/60)),"0")</f>
        <v>0</v>
      </c>
      <c r="Q490" s="191"/>
    </row>
    <row r="491" spans="1:17">
      <c r="A491" s="185">
        <v>46305</v>
      </c>
      <c r="B491" s="186" t="str">
        <f>IFERROR(('Lab Analysis'!E491/('Lab Analysis'!E491+(1.364*'Lab Analysis'!D491))),"0")</f>
        <v>0</v>
      </c>
      <c r="C491" s="186" t="str">
        <f>IFERROR((2*'Lab Analysis'!E491/60)/('Lab Analysis'!C491/17+(2*'Lab Analysis'!E491/60)),"0")</f>
        <v>0</v>
      </c>
      <c r="D491" s="187" t="str">
        <f>IFERROR(((2*('Lab Analysis'!E491/60)+('Lab Analysis'!C491/17))/(('Lab Analysis'!D491/44)+('Lab Analysis'!E491/60))),"0")</f>
        <v>0</v>
      </c>
      <c r="E491" s="187" t="str">
        <f>IFERROR((('Lab Analysis'!F491/18)-('Lab Analysis'!E491/60))/(('Lab Analysis'!D491/44)+('Lab Analysis'!E491/60)),"0")</f>
        <v>0</v>
      </c>
      <c r="F491" s="187" t="str">
        <f>IFERROR((('Lab Analysis'!F491/18)/('Lab Analysis'!E491/60)),"0")</f>
        <v>0</v>
      </c>
      <c r="G491" s="188" t="str">
        <f>IFERROR(('Lab Analysis'!I491/('Lab Analysis'!I491+(1.765*'Lab Analysis'!G491))),"0")</f>
        <v>0</v>
      </c>
      <c r="H491" s="189" t="str">
        <f>IFERROR(((2*('Lab Analysis'!I491/60))+('Lab Analysis'!G491/17))/(('Lab Analysis'!H491/44)+('Lab Analysis'!I491/60)),"0")</f>
        <v>0</v>
      </c>
      <c r="I491" s="189" t="str">
        <f>IFERROR((('Lab Analysis'!J491/18)-('Lab Analysis'!I491/60))/(('Lab Analysis'!H491/44)+('Lab Analysis'!I491/60)),"0")</f>
        <v>0</v>
      </c>
      <c r="J491" s="186" t="str">
        <f>IFERROR(('Lab Analysis'!M491/('Lab Analysis'!M491+(1.765*'Lab Analysis'!K491))),"0")</f>
        <v>0</v>
      </c>
      <c r="K491" s="190" t="str">
        <f>IFERROR(((2*('Lab Analysis'!M491/60))+('Lab Analysis'!K491/17))/(('Lab Analysis'!L491/44)+('Lab Analysis'!M491/60)),"0")</f>
        <v>0</v>
      </c>
      <c r="L491" s="190" t="str">
        <f>IFERROR((('Lab Analysis'!N491/18)-('Lab Analysis'!M491/60))/(('Lab Analysis'!L491/44)+('Lab Analysis'!M491/60)),"0")</f>
        <v>0</v>
      </c>
      <c r="M491" s="187" t="str">
        <f>IFERROR(((2*('Lab Analysis'!U491/60))+('Lab Analysis'!S491/17))/(('Lab Analysis'!T491/44)+('Lab Analysis'!U491/60)),"0")</f>
        <v>0</v>
      </c>
      <c r="N491" s="187" t="str">
        <f>IFERROR((('Lab Analysis'!V491/18)-('Lab Analysis'!U491/60))/(('Lab Analysis'!T491/44)+('Lab Analysis'!U491/60)),"0")</f>
        <v>0</v>
      </c>
      <c r="O491" s="187" t="str">
        <f>IFERROR(((2*('Lab Analysis'!Y491/60)+('Lab Analysis'!W491/17))/(('Lab Analysis'!X491/44)+('Lab Analysis'!Y491/60))),"0")</f>
        <v>0</v>
      </c>
      <c r="P491" s="187" t="str">
        <f>IFERROR((('Lab Analysis'!Z491/18)-('Lab Analysis'!Y491/60))/(('Lab Analysis'!X491/44)+('Lab Analysis'!Y491/60)),"0")</f>
        <v>0</v>
      </c>
      <c r="Q491" s="191"/>
    </row>
    <row r="492" spans="1:17">
      <c r="A492" s="185">
        <v>46306</v>
      </c>
      <c r="B492" s="186" t="str">
        <f>IFERROR(('Lab Analysis'!E492/('Lab Analysis'!E492+(1.364*'Lab Analysis'!D492))),"0")</f>
        <v>0</v>
      </c>
      <c r="C492" s="186" t="str">
        <f>IFERROR((2*'Lab Analysis'!E492/60)/('Lab Analysis'!C492/17+(2*'Lab Analysis'!E492/60)),"0")</f>
        <v>0</v>
      </c>
      <c r="D492" s="187" t="str">
        <f>IFERROR(((2*('Lab Analysis'!E492/60)+('Lab Analysis'!C492/17))/(('Lab Analysis'!D492/44)+('Lab Analysis'!E492/60))),"0")</f>
        <v>0</v>
      </c>
      <c r="E492" s="187" t="str">
        <f>IFERROR((('Lab Analysis'!F492/18)-('Lab Analysis'!E492/60))/(('Lab Analysis'!D492/44)+('Lab Analysis'!E492/60)),"0")</f>
        <v>0</v>
      </c>
      <c r="F492" s="187" t="str">
        <f>IFERROR((('Lab Analysis'!F492/18)/('Lab Analysis'!E492/60)),"0")</f>
        <v>0</v>
      </c>
      <c r="G492" s="188" t="str">
        <f>IFERROR(('Lab Analysis'!I492/('Lab Analysis'!I492+(1.765*'Lab Analysis'!G492))),"0")</f>
        <v>0</v>
      </c>
      <c r="H492" s="189" t="str">
        <f>IFERROR(((2*('Lab Analysis'!I492/60))+('Lab Analysis'!G492/17))/(('Lab Analysis'!H492/44)+('Lab Analysis'!I492/60)),"0")</f>
        <v>0</v>
      </c>
      <c r="I492" s="189" t="str">
        <f>IFERROR((('Lab Analysis'!J492/18)-('Lab Analysis'!I492/60))/(('Lab Analysis'!H492/44)+('Lab Analysis'!I492/60)),"0")</f>
        <v>0</v>
      </c>
      <c r="J492" s="186" t="str">
        <f>IFERROR(('Lab Analysis'!M492/('Lab Analysis'!M492+(1.765*'Lab Analysis'!K492))),"0")</f>
        <v>0</v>
      </c>
      <c r="K492" s="190" t="str">
        <f>IFERROR(((2*('Lab Analysis'!M492/60))+('Lab Analysis'!K492/17))/(('Lab Analysis'!L492/44)+('Lab Analysis'!M492/60)),"0")</f>
        <v>0</v>
      </c>
      <c r="L492" s="190" t="str">
        <f>IFERROR((('Lab Analysis'!N492/18)-('Lab Analysis'!M492/60))/(('Lab Analysis'!L492/44)+('Lab Analysis'!M492/60)),"0")</f>
        <v>0</v>
      </c>
      <c r="M492" s="187" t="str">
        <f>IFERROR(((2*('Lab Analysis'!U492/60))+('Lab Analysis'!S492/17))/(('Lab Analysis'!T492/44)+('Lab Analysis'!U492/60)),"0")</f>
        <v>0</v>
      </c>
      <c r="N492" s="187" t="str">
        <f>IFERROR((('Lab Analysis'!V492/18)-('Lab Analysis'!U492/60))/(('Lab Analysis'!T492/44)+('Lab Analysis'!U492/60)),"0")</f>
        <v>0</v>
      </c>
      <c r="O492" s="187" t="str">
        <f>IFERROR(((2*('Lab Analysis'!Y492/60)+('Lab Analysis'!W492/17))/(('Lab Analysis'!X492/44)+('Lab Analysis'!Y492/60))),"0")</f>
        <v>0</v>
      </c>
      <c r="P492" s="187" t="str">
        <f>IFERROR((('Lab Analysis'!Z492/18)-('Lab Analysis'!Y492/60))/(('Lab Analysis'!X492/44)+('Lab Analysis'!Y492/60)),"0")</f>
        <v>0</v>
      </c>
      <c r="Q492" s="191"/>
    </row>
    <row r="493" spans="1:17">
      <c r="A493" s="185">
        <v>46307</v>
      </c>
      <c r="B493" s="186" t="str">
        <f>IFERROR(('Lab Analysis'!E493/('Lab Analysis'!E493+(1.364*'Lab Analysis'!D493))),"0")</f>
        <v>0</v>
      </c>
      <c r="C493" s="186" t="str">
        <f>IFERROR((2*'Lab Analysis'!E493/60)/('Lab Analysis'!C493/17+(2*'Lab Analysis'!E493/60)),"0")</f>
        <v>0</v>
      </c>
      <c r="D493" s="187" t="str">
        <f>IFERROR(((2*('Lab Analysis'!E493/60)+('Lab Analysis'!C493/17))/(('Lab Analysis'!D493/44)+('Lab Analysis'!E493/60))),"0")</f>
        <v>0</v>
      </c>
      <c r="E493" s="187" t="str">
        <f>IFERROR((('Lab Analysis'!F493/18)-('Lab Analysis'!E493/60))/(('Lab Analysis'!D493/44)+('Lab Analysis'!E493/60)),"0")</f>
        <v>0</v>
      </c>
      <c r="F493" s="187" t="str">
        <f>IFERROR((('Lab Analysis'!F493/18)/('Lab Analysis'!E493/60)),"0")</f>
        <v>0</v>
      </c>
      <c r="G493" s="188" t="str">
        <f>IFERROR(('Lab Analysis'!I493/('Lab Analysis'!I493+(1.765*'Lab Analysis'!G493))),"0")</f>
        <v>0</v>
      </c>
      <c r="H493" s="189" t="str">
        <f>IFERROR(((2*('Lab Analysis'!I493/60))+('Lab Analysis'!G493/17))/(('Lab Analysis'!H493/44)+('Lab Analysis'!I493/60)),"0")</f>
        <v>0</v>
      </c>
      <c r="I493" s="189" t="str">
        <f>IFERROR((('Lab Analysis'!J493/18)-('Lab Analysis'!I493/60))/(('Lab Analysis'!H493/44)+('Lab Analysis'!I493/60)),"0")</f>
        <v>0</v>
      </c>
      <c r="J493" s="186" t="str">
        <f>IFERROR(('Lab Analysis'!M493/('Lab Analysis'!M493+(1.765*'Lab Analysis'!K493))),"0")</f>
        <v>0</v>
      </c>
      <c r="K493" s="190" t="str">
        <f>IFERROR(((2*('Lab Analysis'!M493/60))+('Lab Analysis'!K493/17))/(('Lab Analysis'!L493/44)+('Lab Analysis'!M493/60)),"0")</f>
        <v>0</v>
      </c>
      <c r="L493" s="190" t="str">
        <f>IFERROR((('Lab Analysis'!N493/18)-('Lab Analysis'!M493/60))/(('Lab Analysis'!L493/44)+('Lab Analysis'!M493/60)),"0")</f>
        <v>0</v>
      </c>
      <c r="M493" s="187" t="str">
        <f>IFERROR(((2*('Lab Analysis'!U493/60))+('Lab Analysis'!S493/17))/(('Lab Analysis'!T493/44)+('Lab Analysis'!U493/60)),"0")</f>
        <v>0</v>
      </c>
      <c r="N493" s="187" t="str">
        <f>IFERROR((('Lab Analysis'!V493/18)-('Lab Analysis'!U493/60))/(('Lab Analysis'!T493/44)+('Lab Analysis'!U493/60)),"0")</f>
        <v>0</v>
      </c>
      <c r="O493" s="187" t="str">
        <f>IFERROR(((2*('Lab Analysis'!Y493/60)+('Lab Analysis'!W493/17))/(('Lab Analysis'!X493/44)+('Lab Analysis'!Y493/60))),"0")</f>
        <v>0</v>
      </c>
      <c r="P493" s="187" t="str">
        <f>IFERROR((('Lab Analysis'!Z493/18)-('Lab Analysis'!Y493/60))/(('Lab Analysis'!X493/44)+('Lab Analysis'!Y493/60)),"0")</f>
        <v>0</v>
      </c>
      <c r="Q493" s="191"/>
    </row>
    <row r="494" spans="1:17">
      <c r="A494" s="185">
        <v>46308</v>
      </c>
      <c r="B494" s="186" t="str">
        <f>IFERROR(('Lab Analysis'!E494/('Lab Analysis'!E494+(1.364*'Lab Analysis'!D494))),"0")</f>
        <v>0</v>
      </c>
      <c r="C494" s="186" t="str">
        <f>IFERROR((2*'Lab Analysis'!E494/60)/('Lab Analysis'!C494/17+(2*'Lab Analysis'!E494/60)),"0")</f>
        <v>0</v>
      </c>
      <c r="D494" s="187" t="str">
        <f>IFERROR(((2*('Lab Analysis'!E494/60)+('Lab Analysis'!C494/17))/(('Lab Analysis'!D494/44)+('Lab Analysis'!E494/60))),"0")</f>
        <v>0</v>
      </c>
      <c r="E494" s="187" t="str">
        <f>IFERROR((('Lab Analysis'!F494/18)-('Lab Analysis'!E494/60))/(('Lab Analysis'!D494/44)+('Lab Analysis'!E494/60)),"0")</f>
        <v>0</v>
      </c>
      <c r="F494" s="187" t="str">
        <f>IFERROR((('Lab Analysis'!F494/18)/('Lab Analysis'!E494/60)),"0")</f>
        <v>0</v>
      </c>
      <c r="G494" s="188" t="str">
        <f>IFERROR(('Lab Analysis'!I494/('Lab Analysis'!I494+(1.765*'Lab Analysis'!G494))),"0")</f>
        <v>0</v>
      </c>
      <c r="H494" s="189" t="str">
        <f>IFERROR(((2*('Lab Analysis'!I494/60))+('Lab Analysis'!G494/17))/(('Lab Analysis'!H494/44)+('Lab Analysis'!I494/60)),"0")</f>
        <v>0</v>
      </c>
      <c r="I494" s="189" t="str">
        <f>IFERROR((('Lab Analysis'!J494/18)-('Lab Analysis'!I494/60))/(('Lab Analysis'!H494/44)+('Lab Analysis'!I494/60)),"0")</f>
        <v>0</v>
      </c>
      <c r="J494" s="186" t="str">
        <f>IFERROR(('Lab Analysis'!M494/('Lab Analysis'!M494+(1.765*'Lab Analysis'!K494))),"0")</f>
        <v>0</v>
      </c>
      <c r="K494" s="190" t="str">
        <f>IFERROR(((2*('Lab Analysis'!M494/60))+('Lab Analysis'!K494/17))/(('Lab Analysis'!L494/44)+('Lab Analysis'!M494/60)),"0")</f>
        <v>0</v>
      </c>
      <c r="L494" s="190" t="str">
        <f>IFERROR((('Lab Analysis'!N494/18)-('Lab Analysis'!M494/60))/(('Lab Analysis'!L494/44)+('Lab Analysis'!M494/60)),"0")</f>
        <v>0</v>
      </c>
      <c r="M494" s="187" t="str">
        <f>IFERROR(((2*('Lab Analysis'!U494/60))+('Lab Analysis'!S494/17))/(('Lab Analysis'!T494/44)+('Lab Analysis'!U494/60)),"0")</f>
        <v>0</v>
      </c>
      <c r="N494" s="187" t="str">
        <f>IFERROR((('Lab Analysis'!V494/18)-('Lab Analysis'!U494/60))/(('Lab Analysis'!T494/44)+('Lab Analysis'!U494/60)),"0")</f>
        <v>0</v>
      </c>
      <c r="O494" s="187" t="str">
        <f>IFERROR(((2*('Lab Analysis'!Y494/60)+('Lab Analysis'!W494/17))/(('Lab Analysis'!X494/44)+('Lab Analysis'!Y494/60))),"0")</f>
        <v>0</v>
      </c>
      <c r="P494" s="187" t="str">
        <f>IFERROR((('Lab Analysis'!Z494/18)-('Lab Analysis'!Y494/60))/(('Lab Analysis'!X494/44)+('Lab Analysis'!Y494/60)),"0")</f>
        <v>0</v>
      </c>
      <c r="Q494" s="191"/>
    </row>
    <row r="495" spans="1:17">
      <c r="A495" s="185">
        <v>46309</v>
      </c>
      <c r="B495" s="186" t="str">
        <f>IFERROR(('Lab Analysis'!E495/('Lab Analysis'!E495+(1.364*'Lab Analysis'!D495))),"0")</f>
        <v>0</v>
      </c>
      <c r="C495" s="186" t="str">
        <f>IFERROR((2*'Lab Analysis'!E495/60)/('Lab Analysis'!C495/17+(2*'Lab Analysis'!E495/60)),"0")</f>
        <v>0</v>
      </c>
      <c r="D495" s="187" t="str">
        <f>IFERROR(((2*('Lab Analysis'!E495/60)+('Lab Analysis'!C495/17))/(('Lab Analysis'!D495/44)+('Lab Analysis'!E495/60))),"0")</f>
        <v>0</v>
      </c>
      <c r="E495" s="187" t="str">
        <f>IFERROR((('Lab Analysis'!F495/18)-('Lab Analysis'!E495/60))/(('Lab Analysis'!D495/44)+('Lab Analysis'!E495/60)),"0")</f>
        <v>0</v>
      </c>
      <c r="F495" s="187" t="str">
        <f>IFERROR((('Lab Analysis'!F495/18)/('Lab Analysis'!E495/60)),"0")</f>
        <v>0</v>
      </c>
      <c r="G495" s="188" t="str">
        <f>IFERROR(('Lab Analysis'!I495/('Lab Analysis'!I495+(1.765*'Lab Analysis'!G495))),"0")</f>
        <v>0</v>
      </c>
      <c r="H495" s="189" t="str">
        <f>IFERROR(((2*('Lab Analysis'!I495/60))+('Lab Analysis'!G495/17))/(('Lab Analysis'!H495/44)+('Lab Analysis'!I495/60)),"0")</f>
        <v>0</v>
      </c>
      <c r="I495" s="189" t="str">
        <f>IFERROR((('Lab Analysis'!J495/18)-('Lab Analysis'!I495/60))/(('Lab Analysis'!H495/44)+('Lab Analysis'!I495/60)),"0")</f>
        <v>0</v>
      </c>
      <c r="J495" s="186" t="str">
        <f>IFERROR(('Lab Analysis'!M495/('Lab Analysis'!M495+(1.765*'Lab Analysis'!K495))),"0")</f>
        <v>0</v>
      </c>
      <c r="K495" s="190" t="str">
        <f>IFERROR(((2*('Lab Analysis'!M495/60))+('Lab Analysis'!K495/17))/(('Lab Analysis'!L495/44)+('Lab Analysis'!M495/60)),"0")</f>
        <v>0</v>
      </c>
      <c r="L495" s="190" t="str">
        <f>IFERROR((('Lab Analysis'!N495/18)-('Lab Analysis'!M495/60))/(('Lab Analysis'!L495/44)+('Lab Analysis'!M495/60)),"0")</f>
        <v>0</v>
      </c>
      <c r="M495" s="187" t="str">
        <f>IFERROR(((2*('Lab Analysis'!U495/60))+('Lab Analysis'!S495/17))/(('Lab Analysis'!T495/44)+('Lab Analysis'!U495/60)),"0")</f>
        <v>0</v>
      </c>
      <c r="N495" s="187" t="str">
        <f>IFERROR((('Lab Analysis'!V495/18)-('Lab Analysis'!U495/60))/(('Lab Analysis'!T495/44)+('Lab Analysis'!U495/60)),"0")</f>
        <v>0</v>
      </c>
      <c r="O495" s="187" t="str">
        <f>IFERROR(((2*('Lab Analysis'!Y495/60)+('Lab Analysis'!W495/17))/(('Lab Analysis'!X495/44)+('Lab Analysis'!Y495/60))),"0")</f>
        <v>0</v>
      </c>
      <c r="P495" s="187" t="str">
        <f>IFERROR((('Lab Analysis'!Z495/18)-('Lab Analysis'!Y495/60))/(('Lab Analysis'!X495/44)+('Lab Analysis'!Y495/60)),"0")</f>
        <v>0</v>
      </c>
      <c r="Q495" s="191"/>
    </row>
    <row r="496" spans="1:17">
      <c r="A496" s="185">
        <v>46310</v>
      </c>
      <c r="B496" s="186" t="str">
        <f>IFERROR(('Lab Analysis'!E496/('Lab Analysis'!E496+(1.364*'Lab Analysis'!D496))),"0")</f>
        <v>0</v>
      </c>
      <c r="C496" s="186" t="str">
        <f>IFERROR((2*'Lab Analysis'!E496/60)/('Lab Analysis'!C496/17+(2*'Lab Analysis'!E496/60)),"0")</f>
        <v>0</v>
      </c>
      <c r="D496" s="187" t="str">
        <f>IFERROR(((2*('Lab Analysis'!E496/60)+('Lab Analysis'!C496/17))/(('Lab Analysis'!D496/44)+('Lab Analysis'!E496/60))),"0")</f>
        <v>0</v>
      </c>
      <c r="E496" s="187" t="str">
        <f>IFERROR((('Lab Analysis'!F496/18)-('Lab Analysis'!E496/60))/(('Lab Analysis'!D496/44)+('Lab Analysis'!E496/60)),"0")</f>
        <v>0</v>
      </c>
      <c r="F496" s="187" t="str">
        <f>IFERROR((('Lab Analysis'!F496/18)/('Lab Analysis'!E496/60)),"0")</f>
        <v>0</v>
      </c>
      <c r="G496" s="188" t="str">
        <f>IFERROR(('Lab Analysis'!I496/('Lab Analysis'!I496+(1.765*'Lab Analysis'!G496))),"0")</f>
        <v>0</v>
      </c>
      <c r="H496" s="189" t="str">
        <f>IFERROR(((2*('Lab Analysis'!I496/60))+('Lab Analysis'!G496/17))/(('Lab Analysis'!H496/44)+('Lab Analysis'!I496/60)),"0")</f>
        <v>0</v>
      </c>
      <c r="I496" s="189" t="str">
        <f>IFERROR((('Lab Analysis'!J496/18)-('Lab Analysis'!I496/60))/(('Lab Analysis'!H496/44)+('Lab Analysis'!I496/60)),"0")</f>
        <v>0</v>
      </c>
      <c r="J496" s="186" t="str">
        <f>IFERROR(('Lab Analysis'!M496/('Lab Analysis'!M496+(1.765*'Lab Analysis'!K496))),"0")</f>
        <v>0</v>
      </c>
      <c r="K496" s="190" t="str">
        <f>IFERROR(((2*('Lab Analysis'!M496/60))+('Lab Analysis'!K496/17))/(('Lab Analysis'!L496/44)+('Lab Analysis'!M496/60)),"0")</f>
        <v>0</v>
      </c>
      <c r="L496" s="190" t="str">
        <f>IFERROR((('Lab Analysis'!N496/18)-('Lab Analysis'!M496/60))/(('Lab Analysis'!L496/44)+('Lab Analysis'!M496/60)),"0")</f>
        <v>0</v>
      </c>
      <c r="M496" s="187" t="str">
        <f>IFERROR(((2*('Lab Analysis'!U496/60))+('Lab Analysis'!S496/17))/(('Lab Analysis'!T496/44)+('Lab Analysis'!U496/60)),"0")</f>
        <v>0</v>
      </c>
      <c r="N496" s="187" t="str">
        <f>IFERROR((('Lab Analysis'!V496/18)-('Lab Analysis'!U496/60))/(('Lab Analysis'!T496/44)+('Lab Analysis'!U496/60)),"0")</f>
        <v>0</v>
      </c>
      <c r="O496" s="187" t="str">
        <f>IFERROR(((2*('Lab Analysis'!Y496/60)+('Lab Analysis'!W496/17))/(('Lab Analysis'!X496/44)+('Lab Analysis'!Y496/60))),"0")</f>
        <v>0</v>
      </c>
      <c r="P496" s="187" t="str">
        <f>IFERROR((('Lab Analysis'!Z496/18)-('Lab Analysis'!Y496/60))/(('Lab Analysis'!X496/44)+('Lab Analysis'!Y496/60)),"0")</f>
        <v>0</v>
      </c>
      <c r="Q496" s="191"/>
    </row>
    <row r="497" spans="1:17">
      <c r="A497" s="185">
        <v>46311</v>
      </c>
      <c r="B497" s="186" t="str">
        <f>IFERROR(('Lab Analysis'!E497/('Lab Analysis'!E497+(1.364*'Lab Analysis'!D497))),"0")</f>
        <v>0</v>
      </c>
      <c r="C497" s="186" t="str">
        <f>IFERROR((2*'Lab Analysis'!E497/60)/('Lab Analysis'!C497/17+(2*'Lab Analysis'!E497/60)),"0")</f>
        <v>0</v>
      </c>
      <c r="D497" s="187" t="str">
        <f>IFERROR(((2*('Lab Analysis'!E497/60)+('Lab Analysis'!C497/17))/(('Lab Analysis'!D497/44)+('Lab Analysis'!E497/60))),"0")</f>
        <v>0</v>
      </c>
      <c r="E497" s="187" t="str">
        <f>IFERROR((('Lab Analysis'!F497/18)-('Lab Analysis'!E497/60))/(('Lab Analysis'!D497/44)+('Lab Analysis'!E497/60)),"0")</f>
        <v>0</v>
      </c>
      <c r="F497" s="187" t="str">
        <f>IFERROR((('Lab Analysis'!F497/18)/('Lab Analysis'!E497/60)),"0")</f>
        <v>0</v>
      </c>
      <c r="G497" s="188" t="str">
        <f>IFERROR(('Lab Analysis'!I497/('Lab Analysis'!I497+(1.765*'Lab Analysis'!G497))),"0")</f>
        <v>0</v>
      </c>
      <c r="H497" s="189" t="str">
        <f>IFERROR(((2*('Lab Analysis'!I497/60))+('Lab Analysis'!G497/17))/(('Lab Analysis'!H497/44)+('Lab Analysis'!I497/60)),"0")</f>
        <v>0</v>
      </c>
      <c r="I497" s="189" t="str">
        <f>IFERROR((('Lab Analysis'!J497/18)-('Lab Analysis'!I497/60))/(('Lab Analysis'!H497/44)+('Lab Analysis'!I497/60)),"0")</f>
        <v>0</v>
      </c>
      <c r="J497" s="186" t="str">
        <f>IFERROR(('Lab Analysis'!M497/('Lab Analysis'!M497+(1.765*'Lab Analysis'!K497))),"0")</f>
        <v>0</v>
      </c>
      <c r="K497" s="190" t="str">
        <f>IFERROR(((2*('Lab Analysis'!M497/60))+('Lab Analysis'!K497/17))/(('Lab Analysis'!L497/44)+('Lab Analysis'!M497/60)),"0")</f>
        <v>0</v>
      </c>
      <c r="L497" s="190" t="str">
        <f>IFERROR((('Lab Analysis'!N497/18)-('Lab Analysis'!M497/60))/(('Lab Analysis'!L497/44)+('Lab Analysis'!M497/60)),"0")</f>
        <v>0</v>
      </c>
      <c r="M497" s="187" t="str">
        <f>IFERROR(((2*('Lab Analysis'!U497/60))+('Lab Analysis'!S497/17))/(('Lab Analysis'!T497/44)+('Lab Analysis'!U497/60)),"0")</f>
        <v>0</v>
      </c>
      <c r="N497" s="187" t="str">
        <f>IFERROR((('Lab Analysis'!V497/18)-('Lab Analysis'!U497/60))/(('Lab Analysis'!T497/44)+('Lab Analysis'!U497/60)),"0")</f>
        <v>0</v>
      </c>
      <c r="O497" s="187" t="str">
        <f>IFERROR(((2*('Lab Analysis'!Y497/60)+('Lab Analysis'!W497/17))/(('Lab Analysis'!X497/44)+('Lab Analysis'!Y497/60))),"0")</f>
        <v>0</v>
      </c>
      <c r="P497" s="187" t="str">
        <f>IFERROR((('Lab Analysis'!Z497/18)-('Lab Analysis'!Y497/60))/(('Lab Analysis'!X497/44)+('Lab Analysis'!Y497/60)),"0")</f>
        <v>0</v>
      </c>
      <c r="Q497" s="191"/>
    </row>
    <row r="498" spans="1:17">
      <c r="A498" s="185">
        <v>46312</v>
      </c>
      <c r="B498" s="186" t="str">
        <f>IFERROR(('Lab Analysis'!E498/('Lab Analysis'!E498+(1.364*'Lab Analysis'!D498))),"0")</f>
        <v>0</v>
      </c>
      <c r="C498" s="186" t="str">
        <f>IFERROR((2*'Lab Analysis'!E498/60)/('Lab Analysis'!C498/17+(2*'Lab Analysis'!E498/60)),"0")</f>
        <v>0</v>
      </c>
      <c r="D498" s="187" t="str">
        <f>IFERROR(((2*('Lab Analysis'!E498/60)+('Lab Analysis'!C498/17))/(('Lab Analysis'!D498/44)+('Lab Analysis'!E498/60))),"0")</f>
        <v>0</v>
      </c>
      <c r="E498" s="187" t="str">
        <f>IFERROR((('Lab Analysis'!F498/18)-('Lab Analysis'!E498/60))/(('Lab Analysis'!D498/44)+('Lab Analysis'!E498/60)),"0")</f>
        <v>0</v>
      </c>
      <c r="F498" s="187" t="str">
        <f>IFERROR((('Lab Analysis'!F498/18)/('Lab Analysis'!E498/60)),"0")</f>
        <v>0</v>
      </c>
      <c r="G498" s="188" t="str">
        <f>IFERROR(('Lab Analysis'!I498/('Lab Analysis'!I498+(1.765*'Lab Analysis'!G498))),"0")</f>
        <v>0</v>
      </c>
      <c r="H498" s="189" t="str">
        <f>IFERROR(((2*('Lab Analysis'!I498/60))+('Lab Analysis'!G498/17))/(('Lab Analysis'!H498/44)+('Lab Analysis'!I498/60)),"0")</f>
        <v>0</v>
      </c>
      <c r="I498" s="189" t="str">
        <f>IFERROR((('Lab Analysis'!J498/18)-('Lab Analysis'!I498/60))/(('Lab Analysis'!H498/44)+('Lab Analysis'!I498/60)),"0")</f>
        <v>0</v>
      </c>
      <c r="J498" s="186" t="str">
        <f>IFERROR(('Lab Analysis'!M498/('Lab Analysis'!M498+(1.765*'Lab Analysis'!K498))),"0")</f>
        <v>0</v>
      </c>
      <c r="K498" s="190" t="str">
        <f>IFERROR(((2*('Lab Analysis'!M498/60))+('Lab Analysis'!K498/17))/(('Lab Analysis'!L498/44)+('Lab Analysis'!M498/60)),"0")</f>
        <v>0</v>
      </c>
      <c r="L498" s="190" t="str">
        <f>IFERROR((('Lab Analysis'!N498/18)-('Lab Analysis'!M498/60))/(('Lab Analysis'!L498/44)+('Lab Analysis'!M498/60)),"0")</f>
        <v>0</v>
      </c>
      <c r="M498" s="187" t="str">
        <f>IFERROR(((2*('Lab Analysis'!U498/60))+('Lab Analysis'!S498/17))/(('Lab Analysis'!T498/44)+('Lab Analysis'!U498/60)),"0")</f>
        <v>0</v>
      </c>
      <c r="N498" s="187" t="str">
        <f>IFERROR((('Lab Analysis'!V498/18)-('Lab Analysis'!U498/60))/(('Lab Analysis'!T498/44)+('Lab Analysis'!U498/60)),"0")</f>
        <v>0</v>
      </c>
      <c r="O498" s="187" t="str">
        <f>IFERROR(((2*('Lab Analysis'!Y498/60)+('Lab Analysis'!W498/17))/(('Lab Analysis'!X498/44)+('Lab Analysis'!Y498/60))),"0")</f>
        <v>0</v>
      </c>
      <c r="P498" s="187" t="str">
        <f>IFERROR((('Lab Analysis'!Z498/18)-('Lab Analysis'!Y498/60))/(('Lab Analysis'!X498/44)+('Lab Analysis'!Y498/60)),"0")</f>
        <v>0</v>
      </c>
      <c r="Q498" s="191"/>
    </row>
    <row r="499" spans="1:17">
      <c r="A499" s="185">
        <v>46313</v>
      </c>
      <c r="B499" s="186" t="str">
        <f>IFERROR(('Lab Analysis'!E499/('Lab Analysis'!E499+(1.364*'Lab Analysis'!D499))),"0")</f>
        <v>0</v>
      </c>
      <c r="C499" s="186" t="str">
        <f>IFERROR((2*'Lab Analysis'!E499/60)/('Lab Analysis'!C499/17+(2*'Lab Analysis'!E499/60)),"0")</f>
        <v>0</v>
      </c>
      <c r="D499" s="187" t="str">
        <f>IFERROR(((2*('Lab Analysis'!E499/60)+('Lab Analysis'!C499/17))/(('Lab Analysis'!D499/44)+('Lab Analysis'!E499/60))),"0")</f>
        <v>0</v>
      </c>
      <c r="E499" s="187" t="str">
        <f>IFERROR((('Lab Analysis'!F499/18)-('Lab Analysis'!E499/60))/(('Lab Analysis'!D499/44)+('Lab Analysis'!E499/60)),"0")</f>
        <v>0</v>
      </c>
      <c r="F499" s="187" t="str">
        <f>IFERROR((('Lab Analysis'!F499/18)/('Lab Analysis'!E499/60)),"0")</f>
        <v>0</v>
      </c>
      <c r="G499" s="188" t="str">
        <f>IFERROR(('Lab Analysis'!I499/('Lab Analysis'!I499+(1.765*'Lab Analysis'!G499))),"0")</f>
        <v>0</v>
      </c>
      <c r="H499" s="189" t="str">
        <f>IFERROR(((2*('Lab Analysis'!I499/60))+('Lab Analysis'!G499/17))/(('Lab Analysis'!H499/44)+('Lab Analysis'!I499/60)),"0")</f>
        <v>0</v>
      </c>
      <c r="I499" s="189" t="str">
        <f>IFERROR((('Lab Analysis'!J499/18)-('Lab Analysis'!I499/60))/(('Lab Analysis'!H499/44)+('Lab Analysis'!I499/60)),"0")</f>
        <v>0</v>
      </c>
      <c r="J499" s="186" t="str">
        <f>IFERROR(('Lab Analysis'!M499/('Lab Analysis'!M499+(1.765*'Lab Analysis'!K499))),"0")</f>
        <v>0</v>
      </c>
      <c r="K499" s="190" t="str">
        <f>IFERROR(((2*('Lab Analysis'!M499/60))+('Lab Analysis'!K499/17))/(('Lab Analysis'!L499/44)+('Lab Analysis'!M499/60)),"0")</f>
        <v>0</v>
      </c>
      <c r="L499" s="190" t="str">
        <f>IFERROR((('Lab Analysis'!N499/18)-('Lab Analysis'!M499/60))/(('Lab Analysis'!L499/44)+('Lab Analysis'!M499/60)),"0")</f>
        <v>0</v>
      </c>
      <c r="M499" s="187" t="str">
        <f>IFERROR(((2*('Lab Analysis'!U499/60))+('Lab Analysis'!S499/17))/(('Lab Analysis'!T499/44)+('Lab Analysis'!U499/60)),"0")</f>
        <v>0</v>
      </c>
      <c r="N499" s="187" t="str">
        <f>IFERROR((('Lab Analysis'!V499/18)-('Lab Analysis'!U499/60))/(('Lab Analysis'!T499/44)+('Lab Analysis'!U499/60)),"0")</f>
        <v>0</v>
      </c>
      <c r="O499" s="187" t="str">
        <f>IFERROR(((2*('Lab Analysis'!Y499/60)+('Lab Analysis'!W499/17))/(('Lab Analysis'!X499/44)+('Lab Analysis'!Y499/60))),"0")</f>
        <v>0</v>
      </c>
      <c r="P499" s="187" t="str">
        <f>IFERROR((('Lab Analysis'!Z499/18)-('Lab Analysis'!Y499/60))/(('Lab Analysis'!X499/44)+('Lab Analysis'!Y499/60)),"0")</f>
        <v>0</v>
      </c>
      <c r="Q499" s="191"/>
    </row>
    <row r="500" spans="1:17">
      <c r="A500" s="185">
        <v>46314</v>
      </c>
      <c r="B500" s="186" t="str">
        <f>IFERROR(('Lab Analysis'!E500/('Lab Analysis'!E500+(1.364*'Lab Analysis'!D500))),"0")</f>
        <v>0</v>
      </c>
      <c r="C500" s="186" t="str">
        <f>IFERROR((2*'Lab Analysis'!E500/60)/('Lab Analysis'!C500/17+(2*'Lab Analysis'!E500/60)),"0")</f>
        <v>0</v>
      </c>
      <c r="D500" s="187" t="str">
        <f>IFERROR(((2*('Lab Analysis'!E500/60)+('Lab Analysis'!C500/17))/(('Lab Analysis'!D500/44)+('Lab Analysis'!E500/60))),"0")</f>
        <v>0</v>
      </c>
      <c r="E500" s="187" t="str">
        <f>IFERROR((('Lab Analysis'!F500/18)-('Lab Analysis'!E500/60))/(('Lab Analysis'!D500/44)+('Lab Analysis'!E500/60)),"0")</f>
        <v>0</v>
      </c>
      <c r="F500" s="187" t="str">
        <f>IFERROR((('Lab Analysis'!F500/18)/('Lab Analysis'!E500/60)),"0")</f>
        <v>0</v>
      </c>
      <c r="G500" s="188" t="str">
        <f>IFERROR(('Lab Analysis'!I500/('Lab Analysis'!I500+(1.765*'Lab Analysis'!G500))),"0")</f>
        <v>0</v>
      </c>
      <c r="H500" s="189" t="str">
        <f>IFERROR(((2*('Lab Analysis'!I500/60))+('Lab Analysis'!G500/17))/(('Lab Analysis'!H500/44)+('Lab Analysis'!I500/60)),"0")</f>
        <v>0</v>
      </c>
      <c r="I500" s="189" t="str">
        <f>IFERROR((('Lab Analysis'!J500/18)-('Lab Analysis'!I500/60))/(('Lab Analysis'!H500/44)+('Lab Analysis'!I500/60)),"0")</f>
        <v>0</v>
      </c>
      <c r="J500" s="186" t="str">
        <f>IFERROR(('Lab Analysis'!M500/('Lab Analysis'!M500+(1.765*'Lab Analysis'!K500))),"0")</f>
        <v>0</v>
      </c>
      <c r="K500" s="190" t="str">
        <f>IFERROR(((2*('Lab Analysis'!M500/60))+('Lab Analysis'!K500/17))/(('Lab Analysis'!L500/44)+('Lab Analysis'!M500/60)),"0")</f>
        <v>0</v>
      </c>
      <c r="L500" s="190" t="str">
        <f>IFERROR((('Lab Analysis'!N500/18)-('Lab Analysis'!M500/60))/(('Lab Analysis'!L500/44)+('Lab Analysis'!M500/60)),"0")</f>
        <v>0</v>
      </c>
      <c r="M500" s="187" t="str">
        <f>IFERROR(((2*('Lab Analysis'!U500/60))+('Lab Analysis'!S500/17))/(('Lab Analysis'!T500/44)+('Lab Analysis'!U500/60)),"0")</f>
        <v>0</v>
      </c>
      <c r="N500" s="187" t="str">
        <f>IFERROR((('Lab Analysis'!V500/18)-('Lab Analysis'!U500/60))/(('Lab Analysis'!T500/44)+('Lab Analysis'!U500/60)),"0")</f>
        <v>0</v>
      </c>
      <c r="O500" s="187" t="str">
        <f>IFERROR(((2*('Lab Analysis'!Y500/60)+('Lab Analysis'!W500/17))/(('Lab Analysis'!X500/44)+('Lab Analysis'!Y500/60))),"0")</f>
        <v>0</v>
      </c>
      <c r="P500" s="187" t="str">
        <f>IFERROR((('Lab Analysis'!Z500/18)-('Lab Analysis'!Y500/60))/(('Lab Analysis'!X500/44)+('Lab Analysis'!Y500/60)),"0")</f>
        <v>0</v>
      </c>
      <c r="Q500" s="191"/>
    </row>
    <row r="501" spans="1:17">
      <c r="A501" s="185">
        <v>46315</v>
      </c>
      <c r="B501" s="186" t="str">
        <f>IFERROR(('Lab Analysis'!E501/('Lab Analysis'!E501+(1.364*'Lab Analysis'!D501))),"0")</f>
        <v>0</v>
      </c>
      <c r="C501" s="186" t="str">
        <f>IFERROR((2*'Lab Analysis'!E501/60)/('Lab Analysis'!C501/17+(2*'Lab Analysis'!E501/60)),"0")</f>
        <v>0</v>
      </c>
      <c r="D501" s="187" t="str">
        <f>IFERROR(((2*('Lab Analysis'!E501/60)+('Lab Analysis'!C501/17))/(('Lab Analysis'!D501/44)+('Lab Analysis'!E501/60))),"0")</f>
        <v>0</v>
      </c>
      <c r="E501" s="187" t="str">
        <f>IFERROR((('Lab Analysis'!F501/18)-('Lab Analysis'!E501/60))/(('Lab Analysis'!D501/44)+('Lab Analysis'!E501/60)),"0")</f>
        <v>0</v>
      </c>
      <c r="F501" s="187" t="str">
        <f>IFERROR((('Lab Analysis'!F501/18)/('Lab Analysis'!E501/60)),"0")</f>
        <v>0</v>
      </c>
      <c r="G501" s="188" t="str">
        <f>IFERROR(('Lab Analysis'!I501/('Lab Analysis'!I501+(1.765*'Lab Analysis'!G501))),"0")</f>
        <v>0</v>
      </c>
      <c r="H501" s="189" t="str">
        <f>IFERROR(((2*('Lab Analysis'!I501/60))+('Lab Analysis'!G501/17))/(('Lab Analysis'!H501/44)+('Lab Analysis'!I501/60)),"0")</f>
        <v>0</v>
      </c>
      <c r="I501" s="189" t="str">
        <f>IFERROR((('Lab Analysis'!J501/18)-('Lab Analysis'!I501/60))/(('Lab Analysis'!H501/44)+('Lab Analysis'!I501/60)),"0")</f>
        <v>0</v>
      </c>
      <c r="J501" s="186" t="str">
        <f>IFERROR(('Lab Analysis'!M501/('Lab Analysis'!M501+(1.765*'Lab Analysis'!K501))),"0")</f>
        <v>0</v>
      </c>
      <c r="K501" s="190" t="str">
        <f>IFERROR(((2*('Lab Analysis'!M501/60))+('Lab Analysis'!K501/17))/(('Lab Analysis'!L501/44)+('Lab Analysis'!M501/60)),"0")</f>
        <v>0</v>
      </c>
      <c r="L501" s="190" t="str">
        <f>IFERROR((('Lab Analysis'!N501/18)-('Lab Analysis'!M501/60))/(('Lab Analysis'!L501/44)+('Lab Analysis'!M501/60)),"0")</f>
        <v>0</v>
      </c>
      <c r="M501" s="187" t="str">
        <f>IFERROR(((2*('Lab Analysis'!U501/60))+('Lab Analysis'!S501/17))/(('Lab Analysis'!T501/44)+('Lab Analysis'!U501/60)),"0")</f>
        <v>0</v>
      </c>
      <c r="N501" s="187" t="str">
        <f>IFERROR((('Lab Analysis'!V501/18)-('Lab Analysis'!U501/60))/(('Lab Analysis'!T501/44)+('Lab Analysis'!U501/60)),"0")</f>
        <v>0</v>
      </c>
      <c r="O501" s="187" t="str">
        <f>IFERROR(((2*('Lab Analysis'!Y501/60)+('Lab Analysis'!W501/17))/(('Lab Analysis'!X501/44)+('Lab Analysis'!Y501/60))),"0")</f>
        <v>0</v>
      </c>
      <c r="P501" s="187" t="str">
        <f>IFERROR((('Lab Analysis'!Z501/18)-('Lab Analysis'!Y501/60))/(('Lab Analysis'!X501/44)+('Lab Analysis'!Y501/60)),"0")</f>
        <v>0</v>
      </c>
      <c r="Q501" s="191"/>
    </row>
    <row r="502" spans="1:17">
      <c r="A502" s="185">
        <v>46316</v>
      </c>
      <c r="B502" s="186" t="str">
        <f>IFERROR(('Lab Analysis'!E502/('Lab Analysis'!E502+(1.364*'Lab Analysis'!D502))),"0")</f>
        <v>0</v>
      </c>
      <c r="C502" s="186" t="str">
        <f>IFERROR((2*'Lab Analysis'!E502/60)/('Lab Analysis'!C502/17+(2*'Lab Analysis'!E502/60)),"0")</f>
        <v>0</v>
      </c>
      <c r="D502" s="187" t="str">
        <f>IFERROR(((2*('Lab Analysis'!E502/60)+('Lab Analysis'!C502/17))/(('Lab Analysis'!D502/44)+('Lab Analysis'!E502/60))),"0")</f>
        <v>0</v>
      </c>
      <c r="E502" s="187" t="str">
        <f>IFERROR((('Lab Analysis'!F502/18)-('Lab Analysis'!E502/60))/(('Lab Analysis'!D502/44)+('Lab Analysis'!E502/60)),"0")</f>
        <v>0</v>
      </c>
      <c r="F502" s="187" t="str">
        <f>IFERROR((('Lab Analysis'!F502/18)/('Lab Analysis'!E502/60)),"0")</f>
        <v>0</v>
      </c>
      <c r="G502" s="188" t="str">
        <f>IFERROR(('Lab Analysis'!I502/('Lab Analysis'!I502+(1.765*'Lab Analysis'!G502))),"0")</f>
        <v>0</v>
      </c>
      <c r="H502" s="189" t="str">
        <f>IFERROR(((2*('Lab Analysis'!I502/60))+('Lab Analysis'!G502/17))/(('Lab Analysis'!H502/44)+('Lab Analysis'!I502/60)),"0")</f>
        <v>0</v>
      </c>
      <c r="I502" s="189" t="str">
        <f>IFERROR((('Lab Analysis'!J502/18)-('Lab Analysis'!I502/60))/(('Lab Analysis'!H502/44)+('Lab Analysis'!I502/60)),"0")</f>
        <v>0</v>
      </c>
      <c r="J502" s="186" t="str">
        <f>IFERROR(('Lab Analysis'!M502/('Lab Analysis'!M502+(1.765*'Lab Analysis'!K502))),"0")</f>
        <v>0</v>
      </c>
      <c r="K502" s="190" t="str">
        <f>IFERROR(((2*('Lab Analysis'!M502/60))+('Lab Analysis'!K502/17))/(('Lab Analysis'!L502/44)+('Lab Analysis'!M502/60)),"0")</f>
        <v>0</v>
      </c>
      <c r="L502" s="190" t="str">
        <f>IFERROR((('Lab Analysis'!N502/18)-('Lab Analysis'!M502/60))/(('Lab Analysis'!L502/44)+('Lab Analysis'!M502/60)),"0")</f>
        <v>0</v>
      </c>
      <c r="M502" s="187" t="str">
        <f>IFERROR(((2*('Lab Analysis'!U502/60))+('Lab Analysis'!S502/17))/(('Lab Analysis'!T502/44)+('Lab Analysis'!U502/60)),"0")</f>
        <v>0</v>
      </c>
      <c r="N502" s="187" t="str">
        <f>IFERROR((('Lab Analysis'!V502/18)-('Lab Analysis'!U502/60))/(('Lab Analysis'!T502/44)+('Lab Analysis'!U502/60)),"0")</f>
        <v>0</v>
      </c>
      <c r="O502" s="187" t="str">
        <f>IFERROR(((2*('Lab Analysis'!Y502/60)+('Lab Analysis'!W502/17))/(('Lab Analysis'!X502/44)+('Lab Analysis'!Y502/60))),"0")</f>
        <v>0</v>
      </c>
      <c r="P502" s="187" t="str">
        <f>IFERROR((('Lab Analysis'!Z502/18)-('Lab Analysis'!Y502/60))/(('Lab Analysis'!X502/44)+('Lab Analysis'!Y502/60)),"0")</f>
        <v>0</v>
      </c>
      <c r="Q502" s="191"/>
    </row>
    <row r="503" spans="1:17">
      <c r="A503" s="185">
        <v>46317</v>
      </c>
      <c r="B503" s="186" t="str">
        <f>IFERROR(('Lab Analysis'!E503/('Lab Analysis'!E503+(1.364*'Lab Analysis'!D503))),"0")</f>
        <v>0</v>
      </c>
      <c r="C503" s="186" t="str">
        <f>IFERROR((2*'Lab Analysis'!E503/60)/('Lab Analysis'!C503/17+(2*'Lab Analysis'!E503/60)),"0")</f>
        <v>0</v>
      </c>
      <c r="D503" s="187" t="str">
        <f>IFERROR(((2*('Lab Analysis'!E503/60)+('Lab Analysis'!C503/17))/(('Lab Analysis'!D503/44)+('Lab Analysis'!E503/60))),"0")</f>
        <v>0</v>
      </c>
      <c r="E503" s="187" t="str">
        <f>IFERROR((('Lab Analysis'!F503/18)-('Lab Analysis'!E503/60))/(('Lab Analysis'!D503/44)+('Lab Analysis'!E503/60)),"0")</f>
        <v>0</v>
      </c>
      <c r="F503" s="187" t="str">
        <f>IFERROR((('Lab Analysis'!F503/18)/('Lab Analysis'!E503/60)),"0")</f>
        <v>0</v>
      </c>
      <c r="G503" s="188" t="str">
        <f>IFERROR(('Lab Analysis'!I503/('Lab Analysis'!I503+(1.765*'Lab Analysis'!G503))),"0")</f>
        <v>0</v>
      </c>
      <c r="H503" s="189" t="str">
        <f>IFERROR(((2*('Lab Analysis'!I503/60))+('Lab Analysis'!G503/17))/(('Lab Analysis'!H503/44)+('Lab Analysis'!I503/60)),"0")</f>
        <v>0</v>
      </c>
      <c r="I503" s="189" t="str">
        <f>IFERROR((('Lab Analysis'!J503/18)-('Lab Analysis'!I503/60))/(('Lab Analysis'!H503/44)+('Lab Analysis'!I503/60)),"0")</f>
        <v>0</v>
      </c>
      <c r="J503" s="186" t="str">
        <f>IFERROR(('Lab Analysis'!M503/('Lab Analysis'!M503+(1.765*'Lab Analysis'!K503))),"0")</f>
        <v>0</v>
      </c>
      <c r="K503" s="190" t="str">
        <f>IFERROR(((2*('Lab Analysis'!M503/60))+('Lab Analysis'!K503/17))/(('Lab Analysis'!L503/44)+('Lab Analysis'!M503/60)),"0")</f>
        <v>0</v>
      </c>
      <c r="L503" s="190" t="str">
        <f>IFERROR((('Lab Analysis'!N503/18)-('Lab Analysis'!M503/60))/(('Lab Analysis'!L503/44)+('Lab Analysis'!M503/60)),"0")</f>
        <v>0</v>
      </c>
      <c r="M503" s="187" t="str">
        <f>IFERROR(((2*('Lab Analysis'!U503/60))+('Lab Analysis'!S503/17))/(('Lab Analysis'!T503/44)+('Lab Analysis'!U503/60)),"0")</f>
        <v>0</v>
      </c>
      <c r="N503" s="187" t="str">
        <f>IFERROR((('Lab Analysis'!V503/18)-('Lab Analysis'!U503/60))/(('Lab Analysis'!T503/44)+('Lab Analysis'!U503/60)),"0")</f>
        <v>0</v>
      </c>
      <c r="O503" s="187" t="str">
        <f>IFERROR(((2*('Lab Analysis'!Y503/60)+('Lab Analysis'!W503/17))/(('Lab Analysis'!X503/44)+('Lab Analysis'!Y503/60))),"0")</f>
        <v>0</v>
      </c>
      <c r="P503" s="187" t="str">
        <f>IFERROR((('Lab Analysis'!Z503/18)-('Lab Analysis'!Y503/60))/(('Lab Analysis'!X503/44)+('Lab Analysis'!Y503/60)),"0")</f>
        <v>0</v>
      </c>
      <c r="Q503" s="191"/>
    </row>
    <row r="504" spans="1:17">
      <c r="A504" s="185">
        <v>46318</v>
      </c>
      <c r="B504" s="186" t="str">
        <f>IFERROR(('Lab Analysis'!E504/('Lab Analysis'!E504+(1.364*'Lab Analysis'!D504))),"0")</f>
        <v>0</v>
      </c>
      <c r="C504" s="186" t="str">
        <f>IFERROR((2*'Lab Analysis'!E504/60)/('Lab Analysis'!C504/17+(2*'Lab Analysis'!E504/60)),"0")</f>
        <v>0</v>
      </c>
      <c r="D504" s="187" t="str">
        <f>IFERROR(((2*('Lab Analysis'!E504/60)+('Lab Analysis'!C504/17))/(('Lab Analysis'!D504/44)+('Lab Analysis'!E504/60))),"0")</f>
        <v>0</v>
      </c>
      <c r="E504" s="187" t="str">
        <f>IFERROR((('Lab Analysis'!F504/18)-('Lab Analysis'!E504/60))/(('Lab Analysis'!D504/44)+('Lab Analysis'!E504/60)),"0")</f>
        <v>0</v>
      </c>
      <c r="F504" s="187" t="str">
        <f>IFERROR((('Lab Analysis'!F504/18)/('Lab Analysis'!E504/60)),"0")</f>
        <v>0</v>
      </c>
      <c r="G504" s="188" t="str">
        <f>IFERROR(('Lab Analysis'!I504/('Lab Analysis'!I504+(1.765*'Lab Analysis'!G504))),"0")</f>
        <v>0</v>
      </c>
      <c r="H504" s="189" t="str">
        <f>IFERROR(((2*('Lab Analysis'!I504/60))+('Lab Analysis'!G504/17))/(('Lab Analysis'!H504/44)+('Lab Analysis'!I504/60)),"0")</f>
        <v>0</v>
      </c>
      <c r="I504" s="189" t="str">
        <f>IFERROR((('Lab Analysis'!J504/18)-('Lab Analysis'!I504/60))/(('Lab Analysis'!H504/44)+('Lab Analysis'!I504/60)),"0")</f>
        <v>0</v>
      </c>
      <c r="J504" s="186" t="str">
        <f>IFERROR(('Lab Analysis'!M504/('Lab Analysis'!M504+(1.765*'Lab Analysis'!K504))),"0")</f>
        <v>0</v>
      </c>
      <c r="K504" s="190" t="str">
        <f>IFERROR(((2*('Lab Analysis'!M504/60))+('Lab Analysis'!K504/17))/(('Lab Analysis'!L504/44)+('Lab Analysis'!M504/60)),"0")</f>
        <v>0</v>
      </c>
      <c r="L504" s="190" t="str">
        <f>IFERROR((('Lab Analysis'!N504/18)-('Lab Analysis'!M504/60))/(('Lab Analysis'!L504/44)+('Lab Analysis'!M504/60)),"0")</f>
        <v>0</v>
      </c>
      <c r="M504" s="187" t="str">
        <f>IFERROR(((2*('Lab Analysis'!U504/60))+('Lab Analysis'!S504/17))/(('Lab Analysis'!T504/44)+('Lab Analysis'!U504/60)),"0")</f>
        <v>0</v>
      </c>
      <c r="N504" s="187" t="str">
        <f>IFERROR((('Lab Analysis'!V504/18)-('Lab Analysis'!U504/60))/(('Lab Analysis'!T504/44)+('Lab Analysis'!U504/60)),"0")</f>
        <v>0</v>
      </c>
      <c r="O504" s="187" t="str">
        <f>IFERROR(((2*('Lab Analysis'!Y504/60)+('Lab Analysis'!W504/17))/(('Lab Analysis'!X504/44)+('Lab Analysis'!Y504/60))),"0")</f>
        <v>0</v>
      </c>
      <c r="P504" s="187" t="str">
        <f>IFERROR((('Lab Analysis'!Z504/18)-('Lab Analysis'!Y504/60))/(('Lab Analysis'!X504/44)+('Lab Analysis'!Y504/60)),"0")</f>
        <v>0</v>
      </c>
      <c r="Q504" s="191"/>
    </row>
    <row r="505" spans="1:17">
      <c r="A505" s="185">
        <v>46319</v>
      </c>
      <c r="B505" s="186" t="str">
        <f>IFERROR(('Lab Analysis'!E505/('Lab Analysis'!E505+(1.364*'Lab Analysis'!D505))),"0")</f>
        <v>0</v>
      </c>
      <c r="C505" s="186" t="str">
        <f>IFERROR((2*'Lab Analysis'!E505/60)/('Lab Analysis'!C505/17+(2*'Lab Analysis'!E505/60)),"0")</f>
        <v>0</v>
      </c>
      <c r="D505" s="187" t="str">
        <f>IFERROR(((2*('Lab Analysis'!E505/60)+('Lab Analysis'!C505/17))/(('Lab Analysis'!D505/44)+('Lab Analysis'!E505/60))),"0")</f>
        <v>0</v>
      </c>
      <c r="E505" s="187" t="str">
        <f>IFERROR((('Lab Analysis'!F505/18)-('Lab Analysis'!E505/60))/(('Lab Analysis'!D505/44)+('Lab Analysis'!E505/60)),"0")</f>
        <v>0</v>
      </c>
      <c r="F505" s="187" t="str">
        <f>IFERROR((('Lab Analysis'!F505/18)/('Lab Analysis'!E505/60)),"0")</f>
        <v>0</v>
      </c>
      <c r="G505" s="188" t="str">
        <f>IFERROR(('Lab Analysis'!I505/('Lab Analysis'!I505+(1.765*'Lab Analysis'!G505))),"0")</f>
        <v>0</v>
      </c>
      <c r="H505" s="189" t="str">
        <f>IFERROR(((2*('Lab Analysis'!I505/60))+('Lab Analysis'!G505/17))/(('Lab Analysis'!H505/44)+('Lab Analysis'!I505/60)),"0")</f>
        <v>0</v>
      </c>
      <c r="I505" s="189" t="str">
        <f>IFERROR((('Lab Analysis'!J505/18)-('Lab Analysis'!I505/60))/(('Lab Analysis'!H505/44)+('Lab Analysis'!I505/60)),"0")</f>
        <v>0</v>
      </c>
      <c r="J505" s="186" t="str">
        <f>IFERROR(('Lab Analysis'!M505/('Lab Analysis'!M505+(1.765*'Lab Analysis'!K505))),"0")</f>
        <v>0</v>
      </c>
      <c r="K505" s="190" t="str">
        <f>IFERROR(((2*('Lab Analysis'!M505/60))+('Lab Analysis'!K505/17))/(('Lab Analysis'!L505/44)+('Lab Analysis'!M505/60)),"0")</f>
        <v>0</v>
      </c>
      <c r="L505" s="190" t="str">
        <f>IFERROR((('Lab Analysis'!N505/18)-('Lab Analysis'!M505/60))/(('Lab Analysis'!L505/44)+('Lab Analysis'!M505/60)),"0")</f>
        <v>0</v>
      </c>
      <c r="M505" s="187" t="str">
        <f>IFERROR(((2*('Lab Analysis'!U505/60))+('Lab Analysis'!S505/17))/(('Lab Analysis'!T505/44)+('Lab Analysis'!U505/60)),"0")</f>
        <v>0</v>
      </c>
      <c r="N505" s="187" t="str">
        <f>IFERROR((('Lab Analysis'!V505/18)-('Lab Analysis'!U505/60))/(('Lab Analysis'!T505/44)+('Lab Analysis'!U505/60)),"0")</f>
        <v>0</v>
      </c>
      <c r="O505" s="187" t="str">
        <f>IFERROR(((2*('Lab Analysis'!Y505/60)+('Lab Analysis'!W505/17))/(('Lab Analysis'!X505/44)+('Lab Analysis'!Y505/60))),"0")</f>
        <v>0</v>
      </c>
      <c r="P505" s="187" t="str">
        <f>IFERROR((('Lab Analysis'!Z505/18)-('Lab Analysis'!Y505/60))/(('Lab Analysis'!X505/44)+('Lab Analysis'!Y505/60)),"0")</f>
        <v>0</v>
      </c>
      <c r="Q505" s="191"/>
    </row>
    <row r="506" spans="1:17">
      <c r="A506" s="185">
        <v>46320</v>
      </c>
      <c r="B506" s="186" t="str">
        <f>IFERROR(('Lab Analysis'!E506/('Lab Analysis'!E506+(1.364*'Lab Analysis'!D506))),"0")</f>
        <v>0</v>
      </c>
      <c r="C506" s="186" t="str">
        <f>IFERROR((2*'Lab Analysis'!E506/60)/('Lab Analysis'!C506/17+(2*'Lab Analysis'!E506/60)),"0")</f>
        <v>0</v>
      </c>
      <c r="D506" s="187" t="str">
        <f>IFERROR(((2*('Lab Analysis'!E506/60)+('Lab Analysis'!C506/17))/(('Lab Analysis'!D506/44)+('Lab Analysis'!E506/60))),"0")</f>
        <v>0</v>
      </c>
      <c r="E506" s="187" t="str">
        <f>IFERROR((('Lab Analysis'!F506/18)-('Lab Analysis'!E506/60))/(('Lab Analysis'!D506/44)+('Lab Analysis'!E506/60)),"0")</f>
        <v>0</v>
      </c>
      <c r="F506" s="187" t="str">
        <f>IFERROR((('Lab Analysis'!F506/18)/('Lab Analysis'!E506/60)),"0")</f>
        <v>0</v>
      </c>
      <c r="G506" s="188" t="str">
        <f>IFERROR(('Lab Analysis'!I506/('Lab Analysis'!I506+(1.765*'Lab Analysis'!G506))),"0")</f>
        <v>0</v>
      </c>
      <c r="H506" s="189" t="str">
        <f>IFERROR(((2*('Lab Analysis'!I506/60))+('Lab Analysis'!G506/17))/(('Lab Analysis'!H506/44)+('Lab Analysis'!I506/60)),"0")</f>
        <v>0</v>
      </c>
      <c r="I506" s="189" t="str">
        <f>IFERROR((('Lab Analysis'!J506/18)-('Lab Analysis'!I506/60))/(('Lab Analysis'!H506/44)+('Lab Analysis'!I506/60)),"0")</f>
        <v>0</v>
      </c>
      <c r="J506" s="186" t="str">
        <f>IFERROR(('Lab Analysis'!M506/('Lab Analysis'!M506+(1.765*'Lab Analysis'!K506))),"0")</f>
        <v>0</v>
      </c>
      <c r="K506" s="190" t="str">
        <f>IFERROR(((2*('Lab Analysis'!M506/60))+('Lab Analysis'!K506/17))/(('Lab Analysis'!L506/44)+('Lab Analysis'!M506/60)),"0")</f>
        <v>0</v>
      </c>
      <c r="L506" s="190" t="str">
        <f>IFERROR((('Lab Analysis'!N506/18)-('Lab Analysis'!M506/60))/(('Lab Analysis'!L506/44)+('Lab Analysis'!M506/60)),"0")</f>
        <v>0</v>
      </c>
      <c r="M506" s="187" t="str">
        <f>IFERROR(((2*('Lab Analysis'!U506/60))+('Lab Analysis'!S506/17))/(('Lab Analysis'!T506/44)+('Lab Analysis'!U506/60)),"0")</f>
        <v>0</v>
      </c>
      <c r="N506" s="187" t="str">
        <f>IFERROR((('Lab Analysis'!V506/18)-('Lab Analysis'!U506/60))/(('Lab Analysis'!T506/44)+('Lab Analysis'!U506/60)),"0")</f>
        <v>0</v>
      </c>
      <c r="O506" s="187" t="str">
        <f>IFERROR(((2*('Lab Analysis'!Y506/60)+('Lab Analysis'!W506/17))/(('Lab Analysis'!X506/44)+('Lab Analysis'!Y506/60))),"0")</f>
        <v>0</v>
      </c>
      <c r="P506" s="187" t="str">
        <f>IFERROR((('Lab Analysis'!Z506/18)-('Lab Analysis'!Y506/60))/(('Lab Analysis'!X506/44)+('Lab Analysis'!Y506/60)),"0")</f>
        <v>0</v>
      </c>
      <c r="Q506" s="191"/>
    </row>
    <row r="507" spans="1:17">
      <c r="A507" s="185">
        <v>46321</v>
      </c>
      <c r="B507" s="186" t="str">
        <f>IFERROR(('Lab Analysis'!E507/('Lab Analysis'!E507+(1.364*'Lab Analysis'!D507))),"0")</f>
        <v>0</v>
      </c>
      <c r="C507" s="186" t="str">
        <f>IFERROR((2*'Lab Analysis'!E507/60)/('Lab Analysis'!C507/17+(2*'Lab Analysis'!E507/60)),"0")</f>
        <v>0</v>
      </c>
      <c r="D507" s="187" t="str">
        <f>IFERROR(((2*('Lab Analysis'!E507/60)+('Lab Analysis'!C507/17))/(('Lab Analysis'!D507/44)+('Lab Analysis'!E507/60))),"0")</f>
        <v>0</v>
      </c>
      <c r="E507" s="187" t="str">
        <f>IFERROR((('Lab Analysis'!F507/18)-('Lab Analysis'!E507/60))/(('Lab Analysis'!D507/44)+('Lab Analysis'!E507/60)),"0")</f>
        <v>0</v>
      </c>
      <c r="F507" s="187" t="str">
        <f>IFERROR((('Lab Analysis'!F507/18)/('Lab Analysis'!E507/60)),"0")</f>
        <v>0</v>
      </c>
      <c r="G507" s="188" t="str">
        <f>IFERROR(('Lab Analysis'!I507/('Lab Analysis'!I507+(1.765*'Lab Analysis'!G507))),"0")</f>
        <v>0</v>
      </c>
      <c r="H507" s="189" t="str">
        <f>IFERROR(((2*('Lab Analysis'!I507/60))+('Lab Analysis'!G507/17))/(('Lab Analysis'!H507/44)+('Lab Analysis'!I507/60)),"0")</f>
        <v>0</v>
      </c>
      <c r="I507" s="189" t="str">
        <f>IFERROR((('Lab Analysis'!J507/18)-('Lab Analysis'!I507/60))/(('Lab Analysis'!H507/44)+('Lab Analysis'!I507/60)),"0")</f>
        <v>0</v>
      </c>
      <c r="J507" s="186" t="str">
        <f>IFERROR(('Lab Analysis'!M507/('Lab Analysis'!M507+(1.765*'Lab Analysis'!K507))),"0")</f>
        <v>0</v>
      </c>
      <c r="K507" s="190" t="str">
        <f>IFERROR(((2*('Lab Analysis'!M507/60))+('Lab Analysis'!K507/17))/(('Lab Analysis'!L507/44)+('Lab Analysis'!M507/60)),"0")</f>
        <v>0</v>
      </c>
      <c r="L507" s="190" t="str">
        <f>IFERROR((('Lab Analysis'!N507/18)-('Lab Analysis'!M507/60))/(('Lab Analysis'!L507/44)+('Lab Analysis'!M507/60)),"0")</f>
        <v>0</v>
      </c>
      <c r="M507" s="187" t="str">
        <f>IFERROR(((2*('Lab Analysis'!U507/60))+('Lab Analysis'!S507/17))/(('Lab Analysis'!T507/44)+('Lab Analysis'!U507/60)),"0")</f>
        <v>0</v>
      </c>
      <c r="N507" s="187" t="str">
        <f>IFERROR((('Lab Analysis'!V507/18)-('Lab Analysis'!U507/60))/(('Lab Analysis'!T507/44)+('Lab Analysis'!U507/60)),"0")</f>
        <v>0</v>
      </c>
      <c r="O507" s="187" t="str">
        <f>IFERROR(((2*('Lab Analysis'!Y507/60)+('Lab Analysis'!W507/17))/(('Lab Analysis'!X507/44)+('Lab Analysis'!Y507/60))),"0")</f>
        <v>0</v>
      </c>
      <c r="P507" s="187" t="str">
        <f>IFERROR((('Lab Analysis'!Z507/18)-('Lab Analysis'!Y507/60))/(('Lab Analysis'!X507/44)+('Lab Analysis'!Y507/60)),"0")</f>
        <v>0</v>
      </c>
      <c r="Q507" s="191"/>
    </row>
    <row r="508" spans="1:17">
      <c r="A508" s="185">
        <v>46322</v>
      </c>
      <c r="B508" s="186" t="str">
        <f>IFERROR(('Lab Analysis'!E508/('Lab Analysis'!E508+(1.364*'Lab Analysis'!D508))),"0")</f>
        <v>0</v>
      </c>
      <c r="C508" s="186" t="str">
        <f>IFERROR((2*'Lab Analysis'!E508/60)/('Lab Analysis'!C508/17+(2*'Lab Analysis'!E508/60)),"0")</f>
        <v>0</v>
      </c>
      <c r="D508" s="187" t="str">
        <f>IFERROR(((2*('Lab Analysis'!E508/60)+('Lab Analysis'!C508/17))/(('Lab Analysis'!D508/44)+('Lab Analysis'!E508/60))),"0")</f>
        <v>0</v>
      </c>
      <c r="E508" s="187" t="str">
        <f>IFERROR((('Lab Analysis'!F508/18)-('Lab Analysis'!E508/60))/(('Lab Analysis'!D508/44)+('Lab Analysis'!E508/60)),"0")</f>
        <v>0</v>
      </c>
      <c r="F508" s="187" t="str">
        <f>IFERROR((('Lab Analysis'!F508/18)/('Lab Analysis'!E508/60)),"0")</f>
        <v>0</v>
      </c>
      <c r="G508" s="188" t="str">
        <f>IFERROR(('Lab Analysis'!I508/('Lab Analysis'!I508+(1.765*'Lab Analysis'!G508))),"0")</f>
        <v>0</v>
      </c>
      <c r="H508" s="189" t="str">
        <f>IFERROR(((2*('Lab Analysis'!I508/60))+('Lab Analysis'!G508/17))/(('Lab Analysis'!H508/44)+('Lab Analysis'!I508/60)),"0")</f>
        <v>0</v>
      </c>
      <c r="I508" s="189" t="str">
        <f>IFERROR((('Lab Analysis'!J508/18)-('Lab Analysis'!I508/60))/(('Lab Analysis'!H508/44)+('Lab Analysis'!I508/60)),"0")</f>
        <v>0</v>
      </c>
      <c r="J508" s="186" t="str">
        <f>IFERROR(('Lab Analysis'!M508/('Lab Analysis'!M508+(1.765*'Lab Analysis'!K508))),"0")</f>
        <v>0</v>
      </c>
      <c r="K508" s="190" t="str">
        <f>IFERROR(((2*('Lab Analysis'!M508/60))+('Lab Analysis'!K508/17))/(('Lab Analysis'!L508/44)+('Lab Analysis'!M508/60)),"0")</f>
        <v>0</v>
      </c>
      <c r="L508" s="190" t="str">
        <f>IFERROR((('Lab Analysis'!N508/18)-('Lab Analysis'!M508/60))/(('Lab Analysis'!L508/44)+('Lab Analysis'!M508/60)),"0")</f>
        <v>0</v>
      </c>
      <c r="M508" s="187" t="str">
        <f>IFERROR(((2*('Lab Analysis'!U508/60))+('Lab Analysis'!S508/17))/(('Lab Analysis'!T508/44)+('Lab Analysis'!U508/60)),"0")</f>
        <v>0</v>
      </c>
      <c r="N508" s="187" t="str">
        <f>IFERROR((('Lab Analysis'!V508/18)-('Lab Analysis'!U508/60))/(('Lab Analysis'!T508/44)+('Lab Analysis'!U508/60)),"0")</f>
        <v>0</v>
      </c>
      <c r="O508" s="187" t="str">
        <f>IFERROR(((2*('Lab Analysis'!Y508/60)+('Lab Analysis'!W508/17))/(('Lab Analysis'!X508/44)+('Lab Analysis'!Y508/60))),"0")</f>
        <v>0</v>
      </c>
      <c r="P508" s="187" t="str">
        <f>IFERROR((('Lab Analysis'!Z508/18)-('Lab Analysis'!Y508/60))/(('Lab Analysis'!X508/44)+('Lab Analysis'!Y508/60)),"0")</f>
        <v>0</v>
      </c>
      <c r="Q508" s="191"/>
    </row>
    <row r="509" spans="1:17">
      <c r="A509" s="185">
        <v>46323</v>
      </c>
      <c r="B509" s="186" t="str">
        <f>IFERROR(('Lab Analysis'!E509/('Lab Analysis'!E509+(1.364*'Lab Analysis'!D509))),"0")</f>
        <v>0</v>
      </c>
      <c r="C509" s="186" t="str">
        <f>IFERROR((2*'Lab Analysis'!E509/60)/('Lab Analysis'!C509/17+(2*'Lab Analysis'!E509/60)),"0")</f>
        <v>0</v>
      </c>
      <c r="D509" s="187" t="str">
        <f>IFERROR(((2*('Lab Analysis'!E509/60)+('Lab Analysis'!C509/17))/(('Lab Analysis'!D509/44)+('Lab Analysis'!E509/60))),"0")</f>
        <v>0</v>
      </c>
      <c r="E509" s="187" t="str">
        <f>IFERROR((('Lab Analysis'!F509/18)-('Lab Analysis'!E509/60))/(('Lab Analysis'!D509/44)+('Lab Analysis'!E509/60)),"0")</f>
        <v>0</v>
      </c>
      <c r="F509" s="187" t="str">
        <f>IFERROR((('Lab Analysis'!F509/18)/('Lab Analysis'!E509/60)),"0")</f>
        <v>0</v>
      </c>
      <c r="G509" s="188" t="str">
        <f>IFERROR(('Lab Analysis'!I509/('Lab Analysis'!I509+(1.765*'Lab Analysis'!G509))),"0")</f>
        <v>0</v>
      </c>
      <c r="H509" s="189" t="str">
        <f>IFERROR(((2*('Lab Analysis'!I509/60))+('Lab Analysis'!G509/17))/(('Lab Analysis'!H509/44)+('Lab Analysis'!I509/60)),"0")</f>
        <v>0</v>
      </c>
      <c r="I509" s="189" t="str">
        <f>IFERROR((('Lab Analysis'!J509/18)-('Lab Analysis'!I509/60))/(('Lab Analysis'!H509/44)+('Lab Analysis'!I509/60)),"0")</f>
        <v>0</v>
      </c>
      <c r="J509" s="186" t="str">
        <f>IFERROR(('Lab Analysis'!M509/('Lab Analysis'!M509+(1.765*'Lab Analysis'!K509))),"0")</f>
        <v>0</v>
      </c>
      <c r="K509" s="190" t="str">
        <f>IFERROR(((2*('Lab Analysis'!M509/60))+('Lab Analysis'!K509/17))/(('Lab Analysis'!L509/44)+('Lab Analysis'!M509/60)),"0")</f>
        <v>0</v>
      </c>
      <c r="L509" s="190" t="str">
        <f>IFERROR((('Lab Analysis'!N509/18)-('Lab Analysis'!M509/60))/(('Lab Analysis'!L509/44)+('Lab Analysis'!M509/60)),"0")</f>
        <v>0</v>
      </c>
      <c r="M509" s="187" t="str">
        <f>IFERROR(((2*('Lab Analysis'!U509/60))+('Lab Analysis'!S509/17))/(('Lab Analysis'!T509/44)+('Lab Analysis'!U509/60)),"0")</f>
        <v>0</v>
      </c>
      <c r="N509" s="187" t="str">
        <f>IFERROR((('Lab Analysis'!V509/18)-('Lab Analysis'!U509/60))/(('Lab Analysis'!T509/44)+('Lab Analysis'!U509/60)),"0")</f>
        <v>0</v>
      </c>
      <c r="O509" s="187" t="str">
        <f>IFERROR(((2*('Lab Analysis'!Y509/60)+('Lab Analysis'!W509/17))/(('Lab Analysis'!X509/44)+('Lab Analysis'!Y509/60))),"0")</f>
        <v>0</v>
      </c>
      <c r="P509" s="187" t="str">
        <f>IFERROR((('Lab Analysis'!Z509/18)-('Lab Analysis'!Y509/60))/(('Lab Analysis'!X509/44)+('Lab Analysis'!Y509/60)),"0")</f>
        <v>0</v>
      </c>
      <c r="Q509" s="191"/>
    </row>
    <row r="510" spans="1:17">
      <c r="A510" s="185">
        <v>46324</v>
      </c>
      <c r="B510" s="186" t="str">
        <f>IFERROR(('Lab Analysis'!E510/('Lab Analysis'!E510+(1.364*'Lab Analysis'!D510))),"0")</f>
        <v>0</v>
      </c>
      <c r="C510" s="186" t="str">
        <f>IFERROR((2*'Lab Analysis'!E510/60)/('Lab Analysis'!C510/17+(2*'Lab Analysis'!E510/60)),"0")</f>
        <v>0</v>
      </c>
      <c r="D510" s="187" t="str">
        <f>IFERROR(((2*('Lab Analysis'!E510/60)+('Lab Analysis'!C510/17))/(('Lab Analysis'!D510/44)+('Lab Analysis'!E510/60))),"0")</f>
        <v>0</v>
      </c>
      <c r="E510" s="187" t="str">
        <f>IFERROR((('Lab Analysis'!F510/18)-('Lab Analysis'!E510/60))/(('Lab Analysis'!D510/44)+('Lab Analysis'!E510/60)),"0")</f>
        <v>0</v>
      </c>
      <c r="F510" s="187" t="str">
        <f>IFERROR((('Lab Analysis'!F510/18)/('Lab Analysis'!E510/60)),"0")</f>
        <v>0</v>
      </c>
      <c r="G510" s="188" t="str">
        <f>IFERROR(('Lab Analysis'!I510/('Lab Analysis'!I510+(1.765*'Lab Analysis'!G510))),"0")</f>
        <v>0</v>
      </c>
      <c r="H510" s="189" t="str">
        <f>IFERROR(((2*('Lab Analysis'!I510/60))+('Lab Analysis'!G510/17))/(('Lab Analysis'!H510/44)+('Lab Analysis'!I510/60)),"0")</f>
        <v>0</v>
      </c>
      <c r="I510" s="189" t="str">
        <f>IFERROR((('Lab Analysis'!J510/18)-('Lab Analysis'!I510/60))/(('Lab Analysis'!H510/44)+('Lab Analysis'!I510/60)),"0")</f>
        <v>0</v>
      </c>
      <c r="J510" s="186" t="str">
        <f>IFERROR(('Lab Analysis'!M510/('Lab Analysis'!M510+(1.765*'Lab Analysis'!K510))),"0")</f>
        <v>0</v>
      </c>
      <c r="K510" s="190" t="str">
        <f>IFERROR(((2*('Lab Analysis'!M510/60))+('Lab Analysis'!K510/17))/(('Lab Analysis'!L510/44)+('Lab Analysis'!M510/60)),"0")</f>
        <v>0</v>
      </c>
      <c r="L510" s="190" t="str">
        <f>IFERROR((('Lab Analysis'!N510/18)-('Lab Analysis'!M510/60))/(('Lab Analysis'!L510/44)+('Lab Analysis'!M510/60)),"0")</f>
        <v>0</v>
      </c>
      <c r="M510" s="187" t="str">
        <f>IFERROR(((2*('Lab Analysis'!U510/60))+('Lab Analysis'!S510/17))/(('Lab Analysis'!T510/44)+('Lab Analysis'!U510/60)),"0")</f>
        <v>0</v>
      </c>
      <c r="N510" s="187" t="str">
        <f>IFERROR((('Lab Analysis'!V510/18)-('Lab Analysis'!U510/60))/(('Lab Analysis'!T510/44)+('Lab Analysis'!U510/60)),"0")</f>
        <v>0</v>
      </c>
      <c r="O510" s="187" t="str">
        <f>IFERROR(((2*('Lab Analysis'!Y510/60)+('Lab Analysis'!W510/17))/(('Lab Analysis'!X510/44)+('Lab Analysis'!Y510/60))),"0")</f>
        <v>0</v>
      </c>
      <c r="P510" s="187" t="str">
        <f>IFERROR((('Lab Analysis'!Z510/18)-('Lab Analysis'!Y510/60))/(('Lab Analysis'!X510/44)+('Lab Analysis'!Y510/60)),"0")</f>
        <v>0</v>
      </c>
      <c r="Q510" s="191"/>
    </row>
    <row r="511" spans="1:17">
      <c r="A511" s="185">
        <v>46325</v>
      </c>
      <c r="B511" s="186" t="str">
        <f>IFERROR(('Lab Analysis'!E511/('Lab Analysis'!E511+(1.364*'Lab Analysis'!D511))),"0")</f>
        <v>0</v>
      </c>
      <c r="C511" s="186" t="str">
        <f>IFERROR((2*'Lab Analysis'!E511/60)/('Lab Analysis'!C511/17+(2*'Lab Analysis'!E511/60)),"0")</f>
        <v>0</v>
      </c>
      <c r="D511" s="187" t="str">
        <f>IFERROR(((2*('Lab Analysis'!E511/60)+('Lab Analysis'!C511/17))/(('Lab Analysis'!D511/44)+('Lab Analysis'!E511/60))),"0")</f>
        <v>0</v>
      </c>
      <c r="E511" s="187" t="str">
        <f>IFERROR((('Lab Analysis'!F511/18)-('Lab Analysis'!E511/60))/(('Lab Analysis'!D511/44)+('Lab Analysis'!E511/60)),"0")</f>
        <v>0</v>
      </c>
      <c r="F511" s="187" t="str">
        <f>IFERROR((('Lab Analysis'!F511/18)/('Lab Analysis'!E511/60)),"0")</f>
        <v>0</v>
      </c>
      <c r="G511" s="188" t="str">
        <f>IFERROR(('Lab Analysis'!I511/('Lab Analysis'!I511+(1.765*'Lab Analysis'!G511))),"0")</f>
        <v>0</v>
      </c>
      <c r="H511" s="189" t="str">
        <f>IFERROR(((2*('Lab Analysis'!I511/60))+('Lab Analysis'!G511/17))/(('Lab Analysis'!H511/44)+('Lab Analysis'!I511/60)),"0")</f>
        <v>0</v>
      </c>
      <c r="I511" s="189" t="str">
        <f>IFERROR((('Lab Analysis'!J511/18)-('Lab Analysis'!I511/60))/(('Lab Analysis'!H511/44)+('Lab Analysis'!I511/60)),"0")</f>
        <v>0</v>
      </c>
      <c r="J511" s="186" t="str">
        <f>IFERROR(('Lab Analysis'!M511/('Lab Analysis'!M511+(1.765*'Lab Analysis'!K511))),"0")</f>
        <v>0</v>
      </c>
      <c r="K511" s="190" t="str">
        <f>IFERROR(((2*('Lab Analysis'!M511/60))+('Lab Analysis'!K511/17))/(('Lab Analysis'!L511/44)+('Lab Analysis'!M511/60)),"0")</f>
        <v>0</v>
      </c>
      <c r="L511" s="190" t="str">
        <f>IFERROR((('Lab Analysis'!N511/18)-('Lab Analysis'!M511/60))/(('Lab Analysis'!L511/44)+('Lab Analysis'!M511/60)),"0")</f>
        <v>0</v>
      </c>
      <c r="M511" s="187" t="str">
        <f>IFERROR(((2*('Lab Analysis'!U511/60))+('Lab Analysis'!S511/17))/(('Lab Analysis'!T511/44)+('Lab Analysis'!U511/60)),"0")</f>
        <v>0</v>
      </c>
      <c r="N511" s="187" t="str">
        <f>IFERROR((('Lab Analysis'!V511/18)-('Lab Analysis'!U511/60))/(('Lab Analysis'!T511/44)+('Lab Analysis'!U511/60)),"0")</f>
        <v>0</v>
      </c>
      <c r="O511" s="187" t="str">
        <f>IFERROR(((2*('Lab Analysis'!Y511/60)+('Lab Analysis'!W511/17))/(('Lab Analysis'!X511/44)+('Lab Analysis'!Y511/60))),"0")</f>
        <v>0</v>
      </c>
      <c r="P511" s="187" t="str">
        <f>IFERROR((('Lab Analysis'!Z511/18)-('Lab Analysis'!Y511/60))/(('Lab Analysis'!X511/44)+('Lab Analysis'!Y511/60)),"0")</f>
        <v>0</v>
      </c>
      <c r="Q511" s="191"/>
    </row>
    <row r="512" spans="1:17">
      <c r="A512" s="185">
        <v>46326</v>
      </c>
      <c r="B512" s="186" t="str">
        <f>IFERROR(('Lab Analysis'!E512/('Lab Analysis'!E512+(1.364*'Lab Analysis'!D512))),"0")</f>
        <v>0</v>
      </c>
      <c r="C512" s="186" t="str">
        <f>IFERROR((2*'Lab Analysis'!E512/60)/('Lab Analysis'!C512/17+(2*'Lab Analysis'!E512/60)),"0")</f>
        <v>0</v>
      </c>
      <c r="D512" s="187" t="str">
        <f>IFERROR(((2*('Lab Analysis'!E512/60)+('Lab Analysis'!C512/17))/(('Lab Analysis'!D512/44)+('Lab Analysis'!E512/60))),"0")</f>
        <v>0</v>
      </c>
      <c r="E512" s="187" t="str">
        <f>IFERROR((('Lab Analysis'!F512/18)-('Lab Analysis'!E512/60))/(('Lab Analysis'!D512/44)+('Lab Analysis'!E512/60)),"0")</f>
        <v>0</v>
      </c>
      <c r="F512" s="187" t="str">
        <f>IFERROR((('Lab Analysis'!F512/18)/('Lab Analysis'!E512/60)),"0")</f>
        <v>0</v>
      </c>
      <c r="G512" s="188" t="str">
        <f>IFERROR(('Lab Analysis'!I512/('Lab Analysis'!I512+(1.765*'Lab Analysis'!G512))),"0")</f>
        <v>0</v>
      </c>
      <c r="H512" s="189" t="str">
        <f>IFERROR(((2*('Lab Analysis'!I512/60))+('Lab Analysis'!G512/17))/(('Lab Analysis'!H512/44)+('Lab Analysis'!I512/60)),"0")</f>
        <v>0</v>
      </c>
      <c r="I512" s="189" t="str">
        <f>IFERROR((('Lab Analysis'!J512/18)-('Lab Analysis'!I512/60))/(('Lab Analysis'!H512/44)+('Lab Analysis'!I512/60)),"0")</f>
        <v>0</v>
      </c>
      <c r="J512" s="186" t="str">
        <f>IFERROR(('Lab Analysis'!M512/('Lab Analysis'!M512+(1.765*'Lab Analysis'!K512))),"0")</f>
        <v>0</v>
      </c>
      <c r="K512" s="190" t="str">
        <f>IFERROR(((2*('Lab Analysis'!M512/60))+('Lab Analysis'!K512/17))/(('Lab Analysis'!L512/44)+('Lab Analysis'!M512/60)),"0")</f>
        <v>0</v>
      </c>
      <c r="L512" s="190" t="str">
        <f>IFERROR((('Lab Analysis'!N512/18)-('Lab Analysis'!M512/60))/(('Lab Analysis'!L512/44)+('Lab Analysis'!M512/60)),"0")</f>
        <v>0</v>
      </c>
      <c r="M512" s="187" t="str">
        <f>IFERROR(((2*('Lab Analysis'!U512/60))+('Lab Analysis'!S512/17))/(('Lab Analysis'!T512/44)+('Lab Analysis'!U512/60)),"0")</f>
        <v>0</v>
      </c>
      <c r="N512" s="187" t="str">
        <f>IFERROR((('Lab Analysis'!V512/18)-('Lab Analysis'!U512/60))/(('Lab Analysis'!T512/44)+('Lab Analysis'!U512/60)),"0")</f>
        <v>0</v>
      </c>
      <c r="O512" s="187" t="str">
        <f>IFERROR(((2*('Lab Analysis'!Y512/60)+('Lab Analysis'!W512/17))/(('Lab Analysis'!X512/44)+('Lab Analysis'!Y512/60))),"0")</f>
        <v>0</v>
      </c>
      <c r="P512" s="187" t="str">
        <f>IFERROR((('Lab Analysis'!Z512/18)-('Lab Analysis'!Y512/60))/(('Lab Analysis'!X512/44)+('Lab Analysis'!Y512/60)),"0")</f>
        <v>0</v>
      </c>
      <c r="Q512" s="191"/>
    </row>
    <row r="513" spans="1:17">
      <c r="A513" s="185">
        <v>46327</v>
      </c>
      <c r="B513" s="186" t="str">
        <f>IFERROR(('Lab Analysis'!E513/('Lab Analysis'!E513+(1.364*'Lab Analysis'!D513))),"0")</f>
        <v>0</v>
      </c>
      <c r="C513" s="186" t="str">
        <f>IFERROR((2*'Lab Analysis'!E513/60)/('Lab Analysis'!C513/17+(2*'Lab Analysis'!E513/60)),"0")</f>
        <v>0</v>
      </c>
      <c r="D513" s="187" t="str">
        <f>IFERROR(((2*('Lab Analysis'!E513/60)+('Lab Analysis'!C513/17))/(('Lab Analysis'!D513/44)+('Lab Analysis'!E513/60))),"0")</f>
        <v>0</v>
      </c>
      <c r="E513" s="187" t="str">
        <f>IFERROR((('Lab Analysis'!F513/18)-('Lab Analysis'!E513/60))/(('Lab Analysis'!D513/44)+('Lab Analysis'!E513/60)),"0")</f>
        <v>0</v>
      </c>
      <c r="F513" s="187" t="str">
        <f>IFERROR((('Lab Analysis'!F513/18)/('Lab Analysis'!E513/60)),"0")</f>
        <v>0</v>
      </c>
      <c r="G513" s="188" t="str">
        <f>IFERROR(('Lab Analysis'!I513/('Lab Analysis'!I513+(1.765*'Lab Analysis'!G513))),"0")</f>
        <v>0</v>
      </c>
      <c r="H513" s="189" t="str">
        <f>IFERROR(((2*('Lab Analysis'!I513/60))+('Lab Analysis'!G513/17))/(('Lab Analysis'!H513/44)+('Lab Analysis'!I513/60)),"0")</f>
        <v>0</v>
      </c>
      <c r="I513" s="189" t="str">
        <f>IFERROR((('Lab Analysis'!J513/18)-('Lab Analysis'!I513/60))/(('Lab Analysis'!H513/44)+('Lab Analysis'!I513/60)),"0")</f>
        <v>0</v>
      </c>
      <c r="J513" s="186" t="str">
        <f>IFERROR(('Lab Analysis'!M513/('Lab Analysis'!M513+(1.765*'Lab Analysis'!K513))),"0")</f>
        <v>0</v>
      </c>
      <c r="K513" s="190" t="str">
        <f>IFERROR(((2*('Lab Analysis'!M513/60))+('Lab Analysis'!K513/17))/(('Lab Analysis'!L513/44)+('Lab Analysis'!M513/60)),"0")</f>
        <v>0</v>
      </c>
      <c r="L513" s="190" t="str">
        <f>IFERROR((('Lab Analysis'!N513/18)-('Lab Analysis'!M513/60))/(('Lab Analysis'!L513/44)+('Lab Analysis'!M513/60)),"0")</f>
        <v>0</v>
      </c>
      <c r="M513" s="187" t="str">
        <f>IFERROR(((2*('Lab Analysis'!U513/60))+('Lab Analysis'!S513/17))/(('Lab Analysis'!T513/44)+('Lab Analysis'!U513/60)),"0")</f>
        <v>0</v>
      </c>
      <c r="N513" s="187" t="str">
        <f>IFERROR((('Lab Analysis'!V513/18)-('Lab Analysis'!U513/60))/(('Lab Analysis'!T513/44)+('Lab Analysis'!U513/60)),"0")</f>
        <v>0</v>
      </c>
      <c r="O513" s="187" t="str">
        <f>IFERROR(((2*('Lab Analysis'!Y513/60)+('Lab Analysis'!W513/17))/(('Lab Analysis'!X513/44)+('Lab Analysis'!Y513/60))),"0")</f>
        <v>0</v>
      </c>
      <c r="P513" s="187" t="str">
        <f>IFERROR((('Lab Analysis'!Z513/18)-('Lab Analysis'!Y513/60))/(('Lab Analysis'!X513/44)+('Lab Analysis'!Y513/60)),"0")</f>
        <v>0</v>
      </c>
      <c r="Q513" s="191"/>
    </row>
    <row r="514" spans="1:17">
      <c r="A514" s="185">
        <v>46328</v>
      </c>
      <c r="B514" s="186" t="str">
        <f>IFERROR(('Lab Analysis'!E514/('Lab Analysis'!E514+(1.364*'Lab Analysis'!D514))),"0")</f>
        <v>0</v>
      </c>
      <c r="C514" s="186" t="str">
        <f>IFERROR((2*'Lab Analysis'!E514/60)/('Lab Analysis'!C514/17+(2*'Lab Analysis'!E514/60)),"0")</f>
        <v>0</v>
      </c>
      <c r="D514" s="187" t="str">
        <f>IFERROR(((2*('Lab Analysis'!E514/60)+('Lab Analysis'!C514/17))/(('Lab Analysis'!D514/44)+('Lab Analysis'!E514/60))),"0")</f>
        <v>0</v>
      </c>
      <c r="E514" s="187" t="str">
        <f>IFERROR((('Lab Analysis'!F514/18)-('Lab Analysis'!E514/60))/(('Lab Analysis'!D514/44)+('Lab Analysis'!E514/60)),"0")</f>
        <v>0</v>
      </c>
      <c r="F514" s="187" t="str">
        <f>IFERROR((('Lab Analysis'!F514/18)/('Lab Analysis'!E514/60)),"0")</f>
        <v>0</v>
      </c>
      <c r="G514" s="188" t="str">
        <f>IFERROR(('Lab Analysis'!I514/('Lab Analysis'!I514+(1.765*'Lab Analysis'!G514))),"0")</f>
        <v>0</v>
      </c>
      <c r="H514" s="189" t="str">
        <f>IFERROR(((2*('Lab Analysis'!I514/60))+('Lab Analysis'!G514/17))/(('Lab Analysis'!H514/44)+('Lab Analysis'!I514/60)),"0")</f>
        <v>0</v>
      </c>
      <c r="I514" s="189" t="str">
        <f>IFERROR((('Lab Analysis'!J514/18)-('Lab Analysis'!I514/60))/(('Lab Analysis'!H514/44)+('Lab Analysis'!I514/60)),"0")</f>
        <v>0</v>
      </c>
      <c r="J514" s="186" t="str">
        <f>IFERROR(('Lab Analysis'!M514/('Lab Analysis'!M514+(1.765*'Lab Analysis'!K514))),"0")</f>
        <v>0</v>
      </c>
      <c r="K514" s="190" t="str">
        <f>IFERROR(((2*('Lab Analysis'!M514/60))+('Lab Analysis'!K514/17))/(('Lab Analysis'!L514/44)+('Lab Analysis'!M514/60)),"0")</f>
        <v>0</v>
      </c>
      <c r="L514" s="190" t="str">
        <f>IFERROR((('Lab Analysis'!N514/18)-('Lab Analysis'!M514/60))/(('Lab Analysis'!L514/44)+('Lab Analysis'!M514/60)),"0")</f>
        <v>0</v>
      </c>
      <c r="M514" s="187" t="str">
        <f>IFERROR(((2*('Lab Analysis'!U514/60))+('Lab Analysis'!S514/17))/(('Lab Analysis'!T514/44)+('Lab Analysis'!U514/60)),"0")</f>
        <v>0</v>
      </c>
      <c r="N514" s="187" t="str">
        <f>IFERROR((('Lab Analysis'!V514/18)-('Lab Analysis'!U514/60))/(('Lab Analysis'!T514/44)+('Lab Analysis'!U514/60)),"0")</f>
        <v>0</v>
      </c>
      <c r="O514" s="187" t="str">
        <f>IFERROR(((2*('Lab Analysis'!Y514/60)+('Lab Analysis'!W514/17))/(('Lab Analysis'!X514/44)+('Lab Analysis'!Y514/60))),"0")</f>
        <v>0</v>
      </c>
      <c r="P514" s="187" t="str">
        <f>IFERROR((('Lab Analysis'!Z514/18)-('Lab Analysis'!Y514/60))/(('Lab Analysis'!X514/44)+('Lab Analysis'!Y514/60)),"0")</f>
        <v>0</v>
      </c>
      <c r="Q514" s="191"/>
    </row>
    <row r="515" spans="1:17">
      <c r="A515" s="185">
        <v>46329</v>
      </c>
      <c r="B515" s="186" t="str">
        <f>IFERROR(('Lab Analysis'!E515/('Lab Analysis'!E515+(1.364*'Lab Analysis'!D515))),"0")</f>
        <v>0</v>
      </c>
      <c r="C515" s="186" t="str">
        <f>IFERROR((2*'Lab Analysis'!E515/60)/('Lab Analysis'!C515/17+(2*'Lab Analysis'!E515/60)),"0")</f>
        <v>0</v>
      </c>
      <c r="D515" s="187" t="str">
        <f>IFERROR(((2*('Lab Analysis'!E515/60)+('Lab Analysis'!C515/17))/(('Lab Analysis'!D515/44)+('Lab Analysis'!E515/60))),"0")</f>
        <v>0</v>
      </c>
      <c r="E515" s="187" t="str">
        <f>IFERROR((('Lab Analysis'!F515/18)-('Lab Analysis'!E515/60))/(('Lab Analysis'!D515/44)+('Lab Analysis'!E515/60)),"0")</f>
        <v>0</v>
      </c>
      <c r="F515" s="187" t="str">
        <f>IFERROR((('Lab Analysis'!F515/18)/('Lab Analysis'!E515/60)),"0")</f>
        <v>0</v>
      </c>
      <c r="G515" s="188" t="str">
        <f>IFERROR(('Lab Analysis'!I515/('Lab Analysis'!I515+(1.765*'Lab Analysis'!G515))),"0")</f>
        <v>0</v>
      </c>
      <c r="H515" s="189" t="str">
        <f>IFERROR(((2*('Lab Analysis'!I515/60))+('Lab Analysis'!G515/17))/(('Lab Analysis'!H515/44)+('Lab Analysis'!I515/60)),"0")</f>
        <v>0</v>
      </c>
      <c r="I515" s="189" t="str">
        <f>IFERROR((('Lab Analysis'!J515/18)-('Lab Analysis'!I515/60))/(('Lab Analysis'!H515/44)+('Lab Analysis'!I515/60)),"0")</f>
        <v>0</v>
      </c>
      <c r="J515" s="186" t="str">
        <f>IFERROR(('Lab Analysis'!M515/('Lab Analysis'!M515+(1.765*'Lab Analysis'!K515))),"0")</f>
        <v>0</v>
      </c>
      <c r="K515" s="190" t="str">
        <f>IFERROR(((2*('Lab Analysis'!M515/60))+('Lab Analysis'!K515/17))/(('Lab Analysis'!L515/44)+('Lab Analysis'!M515/60)),"0")</f>
        <v>0</v>
      </c>
      <c r="L515" s="190" t="str">
        <f>IFERROR((('Lab Analysis'!N515/18)-('Lab Analysis'!M515/60))/(('Lab Analysis'!L515/44)+('Lab Analysis'!M515/60)),"0")</f>
        <v>0</v>
      </c>
      <c r="M515" s="187" t="str">
        <f>IFERROR(((2*('Lab Analysis'!U515/60))+('Lab Analysis'!S515/17))/(('Lab Analysis'!T515/44)+('Lab Analysis'!U515/60)),"0")</f>
        <v>0</v>
      </c>
      <c r="N515" s="187" t="str">
        <f>IFERROR((('Lab Analysis'!V515/18)-('Lab Analysis'!U515/60))/(('Lab Analysis'!T515/44)+('Lab Analysis'!U515/60)),"0")</f>
        <v>0</v>
      </c>
      <c r="O515" s="187" t="str">
        <f>IFERROR(((2*('Lab Analysis'!Y515/60)+('Lab Analysis'!W515/17))/(('Lab Analysis'!X515/44)+('Lab Analysis'!Y515/60))),"0")</f>
        <v>0</v>
      </c>
      <c r="P515" s="187" t="str">
        <f>IFERROR((('Lab Analysis'!Z515/18)-('Lab Analysis'!Y515/60))/(('Lab Analysis'!X515/44)+('Lab Analysis'!Y515/60)),"0")</f>
        <v>0</v>
      </c>
      <c r="Q515" s="191"/>
    </row>
    <row r="516" spans="1:17">
      <c r="A516" s="185">
        <v>46330</v>
      </c>
      <c r="B516" s="186" t="str">
        <f>IFERROR(('Lab Analysis'!E516/('Lab Analysis'!E516+(1.364*'Lab Analysis'!D516))),"0")</f>
        <v>0</v>
      </c>
      <c r="C516" s="186" t="str">
        <f>IFERROR((2*'Lab Analysis'!E516/60)/('Lab Analysis'!C516/17+(2*'Lab Analysis'!E516/60)),"0")</f>
        <v>0</v>
      </c>
      <c r="D516" s="187" t="str">
        <f>IFERROR(((2*('Lab Analysis'!E516/60)+('Lab Analysis'!C516/17))/(('Lab Analysis'!D516/44)+('Lab Analysis'!E516/60))),"0")</f>
        <v>0</v>
      </c>
      <c r="E516" s="187" t="str">
        <f>IFERROR((('Lab Analysis'!F516/18)-('Lab Analysis'!E516/60))/(('Lab Analysis'!D516/44)+('Lab Analysis'!E516/60)),"0")</f>
        <v>0</v>
      </c>
      <c r="F516" s="187" t="str">
        <f>IFERROR((('Lab Analysis'!F516/18)/('Lab Analysis'!E516/60)),"0")</f>
        <v>0</v>
      </c>
      <c r="G516" s="188" t="str">
        <f>IFERROR(('Lab Analysis'!I516/('Lab Analysis'!I516+(1.765*'Lab Analysis'!G516))),"0")</f>
        <v>0</v>
      </c>
      <c r="H516" s="189" t="str">
        <f>IFERROR(((2*('Lab Analysis'!I516/60))+('Lab Analysis'!G516/17))/(('Lab Analysis'!H516/44)+('Lab Analysis'!I516/60)),"0")</f>
        <v>0</v>
      </c>
      <c r="I516" s="189" t="str">
        <f>IFERROR((('Lab Analysis'!J516/18)-('Lab Analysis'!I516/60))/(('Lab Analysis'!H516/44)+('Lab Analysis'!I516/60)),"0")</f>
        <v>0</v>
      </c>
      <c r="J516" s="186" t="str">
        <f>IFERROR(('Lab Analysis'!M516/('Lab Analysis'!M516+(1.765*'Lab Analysis'!K516))),"0")</f>
        <v>0</v>
      </c>
      <c r="K516" s="190" t="str">
        <f>IFERROR(((2*('Lab Analysis'!M516/60))+('Lab Analysis'!K516/17))/(('Lab Analysis'!L516/44)+('Lab Analysis'!M516/60)),"0")</f>
        <v>0</v>
      </c>
      <c r="L516" s="190" t="str">
        <f>IFERROR((('Lab Analysis'!N516/18)-('Lab Analysis'!M516/60))/(('Lab Analysis'!L516/44)+('Lab Analysis'!M516/60)),"0")</f>
        <v>0</v>
      </c>
      <c r="M516" s="187" t="str">
        <f>IFERROR(((2*('Lab Analysis'!U516/60))+('Lab Analysis'!S516/17))/(('Lab Analysis'!T516/44)+('Lab Analysis'!U516/60)),"0")</f>
        <v>0</v>
      </c>
      <c r="N516" s="187" t="str">
        <f>IFERROR((('Lab Analysis'!V516/18)-('Lab Analysis'!U516/60))/(('Lab Analysis'!T516/44)+('Lab Analysis'!U516/60)),"0")</f>
        <v>0</v>
      </c>
      <c r="O516" s="187" t="str">
        <f>IFERROR(((2*('Lab Analysis'!Y516/60)+('Lab Analysis'!W516/17))/(('Lab Analysis'!X516/44)+('Lab Analysis'!Y516/60))),"0")</f>
        <v>0</v>
      </c>
      <c r="P516" s="187" t="str">
        <f>IFERROR((('Lab Analysis'!Z516/18)-('Lab Analysis'!Y516/60))/(('Lab Analysis'!X516/44)+('Lab Analysis'!Y516/60)),"0")</f>
        <v>0</v>
      </c>
      <c r="Q516" s="191"/>
    </row>
    <row r="517" spans="1:17">
      <c r="A517" s="185">
        <v>46331</v>
      </c>
      <c r="B517" s="186" t="str">
        <f>IFERROR(('Lab Analysis'!E517/('Lab Analysis'!E517+(1.364*'Lab Analysis'!D517))),"0")</f>
        <v>0</v>
      </c>
      <c r="C517" s="186" t="str">
        <f>IFERROR((2*'Lab Analysis'!E517/60)/('Lab Analysis'!C517/17+(2*'Lab Analysis'!E517/60)),"0")</f>
        <v>0</v>
      </c>
      <c r="D517" s="187" t="str">
        <f>IFERROR(((2*('Lab Analysis'!E517/60)+('Lab Analysis'!C517/17))/(('Lab Analysis'!D517/44)+('Lab Analysis'!E517/60))),"0")</f>
        <v>0</v>
      </c>
      <c r="E517" s="187" t="str">
        <f>IFERROR((('Lab Analysis'!F517/18)-('Lab Analysis'!E517/60))/(('Lab Analysis'!D517/44)+('Lab Analysis'!E517/60)),"0")</f>
        <v>0</v>
      </c>
      <c r="F517" s="187" t="str">
        <f>IFERROR((('Lab Analysis'!F517/18)/('Lab Analysis'!E517/60)),"0")</f>
        <v>0</v>
      </c>
      <c r="G517" s="188" t="str">
        <f>IFERROR(('Lab Analysis'!I517/('Lab Analysis'!I517+(1.765*'Lab Analysis'!G517))),"0")</f>
        <v>0</v>
      </c>
      <c r="H517" s="189" t="str">
        <f>IFERROR(((2*('Lab Analysis'!I517/60))+('Lab Analysis'!G517/17))/(('Lab Analysis'!H517/44)+('Lab Analysis'!I517/60)),"0")</f>
        <v>0</v>
      </c>
      <c r="I517" s="189" t="str">
        <f>IFERROR((('Lab Analysis'!J517/18)-('Lab Analysis'!I517/60))/(('Lab Analysis'!H517/44)+('Lab Analysis'!I517/60)),"0")</f>
        <v>0</v>
      </c>
      <c r="J517" s="186" t="str">
        <f>IFERROR(('Lab Analysis'!M517/('Lab Analysis'!M517+(1.765*'Lab Analysis'!K517))),"0")</f>
        <v>0</v>
      </c>
      <c r="K517" s="190" t="str">
        <f>IFERROR(((2*('Lab Analysis'!M517/60))+('Lab Analysis'!K517/17))/(('Lab Analysis'!L517/44)+('Lab Analysis'!M517/60)),"0")</f>
        <v>0</v>
      </c>
      <c r="L517" s="190" t="str">
        <f>IFERROR((('Lab Analysis'!N517/18)-('Lab Analysis'!M517/60))/(('Lab Analysis'!L517/44)+('Lab Analysis'!M517/60)),"0")</f>
        <v>0</v>
      </c>
      <c r="M517" s="187" t="str">
        <f>IFERROR(((2*('Lab Analysis'!U517/60))+('Lab Analysis'!S517/17))/(('Lab Analysis'!T517/44)+('Lab Analysis'!U517/60)),"0")</f>
        <v>0</v>
      </c>
      <c r="N517" s="187" t="str">
        <f>IFERROR((('Lab Analysis'!V517/18)-('Lab Analysis'!U517/60))/(('Lab Analysis'!T517/44)+('Lab Analysis'!U517/60)),"0")</f>
        <v>0</v>
      </c>
      <c r="O517" s="187" t="str">
        <f>IFERROR(((2*('Lab Analysis'!Y517/60)+('Lab Analysis'!W517/17))/(('Lab Analysis'!X517/44)+('Lab Analysis'!Y517/60))),"0")</f>
        <v>0</v>
      </c>
      <c r="P517" s="187" t="str">
        <f>IFERROR((('Lab Analysis'!Z517/18)-('Lab Analysis'!Y517/60))/(('Lab Analysis'!X517/44)+('Lab Analysis'!Y517/60)),"0")</f>
        <v>0</v>
      </c>
      <c r="Q517" s="191"/>
    </row>
    <row r="518" spans="1:17">
      <c r="A518" s="185">
        <v>46332</v>
      </c>
      <c r="B518" s="186" t="str">
        <f>IFERROR(('Lab Analysis'!E518/('Lab Analysis'!E518+(1.364*'Lab Analysis'!D518))),"0")</f>
        <v>0</v>
      </c>
      <c r="C518" s="186" t="str">
        <f>IFERROR((2*'Lab Analysis'!E518/60)/('Lab Analysis'!C518/17+(2*'Lab Analysis'!E518/60)),"0")</f>
        <v>0</v>
      </c>
      <c r="D518" s="187" t="str">
        <f>IFERROR(((2*('Lab Analysis'!E518/60)+('Lab Analysis'!C518/17))/(('Lab Analysis'!D518/44)+('Lab Analysis'!E518/60))),"0")</f>
        <v>0</v>
      </c>
      <c r="E518" s="187" t="str">
        <f>IFERROR((('Lab Analysis'!F518/18)-('Lab Analysis'!E518/60))/(('Lab Analysis'!D518/44)+('Lab Analysis'!E518/60)),"0")</f>
        <v>0</v>
      </c>
      <c r="F518" s="187" t="str">
        <f>IFERROR((('Lab Analysis'!F518/18)/('Lab Analysis'!E518/60)),"0")</f>
        <v>0</v>
      </c>
      <c r="G518" s="188" t="str">
        <f>IFERROR(('Lab Analysis'!I518/('Lab Analysis'!I518+(1.765*'Lab Analysis'!G518))),"0")</f>
        <v>0</v>
      </c>
      <c r="H518" s="189" t="str">
        <f>IFERROR(((2*('Lab Analysis'!I518/60))+('Lab Analysis'!G518/17))/(('Lab Analysis'!H518/44)+('Lab Analysis'!I518/60)),"0")</f>
        <v>0</v>
      </c>
      <c r="I518" s="189" t="str">
        <f>IFERROR((('Lab Analysis'!J518/18)-('Lab Analysis'!I518/60))/(('Lab Analysis'!H518/44)+('Lab Analysis'!I518/60)),"0")</f>
        <v>0</v>
      </c>
      <c r="J518" s="186" t="str">
        <f>IFERROR(('Lab Analysis'!M518/('Lab Analysis'!M518+(1.765*'Lab Analysis'!K518))),"0")</f>
        <v>0</v>
      </c>
      <c r="K518" s="190" t="str">
        <f>IFERROR(((2*('Lab Analysis'!M518/60))+('Lab Analysis'!K518/17))/(('Lab Analysis'!L518/44)+('Lab Analysis'!M518/60)),"0")</f>
        <v>0</v>
      </c>
      <c r="L518" s="190" t="str">
        <f>IFERROR((('Lab Analysis'!N518/18)-('Lab Analysis'!M518/60))/(('Lab Analysis'!L518/44)+('Lab Analysis'!M518/60)),"0")</f>
        <v>0</v>
      </c>
      <c r="M518" s="187" t="str">
        <f>IFERROR(((2*('Lab Analysis'!U518/60))+('Lab Analysis'!S518/17))/(('Lab Analysis'!T518/44)+('Lab Analysis'!U518/60)),"0")</f>
        <v>0</v>
      </c>
      <c r="N518" s="187" t="str">
        <f>IFERROR((('Lab Analysis'!V518/18)-('Lab Analysis'!U518/60))/(('Lab Analysis'!T518/44)+('Lab Analysis'!U518/60)),"0")</f>
        <v>0</v>
      </c>
      <c r="O518" s="187" t="str">
        <f>IFERROR(((2*('Lab Analysis'!Y518/60)+('Lab Analysis'!W518/17))/(('Lab Analysis'!X518/44)+('Lab Analysis'!Y518/60))),"0")</f>
        <v>0</v>
      </c>
      <c r="P518" s="187" t="str">
        <f>IFERROR((('Lab Analysis'!Z518/18)-('Lab Analysis'!Y518/60))/(('Lab Analysis'!X518/44)+('Lab Analysis'!Y518/60)),"0")</f>
        <v>0</v>
      </c>
      <c r="Q518" s="191"/>
    </row>
    <row r="519" spans="1:17">
      <c r="A519" s="185">
        <v>46333</v>
      </c>
      <c r="B519" s="186" t="str">
        <f>IFERROR(('Lab Analysis'!E519/('Lab Analysis'!E519+(1.364*'Lab Analysis'!D519))),"0")</f>
        <v>0</v>
      </c>
      <c r="C519" s="186" t="str">
        <f>IFERROR((2*'Lab Analysis'!E519/60)/('Lab Analysis'!C519/17+(2*'Lab Analysis'!E519/60)),"0")</f>
        <v>0</v>
      </c>
      <c r="D519" s="187" t="str">
        <f>IFERROR(((2*('Lab Analysis'!E519/60)+('Lab Analysis'!C519/17))/(('Lab Analysis'!D519/44)+('Lab Analysis'!E519/60))),"0")</f>
        <v>0</v>
      </c>
      <c r="E519" s="187" t="str">
        <f>IFERROR((('Lab Analysis'!F519/18)-('Lab Analysis'!E519/60))/(('Lab Analysis'!D519/44)+('Lab Analysis'!E519/60)),"0")</f>
        <v>0</v>
      </c>
      <c r="F519" s="187" t="str">
        <f>IFERROR((('Lab Analysis'!F519/18)/('Lab Analysis'!E519/60)),"0")</f>
        <v>0</v>
      </c>
      <c r="G519" s="188" t="str">
        <f>IFERROR(('Lab Analysis'!I519/('Lab Analysis'!I519+(1.765*'Lab Analysis'!G519))),"0")</f>
        <v>0</v>
      </c>
      <c r="H519" s="189" t="str">
        <f>IFERROR(((2*('Lab Analysis'!I519/60))+('Lab Analysis'!G519/17))/(('Lab Analysis'!H519/44)+('Lab Analysis'!I519/60)),"0")</f>
        <v>0</v>
      </c>
      <c r="I519" s="189" t="str">
        <f>IFERROR((('Lab Analysis'!J519/18)-('Lab Analysis'!I519/60))/(('Lab Analysis'!H519/44)+('Lab Analysis'!I519/60)),"0")</f>
        <v>0</v>
      </c>
      <c r="J519" s="186" t="str">
        <f>IFERROR(('Lab Analysis'!M519/('Lab Analysis'!M519+(1.765*'Lab Analysis'!K519))),"0")</f>
        <v>0</v>
      </c>
      <c r="K519" s="190" t="str">
        <f>IFERROR(((2*('Lab Analysis'!M519/60))+('Lab Analysis'!K519/17))/(('Lab Analysis'!L519/44)+('Lab Analysis'!M519/60)),"0")</f>
        <v>0</v>
      </c>
      <c r="L519" s="190" t="str">
        <f>IFERROR((('Lab Analysis'!N519/18)-('Lab Analysis'!M519/60))/(('Lab Analysis'!L519/44)+('Lab Analysis'!M519/60)),"0")</f>
        <v>0</v>
      </c>
      <c r="M519" s="187" t="str">
        <f>IFERROR(((2*('Lab Analysis'!U519/60))+('Lab Analysis'!S519/17))/(('Lab Analysis'!T519/44)+('Lab Analysis'!U519/60)),"0")</f>
        <v>0</v>
      </c>
      <c r="N519" s="187" t="str">
        <f>IFERROR((('Lab Analysis'!V519/18)-('Lab Analysis'!U519/60))/(('Lab Analysis'!T519/44)+('Lab Analysis'!U519/60)),"0")</f>
        <v>0</v>
      </c>
      <c r="O519" s="187" t="str">
        <f>IFERROR(((2*('Lab Analysis'!Y519/60)+('Lab Analysis'!W519/17))/(('Lab Analysis'!X519/44)+('Lab Analysis'!Y519/60))),"0")</f>
        <v>0</v>
      </c>
      <c r="P519" s="187" t="str">
        <f>IFERROR((('Lab Analysis'!Z519/18)-('Lab Analysis'!Y519/60))/(('Lab Analysis'!X519/44)+('Lab Analysis'!Y519/60)),"0")</f>
        <v>0</v>
      </c>
      <c r="Q519" s="191"/>
    </row>
    <row r="520" spans="1:17">
      <c r="A520" s="185">
        <v>46334</v>
      </c>
      <c r="B520" s="186" t="str">
        <f>IFERROR(('Lab Analysis'!E520/('Lab Analysis'!E520+(1.364*'Lab Analysis'!D520))),"0")</f>
        <v>0</v>
      </c>
      <c r="C520" s="186" t="str">
        <f>IFERROR((2*'Lab Analysis'!E520/60)/('Lab Analysis'!C520/17+(2*'Lab Analysis'!E520/60)),"0")</f>
        <v>0</v>
      </c>
      <c r="D520" s="187" t="str">
        <f>IFERROR(((2*('Lab Analysis'!E520/60)+('Lab Analysis'!C520/17))/(('Lab Analysis'!D520/44)+('Lab Analysis'!E520/60))),"0")</f>
        <v>0</v>
      </c>
      <c r="E520" s="187" t="str">
        <f>IFERROR((('Lab Analysis'!F520/18)-('Lab Analysis'!E520/60))/(('Lab Analysis'!D520/44)+('Lab Analysis'!E520/60)),"0")</f>
        <v>0</v>
      </c>
      <c r="F520" s="187" t="str">
        <f>IFERROR((('Lab Analysis'!F520/18)/('Lab Analysis'!E520/60)),"0")</f>
        <v>0</v>
      </c>
      <c r="G520" s="188" t="str">
        <f>IFERROR(('Lab Analysis'!I520/('Lab Analysis'!I520+(1.765*'Lab Analysis'!G520))),"0")</f>
        <v>0</v>
      </c>
      <c r="H520" s="189" t="str">
        <f>IFERROR(((2*('Lab Analysis'!I520/60))+('Lab Analysis'!G520/17))/(('Lab Analysis'!H520/44)+('Lab Analysis'!I520/60)),"0")</f>
        <v>0</v>
      </c>
      <c r="I520" s="189" t="str">
        <f>IFERROR((('Lab Analysis'!J520/18)-('Lab Analysis'!I520/60))/(('Lab Analysis'!H520/44)+('Lab Analysis'!I520/60)),"0")</f>
        <v>0</v>
      </c>
      <c r="J520" s="186" t="str">
        <f>IFERROR(('Lab Analysis'!M520/('Lab Analysis'!M520+(1.765*'Lab Analysis'!K520))),"0")</f>
        <v>0</v>
      </c>
      <c r="K520" s="190" t="str">
        <f>IFERROR(((2*('Lab Analysis'!M520/60))+('Lab Analysis'!K520/17))/(('Lab Analysis'!L520/44)+('Lab Analysis'!M520/60)),"0")</f>
        <v>0</v>
      </c>
      <c r="L520" s="190" t="str">
        <f>IFERROR((('Lab Analysis'!N520/18)-('Lab Analysis'!M520/60))/(('Lab Analysis'!L520/44)+('Lab Analysis'!M520/60)),"0")</f>
        <v>0</v>
      </c>
      <c r="M520" s="187" t="str">
        <f>IFERROR(((2*('Lab Analysis'!U520/60))+('Lab Analysis'!S520/17))/(('Lab Analysis'!T520/44)+('Lab Analysis'!U520/60)),"0")</f>
        <v>0</v>
      </c>
      <c r="N520" s="187" t="str">
        <f>IFERROR((('Lab Analysis'!V520/18)-('Lab Analysis'!U520/60))/(('Lab Analysis'!T520/44)+('Lab Analysis'!U520/60)),"0")</f>
        <v>0</v>
      </c>
      <c r="O520" s="187" t="str">
        <f>IFERROR(((2*('Lab Analysis'!Y520/60)+('Lab Analysis'!W520/17))/(('Lab Analysis'!X520/44)+('Lab Analysis'!Y520/60))),"0")</f>
        <v>0</v>
      </c>
      <c r="P520" s="187" t="str">
        <f>IFERROR((('Lab Analysis'!Z520/18)-('Lab Analysis'!Y520/60))/(('Lab Analysis'!X520/44)+('Lab Analysis'!Y520/60)),"0")</f>
        <v>0</v>
      </c>
      <c r="Q520" s="191"/>
    </row>
    <row r="521" spans="1:17">
      <c r="A521" s="185">
        <v>46335</v>
      </c>
      <c r="B521" s="186" t="str">
        <f>IFERROR(('Lab Analysis'!E521/('Lab Analysis'!E521+(1.364*'Lab Analysis'!D521))),"0")</f>
        <v>0</v>
      </c>
      <c r="C521" s="186" t="str">
        <f>IFERROR((2*'Lab Analysis'!E521/60)/('Lab Analysis'!C521/17+(2*'Lab Analysis'!E521/60)),"0")</f>
        <v>0</v>
      </c>
      <c r="D521" s="187" t="str">
        <f>IFERROR(((2*('Lab Analysis'!E521/60)+('Lab Analysis'!C521/17))/(('Lab Analysis'!D521/44)+('Lab Analysis'!E521/60))),"0")</f>
        <v>0</v>
      </c>
      <c r="E521" s="187" t="str">
        <f>IFERROR((('Lab Analysis'!F521/18)-('Lab Analysis'!E521/60))/(('Lab Analysis'!D521/44)+('Lab Analysis'!E521/60)),"0")</f>
        <v>0</v>
      </c>
      <c r="F521" s="187" t="str">
        <f>IFERROR((('Lab Analysis'!F521/18)/('Lab Analysis'!E521/60)),"0")</f>
        <v>0</v>
      </c>
      <c r="G521" s="188" t="str">
        <f>IFERROR(('Lab Analysis'!I521/('Lab Analysis'!I521+(1.765*'Lab Analysis'!G521))),"0")</f>
        <v>0</v>
      </c>
      <c r="H521" s="189" t="str">
        <f>IFERROR(((2*('Lab Analysis'!I521/60))+('Lab Analysis'!G521/17))/(('Lab Analysis'!H521/44)+('Lab Analysis'!I521/60)),"0")</f>
        <v>0</v>
      </c>
      <c r="I521" s="189" t="str">
        <f>IFERROR((('Lab Analysis'!J521/18)-('Lab Analysis'!I521/60))/(('Lab Analysis'!H521/44)+('Lab Analysis'!I521/60)),"0")</f>
        <v>0</v>
      </c>
      <c r="J521" s="186" t="str">
        <f>IFERROR(('Lab Analysis'!M521/('Lab Analysis'!M521+(1.765*'Lab Analysis'!K521))),"0")</f>
        <v>0</v>
      </c>
      <c r="K521" s="190" t="str">
        <f>IFERROR(((2*('Lab Analysis'!M521/60))+('Lab Analysis'!K521/17))/(('Lab Analysis'!L521/44)+('Lab Analysis'!M521/60)),"0")</f>
        <v>0</v>
      </c>
      <c r="L521" s="190" t="str">
        <f>IFERROR((('Lab Analysis'!N521/18)-('Lab Analysis'!M521/60))/(('Lab Analysis'!L521/44)+('Lab Analysis'!M521/60)),"0")</f>
        <v>0</v>
      </c>
      <c r="M521" s="187" t="str">
        <f>IFERROR(((2*('Lab Analysis'!U521/60))+('Lab Analysis'!S521/17))/(('Lab Analysis'!T521/44)+('Lab Analysis'!U521/60)),"0")</f>
        <v>0</v>
      </c>
      <c r="N521" s="187" t="str">
        <f>IFERROR((('Lab Analysis'!V521/18)-('Lab Analysis'!U521/60))/(('Lab Analysis'!T521/44)+('Lab Analysis'!U521/60)),"0")</f>
        <v>0</v>
      </c>
      <c r="O521" s="187" t="str">
        <f>IFERROR(((2*('Lab Analysis'!Y521/60)+('Lab Analysis'!W521/17))/(('Lab Analysis'!X521/44)+('Lab Analysis'!Y521/60))),"0")</f>
        <v>0</v>
      </c>
      <c r="P521" s="187" t="str">
        <f>IFERROR((('Lab Analysis'!Z521/18)-('Lab Analysis'!Y521/60))/(('Lab Analysis'!X521/44)+('Lab Analysis'!Y521/60)),"0")</f>
        <v>0</v>
      </c>
      <c r="Q521" s="191"/>
    </row>
    <row r="522" spans="1:17">
      <c r="A522" s="185">
        <v>46336</v>
      </c>
      <c r="B522" s="186" t="str">
        <f>IFERROR(('Lab Analysis'!E522/('Lab Analysis'!E522+(1.364*'Lab Analysis'!D522))),"0")</f>
        <v>0</v>
      </c>
      <c r="C522" s="186" t="str">
        <f>IFERROR((2*'Lab Analysis'!E522/60)/('Lab Analysis'!C522/17+(2*'Lab Analysis'!E522/60)),"0")</f>
        <v>0</v>
      </c>
      <c r="D522" s="187" t="str">
        <f>IFERROR(((2*('Lab Analysis'!E522/60)+('Lab Analysis'!C522/17))/(('Lab Analysis'!D522/44)+('Lab Analysis'!E522/60))),"0")</f>
        <v>0</v>
      </c>
      <c r="E522" s="187" t="str">
        <f>IFERROR((('Lab Analysis'!F522/18)-('Lab Analysis'!E522/60))/(('Lab Analysis'!D522/44)+('Lab Analysis'!E522/60)),"0")</f>
        <v>0</v>
      </c>
      <c r="F522" s="187" t="str">
        <f>IFERROR((('Lab Analysis'!F522/18)/('Lab Analysis'!E522/60)),"0")</f>
        <v>0</v>
      </c>
      <c r="G522" s="188" t="str">
        <f>IFERROR(('Lab Analysis'!I522/('Lab Analysis'!I522+(1.765*'Lab Analysis'!G522))),"0")</f>
        <v>0</v>
      </c>
      <c r="H522" s="189" t="str">
        <f>IFERROR(((2*('Lab Analysis'!I522/60))+('Lab Analysis'!G522/17))/(('Lab Analysis'!H522/44)+('Lab Analysis'!I522/60)),"0")</f>
        <v>0</v>
      </c>
      <c r="I522" s="189" t="str">
        <f>IFERROR((('Lab Analysis'!J522/18)-('Lab Analysis'!I522/60))/(('Lab Analysis'!H522/44)+('Lab Analysis'!I522/60)),"0")</f>
        <v>0</v>
      </c>
      <c r="J522" s="186" t="str">
        <f>IFERROR(('Lab Analysis'!M522/('Lab Analysis'!M522+(1.765*'Lab Analysis'!K522))),"0")</f>
        <v>0</v>
      </c>
      <c r="K522" s="190" t="str">
        <f>IFERROR(((2*('Lab Analysis'!M522/60))+('Lab Analysis'!K522/17))/(('Lab Analysis'!L522/44)+('Lab Analysis'!M522/60)),"0")</f>
        <v>0</v>
      </c>
      <c r="L522" s="190" t="str">
        <f>IFERROR((('Lab Analysis'!N522/18)-('Lab Analysis'!M522/60))/(('Lab Analysis'!L522/44)+('Lab Analysis'!M522/60)),"0")</f>
        <v>0</v>
      </c>
      <c r="M522" s="187" t="str">
        <f>IFERROR(((2*('Lab Analysis'!U522/60))+('Lab Analysis'!S522/17))/(('Lab Analysis'!T522/44)+('Lab Analysis'!U522/60)),"0")</f>
        <v>0</v>
      </c>
      <c r="N522" s="187" t="str">
        <f>IFERROR((('Lab Analysis'!V522/18)-('Lab Analysis'!U522/60))/(('Lab Analysis'!T522/44)+('Lab Analysis'!U522/60)),"0")</f>
        <v>0</v>
      </c>
      <c r="O522" s="187" t="str">
        <f>IFERROR(((2*('Lab Analysis'!Y522/60)+('Lab Analysis'!W522/17))/(('Lab Analysis'!X522/44)+('Lab Analysis'!Y522/60))),"0")</f>
        <v>0</v>
      </c>
      <c r="P522" s="187" t="str">
        <f>IFERROR((('Lab Analysis'!Z522/18)-('Lab Analysis'!Y522/60))/(('Lab Analysis'!X522/44)+('Lab Analysis'!Y522/60)),"0")</f>
        <v>0</v>
      </c>
      <c r="Q522" s="191"/>
    </row>
    <row r="523" spans="1:17">
      <c r="A523" s="185">
        <v>46337</v>
      </c>
      <c r="B523" s="186" t="str">
        <f>IFERROR(('Lab Analysis'!E523/('Lab Analysis'!E523+(1.364*'Lab Analysis'!D523))),"0")</f>
        <v>0</v>
      </c>
      <c r="C523" s="186" t="str">
        <f>IFERROR((2*'Lab Analysis'!E523/60)/('Lab Analysis'!C523/17+(2*'Lab Analysis'!E523/60)),"0")</f>
        <v>0</v>
      </c>
      <c r="D523" s="187" t="str">
        <f>IFERROR(((2*('Lab Analysis'!E523/60)+('Lab Analysis'!C523/17))/(('Lab Analysis'!D523/44)+('Lab Analysis'!E523/60))),"0")</f>
        <v>0</v>
      </c>
      <c r="E523" s="187" t="str">
        <f>IFERROR((('Lab Analysis'!F523/18)-('Lab Analysis'!E523/60))/(('Lab Analysis'!D523/44)+('Lab Analysis'!E523/60)),"0")</f>
        <v>0</v>
      </c>
      <c r="F523" s="187" t="str">
        <f>IFERROR((('Lab Analysis'!F523/18)/('Lab Analysis'!E523/60)),"0")</f>
        <v>0</v>
      </c>
      <c r="G523" s="188" t="str">
        <f>IFERROR(('Lab Analysis'!I523/('Lab Analysis'!I523+(1.765*'Lab Analysis'!G523))),"0")</f>
        <v>0</v>
      </c>
      <c r="H523" s="189" t="str">
        <f>IFERROR(((2*('Lab Analysis'!I523/60))+('Lab Analysis'!G523/17))/(('Lab Analysis'!H523/44)+('Lab Analysis'!I523/60)),"0")</f>
        <v>0</v>
      </c>
      <c r="I523" s="189" t="str">
        <f>IFERROR((('Lab Analysis'!J523/18)-('Lab Analysis'!I523/60))/(('Lab Analysis'!H523/44)+('Lab Analysis'!I523/60)),"0")</f>
        <v>0</v>
      </c>
      <c r="J523" s="186" t="str">
        <f>IFERROR(('Lab Analysis'!M523/('Lab Analysis'!M523+(1.765*'Lab Analysis'!K523))),"0")</f>
        <v>0</v>
      </c>
      <c r="K523" s="190" t="str">
        <f>IFERROR(((2*('Lab Analysis'!M523/60))+('Lab Analysis'!K523/17))/(('Lab Analysis'!L523/44)+('Lab Analysis'!M523/60)),"0")</f>
        <v>0</v>
      </c>
      <c r="L523" s="190" t="str">
        <f>IFERROR((('Lab Analysis'!N523/18)-('Lab Analysis'!M523/60))/(('Lab Analysis'!L523/44)+('Lab Analysis'!M523/60)),"0")</f>
        <v>0</v>
      </c>
      <c r="M523" s="187" t="str">
        <f>IFERROR(((2*('Lab Analysis'!U523/60))+('Lab Analysis'!S523/17))/(('Lab Analysis'!T523/44)+('Lab Analysis'!U523/60)),"0")</f>
        <v>0</v>
      </c>
      <c r="N523" s="187" t="str">
        <f>IFERROR((('Lab Analysis'!V523/18)-('Lab Analysis'!U523/60))/(('Lab Analysis'!T523/44)+('Lab Analysis'!U523/60)),"0")</f>
        <v>0</v>
      </c>
      <c r="O523" s="187" t="str">
        <f>IFERROR(((2*('Lab Analysis'!Y523/60)+('Lab Analysis'!W523/17))/(('Lab Analysis'!X523/44)+('Lab Analysis'!Y523/60))),"0")</f>
        <v>0</v>
      </c>
      <c r="P523" s="187" t="str">
        <f>IFERROR((('Lab Analysis'!Z523/18)-('Lab Analysis'!Y523/60))/(('Lab Analysis'!X523/44)+('Lab Analysis'!Y523/60)),"0")</f>
        <v>0</v>
      </c>
      <c r="Q523" s="191"/>
    </row>
    <row r="524" spans="1:17">
      <c r="A524" s="185">
        <v>46338</v>
      </c>
      <c r="B524" s="186" t="str">
        <f>IFERROR(('Lab Analysis'!E524/('Lab Analysis'!E524+(1.364*'Lab Analysis'!D524))),"0")</f>
        <v>0</v>
      </c>
      <c r="C524" s="186" t="str">
        <f>IFERROR((2*'Lab Analysis'!E524/60)/('Lab Analysis'!C524/17+(2*'Lab Analysis'!E524/60)),"0")</f>
        <v>0</v>
      </c>
      <c r="D524" s="187" t="str">
        <f>IFERROR(((2*('Lab Analysis'!E524/60)+('Lab Analysis'!C524/17))/(('Lab Analysis'!D524/44)+('Lab Analysis'!E524/60))),"0")</f>
        <v>0</v>
      </c>
      <c r="E524" s="187" t="str">
        <f>IFERROR((('Lab Analysis'!F524/18)-('Lab Analysis'!E524/60))/(('Lab Analysis'!D524/44)+('Lab Analysis'!E524/60)),"0")</f>
        <v>0</v>
      </c>
      <c r="F524" s="187" t="str">
        <f>IFERROR((('Lab Analysis'!F524/18)/('Lab Analysis'!E524/60)),"0")</f>
        <v>0</v>
      </c>
      <c r="G524" s="188" t="str">
        <f>IFERROR(('Lab Analysis'!I524/('Lab Analysis'!I524+(1.765*'Lab Analysis'!G524))),"0")</f>
        <v>0</v>
      </c>
      <c r="H524" s="189" t="str">
        <f>IFERROR(((2*('Lab Analysis'!I524/60))+('Lab Analysis'!G524/17))/(('Lab Analysis'!H524/44)+('Lab Analysis'!I524/60)),"0")</f>
        <v>0</v>
      </c>
      <c r="I524" s="189" t="str">
        <f>IFERROR((('Lab Analysis'!J524/18)-('Lab Analysis'!I524/60))/(('Lab Analysis'!H524/44)+('Lab Analysis'!I524/60)),"0")</f>
        <v>0</v>
      </c>
      <c r="J524" s="186" t="str">
        <f>IFERROR(('Lab Analysis'!M524/('Lab Analysis'!M524+(1.765*'Lab Analysis'!K524))),"0")</f>
        <v>0</v>
      </c>
      <c r="K524" s="190" t="str">
        <f>IFERROR(((2*('Lab Analysis'!M524/60))+('Lab Analysis'!K524/17))/(('Lab Analysis'!L524/44)+('Lab Analysis'!M524/60)),"0")</f>
        <v>0</v>
      </c>
      <c r="L524" s="190" t="str">
        <f>IFERROR((('Lab Analysis'!N524/18)-('Lab Analysis'!M524/60))/(('Lab Analysis'!L524/44)+('Lab Analysis'!M524/60)),"0")</f>
        <v>0</v>
      </c>
      <c r="M524" s="187" t="str">
        <f>IFERROR(((2*('Lab Analysis'!U524/60))+('Lab Analysis'!S524/17))/(('Lab Analysis'!T524/44)+('Lab Analysis'!U524/60)),"0")</f>
        <v>0</v>
      </c>
      <c r="N524" s="187" t="str">
        <f>IFERROR((('Lab Analysis'!V524/18)-('Lab Analysis'!U524/60))/(('Lab Analysis'!T524/44)+('Lab Analysis'!U524/60)),"0")</f>
        <v>0</v>
      </c>
      <c r="O524" s="187" t="str">
        <f>IFERROR(((2*('Lab Analysis'!Y524/60)+('Lab Analysis'!W524/17))/(('Lab Analysis'!X524/44)+('Lab Analysis'!Y524/60))),"0")</f>
        <v>0</v>
      </c>
      <c r="P524" s="187" t="str">
        <f>IFERROR((('Lab Analysis'!Z524/18)-('Lab Analysis'!Y524/60))/(('Lab Analysis'!X524/44)+('Lab Analysis'!Y524/60)),"0")</f>
        <v>0</v>
      </c>
      <c r="Q524" s="191"/>
    </row>
    <row r="525" spans="1:17">
      <c r="A525" s="185">
        <v>46339</v>
      </c>
      <c r="B525" s="186" t="str">
        <f>IFERROR(('Lab Analysis'!E525/('Lab Analysis'!E525+(1.364*'Lab Analysis'!D525))),"0")</f>
        <v>0</v>
      </c>
      <c r="C525" s="186" t="str">
        <f>IFERROR((2*'Lab Analysis'!E525/60)/('Lab Analysis'!C525/17+(2*'Lab Analysis'!E525/60)),"0")</f>
        <v>0</v>
      </c>
      <c r="D525" s="187" t="str">
        <f>IFERROR(((2*('Lab Analysis'!E525/60)+('Lab Analysis'!C525/17))/(('Lab Analysis'!D525/44)+('Lab Analysis'!E525/60))),"0")</f>
        <v>0</v>
      </c>
      <c r="E525" s="187" t="str">
        <f>IFERROR((('Lab Analysis'!F525/18)-('Lab Analysis'!E525/60))/(('Lab Analysis'!D525/44)+('Lab Analysis'!E525/60)),"0")</f>
        <v>0</v>
      </c>
      <c r="F525" s="187" t="str">
        <f>IFERROR((('Lab Analysis'!F525/18)/('Lab Analysis'!E525/60)),"0")</f>
        <v>0</v>
      </c>
      <c r="G525" s="188" t="str">
        <f>IFERROR(('Lab Analysis'!I525/('Lab Analysis'!I525+(1.765*'Lab Analysis'!G525))),"0")</f>
        <v>0</v>
      </c>
      <c r="H525" s="189" t="str">
        <f>IFERROR(((2*('Lab Analysis'!I525/60))+('Lab Analysis'!G525/17))/(('Lab Analysis'!H525/44)+('Lab Analysis'!I525/60)),"0")</f>
        <v>0</v>
      </c>
      <c r="I525" s="189" t="str">
        <f>IFERROR((('Lab Analysis'!J525/18)-('Lab Analysis'!I525/60))/(('Lab Analysis'!H525/44)+('Lab Analysis'!I525/60)),"0")</f>
        <v>0</v>
      </c>
      <c r="J525" s="186" t="str">
        <f>IFERROR(('Lab Analysis'!M525/('Lab Analysis'!M525+(1.765*'Lab Analysis'!K525))),"0")</f>
        <v>0</v>
      </c>
      <c r="K525" s="190" t="str">
        <f>IFERROR(((2*('Lab Analysis'!M525/60))+('Lab Analysis'!K525/17))/(('Lab Analysis'!L525/44)+('Lab Analysis'!M525/60)),"0")</f>
        <v>0</v>
      </c>
      <c r="L525" s="190" t="str">
        <f>IFERROR((('Lab Analysis'!N525/18)-('Lab Analysis'!M525/60))/(('Lab Analysis'!L525/44)+('Lab Analysis'!M525/60)),"0")</f>
        <v>0</v>
      </c>
      <c r="M525" s="187" t="str">
        <f>IFERROR(((2*('Lab Analysis'!U525/60))+('Lab Analysis'!S525/17))/(('Lab Analysis'!T525/44)+('Lab Analysis'!U525/60)),"0")</f>
        <v>0</v>
      </c>
      <c r="N525" s="187" t="str">
        <f>IFERROR((('Lab Analysis'!V525/18)-('Lab Analysis'!U525/60))/(('Lab Analysis'!T525/44)+('Lab Analysis'!U525/60)),"0")</f>
        <v>0</v>
      </c>
      <c r="O525" s="187" t="str">
        <f>IFERROR(((2*('Lab Analysis'!Y525/60)+('Lab Analysis'!W525/17))/(('Lab Analysis'!X525/44)+('Lab Analysis'!Y525/60))),"0")</f>
        <v>0</v>
      </c>
      <c r="P525" s="187" t="str">
        <f>IFERROR((('Lab Analysis'!Z525/18)-('Lab Analysis'!Y525/60))/(('Lab Analysis'!X525/44)+('Lab Analysis'!Y525/60)),"0")</f>
        <v>0</v>
      </c>
      <c r="Q525" s="191"/>
    </row>
    <row r="526" spans="1:17">
      <c r="A526" s="185">
        <v>46340</v>
      </c>
      <c r="B526" s="186" t="str">
        <f>IFERROR(('Lab Analysis'!E526/('Lab Analysis'!E526+(1.364*'Lab Analysis'!D526))),"0")</f>
        <v>0</v>
      </c>
      <c r="C526" s="186" t="str">
        <f>IFERROR((2*'Lab Analysis'!E526/60)/('Lab Analysis'!C526/17+(2*'Lab Analysis'!E526/60)),"0")</f>
        <v>0</v>
      </c>
      <c r="D526" s="187" t="str">
        <f>IFERROR(((2*('Lab Analysis'!E526/60)+('Lab Analysis'!C526/17))/(('Lab Analysis'!D526/44)+('Lab Analysis'!E526/60))),"0")</f>
        <v>0</v>
      </c>
      <c r="E526" s="187" t="str">
        <f>IFERROR((('Lab Analysis'!F526/18)-('Lab Analysis'!E526/60))/(('Lab Analysis'!D526/44)+('Lab Analysis'!E526/60)),"0")</f>
        <v>0</v>
      </c>
      <c r="F526" s="187" t="str">
        <f>IFERROR((('Lab Analysis'!F526/18)/('Lab Analysis'!E526/60)),"0")</f>
        <v>0</v>
      </c>
      <c r="G526" s="188" t="str">
        <f>IFERROR(('Lab Analysis'!I526/('Lab Analysis'!I526+(1.765*'Lab Analysis'!G526))),"0")</f>
        <v>0</v>
      </c>
      <c r="H526" s="189" t="str">
        <f>IFERROR(((2*('Lab Analysis'!I526/60))+('Lab Analysis'!G526/17))/(('Lab Analysis'!H526/44)+('Lab Analysis'!I526/60)),"0")</f>
        <v>0</v>
      </c>
      <c r="I526" s="189" t="str">
        <f>IFERROR((('Lab Analysis'!J526/18)-('Lab Analysis'!I526/60))/(('Lab Analysis'!H526/44)+('Lab Analysis'!I526/60)),"0")</f>
        <v>0</v>
      </c>
      <c r="J526" s="186" t="str">
        <f>IFERROR(('Lab Analysis'!M526/('Lab Analysis'!M526+(1.765*'Lab Analysis'!K526))),"0")</f>
        <v>0</v>
      </c>
      <c r="K526" s="190" t="str">
        <f>IFERROR(((2*('Lab Analysis'!M526/60))+('Lab Analysis'!K526/17))/(('Lab Analysis'!L526/44)+('Lab Analysis'!M526/60)),"0")</f>
        <v>0</v>
      </c>
      <c r="L526" s="190" t="str">
        <f>IFERROR((('Lab Analysis'!N526/18)-('Lab Analysis'!M526/60))/(('Lab Analysis'!L526/44)+('Lab Analysis'!M526/60)),"0")</f>
        <v>0</v>
      </c>
      <c r="M526" s="187" t="str">
        <f>IFERROR(((2*('Lab Analysis'!U526/60))+('Lab Analysis'!S526/17))/(('Lab Analysis'!T526/44)+('Lab Analysis'!U526/60)),"0")</f>
        <v>0</v>
      </c>
      <c r="N526" s="187" t="str">
        <f>IFERROR((('Lab Analysis'!V526/18)-('Lab Analysis'!U526/60))/(('Lab Analysis'!T526/44)+('Lab Analysis'!U526/60)),"0")</f>
        <v>0</v>
      </c>
      <c r="O526" s="187" t="str">
        <f>IFERROR(((2*('Lab Analysis'!Y526/60)+('Lab Analysis'!W526/17))/(('Lab Analysis'!X526/44)+('Lab Analysis'!Y526/60))),"0")</f>
        <v>0</v>
      </c>
      <c r="P526" s="187" t="str">
        <f>IFERROR((('Lab Analysis'!Z526/18)-('Lab Analysis'!Y526/60))/(('Lab Analysis'!X526/44)+('Lab Analysis'!Y526/60)),"0")</f>
        <v>0</v>
      </c>
      <c r="Q526" s="191"/>
    </row>
    <row r="527" spans="1:17">
      <c r="A527" s="185">
        <v>46341</v>
      </c>
      <c r="B527" s="186" t="str">
        <f>IFERROR(('Lab Analysis'!E527/('Lab Analysis'!E527+(1.364*'Lab Analysis'!D527))),"0")</f>
        <v>0</v>
      </c>
      <c r="C527" s="186" t="str">
        <f>IFERROR((2*'Lab Analysis'!E527/60)/('Lab Analysis'!C527/17+(2*'Lab Analysis'!E527/60)),"0")</f>
        <v>0</v>
      </c>
      <c r="D527" s="187" t="str">
        <f>IFERROR(((2*('Lab Analysis'!E527/60)+('Lab Analysis'!C527/17))/(('Lab Analysis'!D527/44)+('Lab Analysis'!E527/60))),"0")</f>
        <v>0</v>
      </c>
      <c r="E527" s="187" t="str">
        <f>IFERROR((('Lab Analysis'!F527/18)-('Lab Analysis'!E527/60))/(('Lab Analysis'!D527/44)+('Lab Analysis'!E527/60)),"0")</f>
        <v>0</v>
      </c>
      <c r="F527" s="187" t="str">
        <f>IFERROR((('Lab Analysis'!F527/18)/('Lab Analysis'!E527/60)),"0")</f>
        <v>0</v>
      </c>
      <c r="G527" s="188" t="str">
        <f>IFERROR(('Lab Analysis'!I527/('Lab Analysis'!I527+(1.765*'Lab Analysis'!G527))),"0")</f>
        <v>0</v>
      </c>
      <c r="H527" s="189" t="str">
        <f>IFERROR(((2*('Lab Analysis'!I527/60))+('Lab Analysis'!G527/17))/(('Lab Analysis'!H527/44)+('Lab Analysis'!I527/60)),"0")</f>
        <v>0</v>
      </c>
      <c r="I527" s="189" t="str">
        <f>IFERROR((('Lab Analysis'!J527/18)-('Lab Analysis'!I527/60))/(('Lab Analysis'!H527/44)+('Lab Analysis'!I527/60)),"0")</f>
        <v>0</v>
      </c>
      <c r="J527" s="186" t="str">
        <f>IFERROR(('Lab Analysis'!M527/('Lab Analysis'!M527+(1.765*'Lab Analysis'!K527))),"0")</f>
        <v>0</v>
      </c>
      <c r="K527" s="190" t="str">
        <f>IFERROR(((2*('Lab Analysis'!M527/60))+('Lab Analysis'!K527/17))/(('Lab Analysis'!L527/44)+('Lab Analysis'!M527/60)),"0")</f>
        <v>0</v>
      </c>
      <c r="L527" s="190" t="str">
        <f>IFERROR((('Lab Analysis'!N527/18)-('Lab Analysis'!M527/60))/(('Lab Analysis'!L527/44)+('Lab Analysis'!M527/60)),"0")</f>
        <v>0</v>
      </c>
      <c r="M527" s="187" t="str">
        <f>IFERROR(((2*('Lab Analysis'!U527/60))+('Lab Analysis'!S527/17))/(('Lab Analysis'!T527/44)+('Lab Analysis'!U527/60)),"0")</f>
        <v>0</v>
      </c>
      <c r="N527" s="187" t="str">
        <f>IFERROR((('Lab Analysis'!V527/18)-('Lab Analysis'!U527/60))/(('Lab Analysis'!T527/44)+('Lab Analysis'!U527/60)),"0")</f>
        <v>0</v>
      </c>
      <c r="O527" s="187" t="str">
        <f>IFERROR(((2*('Lab Analysis'!Y527/60)+('Lab Analysis'!W527/17))/(('Lab Analysis'!X527/44)+('Lab Analysis'!Y527/60))),"0")</f>
        <v>0</v>
      </c>
      <c r="P527" s="187" t="str">
        <f>IFERROR((('Lab Analysis'!Z527/18)-('Lab Analysis'!Y527/60))/(('Lab Analysis'!X527/44)+('Lab Analysis'!Y527/60)),"0")</f>
        <v>0</v>
      </c>
      <c r="Q527" s="191"/>
    </row>
    <row r="528" spans="1:17">
      <c r="A528" s="185">
        <v>46342</v>
      </c>
      <c r="B528" s="186" t="str">
        <f>IFERROR(('Lab Analysis'!E528/('Lab Analysis'!E528+(1.364*'Lab Analysis'!D528))),"0")</f>
        <v>0</v>
      </c>
      <c r="C528" s="186" t="str">
        <f>IFERROR((2*'Lab Analysis'!E528/60)/('Lab Analysis'!C528/17+(2*'Lab Analysis'!E528/60)),"0")</f>
        <v>0</v>
      </c>
      <c r="D528" s="187" t="str">
        <f>IFERROR(((2*('Lab Analysis'!E528/60)+('Lab Analysis'!C528/17))/(('Lab Analysis'!D528/44)+('Lab Analysis'!E528/60))),"0")</f>
        <v>0</v>
      </c>
      <c r="E528" s="187" t="str">
        <f>IFERROR((('Lab Analysis'!F528/18)-('Lab Analysis'!E528/60))/(('Lab Analysis'!D528/44)+('Lab Analysis'!E528/60)),"0")</f>
        <v>0</v>
      </c>
      <c r="F528" s="187" t="str">
        <f>IFERROR((('Lab Analysis'!F528/18)/('Lab Analysis'!E528/60)),"0")</f>
        <v>0</v>
      </c>
      <c r="G528" s="188" t="str">
        <f>IFERROR(('Lab Analysis'!I528/('Lab Analysis'!I528+(1.765*'Lab Analysis'!G528))),"0")</f>
        <v>0</v>
      </c>
      <c r="H528" s="189" t="str">
        <f>IFERROR(((2*('Lab Analysis'!I528/60))+('Lab Analysis'!G528/17))/(('Lab Analysis'!H528/44)+('Lab Analysis'!I528/60)),"0")</f>
        <v>0</v>
      </c>
      <c r="I528" s="189" t="str">
        <f>IFERROR((('Lab Analysis'!J528/18)-('Lab Analysis'!I528/60))/(('Lab Analysis'!H528/44)+('Lab Analysis'!I528/60)),"0")</f>
        <v>0</v>
      </c>
      <c r="J528" s="186" t="str">
        <f>IFERROR(('Lab Analysis'!M528/('Lab Analysis'!M528+(1.765*'Lab Analysis'!K528))),"0")</f>
        <v>0</v>
      </c>
      <c r="K528" s="190" t="str">
        <f>IFERROR(((2*('Lab Analysis'!M528/60))+('Lab Analysis'!K528/17))/(('Lab Analysis'!L528/44)+('Lab Analysis'!M528/60)),"0")</f>
        <v>0</v>
      </c>
      <c r="L528" s="190" t="str">
        <f>IFERROR((('Lab Analysis'!N528/18)-('Lab Analysis'!M528/60))/(('Lab Analysis'!L528/44)+('Lab Analysis'!M528/60)),"0")</f>
        <v>0</v>
      </c>
      <c r="M528" s="187" t="str">
        <f>IFERROR(((2*('Lab Analysis'!U528/60))+('Lab Analysis'!S528/17))/(('Lab Analysis'!T528/44)+('Lab Analysis'!U528/60)),"0")</f>
        <v>0</v>
      </c>
      <c r="N528" s="187" t="str">
        <f>IFERROR((('Lab Analysis'!V528/18)-('Lab Analysis'!U528/60))/(('Lab Analysis'!T528/44)+('Lab Analysis'!U528/60)),"0")</f>
        <v>0</v>
      </c>
      <c r="O528" s="187" t="str">
        <f>IFERROR(((2*('Lab Analysis'!Y528/60)+('Lab Analysis'!W528/17))/(('Lab Analysis'!X528/44)+('Lab Analysis'!Y528/60))),"0")</f>
        <v>0</v>
      </c>
      <c r="P528" s="187" t="str">
        <f>IFERROR((('Lab Analysis'!Z528/18)-('Lab Analysis'!Y528/60))/(('Lab Analysis'!X528/44)+('Lab Analysis'!Y528/60)),"0")</f>
        <v>0</v>
      </c>
      <c r="Q528" s="191"/>
    </row>
    <row r="529" spans="1:17">
      <c r="A529" s="185">
        <v>46343</v>
      </c>
      <c r="B529" s="186" t="str">
        <f>IFERROR(('Lab Analysis'!E529/('Lab Analysis'!E529+(1.364*'Lab Analysis'!D529))),"0")</f>
        <v>0</v>
      </c>
      <c r="C529" s="186" t="str">
        <f>IFERROR((2*'Lab Analysis'!E529/60)/('Lab Analysis'!C529/17+(2*'Lab Analysis'!E529/60)),"0")</f>
        <v>0</v>
      </c>
      <c r="D529" s="187" t="str">
        <f>IFERROR(((2*('Lab Analysis'!E529/60)+('Lab Analysis'!C529/17))/(('Lab Analysis'!D529/44)+('Lab Analysis'!E529/60))),"0")</f>
        <v>0</v>
      </c>
      <c r="E529" s="187" t="str">
        <f>IFERROR((('Lab Analysis'!F529/18)-('Lab Analysis'!E529/60))/(('Lab Analysis'!D529/44)+('Lab Analysis'!E529/60)),"0")</f>
        <v>0</v>
      </c>
      <c r="F529" s="187" t="str">
        <f>IFERROR((('Lab Analysis'!F529/18)/('Lab Analysis'!E529/60)),"0")</f>
        <v>0</v>
      </c>
      <c r="G529" s="188" t="str">
        <f>IFERROR(('Lab Analysis'!I529/('Lab Analysis'!I529+(1.765*'Lab Analysis'!G529))),"0")</f>
        <v>0</v>
      </c>
      <c r="H529" s="189" t="str">
        <f>IFERROR(((2*('Lab Analysis'!I529/60))+('Lab Analysis'!G529/17))/(('Lab Analysis'!H529/44)+('Lab Analysis'!I529/60)),"0")</f>
        <v>0</v>
      </c>
      <c r="I529" s="189" t="str">
        <f>IFERROR((('Lab Analysis'!J529/18)-('Lab Analysis'!I529/60))/(('Lab Analysis'!H529/44)+('Lab Analysis'!I529/60)),"0")</f>
        <v>0</v>
      </c>
      <c r="J529" s="186" t="str">
        <f>IFERROR(('Lab Analysis'!M529/('Lab Analysis'!M529+(1.765*'Lab Analysis'!K529))),"0")</f>
        <v>0</v>
      </c>
      <c r="K529" s="190" t="str">
        <f>IFERROR(((2*('Lab Analysis'!M529/60))+('Lab Analysis'!K529/17))/(('Lab Analysis'!L529/44)+('Lab Analysis'!M529/60)),"0")</f>
        <v>0</v>
      </c>
      <c r="L529" s="190" t="str">
        <f>IFERROR((('Lab Analysis'!N529/18)-('Lab Analysis'!M529/60))/(('Lab Analysis'!L529/44)+('Lab Analysis'!M529/60)),"0")</f>
        <v>0</v>
      </c>
      <c r="M529" s="187" t="str">
        <f>IFERROR(((2*('Lab Analysis'!U529/60))+('Lab Analysis'!S529/17))/(('Lab Analysis'!T529/44)+('Lab Analysis'!U529/60)),"0")</f>
        <v>0</v>
      </c>
      <c r="N529" s="187" t="str">
        <f>IFERROR((('Lab Analysis'!V529/18)-('Lab Analysis'!U529/60))/(('Lab Analysis'!T529/44)+('Lab Analysis'!U529/60)),"0")</f>
        <v>0</v>
      </c>
      <c r="O529" s="187" t="str">
        <f>IFERROR(((2*('Lab Analysis'!Y529/60)+('Lab Analysis'!W529/17))/(('Lab Analysis'!X529/44)+('Lab Analysis'!Y529/60))),"0")</f>
        <v>0</v>
      </c>
      <c r="P529" s="187" t="str">
        <f>IFERROR((('Lab Analysis'!Z529/18)-('Lab Analysis'!Y529/60))/(('Lab Analysis'!X529/44)+('Lab Analysis'!Y529/60)),"0")</f>
        <v>0</v>
      </c>
      <c r="Q529" s="191"/>
    </row>
    <row r="530" spans="1:17">
      <c r="A530" s="185">
        <v>46344</v>
      </c>
      <c r="B530" s="186" t="str">
        <f>IFERROR(('Lab Analysis'!E530/('Lab Analysis'!E530+(1.364*'Lab Analysis'!D530))),"0")</f>
        <v>0</v>
      </c>
      <c r="C530" s="186" t="str">
        <f>IFERROR((2*'Lab Analysis'!E530/60)/('Lab Analysis'!C530/17+(2*'Lab Analysis'!E530/60)),"0")</f>
        <v>0</v>
      </c>
      <c r="D530" s="187" t="str">
        <f>IFERROR(((2*('Lab Analysis'!E530/60)+('Lab Analysis'!C530/17))/(('Lab Analysis'!D530/44)+('Lab Analysis'!E530/60))),"0")</f>
        <v>0</v>
      </c>
      <c r="E530" s="187" t="str">
        <f>IFERROR((('Lab Analysis'!F530/18)-('Lab Analysis'!E530/60))/(('Lab Analysis'!D530/44)+('Lab Analysis'!E530/60)),"0")</f>
        <v>0</v>
      </c>
      <c r="F530" s="187" t="str">
        <f>IFERROR((('Lab Analysis'!F530/18)/('Lab Analysis'!E530/60)),"0")</f>
        <v>0</v>
      </c>
      <c r="G530" s="188" t="str">
        <f>IFERROR(('Lab Analysis'!I530/('Lab Analysis'!I530+(1.765*'Lab Analysis'!G530))),"0")</f>
        <v>0</v>
      </c>
      <c r="H530" s="189" t="str">
        <f>IFERROR(((2*('Lab Analysis'!I530/60))+('Lab Analysis'!G530/17))/(('Lab Analysis'!H530/44)+('Lab Analysis'!I530/60)),"0")</f>
        <v>0</v>
      </c>
      <c r="I530" s="189" t="str">
        <f>IFERROR((('Lab Analysis'!J530/18)-('Lab Analysis'!I530/60))/(('Lab Analysis'!H530/44)+('Lab Analysis'!I530/60)),"0")</f>
        <v>0</v>
      </c>
      <c r="J530" s="186" t="str">
        <f>IFERROR(('Lab Analysis'!M530/('Lab Analysis'!M530+(1.765*'Lab Analysis'!K530))),"0")</f>
        <v>0</v>
      </c>
      <c r="K530" s="190" t="str">
        <f>IFERROR(((2*('Lab Analysis'!M530/60))+('Lab Analysis'!K530/17))/(('Lab Analysis'!L530/44)+('Lab Analysis'!M530/60)),"0")</f>
        <v>0</v>
      </c>
      <c r="L530" s="190" t="str">
        <f>IFERROR((('Lab Analysis'!N530/18)-('Lab Analysis'!M530/60))/(('Lab Analysis'!L530/44)+('Lab Analysis'!M530/60)),"0")</f>
        <v>0</v>
      </c>
      <c r="M530" s="187" t="str">
        <f>IFERROR(((2*('Lab Analysis'!U530/60))+('Lab Analysis'!S530/17))/(('Lab Analysis'!T530/44)+('Lab Analysis'!U530/60)),"0")</f>
        <v>0</v>
      </c>
      <c r="N530" s="187" t="str">
        <f>IFERROR((('Lab Analysis'!V530/18)-('Lab Analysis'!U530/60))/(('Lab Analysis'!T530/44)+('Lab Analysis'!U530/60)),"0")</f>
        <v>0</v>
      </c>
      <c r="O530" s="187" t="str">
        <f>IFERROR(((2*('Lab Analysis'!Y530/60)+('Lab Analysis'!W530/17))/(('Lab Analysis'!X530/44)+('Lab Analysis'!Y530/60))),"0")</f>
        <v>0</v>
      </c>
      <c r="P530" s="187" t="str">
        <f>IFERROR((('Lab Analysis'!Z530/18)-('Lab Analysis'!Y530/60))/(('Lab Analysis'!X530/44)+('Lab Analysis'!Y530/60)),"0")</f>
        <v>0</v>
      </c>
      <c r="Q530" s="191"/>
    </row>
    <row r="531" spans="1:17">
      <c r="A531" s="185">
        <v>46345</v>
      </c>
      <c r="B531" s="186" t="str">
        <f>IFERROR(('Lab Analysis'!E531/('Lab Analysis'!E531+(1.364*'Lab Analysis'!D531))),"0")</f>
        <v>0</v>
      </c>
      <c r="C531" s="186" t="str">
        <f>IFERROR((2*'Lab Analysis'!E531/60)/('Lab Analysis'!C531/17+(2*'Lab Analysis'!E531/60)),"0")</f>
        <v>0</v>
      </c>
      <c r="D531" s="187" t="str">
        <f>IFERROR(((2*('Lab Analysis'!E531/60)+('Lab Analysis'!C531/17))/(('Lab Analysis'!D531/44)+('Lab Analysis'!E531/60))),"0")</f>
        <v>0</v>
      </c>
      <c r="E531" s="187" t="str">
        <f>IFERROR((('Lab Analysis'!F531/18)-('Lab Analysis'!E531/60))/(('Lab Analysis'!D531/44)+('Lab Analysis'!E531/60)),"0")</f>
        <v>0</v>
      </c>
      <c r="F531" s="187" t="str">
        <f>IFERROR((('Lab Analysis'!F531/18)/('Lab Analysis'!E531/60)),"0")</f>
        <v>0</v>
      </c>
      <c r="G531" s="188" t="str">
        <f>IFERROR(('Lab Analysis'!I531/('Lab Analysis'!I531+(1.765*'Lab Analysis'!G531))),"0")</f>
        <v>0</v>
      </c>
      <c r="H531" s="189" t="str">
        <f>IFERROR(((2*('Lab Analysis'!I531/60))+('Lab Analysis'!G531/17))/(('Lab Analysis'!H531/44)+('Lab Analysis'!I531/60)),"0")</f>
        <v>0</v>
      </c>
      <c r="I531" s="189" t="str">
        <f>IFERROR((('Lab Analysis'!J531/18)-('Lab Analysis'!I531/60))/(('Lab Analysis'!H531/44)+('Lab Analysis'!I531/60)),"0")</f>
        <v>0</v>
      </c>
      <c r="J531" s="186" t="str">
        <f>IFERROR(('Lab Analysis'!M531/('Lab Analysis'!M531+(1.765*'Lab Analysis'!K531))),"0")</f>
        <v>0</v>
      </c>
      <c r="K531" s="190" t="str">
        <f>IFERROR(((2*('Lab Analysis'!M531/60))+('Lab Analysis'!K531/17))/(('Lab Analysis'!L531/44)+('Lab Analysis'!M531/60)),"0")</f>
        <v>0</v>
      </c>
      <c r="L531" s="190" t="str">
        <f>IFERROR((('Lab Analysis'!N531/18)-('Lab Analysis'!M531/60))/(('Lab Analysis'!L531/44)+('Lab Analysis'!M531/60)),"0")</f>
        <v>0</v>
      </c>
      <c r="M531" s="187" t="str">
        <f>IFERROR(((2*('Lab Analysis'!U531/60))+('Lab Analysis'!S531/17))/(('Lab Analysis'!T531/44)+('Lab Analysis'!U531/60)),"0")</f>
        <v>0</v>
      </c>
      <c r="N531" s="187" t="str">
        <f>IFERROR((('Lab Analysis'!V531/18)-('Lab Analysis'!U531/60))/(('Lab Analysis'!T531/44)+('Lab Analysis'!U531/60)),"0")</f>
        <v>0</v>
      </c>
      <c r="O531" s="187" t="str">
        <f>IFERROR(((2*('Lab Analysis'!Y531/60)+('Lab Analysis'!W531/17))/(('Lab Analysis'!X531/44)+('Lab Analysis'!Y531/60))),"0")</f>
        <v>0</v>
      </c>
      <c r="P531" s="187" t="str">
        <f>IFERROR((('Lab Analysis'!Z531/18)-('Lab Analysis'!Y531/60))/(('Lab Analysis'!X531/44)+('Lab Analysis'!Y531/60)),"0")</f>
        <v>0</v>
      </c>
      <c r="Q531" s="191"/>
    </row>
    <row r="532" spans="1:17">
      <c r="A532" s="185">
        <v>46346</v>
      </c>
      <c r="B532" s="186" t="str">
        <f>IFERROR(('Lab Analysis'!E532/('Lab Analysis'!E532+(1.364*'Lab Analysis'!D532))),"0")</f>
        <v>0</v>
      </c>
      <c r="C532" s="186" t="str">
        <f>IFERROR((2*'Lab Analysis'!E532/60)/('Lab Analysis'!C532/17+(2*'Lab Analysis'!E532/60)),"0")</f>
        <v>0</v>
      </c>
      <c r="D532" s="187" t="str">
        <f>IFERROR(((2*('Lab Analysis'!E532/60)+('Lab Analysis'!C532/17))/(('Lab Analysis'!D532/44)+('Lab Analysis'!E532/60))),"0")</f>
        <v>0</v>
      </c>
      <c r="E532" s="187" t="str">
        <f>IFERROR((('Lab Analysis'!F532/18)-('Lab Analysis'!E532/60))/(('Lab Analysis'!D532/44)+('Lab Analysis'!E532/60)),"0")</f>
        <v>0</v>
      </c>
      <c r="F532" s="187" t="str">
        <f>IFERROR((('Lab Analysis'!F532/18)/('Lab Analysis'!E532/60)),"0")</f>
        <v>0</v>
      </c>
      <c r="G532" s="188" t="str">
        <f>IFERROR(('Lab Analysis'!I532/('Lab Analysis'!I532+(1.765*'Lab Analysis'!G532))),"0")</f>
        <v>0</v>
      </c>
      <c r="H532" s="189" t="str">
        <f>IFERROR(((2*('Lab Analysis'!I532/60))+('Lab Analysis'!G532/17))/(('Lab Analysis'!H532/44)+('Lab Analysis'!I532/60)),"0")</f>
        <v>0</v>
      </c>
      <c r="I532" s="189" t="str">
        <f>IFERROR((('Lab Analysis'!J532/18)-('Lab Analysis'!I532/60))/(('Lab Analysis'!H532/44)+('Lab Analysis'!I532/60)),"0")</f>
        <v>0</v>
      </c>
      <c r="J532" s="186" t="str">
        <f>IFERROR(('Lab Analysis'!M532/('Lab Analysis'!M532+(1.765*'Lab Analysis'!K532))),"0")</f>
        <v>0</v>
      </c>
      <c r="K532" s="190" t="str">
        <f>IFERROR(((2*('Lab Analysis'!M532/60))+('Lab Analysis'!K532/17))/(('Lab Analysis'!L532/44)+('Lab Analysis'!M532/60)),"0")</f>
        <v>0</v>
      </c>
      <c r="L532" s="190" t="str">
        <f>IFERROR((('Lab Analysis'!N532/18)-('Lab Analysis'!M532/60))/(('Lab Analysis'!L532/44)+('Lab Analysis'!M532/60)),"0")</f>
        <v>0</v>
      </c>
      <c r="M532" s="187" t="str">
        <f>IFERROR(((2*('Lab Analysis'!U532/60))+('Lab Analysis'!S532/17))/(('Lab Analysis'!T532/44)+('Lab Analysis'!U532/60)),"0")</f>
        <v>0</v>
      </c>
      <c r="N532" s="187" t="str">
        <f>IFERROR((('Lab Analysis'!V532/18)-('Lab Analysis'!U532/60))/(('Lab Analysis'!T532/44)+('Lab Analysis'!U532/60)),"0")</f>
        <v>0</v>
      </c>
      <c r="O532" s="187" t="str">
        <f>IFERROR(((2*('Lab Analysis'!Y532/60)+('Lab Analysis'!W532/17))/(('Lab Analysis'!X532/44)+('Lab Analysis'!Y532/60))),"0")</f>
        <v>0</v>
      </c>
      <c r="P532" s="187" t="str">
        <f>IFERROR((('Lab Analysis'!Z532/18)-('Lab Analysis'!Y532/60))/(('Lab Analysis'!X532/44)+('Lab Analysis'!Y532/60)),"0")</f>
        <v>0</v>
      </c>
      <c r="Q532" s="191"/>
    </row>
    <row r="533" spans="1:17">
      <c r="A533" s="185">
        <v>46347</v>
      </c>
      <c r="B533" s="186" t="str">
        <f>IFERROR(('Lab Analysis'!E533/('Lab Analysis'!E533+(1.364*'Lab Analysis'!D533))),"0")</f>
        <v>0</v>
      </c>
      <c r="C533" s="186" t="str">
        <f>IFERROR((2*'Lab Analysis'!E533/60)/('Lab Analysis'!C533/17+(2*'Lab Analysis'!E533/60)),"0")</f>
        <v>0</v>
      </c>
      <c r="D533" s="187" t="str">
        <f>IFERROR(((2*('Lab Analysis'!E533/60)+('Lab Analysis'!C533/17))/(('Lab Analysis'!D533/44)+('Lab Analysis'!E533/60))),"0")</f>
        <v>0</v>
      </c>
      <c r="E533" s="187" t="str">
        <f>IFERROR((('Lab Analysis'!F533/18)-('Lab Analysis'!E533/60))/(('Lab Analysis'!D533/44)+('Lab Analysis'!E533/60)),"0")</f>
        <v>0</v>
      </c>
      <c r="F533" s="187" t="str">
        <f>IFERROR((('Lab Analysis'!F533/18)/('Lab Analysis'!E533/60)),"0")</f>
        <v>0</v>
      </c>
      <c r="G533" s="188" t="str">
        <f>IFERROR(('Lab Analysis'!I533/('Lab Analysis'!I533+(1.765*'Lab Analysis'!G533))),"0")</f>
        <v>0</v>
      </c>
      <c r="H533" s="189" t="str">
        <f>IFERROR(((2*('Lab Analysis'!I533/60))+('Lab Analysis'!G533/17))/(('Lab Analysis'!H533/44)+('Lab Analysis'!I533/60)),"0")</f>
        <v>0</v>
      </c>
      <c r="I533" s="189" t="str">
        <f>IFERROR((('Lab Analysis'!J533/18)-('Lab Analysis'!I533/60))/(('Lab Analysis'!H533/44)+('Lab Analysis'!I533/60)),"0")</f>
        <v>0</v>
      </c>
      <c r="J533" s="186" t="str">
        <f>IFERROR(('Lab Analysis'!M533/('Lab Analysis'!M533+(1.765*'Lab Analysis'!K533))),"0")</f>
        <v>0</v>
      </c>
      <c r="K533" s="190" t="str">
        <f>IFERROR(((2*('Lab Analysis'!M533/60))+('Lab Analysis'!K533/17))/(('Lab Analysis'!L533/44)+('Lab Analysis'!M533/60)),"0")</f>
        <v>0</v>
      </c>
      <c r="L533" s="190" t="str">
        <f>IFERROR((('Lab Analysis'!N533/18)-('Lab Analysis'!M533/60))/(('Lab Analysis'!L533/44)+('Lab Analysis'!M533/60)),"0")</f>
        <v>0</v>
      </c>
      <c r="M533" s="187" t="str">
        <f>IFERROR(((2*('Lab Analysis'!U533/60))+('Lab Analysis'!S533/17))/(('Lab Analysis'!T533/44)+('Lab Analysis'!U533/60)),"0")</f>
        <v>0</v>
      </c>
      <c r="N533" s="187" t="str">
        <f>IFERROR((('Lab Analysis'!V533/18)-('Lab Analysis'!U533/60))/(('Lab Analysis'!T533/44)+('Lab Analysis'!U533/60)),"0")</f>
        <v>0</v>
      </c>
      <c r="O533" s="187" t="str">
        <f>IFERROR(((2*('Lab Analysis'!Y533/60)+('Lab Analysis'!W533/17))/(('Lab Analysis'!X533/44)+('Lab Analysis'!Y533/60))),"0")</f>
        <v>0</v>
      </c>
      <c r="P533" s="187" t="str">
        <f>IFERROR((('Lab Analysis'!Z533/18)-('Lab Analysis'!Y533/60))/(('Lab Analysis'!X533/44)+('Lab Analysis'!Y533/60)),"0")</f>
        <v>0</v>
      </c>
      <c r="Q533" s="191"/>
    </row>
    <row r="534" spans="1:17">
      <c r="A534" s="185">
        <v>46348</v>
      </c>
      <c r="B534" s="186" t="str">
        <f>IFERROR(('Lab Analysis'!E534/('Lab Analysis'!E534+(1.364*'Lab Analysis'!D534))),"0")</f>
        <v>0</v>
      </c>
      <c r="C534" s="186" t="str">
        <f>IFERROR((2*'Lab Analysis'!E534/60)/('Lab Analysis'!C534/17+(2*'Lab Analysis'!E534/60)),"0")</f>
        <v>0</v>
      </c>
      <c r="D534" s="187" t="str">
        <f>IFERROR(((2*('Lab Analysis'!E534/60)+('Lab Analysis'!C534/17))/(('Lab Analysis'!D534/44)+('Lab Analysis'!E534/60))),"0")</f>
        <v>0</v>
      </c>
      <c r="E534" s="187" t="str">
        <f>IFERROR((('Lab Analysis'!F534/18)-('Lab Analysis'!E534/60))/(('Lab Analysis'!D534/44)+('Lab Analysis'!E534/60)),"0")</f>
        <v>0</v>
      </c>
      <c r="F534" s="187" t="str">
        <f>IFERROR((('Lab Analysis'!F534/18)/('Lab Analysis'!E534/60)),"0")</f>
        <v>0</v>
      </c>
      <c r="G534" s="188" t="str">
        <f>IFERROR(('Lab Analysis'!I534/('Lab Analysis'!I534+(1.765*'Lab Analysis'!G534))),"0")</f>
        <v>0</v>
      </c>
      <c r="H534" s="189" t="str">
        <f>IFERROR(((2*('Lab Analysis'!I534/60))+('Lab Analysis'!G534/17))/(('Lab Analysis'!H534/44)+('Lab Analysis'!I534/60)),"0")</f>
        <v>0</v>
      </c>
      <c r="I534" s="189" t="str">
        <f>IFERROR((('Lab Analysis'!J534/18)-('Lab Analysis'!I534/60))/(('Lab Analysis'!H534/44)+('Lab Analysis'!I534/60)),"0")</f>
        <v>0</v>
      </c>
      <c r="J534" s="186" t="str">
        <f>IFERROR(('Lab Analysis'!M534/('Lab Analysis'!M534+(1.765*'Lab Analysis'!K534))),"0")</f>
        <v>0</v>
      </c>
      <c r="K534" s="190" t="str">
        <f>IFERROR(((2*('Lab Analysis'!M534/60))+('Lab Analysis'!K534/17))/(('Lab Analysis'!L534/44)+('Lab Analysis'!M534/60)),"0")</f>
        <v>0</v>
      </c>
      <c r="L534" s="190" t="str">
        <f>IFERROR((('Lab Analysis'!N534/18)-('Lab Analysis'!M534/60))/(('Lab Analysis'!L534/44)+('Lab Analysis'!M534/60)),"0")</f>
        <v>0</v>
      </c>
      <c r="M534" s="187" t="str">
        <f>IFERROR(((2*('Lab Analysis'!U534/60))+('Lab Analysis'!S534/17))/(('Lab Analysis'!T534/44)+('Lab Analysis'!U534/60)),"0")</f>
        <v>0</v>
      </c>
      <c r="N534" s="187" t="str">
        <f>IFERROR((('Lab Analysis'!V534/18)-('Lab Analysis'!U534/60))/(('Lab Analysis'!T534/44)+('Lab Analysis'!U534/60)),"0")</f>
        <v>0</v>
      </c>
      <c r="O534" s="187" t="str">
        <f>IFERROR(((2*('Lab Analysis'!Y534/60)+('Lab Analysis'!W534/17))/(('Lab Analysis'!X534/44)+('Lab Analysis'!Y534/60))),"0")</f>
        <v>0</v>
      </c>
      <c r="P534" s="187" t="str">
        <f>IFERROR((('Lab Analysis'!Z534/18)-('Lab Analysis'!Y534/60))/(('Lab Analysis'!X534/44)+('Lab Analysis'!Y534/60)),"0")</f>
        <v>0</v>
      </c>
      <c r="Q534" s="191"/>
    </row>
    <row r="535" spans="1:17">
      <c r="A535" s="185">
        <v>46349</v>
      </c>
      <c r="B535" s="186" t="str">
        <f>IFERROR(('Lab Analysis'!E535/('Lab Analysis'!E535+(1.364*'Lab Analysis'!D535))),"0")</f>
        <v>0</v>
      </c>
      <c r="C535" s="186" t="str">
        <f>IFERROR((2*'Lab Analysis'!E535/60)/('Lab Analysis'!C535/17+(2*'Lab Analysis'!E535/60)),"0")</f>
        <v>0</v>
      </c>
      <c r="D535" s="187" t="str">
        <f>IFERROR(((2*('Lab Analysis'!E535/60)+('Lab Analysis'!C535/17))/(('Lab Analysis'!D535/44)+('Lab Analysis'!E535/60))),"0")</f>
        <v>0</v>
      </c>
      <c r="E535" s="187" t="str">
        <f>IFERROR((('Lab Analysis'!F535/18)-('Lab Analysis'!E535/60))/(('Lab Analysis'!D535/44)+('Lab Analysis'!E535/60)),"0")</f>
        <v>0</v>
      </c>
      <c r="F535" s="187" t="str">
        <f>IFERROR((('Lab Analysis'!F535/18)/('Lab Analysis'!E535/60)),"0")</f>
        <v>0</v>
      </c>
      <c r="G535" s="188" t="str">
        <f>IFERROR(('Lab Analysis'!I535/('Lab Analysis'!I535+(1.765*'Lab Analysis'!G535))),"0")</f>
        <v>0</v>
      </c>
      <c r="H535" s="189" t="str">
        <f>IFERROR(((2*('Lab Analysis'!I535/60))+('Lab Analysis'!G535/17))/(('Lab Analysis'!H535/44)+('Lab Analysis'!I535/60)),"0")</f>
        <v>0</v>
      </c>
      <c r="I535" s="189" t="str">
        <f>IFERROR((('Lab Analysis'!J535/18)-('Lab Analysis'!I535/60))/(('Lab Analysis'!H535/44)+('Lab Analysis'!I535/60)),"0")</f>
        <v>0</v>
      </c>
      <c r="J535" s="186" t="str">
        <f>IFERROR(('Lab Analysis'!M535/('Lab Analysis'!M535+(1.765*'Lab Analysis'!K535))),"0")</f>
        <v>0</v>
      </c>
      <c r="K535" s="190" t="str">
        <f>IFERROR(((2*('Lab Analysis'!M535/60))+('Lab Analysis'!K535/17))/(('Lab Analysis'!L535/44)+('Lab Analysis'!M535/60)),"0")</f>
        <v>0</v>
      </c>
      <c r="L535" s="190" t="str">
        <f>IFERROR((('Lab Analysis'!N535/18)-('Lab Analysis'!M535/60))/(('Lab Analysis'!L535/44)+('Lab Analysis'!M535/60)),"0")</f>
        <v>0</v>
      </c>
      <c r="M535" s="187" t="str">
        <f>IFERROR(((2*('Lab Analysis'!U535/60))+('Lab Analysis'!S535/17))/(('Lab Analysis'!T535/44)+('Lab Analysis'!U535/60)),"0")</f>
        <v>0</v>
      </c>
      <c r="N535" s="187" t="str">
        <f>IFERROR((('Lab Analysis'!V535/18)-('Lab Analysis'!U535/60))/(('Lab Analysis'!T535/44)+('Lab Analysis'!U535/60)),"0")</f>
        <v>0</v>
      </c>
      <c r="O535" s="187" t="str">
        <f>IFERROR(((2*('Lab Analysis'!Y535/60)+('Lab Analysis'!W535/17))/(('Lab Analysis'!X535/44)+('Lab Analysis'!Y535/60))),"0")</f>
        <v>0</v>
      </c>
      <c r="P535" s="187" t="str">
        <f>IFERROR((('Lab Analysis'!Z535/18)-('Lab Analysis'!Y535/60))/(('Lab Analysis'!X535/44)+('Lab Analysis'!Y535/60)),"0")</f>
        <v>0</v>
      </c>
      <c r="Q535" s="191"/>
    </row>
    <row r="536" spans="1:17">
      <c r="A536" s="185">
        <v>46350</v>
      </c>
      <c r="B536" s="186" t="str">
        <f>IFERROR(('Lab Analysis'!E536/('Lab Analysis'!E536+(1.364*'Lab Analysis'!D536))),"0")</f>
        <v>0</v>
      </c>
      <c r="C536" s="186" t="str">
        <f>IFERROR((2*'Lab Analysis'!E536/60)/('Lab Analysis'!C536/17+(2*'Lab Analysis'!E536/60)),"0")</f>
        <v>0</v>
      </c>
      <c r="D536" s="187" t="str">
        <f>IFERROR(((2*('Lab Analysis'!E536/60)+('Lab Analysis'!C536/17))/(('Lab Analysis'!D536/44)+('Lab Analysis'!E536/60))),"0")</f>
        <v>0</v>
      </c>
      <c r="E536" s="187" t="str">
        <f>IFERROR((('Lab Analysis'!F536/18)-('Lab Analysis'!E536/60))/(('Lab Analysis'!D536/44)+('Lab Analysis'!E536/60)),"0")</f>
        <v>0</v>
      </c>
      <c r="F536" s="187" t="str">
        <f>IFERROR((('Lab Analysis'!F536/18)/('Lab Analysis'!E536/60)),"0")</f>
        <v>0</v>
      </c>
      <c r="G536" s="188" t="str">
        <f>IFERROR(('Lab Analysis'!I536/('Lab Analysis'!I536+(1.765*'Lab Analysis'!G536))),"0")</f>
        <v>0</v>
      </c>
      <c r="H536" s="189" t="str">
        <f>IFERROR(((2*('Lab Analysis'!I536/60))+('Lab Analysis'!G536/17))/(('Lab Analysis'!H536/44)+('Lab Analysis'!I536/60)),"0")</f>
        <v>0</v>
      </c>
      <c r="I536" s="189" t="str">
        <f>IFERROR((('Lab Analysis'!J536/18)-('Lab Analysis'!I536/60))/(('Lab Analysis'!H536/44)+('Lab Analysis'!I536/60)),"0")</f>
        <v>0</v>
      </c>
      <c r="J536" s="186" t="str">
        <f>IFERROR(('Lab Analysis'!M536/('Lab Analysis'!M536+(1.765*'Lab Analysis'!K536))),"0")</f>
        <v>0</v>
      </c>
      <c r="K536" s="190" t="str">
        <f>IFERROR(((2*('Lab Analysis'!M536/60))+('Lab Analysis'!K536/17))/(('Lab Analysis'!L536/44)+('Lab Analysis'!M536/60)),"0")</f>
        <v>0</v>
      </c>
      <c r="L536" s="190" t="str">
        <f>IFERROR((('Lab Analysis'!N536/18)-('Lab Analysis'!M536/60))/(('Lab Analysis'!L536/44)+('Lab Analysis'!M536/60)),"0")</f>
        <v>0</v>
      </c>
      <c r="M536" s="187" t="str">
        <f>IFERROR(((2*('Lab Analysis'!U536/60))+('Lab Analysis'!S536/17))/(('Lab Analysis'!T536/44)+('Lab Analysis'!U536/60)),"0")</f>
        <v>0</v>
      </c>
      <c r="N536" s="187" t="str">
        <f>IFERROR((('Lab Analysis'!V536/18)-('Lab Analysis'!U536/60))/(('Lab Analysis'!T536/44)+('Lab Analysis'!U536/60)),"0")</f>
        <v>0</v>
      </c>
      <c r="O536" s="187" t="str">
        <f>IFERROR(((2*('Lab Analysis'!Y536/60)+('Lab Analysis'!W536/17))/(('Lab Analysis'!X536/44)+('Lab Analysis'!Y536/60))),"0")</f>
        <v>0</v>
      </c>
      <c r="P536" s="187" t="str">
        <f>IFERROR((('Lab Analysis'!Z536/18)-('Lab Analysis'!Y536/60))/(('Lab Analysis'!X536/44)+('Lab Analysis'!Y536/60)),"0")</f>
        <v>0</v>
      </c>
      <c r="Q536" s="191"/>
    </row>
    <row r="537" spans="1:17">
      <c r="A537" s="185">
        <v>46351</v>
      </c>
      <c r="B537" s="186" t="str">
        <f>IFERROR(('Lab Analysis'!E537/('Lab Analysis'!E537+(1.364*'Lab Analysis'!D537))),"0")</f>
        <v>0</v>
      </c>
      <c r="C537" s="186" t="str">
        <f>IFERROR((2*'Lab Analysis'!E537/60)/('Lab Analysis'!C537/17+(2*'Lab Analysis'!E537/60)),"0")</f>
        <v>0</v>
      </c>
      <c r="D537" s="187" t="str">
        <f>IFERROR(((2*('Lab Analysis'!E537/60)+('Lab Analysis'!C537/17))/(('Lab Analysis'!D537/44)+('Lab Analysis'!E537/60))),"0")</f>
        <v>0</v>
      </c>
      <c r="E537" s="187" t="str">
        <f>IFERROR((('Lab Analysis'!F537/18)-('Lab Analysis'!E537/60))/(('Lab Analysis'!D537/44)+('Lab Analysis'!E537/60)),"0")</f>
        <v>0</v>
      </c>
      <c r="F537" s="187" t="str">
        <f>IFERROR((('Lab Analysis'!F537/18)/('Lab Analysis'!E537/60)),"0")</f>
        <v>0</v>
      </c>
      <c r="G537" s="188" t="str">
        <f>IFERROR(('Lab Analysis'!I537/('Lab Analysis'!I537+(1.765*'Lab Analysis'!G537))),"0")</f>
        <v>0</v>
      </c>
      <c r="H537" s="189" t="str">
        <f>IFERROR(((2*('Lab Analysis'!I537/60))+('Lab Analysis'!G537/17))/(('Lab Analysis'!H537/44)+('Lab Analysis'!I537/60)),"0")</f>
        <v>0</v>
      </c>
      <c r="I537" s="189" t="str">
        <f>IFERROR((('Lab Analysis'!J537/18)-('Lab Analysis'!I537/60))/(('Lab Analysis'!H537/44)+('Lab Analysis'!I537/60)),"0")</f>
        <v>0</v>
      </c>
      <c r="J537" s="186" t="str">
        <f>IFERROR(('Lab Analysis'!M537/('Lab Analysis'!M537+(1.765*'Lab Analysis'!K537))),"0")</f>
        <v>0</v>
      </c>
      <c r="K537" s="190" t="str">
        <f>IFERROR(((2*('Lab Analysis'!M537/60))+('Lab Analysis'!K537/17))/(('Lab Analysis'!L537/44)+('Lab Analysis'!M537/60)),"0")</f>
        <v>0</v>
      </c>
      <c r="L537" s="190" t="str">
        <f>IFERROR((('Lab Analysis'!N537/18)-('Lab Analysis'!M537/60))/(('Lab Analysis'!L537/44)+('Lab Analysis'!M537/60)),"0")</f>
        <v>0</v>
      </c>
      <c r="M537" s="187" t="str">
        <f>IFERROR(((2*('Lab Analysis'!U537/60))+('Lab Analysis'!S537/17))/(('Lab Analysis'!T537/44)+('Lab Analysis'!U537/60)),"0")</f>
        <v>0</v>
      </c>
      <c r="N537" s="187" t="str">
        <f>IFERROR((('Lab Analysis'!V537/18)-('Lab Analysis'!U537/60))/(('Lab Analysis'!T537/44)+('Lab Analysis'!U537/60)),"0")</f>
        <v>0</v>
      </c>
      <c r="O537" s="187" t="str">
        <f>IFERROR(((2*('Lab Analysis'!Y537/60)+('Lab Analysis'!W537/17))/(('Lab Analysis'!X537/44)+('Lab Analysis'!Y537/60))),"0")</f>
        <v>0</v>
      </c>
      <c r="P537" s="187" t="str">
        <f>IFERROR((('Lab Analysis'!Z537/18)-('Lab Analysis'!Y537/60))/(('Lab Analysis'!X537/44)+('Lab Analysis'!Y537/60)),"0")</f>
        <v>0</v>
      </c>
      <c r="Q537" s="191"/>
    </row>
    <row r="538" spans="1:17">
      <c r="A538" s="185">
        <v>46352</v>
      </c>
      <c r="B538" s="186" t="str">
        <f>IFERROR(('Lab Analysis'!E538/('Lab Analysis'!E538+(1.364*'Lab Analysis'!D538))),"0")</f>
        <v>0</v>
      </c>
      <c r="C538" s="186" t="str">
        <f>IFERROR((2*'Lab Analysis'!E538/60)/('Lab Analysis'!C538/17+(2*'Lab Analysis'!E538/60)),"0")</f>
        <v>0</v>
      </c>
      <c r="D538" s="187" t="str">
        <f>IFERROR(((2*('Lab Analysis'!E538/60)+('Lab Analysis'!C538/17))/(('Lab Analysis'!D538/44)+('Lab Analysis'!E538/60))),"0")</f>
        <v>0</v>
      </c>
      <c r="E538" s="187" t="str">
        <f>IFERROR((('Lab Analysis'!F538/18)-('Lab Analysis'!E538/60))/(('Lab Analysis'!D538/44)+('Lab Analysis'!E538/60)),"0")</f>
        <v>0</v>
      </c>
      <c r="F538" s="187" t="str">
        <f>IFERROR((('Lab Analysis'!F538/18)/('Lab Analysis'!E538/60)),"0")</f>
        <v>0</v>
      </c>
      <c r="G538" s="188" t="str">
        <f>IFERROR(('Lab Analysis'!I538/('Lab Analysis'!I538+(1.765*'Lab Analysis'!G538))),"0")</f>
        <v>0</v>
      </c>
      <c r="H538" s="189" t="str">
        <f>IFERROR(((2*('Lab Analysis'!I538/60))+('Lab Analysis'!G538/17))/(('Lab Analysis'!H538/44)+('Lab Analysis'!I538/60)),"0")</f>
        <v>0</v>
      </c>
      <c r="I538" s="189" t="str">
        <f>IFERROR((('Lab Analysis'!J538/18)-('Lab Analysis'!I538/60))/(('Lab Analysis'!H538/44)+('Lab Analysis'!I538/60)),"0")</f>
        <v>0</v>
      </c>
      <c r="J538" s="186" t="str">
        <f>IFERROR(('Lab Analysis'!M538/('Lab Analysis'!M538+(1.765*'Lab Analysis'!K538))),"0")</f>
        <v>0</v>
      </c>
      <c r="K538" s="190" t="str">
        <f>IFERROR(((2*('Lab Analysis'!M538/60))+('Lab Analysis'!K538/17))/(('Lab Analysis'!L538/44)+('Lab Analysis'!M538/60)),"0")</f>
        <v>0</v>
      </c>
      <c r="L538" s="190" t="str">
        <f>IFERROR((('Lab Analysis'!N538/18)-('Lab Analysis'!M538/60))/(('Lab Analysis'!L538/44)+('Lab Analysis'!M538/60)),"0")</f>
        <v>0</v>
      </c>
      <c r="M538" s="187" t="str">
        <f>IFERROR(((2*('Lab Analysis'!U538/60))+('Lab Analysis'!S538/17))/(('Lab Analysis'!T538/44)+('Lab Analysis'!U538/60)),"0")</f>
        <v>0</v>
      </c>
      <c r="N538" s="187" t="str">
        <f>IFERROR((('Lab Analysis'!V538/18)-('Lab Analysis'!U538/60))/(('Lab Analysis'!T538/44)+('Lab Analysis'!U538/60)),"0")</f>
        <v>0</v>
      </c>
      <c r="O538" s="187" t="str">
        <f>IFERROR(((2*('Lab Analysis'!Y538/60)+('Lab Analysis'!W538/17))/(('Lab Analysis'!X538/44)+('Lab Analysis'!Y538/60))),"0")</f>
        <v>0</v>
      </c>
      <c r="P538" s="187" t="str">
        <f>IFERROR((('Lab Analysis'!Z538/18)-('Lab Analysis'!Y538/60))/(('Lab Analysis'!X538/44)+('Lab Analysis'!Y538/60)),"0")</f>
        <v>0</v>
      </c>
      <c r="Q538" s="191"/>
    </row>
    <row r="539" spans="1:17">
      <c r="A539" s="185">
        <v>46353</v>
      </c>
      <c r="B539" s="186" t="str">
        <f>IFERROR(('Lab Analysis'!E539/('Lab Analysis'!E539+(1.364*'Lab Analysis'!D539))),"0")</f>
        <v>0</v>
      </c>
      <c r="C539" s="186" t="str">
        <f>IFERROR((2*'Lab Analysis'!E539/60)/('Lab Analysis'!C539/17+(2*'Lab Analysis'!E539/60)),"0")</f>
        <v>0</v>
      </c>
      <c r="D539" s="187" t="str">
        <f>IFERROR(((2*('Lab Analysis'!E539/60)+('Lab Analysis'!C539/17))/(('Lab Analysis'!D539/44)+('Lab Analysis'!E539/60))),"0")</f>
        <v>0</v>
      </c>
      <c r="E539" s="187" t="str">
        <f>IFERROR((('Lab Analysis'!F539/18)-('Lab Analysis'!E539/60))/(('Lab Analysis'!D539/44)+('Lab Analysis'!E539/60)),"0")</f>
        <v>0</v>
      </c>
      <c r="F539" s="187" t="str">
        <f>IFERROR((('Lab Analysis'!F539/18)/('Lab Analysis'!E539/60)),"0")</f>
        <v>0</v>
      </c>
      <c r="G539" s="188" t="str">
        <f>IFERROR(('Lab Analysis'!I539/('Lab Analysis'!I539+(1.765*'Lab Analysis'!G539))),"0")</f>
        <v>0</v>
      </c>
      <c r="H539" s="189" t="str">
        <f>IFERROR(((2*('Lab Analysis'!I539/60))+('Lab Analysis'!G539/17))/(('Lab Analysis'!H539/44)+('Lab Analysis'!I539/60)),"0")</f>
        <v>0</v>
      </c>
      <c r="I539" s="189" t="str">
        <f>IFERROR((('Lab Analysis'!J539/18)-('Lab Analysis'!I539/60))/(('Lab Analysis'!H539/44)+('Lab Analysis'!I539/60)),"0")</f>
        <v>0</v>
      </c>
      <c r="J539" s="186" t="str">
        <f>IFERROR(('Lab Analysis'!M539/('Lab Analysis'!M539+(1.765*'Lab Analysis'!K539))),"0")</f>
        <v>0</v>
      </c>
      <c r="K539" s="190" t="str">
        <f>IFERROR(((2*('Lab Analysis'!M539/60))+('Lab Analysis'!K539/17))/(('Lab Analysis'!L539/44)+('Lab Analysis'!M539/60)),"0")</f>
        <v>0</v>
      </c>
      <c r="L539" s="190" t="str">
        <f>IFERROR((('Lab Analysis'!N539/18)-('Lab Analysis'!M539/60))/(('Lab Analysis'!L539/44)+('Lab Analysis'!M539/60)),"0")</f>
        <v>0</v>
      </c>
      <c r="M539" s="187" t="str">
        <f>IFERROR(((2*('Lab Analysis'!U539/60))+('Lab Analysis'!S539/17))/(('Lab Analysis'!T539/44)+('Lab Analysis'!U539/60)),"0")</f>
        <v>0</v>
      </c>
      <c r="N539" s="187" t="str">
        <f>IFERROR((('Lab Analysis'!V539/18)-('Lab Analysis'!U539/60))/(('Lab Analysis'!T539/44)+('Lab Analysis'!U539/60)),"0")</f>
        <v>0</v>
      </c>
      <c r="O539" s="187" t="str">
        <f>IFERROR(((2*('Lab Analysis'!Y539/60)+('Lab Analysis'!W539/17))/(('Lab Analysis'!X539/44)+('Lab Analysis'!Y539/60))),"0")</f>
        <v>0</v>
      </c>
      <c r="P539" s="187" t="str">
        <f>IFERROR((('Lab Analysis'!Z539/18)-('Lab Analysis'!Y539/60))/(('Lab Analysis'!X539/44)+('Lab Analysis'!Y539/60)),"0")</f>
        <v>0</v>
      </c>
      <c r="Q539" s="191"/>
    </row>
    <row r="540" spans="1:17">
      <c r="A540" s="185">
        <v>46354</v>
      </c>
      <c r="B540" s="186" t="str">
        <f>IFERROR(('Lab Analysis'!E540/('Lab Analysis'!E540+(1.364*'Lab Analysis'!D540))),"0")</f>
        <v>0</v>
      </c>
      <c r="C540" s="186" t="str">
        <f>IFERROR((2*'Lab Analysis'!E540/60)/('Lab Analysis'!C540/17+(2*'Lab Analysis'!E540/60)),"0")</f>
        <v>0</v>
      </c>
      <c r="D540" s="187" t="str">
        <f>IFERROR(((2*('Lab Analysis'!E540/60)+('Lab Analysis'!C540/17))/(('Lab Analysis'!D540/44)+('Lab Analysis'!E540/60))),"0")</f>
        <v>0</v>
      </c>
      <c r="E540" s="187" t="str">
        <f>IFERROR((('Lab Analysis'!F540/18)-('Lab Analysis'!E540/60))/(('Lab Analysis'!D540/44)+('Lab Analysis'!E540/60)),"0")</f>
        <v>0</v>
      </c>
      <c r="F540" s="187" t="str">
        <f>IFERROR((('Lab Analysis'!F540/18)/('Lab Analysis'!E540/60)),"0")</f>
        <v>0</v>
      </c>
      <c r="G540" s="188" t="str">
        <f>IFERROR(('Lab Analysis'!I540/('Lab Analysis'!I540+(1.765*'Lab Analysis'!G540))),"0")</f>
        <v>0</v>
      </c>
      <c r="H540" s="189" t="str">
        <f>IFERROR(((2*('Lab Analysis'!I540/60))+('Lab Analysis'!G540/17))/(('Lab Analysis'!H540/44)+('Lab Analysis'!I540/60)),"0")</f>
        <v>0</v>
      </c>
      <c r="I540" s="189" t="str">
        <f>IFERROR((('Lab Analysis'!J540/18)-('Lab Analysis'!I540/60))/(('Lab Analysis'!H540/44)+('Lab Analysis'!I540/60)),"0")</f>
        <v>0</v>
      </c>
      <c r="J540" s="186" t="str">
        <f>IFERROR(('Lab Analysis'!M540/('Lab Analysis'!M540+(1.765*'Lab Analysis'!K540))),"0")</f>
        <v>0</v>
      </c>
      <c r="K540" s="190" t="str">
        <f>IFERROR(((2*('Lab Analysis'!M540/60))+('Lab Analysis'!K540/17))/(('Lab Analysis'!L540/44)+('Lab Analysis'!M540/60)),"0")</f>
        <v>0</v>
      </c>
      <c r="L540" s="190" t="str">
        <f>IFERROR((('Lab Analysis'!N540/18)-('Lab Analysis'!M540/60))/(('Lab Analysis'!L540/44)+('Lab Analysis'!M540/60)),"0")</f>
        <v>0</v>
      </c>
      <c r="M540" s="187" t="str">
        <f>IFERROR(((2*('Lab Analysis'!U540/60))+('Lab Analysis'!S540/17))/(('Lab Analysis'!T540/44)+('Lab Analysis'!U540/60)),"0")</f>
        <v>0</v>
      </c>
      <c r="N540" s="187" t="str">
        <f>IFERROR((('Lab Analysis'!V540/18)-('Lab Analysis'!U540/60))/(('Lab Analysis'!T540/44)+('Lab Analysis'!U540/60)),"0")</f>
        <v>0</v>
      </c>
      <c r="O540" s="187" t="str">
        <f>IFERROR(((2*('Lab Analysis'!Y540/60)+('Lab Analysis'!W540/17))/(('Lab Analysis'!X540/44)+('Lab Analysis'!Y540/60))),"0")</f>
        <v>0</v>
      </c>
      <c r="P540" s="187" t="str">
        <f>IFERROR((('Lab Analysis'!Z540/18)-('Lab Analysis'!Y540/60))/(('Lab Analysis'!X540/44)+('Lab Analysis'!Y540/60)),"0")</f>
        <v>0</v>
      </c>
      <c r="Q540" s="191"/>
    </row>
    <row r="541" spans="1:17">
      <c r="A541" s="185">
        <v>46355</v>
      </c>
      <c r="B541" s="186" t="str">
        <f>IFERROR(('Lab Analysis'!E541/('Lab Analysis'!E541+(1.364*'Lab Analysis'!D541))),"0")</f>
        <v>0</v>
      </c>
      <c r="C541" s="186" t="str">
        <f>IFERROR((2*'Lab Analysis'!E541/60)/('Lab Analysis'!C541/17+(2*'Lab Analysis'!E541/60)),"0")</f>
        <v>0</v>
      </c>
      <c r="D541" s="187" t="str">
        <f>IFERROR(((2*('Lab Analysis'!E541/60)+('Lab Analysis'!C541/17))/(('Lab Analysis'!D541/44)+('Lab Analysis'!E541/60))),"0")</f>
        <v>0</v>
      </c>
      <c r="E541" s="187" t="str">
        <f>IFERROR((('Lab Analysis'!F541/18)-('Lab Analysis'!E541/60))/(('Lab Analysis'!D541/44)+('Lab Analysis'!E541/60)),"0")</f>
        <v>0</v>
      </c>
      <c r="F541" s="187" t="str">
        <f>IFERROR((('Lab Analysis'!F541/18)/('Lab Analysis'!E541/60)),"0")</f>
        <v>0</v>
      </c>
      <c r="G541" s="188" t="str">
        <f>IFERROR(('Lab Analysis'!I541/('Lab Analysis'!I541+(1.765*'Lab Analysis'!G541))),"0")</f>
        <v>0</v>
      </c>
      <c r="H541" s="189" t="str">
        <f>IFERROR(((2*('Lab Analysis'!I541/60))+('Lab Analysis'!G541/17))/(('Lab Analysis'!H541/44)+('Lab Analysis'!I541/60)),"0")</f>
        <v>0</v>
      </c>
      <c r="I541" s="189" t="str">
        <f>IFERROR((('Lab Analysis'!J541/18)-('Lab Analysis'!I541/60))/(('Lab Analysis'!H541/44)+('Lab Analysis'!I541/60)),"0")</f>
        <v>0</v>
      </c>
      <c r="J541" s="186" t="str">
        <f>IFERROR(('Lab Analysis'!M541/('Lab Analysis'!M541+(1.765*'Lab Analysis'!K541))),"0")</f>
        <v>0</v>
      </c>
      <c r="K541" s="190" t="str">
        <f>IFERROR(((2*('Lab Analysis'!M541/60))+('Lab Analysis'!K541/17))/(('Lab Analysis'!L541/44)+('Lab Analysis'!M541/60)),"0")</f>
        <v>0</v>
      </c>
      <c r="L541" s="190" t="str">
        <f>IFERROR((('Lab Analysis'!N541/18)-('Lab Analysis'!M541/60))/(('Lab Analysis'!L541/44)+('Lab Analysis'!M541/60)),"0")</f>
        <v>0</v>
      </c>
      <c r="M541" s="187" t="str">
        <f>IFERROR(((2*('Lab Analysis'!U541/60))+('Lab Analysis'!S541/17))/(('Lab Analysis'!T541/44)+('Lab Analysis'!U541/60)),"0")</f>
        <v>0</v>
      </c>
      <c r="N541" s="187" t="str">
        <f>IFERROR((('Lab Analysis'!V541/18)-('Lab Analysis'!U541/60))/(('Lab Analysis'!T541/44)+('Lab Analysis'!U541/60)),"0")</f>
        <v>0</v>
      </c>
      <c r="O541" s="187" t="str">
        <f>IFERROR(((2*('Lab Analysis'!Y541/60)+('Lab Analysis'!W541/17))/(('Lab Analysis'!X541/44)+('Lab Analysis'!Y541/60))),"0")</f>
        <v>0</v>
      </c>
      <c r="P541" s="187" t="str">
        <f>IFERROR((('Lab Analysis'!Z541/18)-('Lab Analysis'!Y541/60))/(('Lab Analysis'!X541/44)+('Lab Analysis'!Y541/60)),"0")</f>
        <v>0</v>
      </c>
      <c r="Q541" s="191"/>
    </row>
    <row r="542" spans="1:17">
      <c r="A542" s="185">
        <v>46356</v>
      </c>
      <c r="B542" s="186" t="str">
        <f>IFERROR(('Lab Analysis'!E542/('Lab Analysis'!E542+(1.364*'Lab Analysis'!D542))),"0")</f>
        <v>0</v>
      </c>
      <c r="C542" s="186" t="str">
        <f>IFERROR((2*'Lab Analysis'!E542/60)/('Lab Analysis'!C542/17+(2*'Lab Analysis'!E542/60)),"0")</f>
        <v>0</v>
      </c>
      <c r="D542" s="187" t="str">
        <f>IFERROR(((2*('Lab Analysis'!E542/60)+('Lab Analysis'!C542/17))/(('Lab Analysis'!D542/44)+('Lab Analysis'!E542/60))),"0")</f>
        <v>0</v>
      </c>
      <c r="E542" s="187" t="str">
        <f>IFERROR((('Lab Analysis'!F542/18)-('Lab Analysis'!E542/60))/(('Lab Analysis'!D542/44)+('Lab Analysis'!E542/60)),"0")</f>
        <v>0</v>
      </c>
      <c r="F542" s="187" t="str">
        <f>IFERROR((('Lab Analysis'!F542/18)/('Lab Analysis'!E542/60)),"0")</f>
        <v>0</v>
      </c>
      <c r="G542" s="188" t="str">
        <f>IFERROR(('Lab Analysis'!I542/('Lab Analysis'!I542+(1.765*'Lab Analysis'!G542))),"0")</f>
        <v>0</v>
      </c>
      <c r="H542" s="189" t="str">
        <f>IFERROR(((2*('Lab Analysis'!I542/60))+('Lab Analysis'!G542/17))/(('Lab Analysis'!H542/44)+('Lab Analysis'!I542/60)),"0")</f>
        <v>0</v>
      </c>
      <c r="I542" s="189" t="str">
        <f>IFERROR((('Lab Analysis'!J542/18)-('Lab Analysis'!I542/60))/(('Lab Analysis'!H542/44)+('Lab Analysis'!I542/60)),"0")</f>
        <v>0</v>
      </c>
      <c r="J542" s="186" t="str">
        <f>IFERROR(('Lab Analysis'!M542/('Lab Analysis'!M542+(1.765*'Lab Analysis'!K542))),"0")</f>
        <v>0</v>
      </c>
      <c r="K542" s="190" t="str">
        <f>IFERROR(((2*('Lab Analysis'!M542/60))+('Lab Analysis'!K542/17))/(('Lab Analysis'!L542/44)+('Lab Analysis'!M542/60)),"0")</f>
        <v>0</v>
      </c>
      <c r="L542" s="190" t="str">
        <f>IFERROR((('Lab Analysis'!N542/18)-('Lab Analysis'!M542/60))/(('Lab Analysis'!L542/44)+('Lab Analysis'!M542/60)),"0")</f>
        <v>0</v>
      </c>
      <c r="M542" s="187" t="str">
        <f>IFERROR(((2*('Lab Analysis'!U542/60))+('Lab Analysis'!S542/17))/(('Lab Analysis'!T542/44)+('Lab Analysis'!U542/60)),"0")</f>
        <v>0</v>
      </c>
      <c r="N542" s="187" t="str">
        <f>IFERROR((('Lab Analysis'!V542/18)-('Lab Analysis'!U542/60))/(('Lab Analysis'!T542/44)+('Lab Analysis'!U542/60)),"0")</f>
        <v>0</v>
      </c>
      <c r="O542" s="187" t="str">
        <f>IFERROR(((2*('Lab Analysis'!Y542/60)+('Lab Analysis'!W542/17))/(('Lab Analysis'!X542/44)+('Lab Analysis'!Y542/60))),"0")</f>
        <v>0</v>
      </c>
      <c r="P542" s="187" t="str">
        <f>IFERROR((('Lab Analysis'!Z542/18)-('Lab Analysis'!Y542/60))/(('Lab Analysis'!X542/44)+('Lab Analysis'!Y542/60)),"0")</f>
        <v>0</v>
      </c>
      <c r="Q542" s="191"/>
    </row>
    <row r="543" spans="1:17">
      <c r="A543" s="185">
        <v>46357</v>
      </c>
      <c r="B543" s="186" t="str">
        <f>IFERROR(('Lab Analysis'!E543/('Lab Analysis'!E543+(1.364*'Lab Analysis'!D543))),"0")</f>
        <v>0</v>
      </c>
      <c r="C543" s="186" t="str">
        <f>IFERROR((2*'Lab Analysis'!E543/60)/('Lab Analysis'!C543/17+(2*'Lab Analysis'!E543/60)),"0")</f>
        <v>0</v>
      </c>
      <c r="D543" s="187" t="str">
        <f>IFERROR(((2*('Lab Analysis'!E543/60)+('Lab Analysis'!C543/17))/(('Lab Analysis'!D543/44)+('Lab Analysis'!E543/60))),"0")</f>
        <v>0</v>
      </c>
      <c r="E543" s="187" t="str">
        <f>IFERROR((('Lab Analysis'!F543/18)-('Lab Analysis'!E543/60))/(('Lab Analysis'!D543/44)+('Lab Analysis'!E543/60)),"0")</f>
        <v>0</v>
      </c>
      <c r="F543" s="187" t="str">
        <f>IFERROR((('Lab Analysis'!F543/18)/('Lab Analysis'!E543/60)),"0")</f>
        <v>0</v>
      </c>
      <c r="G543" s="188" t="str">
        <f>IFERROR(('Lab Analysis'!I543/('Lab Analysis'!I543+(1.765*'Lab Analysis'!G543))),"0")</f>
        <v>0</v>
      </c>
      <c r="H543" s="189" t="str">
        <f>IFERROR(((2*('Lab Analysis'!I543/60))+('Lab Analysis'!G543/17))/(('Lab Analysis'!H543/44)+('Lab Analysis'!I543/60)),"0")</f>
        <v>0</v>
      </c>
      <c r="I543" s="189" t="str">
        <f>IFERROR((('Lab Analysis'!J543/18)-('Lab Analysis'!I543/60))/(('Lab Analysis'!H543/44)+('Lab Analysis'!I543/60)),"0")</f>
        <v>0</v>
      </c>
      <c r="J543" s="186" t="str">
        <f>IFERROR(('Lab Analysis'!M543/('Lab Analysis'!M543+(1.765*'Lab Analysis'!K543))),"0")</f>
        <v>0</v>
      </c>
      <c r="K543" s="190" t="str">
        <f>IFERROR(((2*('Lab Analysis'!M543/60))+('Lab Analysis'!K543/17))/(('Lab Analysis'!L543/44)+('Lab Analysis'!M543/60)),"0")</f>
        <v>0</v>
      </c>
      <c r="L543" s="190" t="str">
        <f>IFERROR((('Lab Analysis'!N543/18)-('Lab Analysis'!M543/60))/(('Lab Analysis'!L543/44)+('Lab Analysis'!M543/60)),"0")</f>
        <v>0</v>
      </c>
      <c r="M543" s="187" t="str">
        <f>IFERROR(((2*('Lab Analysis'!U543/60))+('Lab Analysis'!S543/17))/(('Lab Analysis'!T543/44)+('Lab Analysis'!U543/60)),"0")</f>
        <v>0</v>
      </c>
      <c r="N543" s="187" t="str">
        <f>IFERROR((('Lab Analysis'!V543/18)-('Lab Analysis'!U543/60))/(('Lab Analysis'!T543/44)+('Lab Analysis'!U543/60)),"0")</f>
        <v>0</v>
      </c>
      <c r="O543" s="187" t="str">
        <f>IFERROR(((2*('Lab Analysis'!Y543/60)+('Lab Analysis'!W543/17))/(('Lab Analysis'!X543/44)+('Lab Analysis'!Y543/60))),"0")</f>
        <v>0</v>
      </c>
      <c r="P543" s="187" t="str">
        <f>IFERROR((('Lab Analysis'!Z543/18)-('Lab Analysis'!Y543/60))/(('Lab Analysis'!X543/44)+('Lab Analysis'!Y543/60)),"0")</f>
        <v>0</v>
      </c>
      <c r="Q543" s="191"/>
    </row>
    <row r="544" spans="1:17">
      <c r="A544" s="185">
        <v>46358</v>
      </c>
      <c r="B544" s="186" t="str">
        <f>IFERROR(('Lab Analysis'!E544/('Lab Analysis'!E544+(1.364*'Lab Analysis'!D544))),"0")</f>
        <v>0</v>
      </c>
      <c r="C544" s="186" t="str">
        <f>IFERROR((2*'Lab Analysis'!E544/60)/('Lab Analysis'!C544/17+(2*'Lab Analysis'!E544/60)),"0")</f>
        <v>0</v>
      </c>
      <c r="D544" s="187" t="str">
        <f>IFERROR(((2*('Lab Analysis'!E544/60)+('Lab Analysis'!C544/17))/(('Lab Analysis'!D544/44)+('Lab Analysis'!E544/60))),"0")</f>
        <v>0</v>
      </c>
      <c r="E544" s="187" t="str">
        <f>IFERROR((('Lab Analysis'!F544/18)-('Lab Analysis'!E544/60))/(('Lab Analysis'!D544/44)+('Lab Analysis'!E544/60)),"0")</f>
        <v>0</v>
      </c>
      <c r="F544" s="187" t="str">
        <f>IFERROR((('Lab Analysis'!F544/18)/('Lab Analysis'!E544/60)),"0")</f>
        <v>0</v>
      </c>
      <c r="G544" s="188" t="str">
        <f>IFERROR(('Lab Analysis'!I544/('Lab Analysis'!I544+(1.765*'Lab Analysis'!G544))),"0")</f>
        <v>0</v>
      </c>
      <c r="H544" s="189" t="str">
        <f>IFERROR(((2*('Lab Analysis'!I544/60))+('Lab Analysis'!G544/17))/(('Lab Analysis'!H544/44)+('Lab Analysis'!I544/60)),"0")</f>
        <v>0</v>
      </c>
      <c r="I544" s="189" t="str">
        <f>IFERROR((('Lab Analysis'!J544/18)-('Lab Analysis'!I544/60))/(('Lab Analysis'!H544/44)+('Lab Analysis'!I544/60)),"0")</f>
        <v>0</v>
      </c>
      <c r="J544" s="186" t="str">
        <f>IFERROR(('Lab Analysis'!M544/('Lab Analysis'!M544+(1.765*'Lab Analysis'!K544))),"0")</f>
        <v>0</v>
      </c>
      <c r="K544" s="190" t="str">
        <f>IFERROR(((2*('Lab Analysis'!M544/60))+('Lab Analysis'!K544/17))/(('Lab Analysis'!L544/44)+('Lab Analysis'!M544/60)),"0")</f>
        <v>0</v>
      </c>
      <c r="L544" s="190" t="str">
        <f>IFERROR((('Lab Analysis'!N544/18)-('Lab Analysis'!M544/60))/(('Lab Analysis'!L544/44)+('Lab Analysis'!M544/60)),"0")</f>
        <v>0</v>
      </c>
      <c r="M544" s="187" t="str">
        <f>IFERROR(((2*('Lab Analysis'!U544/60))+('Lab Analysis'!S544/17))/(('Lab Analysis'!T544/44)+('Lab Analysis'!U544/60)),"0")</f>
        <v>0</v>
      </c>
      <c r="N544" s="187" t="str">
        <f>IFERROR((('Lab Analysis'!V544/18)-('Lab Analysis'!U544/60))/(('Lab Analysis'!T544/44)+('Lab Analysis'!U544/60)),"0")</f>
        <v>0</v>
      </c>
      <c r="O544" s="187" t="str">
        <f>IFERROR(((2*('Lab Analysis'!Y544/60)+('Lab Analysis'!W544/17))/(('Lab Analysis'!X544/44)+('Lab Analysis'!Y544/60))),"0")</f>
        <v>0</v>
      </c>
      <c r="P544" s="187" t="str">
        <f>IFERROR((('Lab Analysis'!Z544/18)-('Lab Analysis'!Y544/60))/(('Lab Analysis'!X544/44)+('Lab Analysis'!Y544/60)),"0")</f>
        <v>0</v>
      </c>
      <c r="Q544" s="191"/>
    </row>
    <row r="545" spans="1:17">
      <c r="A545" s="185">
        <v>46359</v>
      </c>
      <c r="B545" s="186" t="str">
        <f>IFERROR(('Lab Analysis'!E545/('Lab Analysis'!E545+(1.364*'Lab Analysis'!D545))),"0")</f>
        <v>0</v>
      </c>
      <c r="C545" s="186" t="str">
        <f>IFERROR((2*'Lab Analysis'!E545/60)/('Lab Analysis'!C545/17+(2*'Lab Analysis'!E545/60)),"0")</f>
        <v>0</v>
      </c>
      <c r="D545" s="187" t="str">
        <f>IFERROR(((2*('Lab Analysis'!E545/60)+('Lab Analysis'!C545/17))/(('Lab Analysis'!D545/44)+('Lab Analysis'!E545/60))),"0")</f>
        <v>0</v>
      </c>
      <c r="E545" s="187" t="str">
        <f>IFERROR((('Lab Analysis'!F545/18)-('Lab Analysis'!E545/60))/(('Lab Analysis'!D545/44)+('Lab Analysis'!E545/60)),"0")</f>
        <v>0</v>
      </c>
      <c r="F545" s="187" t="str">
        <f>IFERROR((('Lab Analysis'!F545/18)/('Lab Analysis'!E545/60)),"0")</f>
        <v>0</v>
      </c>
      <c r="G545" s="188" t="str">
        <f>IFERROR(('Lab Analysis'!I545/('Lab Analysis'!I545+(1.765*'Lab Analysis'!G545))),"0")</f>
        <v>0</v>
      </c>
      <c r="H545" s="189" t="str">
        <f>IFERROR(((2*('Lab Analysis'!I545/60))+('Lab Analysis'!G545/17))/(('Lab Analysis'!H545/44)+('Lab Analysis'!I545/60)),"0")</f>
        <v>0</v>
      </c>
      <c r="I545" s="189" t="str">
        <f>IFERROR((('Lab Analysis'!J545/18)-('Lab Analysis'!I545/60))/(('Lab Analysis'!H545/44)+('Lab Analysis'!I545/60)),"0")</f>
        <v>0</v>
      </c>
      <c r="J545" s="186" t="str">
        <f>IFERROR(('Lab Analysis'!M545/('Lab Analysis'!M545+(1.765*'Lab Analysis'!K545))),"0")</f>
        <v>0</v>
      </c>
      <c r="K545" s="190" t="str">
        <f>IFERROR(((2*('Lab Analysis'!M545/60))+('Lab Analysis'!K545/17))/(('Lab Analysis'!L545/44)+('Lab Analysis'!M545/60)),"0")</f>
        <v>0</v>
      </c>
      <c r="L545" s="190" t="str">
        <f>IFERROR((('Lab Analysis'!N545/18)-('Lab Analysis'!M545/60))/(('Lab Analysis'!L545/44)+('Lab Analysis'!M545/60)),"0")</f>
        <v>0</v>
      </c>
      <c r="M545" s="187" t="str">
        <f>IFERROR(((2*('Lab Analysis'!U545/60))+('Lab Analysis'!S545/17))/(('Lab Analysis'!T545/44)+('Lab Analysis'!U545/60)),"0")</f>
        <v>0</v>
      </c>
      <c r="N545" s="187" t="str">
        <f>IFERROR((('Lab Analysis'!V545/18)-('Lab Analysis'!U545/60))/(('Lab Analysis'!T545/44)+('Lab Analysis'!U545/60)),"0")</f>
        <v>0</v>
      </c>
      <c r="O545" s="187" t="str">
        <f>IFERROR(((2*('Lab Analysis'!Y545/60)+('Lab Analysis'!W545/17))/(('Lab Analysis'!X545/44)+('Lab Analysis'!Y545/60))),"0")</f>
        <v>0</v>
      </c>
      <c r="P545" s="187" t="str">
        <f>IFERROR((('Lab Analysis'!Z545/18)-('Lab Analysis'!Y545/60))/(('Lab Analysis'!X545/44)+('Lab Analysis'!Y545/60)),"0")</f>
        <v>0</v>
      </c>
      <c r="Q545" s="191"/>
    </row>
    <row r="546" spans="1:17">
      <c r="A546" s="185">
        <v>46360</v>
      </c>
      <c r="B546" s="186" t="str">
        <f>IFERROR(('Lab Analysis'!E546/('Lab Analysis'!E546+(1.364*'Lab Analysis'!D546))),"0")</f>
        <v>0</v>
      </c>
      <c r="C546" s="186" t="str">
        <f>IFERROR((2*'Lab Analysis'!E546/60)/('Lab Analysis'!C546/17+(2*'Lab Analysis'!E546/60)),"0")</f>
        <v>0</v>
      </c>
      <c r="D546" s="187" t="str">
        <f>IFERROR(((2*('Lab Analysis'!E546/60)+('Lab Analysis'!C546/17))/(('Lab Analysis'!D546/44)+('Lab Analysis'!E546/60))),"0")</f>
        <v>0</v>
      </c>
      <c r="E546" s="187" t="str">
        <f>IFERROR((('Lab Analysis'!F546/18)-('Lab Analysis'!E546/60))/(('Lab Analysis'!D546/44)+('Lab Analysis'!E546/60)),"0")</f>
        <v>0</v>
      </c>
      <c r="F546" s="187" t="str">
        <f>IFERROR((('Lab Analysis'!F546/18)/('Lab Analysis'!E546/60)),"0")</f>
        <v>0</v>
      </c>
      <c r="G546" s="188" t="str">
        <f>IFERROR(('Lab Analysis'!I546/('Lab Analysis'!I546+(1.765*'Lab Analysis'!G546))),"0")</f>
        <v>0</v>
      </c>
      <c r="H546" s="189" t="str">
        <f>IFERROR(((2*('Lab Analysis'!I546/60))+('Lab Analysis'!G546/17))/(('Lab Analysis'!H546/44)+('Lab Analysis'!I546/60)),"0")</f>
        <v>0</v>
      </c>
      <c r="I546" s="189" t="str">
        <f>IFERROR((('Lab Analysis'!J546/18)-('Lab Analysis'!I546/60))/(('Lab Analysis'!H546/44)+('Lab Analysis'!I546/60)),"0")</f>
        <v>0</v>
      </c>
      <c r="J546" s="186" t="str">
        <f>IFERROR(('Lab Analysis'!M546/('Lab Analysis'!M546+(1.765*'Lab Analysis'!K546))),"0")</f>
        <v>0</v>
      </c>
      <c r="K546" s="190" t="str">
        <f>IFERROR(((2*('Lab Analysis'!M546/60))+('Lab Analysis'!K546/17))/(('Lab Analysis'!L546/44)+('Lab Analysis'!M546/60)),"0")</f>
        <v>0</v>
      </c>
      <c r="L546" s="190" t="str">
        <f>IFERROR((('Lab Analysis'!N546/18)-('Lab Analysis'!M546/60))/(('Lab Analysis'!L546/44)+('Lab Analysis'!M546/60)),"0")</f>
        <v>0</v>
      </c>
      <c r="M546" s="187" t="str">
        <f>IFERROR(((2*('Lab Analysis'!U546/60))+('Lab Analysis'!S546/17))/(('Lab Analysis'!T546/44)+('Lab Analysis'!U546/60)),"0")</f>
        <v>0</v>
      </c>
      <c r="N546" s="187" t="str">
        <f>IFERROR((('Lab Analysis'!V546/18)-('Lab Analysis'!U546/60))/(('Lab Analysis'!T546/44)+('Lab Analysis'!U546/60)),"0")</f>
        <v>0</v>
      </c>
      <c r="O546" s="187" t="str">
        <f>IFERROR(((2*('Lab Analysis'!Y546/60)+('Lab Analysis'!W546/17))/(('Lab Analysis'!X546/44)+('Lab Analysis'!Y546/60))),"0")</f>
        <v>0</v>
      </c>
      <c r="P546" s="187" t="str">
        <f>IFERROR((('Lab Analysis'!Z546/18)-('Lab Analysis'!Y546/60))/(('Lab Analysis'!X546/44)+('Lab Analysis'!Y546/60)),"0")</f>
        <v>0</v>
      </c>
      <c r="Q546" s="191"/>
    </row>
    <row r="547" spans="1:17">
      <c r="A547" s="185">
        <v>46361</v>
      </c>
      <c r="B547" s="186" t="str">
        <f>IFERROR(('Lab Analysis'!E547/('Lab Analysis'!E547+(1.364*'Lab Analysis'!D547))),"0")</f>
        <v>0</v>
      </c>
      <c r="C547" s="186" t="str">
        <f>IFERROR((2*'Lab Analysis'!E547/60)/('Lab Analysis'!C547/17+(2*'Lab Analysis'!E547/60)),"0")</f>
        <v>0</v>
      </c>
      <c r="D547" s="187" t="str">
        <f>IFERROR(((2*('Lab Analysis'!E547/60)+('Lab Analysis'!C547/17))/(('Lab Analysis'!D547/44)+('Lab Analysis'!E547/60))),"0")</f>
        <v>0</v>
      </c>
      <c r="E547" s="187" t="str">
        <f>IFERROR((('Lab Analysis'!F547/18)-('Lab Analysis'!E547/60))/(('Lab Analysis'!D547/44)+('Lab Analysis'!E547/60)),"0")</f>
        <v>0</v>
      </c>
      <c r="F547" s="187" t="str">
        <f>IFERROR((('Lab Analysis'!F547/18)/('Lab Analysis'!E547/60)),"0")</f>
        <v>0</v>
      </c>
      <c r="G547" s="188" t="str">
        <f>IFERROR(('Lab Analysis'!I547/('Lab Analysis'!I547+(1.765*'Lab Analysis'!G547))),"0")</f>
        <v>0</v>
      </c>
      <c r="H547" s="189" t="str">
        <f>IFERROR(((2*('Lab Analysis'!I547/60))+('Lab Analysis'!G547/17))/(('Lab Analysis'!H547/44)+('Lab Analysis'!I547/60)),"0")</f>
        <v>0</v>
      </c>
      <c r="I547" s="189" t="str">
        <f>IFERROR((('Lab Analysis'!J547/18)-('Lab Analysis'!I547/60))/(('Lab Analysis'!H547/44)+('Lab Analysis'!I547/60)),"0")</f>
        <v>0</v>
      </c>
      <c r="J547" s="186" t="str">
        <f>IFERROR(('Lab Analysis'!M547/('Lab Analysis'!M547+(1.765*'Lab Analysis'!K547))),"0")</f>
        <v>0</v>
      </c>
      <c r="K547" s="190" t="str">
        <f>IFERROR(((2*('Lab Analysis'!M547/60))+('Lab Analysis'!K547/17))/(('Lab Analysis'!L547/44)+('Lab Analysis'!M547/60)),"0")</f>
        <v>0</v>
      </c>
      <c r="L547" s="190" t="str">
        <f>IFERROR((('Lab Analysis'!N547/18)-('Lab Analysis'!M547/60))/(('Lab Analysis'!L547/44)+('Lab Analysis'!M547/60)),"0")</f>
        <v>0</v>
      </c>
      <c r="M547" s="187" t="str">
        <f>IFERROR(((2*('Lab Analysis'!U547/60))+('Lab Analysis'!S547/17))/(('Lab Analysis'!T547/44)+('Lab Analysis'!U547/60)),"0")</f>
        <v>0</v>
      </c>
      <c r="N547" s="187" t="str">
        <f>IFERROR((('Lab Analysis'!V547/18)-('Lab Analysis'!U547/60))/(('Lab Analysis'!T547/44)+('Lab Analysis'!U547/60)),"0")</f>
        <v>0</v>
      </c>
      <c r="O547" s="187" t="str">
        <f>IFERROR(((2*('Lab Analysis'!Y547/60)+('Lab Analysis'!W547/17))/(('Lab Analysis'!X547/44)+('Lab Analysis'!Y547/60))),"0")</f>
        <v>0</v>
      </c>
      <c r="P547" s="187" t="str">
        <f>IFERROR((('Lab Analysis'!Z547/18)-('Lab Analysis'!Y547/60))/(('Lab Analysis'!X547/44)+('Lab Analysis'!Y547/60)),"0")</f>
        <v>0</v>
      </c>
      <c r="Q547" s="191"/>
    </row>
    <row r="548" spans="1:17">
      <c r="A548" s="185">
        <v>46362</v>
      </c>
      <c r="B548" s="186" t="str">
        <f>IFERROR(('Lab Analysis'!E548/('Lab Analysis'!E548+(1.364*'Lab Analysis'!D548))),"0")</f>
        <v>0</v>
      </c>
      <c r="C548" s="186" t="str">
        <f>IFERROR((2*'Lab Analysis'!E548/60)/('Lab Analysis'!C548/17+(2*'Lab Analysis'!E548/60)),"0")</f>
        <v>0</v>
      </c>
      <c r="D548" s="187" t="str">
        <f>IFERROR(((2*('Lab Analysis'!E548/60)+('Lab Analysis'!C548/17))/(('Lab Analysis'!D548/44)+('Lab Analysis'!E548/60))),"0")</f>
        <v>0</v>
      </c>
      <c r="E548" s="187" t="str">
        <f>IFERROR((('Lab Analysis'!F548/18)-('Lab Analysis'!E548/60))/(('Lab Analysis'!D548/44)+('Lab Analysis'!E548/60)),"0")</f>
        <v>0</v>
      </c>
      <c r="F548" s="187" t="str">
        <f>IFERROR((('Lab Analysis'!F548/18)/('Lab Analysis'!E548/60)),"0")</f>
        <v>0</v>
      </c>
      <c r="G548" s="188" t="str">
        <f>IFERROR(('Lab Analysis'!I548/('Lab Analysis'!I548+(1.765*'Lab Analysis'!G548))),"0")</f>
        <v>0</v>
      </c>
      <c r="H548" s="189" t="str">
        <f>IFERROR(((2*('Lab Analysis'!I548/60))+('Lab Analysis'!G548/17))/(('Lab Analysis'!H548/44)+('Lab Analysis'!I548/60)),"0")</f>
        <v>0</v>
      </c>
      <c r="I548" s="189" t="str">
        <f>IFERROR((('Lab Analysis'!J548/18)-('Lab Analysis'!I548/60))/(('Lab Analysis'!H548/44)+('Lab Analysis'!I548/60)),"0")</f>
        <v>0</v>
      </c>
      <c r="J548" s="186" t="str">
        <f>IFERROR(('Lab Analysis'!M548/('Lab Analysis'!M548+(1.765*'Lab Analysis'!K548))),"0")</f>
        <v>0</v>
      </c>
      <c r="K548" s="190" t="str">
        <f>IFERROR(((2*('Lab Analysis'!M548/60))+('Lab Analysis'!K548/17))/(('Lab Analysis'!L548/44)+('Lab Analysis'!M548/60)),"0")</f>
        <v>0</v>
      </c>
      <c r="L548" s="190" t="str">
        <f>IFERROR((('Lab Analysis'!N548/18)-('Lab Analysis'!M548/60))/(('Lab Analysis'!L548/44)+('Lab Analysis'!M548/60)),"0")</f>
        <v>0</v>
      </c>
      <c r="M548" s="187" t="str">
        <f>IFERROR(((2*('Lab Analysis'!U548/60))+('Lab Analysis'!S548/17))/(('Lab Analysis'!T548/44)+('Lab Analysis'!U548/60)),"0")</f>
        <v>0</v>
      </c>
      <c r="N548" s="187" t="str">
        <f>IFERROR((('Lab Analysis'!V548/18)-('Lab Analysis'!U548/60))/(('Lab Analysis'!T548/44)+('Lab Analysis'!U548/60)),"0")</f>
        <v>0</v>
      </c>
      <c r="O548" s="187" t="str">
        <f>IFERROR(((2*('Lab Analysis'!Y548/60)+('Lab Analysis'!W548/17))/(('Lab Analysis'!X548/44)+('Lab Analysis'!Y548/60))),"0")</f>
        <v>0</v>
      </c>
      <c r="P548" s="187" t="str">
        <f>IFERROR((('Lab Analysis'!Z548/18)-('Lab Analysis'!Y548/60))/(('Lab Analysis'!X548/44)+('Lab Analysis'!Y548/60)),"0")</f>
        <v>0</v>
      </c>
      <c r="Q548" s="191"/>
    </row>
    <row r="549" spans="1:17">
      <c r="A549" s="185">
        <v>46363</v>
      </c>
      <c r="B549" s="186" t="str">
        <f>IFERROR(('Lab Analysis'!E549/('Lab Analysis'!E549+(1.364*'Lab Analysis'!D549))),"0")</f>
        <v>0</v>
      </c>
      <c r="C549" s="186" t="str">
        <f>IFERROR((2*'Lab Analysis'!E549/60)/('Lab Analysis'!C549/17+(2*'Lab Analysis'!E549/60)),"0")</f>
        <v>0</v>
      </c>
      <c r="D549" s="187" t="str">
        <f>IFERROR(((2*('Lab Analysis'!E549/60)+('Lab Analysis'!C549/17))/(('Lab Analysis'!D549/44)+('Lab Analysis'!E549/60))),"0")</f>
        <v>0</v>
      </c>
      <c r="E549" s="187" t="str">
        <f>IFERROR((('Lab Analysis'!F549/18)-('Lab Analysis'!E549/60))/(('Lab Analysis'!D549/44)+('Lab Analysis'!E549/60)),"0")</f>
        <v>0</v>
      </c>
      <c r="F549" s="187" t="str">
        <f>IFERROR((('Lab Analysis'!F549/18)/('Lab Analysis'!E549/60)),"0")</f>
        <v>0</v>
      </c>
      <c r="G549" s="188" t="str">
        <f>IFERROR(('Lab Analysis'!I549/('Lab Analysis'!I549+(1.765*'Lab Analysis'!G549))),"0")</f>
        <v>0</v>
      </c>
      <c r="H549" s="189" t="str">
        <f>IFERROR(((2*('Lab Analysis'!I549/60))+('Lab Analysis'!G549/17))/(('Lab Analysis'!H549/44)+('Lab Analysis'!I549/60)),"0")</f>
        <v>0</v>
      </c>
      <c r="I549" s="189" t="str">
        <f>IFERROR((('Lab Analysis'!J549/18)-('Lab Analysis'!I549/60))/(('Lab Analysis'!H549/44)+('Lab Analysis'!I549/60)),"0")</f>
        <v>0</v>
      </c>
      <c r="J549" s="186" t="str">
        <f>IFERROR(('Lab Analysis'!M549/('Lab Analysis'!M549+(1.765*'Lab Analysis'!K549))),"0")</f>
        <v>0</v>
      </c>
      <c r="K549" s="190" t="str">
        <f>IFERROR(((2*('Lab Analysis'!M549/60))+('Lab Analysis'!K549/17))/(('Lab Analysis'!L549/44)+('Lab Analysis'!M549/60)),"0")</f>
        <v>0</v>
      </c>
      <c r="L549" s="190" t="str">
        <f>IFERROR((('Lab Analysis'!N549/18)-('Lab Analysis'!M549/60))/(('Lab Analysis'!L549/44)+('Lab Analysis'!M549/60)),"0")</f>
        <v>0</v>
      </c>
      <c r="M549" s="187" t="str">
        <f>IFERROR(((2*('Lab Analysis'!U549/60))+('Lab Analysis'!S549/17))/(('Lab Analysis'!T549/44)+('Lab Analysis'!U549/60)),"0")</f>
        <v>0</v>
      </c>
      <c r="N549" s="187" t="str">
        <f>IFERROR((('Lab Analysis'!V549/18)-('Lab Analysis'!U549/60))/(('Lab Analysis'!T549/44)+('Lab Analysis'!U549/60)),"0")</f>
        <v>0</v>
      </c>
      <c r="O549" s="187" t="str">
        <f>IFERROR(((2*('Lab Analysis'!Y549/60)+('Lab Analysis'!W549/17))/(('Lab Analysis'!X549/44)+('Lab Analysis'!Y549/60))),"0")</f>
        <v>0</v>
      </c>
      <c r="P549" s="187" t="str">
        <f>IFERROR((('Lab Analysis'!Z549/18)-('Lab Analysis'!Y549/60))/(('Lab Analysis'!X549/44)+('Lab Analysis'!Y549/60)),"0")</f>
        <v>0</v>
      </c>
      <c r="Q549" s="191"/>
    </row>
    <row r="550" spans="1:17">
      <c r="A550" s="185">
        <v>46364</v>
      </c>
      <c r="B550" s="186" t="str">
        <f>IFERROR(('Lab Analysis'!E550/('Lab Analysis'!E550+(1.364*'Lab Analysis'!D550))),"0")</f>
        <v>0</v>
      </c>
      <c r="C550" s="186" t="str">
        <f>IFERROR((2*'Lab Analysis'!E550/60)/('Lab Analysis'!C550/17+(2*'Lab Analysis'!E550/60)),"0")</f>
        <v>0</v>
      </c>
      <c r="D550" s="187" t="str">
        <f>IFERROR(((2*('Lab Analysis'!E550/60)+('Lab Analysis'!C550/17))/(('Lab Analysis'!D550/44)+('Lab Analysis'!E550/60))),"0")</f>
        <v>0</v>
      </c>
      <c r="E550" s="187" t="str">
        <f>IFERROR((('Lab Analysis'!F550/18)-('Lab Analysis'!E550/60))/(('Lab Analysis'!D550/44)+('Lab Analysis'!E550/60)),"0")</f>
        <v>0</v>
      </c>
      <c r="F550" s="187" t="str">
        <f>IFERROR((('Lab Analysis'!F550/18)/('Lab Analysis'!E550/60)),"0")</f>
        <v>0</v>
      </c>
      <c r="G550" s="188" t="str">
        <f>IFERROR(('Lab Analysis'!I550/('Lab Analysis'!I550+(1.765*'Lab Analysis'!G550))),"0")</f>
        <v>0</v>
      </c>
      <c r="H550" s="189" t="str">
        <f>IFERROR(((2*('Lab Analysis'!I550/60))+('Lab Analysis'!G550/17))/(('Lab Analysis'!H550/44)+('Lab Analysis'!I550/60)),"0")</f>
        <v>0</v>
      </c>
      <c r="I550" s="189" t="str">
        <f>IFERROR((('Lab Analysis'!J550/18)-('Lab Analysis'!I550/60))/(('Lab Analysis'!H550/44)+('Lab Analysis'!I550/60)),"0")</f>
        <v>0</v>
      </c>
      <c r="J550" s="186" t="str">
        <f>IFERROR(('Lab Analysis'!M550/('Lab Analysis'!M550+(1.765*'Lab Analysis'!K550))),"0")</f>
        <v>0</v>
      </c>
      <c r="K550" s="190" t="str">
        <f>IFERROR(((2*('Lab Analysis'!M550/60))+('Lab Analysis'!K550/17))/(('Lab Analysis'!L550/44)+('Lab Analysis'!M550/60)),"0")</f>
        <v>0</v>
      </c>
      <c r="L550" s="190" t="str">
        <f>IFERROR((('Lab Analysis'!N550/18)-('Lab Analysis'!M550/60))/(('Lab Analysis'!L550/44)+('Lab Analysis'!M550/60)),"0")</f>
        <v>0</v>
      </c>
      <c r="M550" s="187" t="str">
        <f>IFERROR(((2*('Lab Analysis'!U550/60))+('Lab Analysis'!S550/17))/(('Lab Analysis'!T550/44)+('Lab Analysis'!U550/60)),"0")</f>
        <v>0</v>
      </c>
      <c r="N550" s="187" t="str">
        <f>IFERROR((('Lab Analysis'!V550/18)-('Lab Analysis'!U550/60))/(('Lab Analysis'!T550/44)+('Lab Analysis'!U550/60)),"0")</f>
        <v>0</v>
      </c>
      <c r="O550" s="187" t="str">
        <f>IFERROR(((2*('Lab Analysis'!Y550/60)+('Lab Analysis'!W550/17))/(('Lab Analysis'!X550/44)+('Lab Analysis'!Y550/60))),"0")</f>
        <v>0</v>
      </c>
      <c r="P550" s="187" t="str">
        <f>IFERROR((('Lab Analysis'!Z550/18)-('Lab Analysis'!Y550/60))/(('Lab Analysis'!X550/44)+('Lab Analysis'!Y550/60)),"0")</f>
        <v>0</v>
      </c>
      <c r="Q550" s="191"/>
    </row>
    <row r="551" spans="1:17">
      <c r="A551" s="185">
        <v>46365</v>
      </c>
      <c r="B551" s="186" t="str">
        <f>IFERROR(('Lab Analysis'!E551/('Lab Analysis'!E551+(1.364*'Lab Analysis'!D551))),"0")</f>
        <v>0</v>
      </c>
      <c r="C551" s="186" t="str">
        <f>IFERROR((2*'Lab Analysis'!E551/60)/('Lab Analysis'!C551/17+(2*'Lab Analysis'!E551/60)),"0")</f>
        <v>0</v>
      </c>
      <c r="D551" s="187" t="str">
        <f>IFERROR(((2*('Lab Analysis'!E551/60)+('Lab Analysis'!C551/17))/(('Lab Analysis'!D551/44)+('Lab Analysis'!E551/60))),"0")</f>
        <v>0</v>
      </c>
      <c r="E551" s="187" t="str">
        <f>IFERROR((('Lab Analysis'!F551/18)-('Lab Analysis'!E551/60))/(('Lab Analysis'!D551/44)+('Lab Analysis'!E551/60)),"0")</f>
        <v>0</v>
      </c>
      <c r="F551" s="187" t="str">
        <f>IFERROR((('Lab Analysis'!F551/18)/('Lab Analysis'!E551/60)),"0")</f>
        <v>0</v>
      </c>
      <c r="G551" s="188" t="str">
        <f>IFERROR(('Lab Analysis'!I551/('Lab Analysis'!I551+(1.765*'Lab Analysis'!G551))),"0")</f>
        <v>0</v>
      </c>
      <c r="H551" s="189" t="str">
        <f>IFERROR(((2*('Lab Analysis'!I551/60))+('Lab Analysis'!G551/17))/(('Lab Analysis'!H551/44)+('Lab Analysis'!I551/60)),"0")</f>
        <v>0</v>
      </c>
      <c r="I551" s="189" t="str">
        <f>IFERROR((('Lab Analysis'!J551/18)-('Lab Analysis'!I551/60))/(('Lab Analysis'!H551/44)+('Lab Analysis'!I551/60)),"0")</f>
        <v>0</v>
      </c>
      <c r="J551" s="186" t="str">
        <f>IFERROR(('Lab Analysis'!M551/('Lab Analysis'!M551+(1.765*'Lab Analysis'!K551))),"0")</f>
        <v>0</v>
      </c>
      <c r="K551" s="190" t="str">
        <f>IFERROR(((2*('Lab Analysis'!M551/60))+('Lab Analysis'!K551/17))/(('Lab Analysis'!L551/44)+('Lab Analysis'!M551/60)),"0")</f>
        <v>0</v>
      </c>
      <c r="L551" s="190" t="str">
        <f>IFERROR((('Lab Analysis'!N551/18)-('Lab Analysis'!M551/60))/(('Lab Analysis'!L551/44)+('Lab Analysis'!M551/60)),"0")</f>
        <v>0</v>
      </c>
      <c r="M551" s="187" t="str">
        <f>IFERROR(((2*('Lab Analysis'!U551/60))+('Lab Analysis'!S551/17))/(('Lab Analysis'!T551/44)+('Lab Analysis'!U551/60)),"0")</f>
        <v>0</v>
      </c>
      <c r="N551" s="187" t="str">
        <f>IFERROR((('Lab Analysis'!V551/18)-('Lab Analysis'!U551/60))/(('Lab Analysis'!T551/44)+('Lab Analysis'!U551/60)),"0")</f>
        <v>0</v>
      </c>
      <c r="O551" s="187" t="str">
        <f>IFERROR(((2*('Lab Analysis'!Y551/60)+('Lab Analysis'!W551/17))/(('Lab Analysis'!X551/44)+('Lab Analysis'!Y551/60))),"0")</f>
        <v>0</v>
      </c>
      <c r="P551" s="187" t="str">
        <f>IFERROR((('Lab Analysis'!Z551/18)-('Lab Analysis'!Y551/60))/(('Lab Analysis'!X551/44)+('Lab Analysis'!Y551/60)),"0")</f>
        <v>0</v>
      </c>
      <c r="Q551" s="191"/>
    </row>
    <row r="552" spans="1:17">
      <c r="A552" s="185">
        <v>46366</v>
      </c>
      <c r="B552" s="186" t="str">
        <f>IFERROR(('Lab Analysis'!E552/('Lab Analysis'!E552+(1.364*'Lab Analysis'!D552))),"0")</f>
        <v>0</v>
      </c>
      <c r="C552" s="186" t="str">
        <f>IFERROR((2*'Lab Analysis'!E552/60)/('Lab Analysis'!C552/17+(2*'Lab Analysis'!E552/60)),"0")</f>
        <v>0</v>
      </c>
      <c r="D552" s="187" t="str">
        <f>IFERROR(((2*('Lab Analysis'!E552/60)+('Lab Analysis'!C552/17))/(('Lab Analysis'!D552/44)+('Lab Analysis'!E552/60))),"0")</f>
        <v>0</v>
      </c>
      <c r="E552" s="187" t="str">
        <f>IFERROR((('Lab Analysis'!F552/18)-('Lab Analysis'!E552/60))/(('Lab Analysis'!D552/44)+('Lab Analysis'!E552/60)),"0")</f>
        <v>0</v>
      </c>
      <c r="F552" s="187" t="str">
        <f>IFERROR((('Lab Analysis'!F552/18)/('Lab Analysis'!E552/60)),"0")</f>
        <v>0</v>
      </c>
      <c r="G552" s="188" t="str">
        <f>IFERROR(('Lab Analysis'!I552/('Lab Analysis'!I552+(1.765*'Lab Analysis'!G552))),"0")</f>
        <v>0</v>
      </c>
      <c r="H552" s="189" t="str">
        <f>IFERROR(((2*('Lab Analysis'!I552/60))+('Lab Analysis'!G552/17))/(('Lab Analysis'!H552/44)+('Lab Analysis'!I552/60)),"0")</f>
        <v>0</v>
      </c>
      <c r="I552" s="189" t="str">
        <f>IFERROR((('Lab Analysis'!J552/18)-('Lab Analysis'!I552/60))/(('Lab Analysis'!H552/44)+('Lab Analysis'!I552/60)),"0")</f>
        <v>0</v>
      </c>
      <c r="J552" s="186" t="str">
        <f>IFERROR(('Lab Analysis'!M552/('Lab Analysis'!M552+(1.765*'Lab Analysis'!K552))),"0")</f>
        <v>0</v>
      </c>
      <c r="K552" s="190" t="str">
        <f>IFERROR(((2*('Lab Analysis'!M552/60))+('Lab Analysis'!K552/17))/(('Lab Analysis'!L552/44)+('Lab Analysis'!M552/60)),"0")</f>
        <v>0</v>
      </c>
      <c r="L552" s="190" t="str">
        <f>IFERROR((('Lab Analysis'!N552/18)-('Lab Analysis'!M552/60))/(('Lab Analysis'!L552/44)+('Lab Analysis'!M552/60)),"0")</f>
        <v>0</v>
      </c>
      <c r="M552" s="187" t="str">
        <f>IFERROR(((2*('Lab Analysis'!U552/60))+('Lab Analysis'!S552/17))/(('Lab Analysis'!T552/44)+('Lab Analysis'!U552/60)),"0")</f>
        <v>0</v>
      </c>
      <c r="N552" s="187" t="str">
        <f>IFERROR((('Lab Analysis'!V552/18)-('Lab Analysis'!U552/60))/(('Lab Analysis'!T552/44)+('Lab Analysis'!U552/60)),"0")</f>
        <v>0</v>
      </c>
      <c r="O552" s="187" t="str">
        <f>IFERROR(((2*('Lab Analysis'!Y552/60)+('Lab Analysis'!W552/17))/(('Lab Analysis'!X552/44)+('Lab Analysis'!Y552/60))),"0")</f>
        <v>0</v>
      </c>
      <c r="P552" s="187" t="str">
        <f>IFERROR((('Lab Analysis'!Z552/18)-('Lab Analysis'!Y552/60))/(('Lab Analysis'!X552/44)+('Lab Analysis'!Y552/60)),"0")</f>
        <v>0</v>
      </c>
      <c r="Q552" s="191"/>
    </row>
    <row r="553" spans="1:17">
      <c r="A553" s="185">
        <v>46367</v>
      </c>
      <c r="B553" s="186" t="str">
        <f>IFERROR(('Lab Analysis'!E553/('Lab Analysis'!E553+(1.364*'Lab Analysis'!D553))),"0")</f>
        <v>0</v>
      </c>
      <c r="C553" s="186" t="str">
        <f>IFERROR((2*'Lab Analysis'!E553/60)/('Lab Analysis'!C553/17+(2*'Lab Analysis'!E553/60)),"0")</f>
        <v>0</v>
      </c>
      <c r="D553" s="187" t="str">
        <f>IFERROR(((2*('Lab Analysis'!E553/60)+('Lab Analysis'!C553/17))/(('Lab Analysis'!D553/44)+('Lab Analysis'!E553/60))),"0")</f>
        <v>0</v>
      </c>
      <c r="E553" s="187" t="str">
        <f>IFERROR((('Lab Analysis'!F553/18)-('Lab Analysis'!E553/60))/(('Lab Analysis'!D553/44)+('Lab Analysis'!E553/60)),"0")</f>
        <v>0</v>
      </c>
      <c r="F553" s="187" t="str">
        <f>IFERROR((('Lab Analysis'!F553/18)/('Lab Analysis'!E553/60)),"0")</f>
        <v>0</v>
      </c>
      <c r="G553" s="188" t="str">
        <f>IFERROR(('Lab Analysis'!I553/('Lab Analysis'!I553+(1.765*'Lab Analysis'!G553))),"0")</f>
        <v>0</v>
      </c>
      <c r="H553" s="189" t="str">
        <f>IFERROR(((2*('Lab Analysis'!I553/60))+('Lab Analysis'!G553/17))/(('Lab Analysis'!H553/44)+('Lab Analysis'!I553/60)),"0")</f>
        <v>0</v>
      </c>
      <c r="I553" s="189" t="str">
        <f>IFERROR((('Lab Analysis'!J553/18)-('Lab Analysis'!I553/60))/(('Lab Analysis'!H553/44)+('Lab Analysis'!I553/60)),"0")</f>
        <v>0</v>
      </c>
      <c r="J553" s="186" t="str">
        <f>IFERROR(('Lab Analysis'!M553/('Lab Analysis'!M553+(1.765*'Lab Analysis'!K553))),"0")</f>
        <v>0</v>
      </c>
      <c r="K553" s="190" t="str">
        <f>IFERROR(((2*('Lab Analysis'!M553/60))+('Lab Analysis'!K553/17))/(('Lab Analysis'!L553/44)+('Lab Analysis'!M553/60)),"0")</f>
        <v>0</v>
      </c>
      <c r="L553" s="190" t="str">
        <f>IFERROR((('Lab Analysis'!N553/18)-('Lab Analysis'!M553/60))/(('Lab Analysis'!L553/44)+('Lab Analysis'!M553/60)),"0")</f>
        <v>0</v>
      </c>
      <c r="M553" s="187" t="str">
        <f>IFERROR(((2*('Lab Analysis'!U553/60))+('Lab Analysis'!S553/17))/(('Lab Analysis'!T553/44)+('Lab Analysis'!U553/60)),"0")</f>
        <v>0</v>
      </c>
      <c r="N553" s="187" t="str">
        <f>IFERROR((('Lab Analysis'!V553/18)-('Lab Analysis'!U553/60))/(('Lab Analysis'!T553/44)+('Lab Analysis'!U553/60)),"0")</f>
        <v>0</v>
      </c>
      <c r="O553" s="187" t="str">
        <f>IFERROR(((2*('Lab Analysis'!Y553/60)+('Lab Analysis'!W553/17))/(('Lab Analysis'!X553/44)+('Lab Analysis'!Y553/60))),"0")</f>
        <v>0</v>
      </c>
      <c r="P553" s="187" t="str">
        <f>IFERROR((('Lab Analysis'!Z553/18)-('Lab Analysis'!Y553/60))/(('Lab Analysis'!X553/44)+('Lab Analysis'!Y553/60)),"0")</f>
        <v>0</v>
      </c>
      <c r="Q553" s="191"/>
    </row>
    <row r="554" spans="1:17">
      <c r="A554" s="185">
        <v>46368</v>
      </c>
      <c r="B554" s="186" t="str">
        <f>IFERROR(('Lab Analysis'!E554/('Lab Analysis'!E554+(1.364*'Lab Analysis'!D554))),"0")</f>
        <v>0</v>
      </c>
      <c r="C554" s="186" t="str">
        <f>IFERROR((2*'Lab Analysis'!E554/60)/('Lab Analysis'!C554/17+(2*'Lab Analysis'!E554/60)),"0")</f>
        <v>0</v>
      </c>
      <c r="D554" s="187" t="str">
        <f>IFERROR(((2*('Lab Analysis'!E554/60)+('Lab Analysis'!C554/17))/(('Lab Analysis'!D554/44)+('Lab Analysis'!E554/60))),"0")</f>
        <v>0</v>
      </c>
      <c r="E554" s="187" t="str">
        <f>IFERROR((('Lab Analysis'!F554/18)-('Lab Analysis'!E554/60))/(('Lab Analysis'!D554/44)+('Lab Analysis'!E554/60)),"0")</f>
        <v>0</v>
      </c>
      <c r="F554" s="187" t="str">
        <f>IFERROR((('Lab Analysis'!F554/18)/('Lab Analysis'!E554/60)),"0")</f>
        <v>0</v>
      </c>
      <c r="G554" s="188" t="str">
        <f>IFERROR(('Lab Analysis'!I554/('Lab Analysis'!I554+(1.765*'Lab Analysis'!G554))),"0")</f>
        <v>0</v>
      </c>
      <c r="H554" s="189" t="str">
        <f>IFERROR(((2*('Lab Analysis'!I554/60))+('Lab Analysis'!G554/17))/(('Lab Analysis'!H554/44)+('Lab Analysis'!I554/60)),"0")</f>
        <v>0</v>
      </c>
      <c r="I554" s="189" t="str">
        <f>IFERROR((('Lab Analysis'!J554/18)-('Lab Analysis'!I554/60))/(('Lab Analysis'!H554/44)+('Lab Analysis'!I554/60)),"0")</f>
        <v>0</v>
      </c>
      <c r="J554" s="186" t="str">
        <f>IFERROR(('Lab Analysis'!M554/('Lab Analysis'!M554+(1.765*'Lab Analysis'!K554))),"0")</f>
        <v>0</v>
      </c>
      <c r="K554" s="190" t="str">
        <f>IFERROR(((2*('Lab Analysis'!M554/60))+('Lab Analysis'!K554/17))/(('Lab Analysis'!L554/44)+('Lab Analysis'!M554/60)),"0")</f>
        <v>0</v>
      </c>
      <c r="L554" s="190" t="str">
        <f>IFERROR((('Lab Analysis'!N554/18)-('Lab Analysis'!M554/60))/(('Lab Analysis'!L554/44)+('Lab Analysis'!M554/60)),"0")</f>
        <v>0</v>
      </c>
      <c r="M554" s="187" t="str">
        <f>IFERROR(((2*('Lab Analysis'!U554/60))+('Lab Analysis'!S554/17))/(('Lab Analysis'!T554/44)+('Lab Analysis'!U554/60)),"0")</f>
        <v>0</v>
      </c>
      <c r="N554" s="187" t="str">
        <f>IFERROR((('Lab Analysis'!V554/18)-('Lab Analysis'!U554/60))/(('Lab Analysis'!T554/44)+('Lab Analysis'!U554/60)),"0")</f>
        <v>0</v>
      </c>
      <c r="O554" s="187" t="str">
        <f>IFERROR(((2*('Lab Analysis'!Y554/60)+('Lab Analysis'!W554/17))/(('Lab Analysis'!X554/44)+('Lab Analysis'!Y554/60))),"0")</f>
        <v>0</v>
      </c>
      <c r="P554" s="187" t="str">
        <f>IFERROR((('Lab Analysis'!Z554/18)-('Lab Analysis'!Y554/60))/(('Lab Analysis'!X554/44)+('Lab Analysis'!Y554/60)),"0")</f>
        <v>0</v>
      </c>
      <c r="Q554" s="191"/>
    </row>
    <row r="555" spans="1:17">
      <c r="A555" s="185">
        <v>46369</v>
      </c>
      <c r="B555" s="186" t="str">
        <f>IFERROR(('Lab Analysis'!E555/('Lab Analysis'!E555+(1.364*'Lab Analysis'!D555))),"0")</f>
        <v>0</v>
      </c>
      <c r="C555" s="186" t="str">
        <f>IFERROR((2*'Lab Analysis'!E555/60)/('Lab Analysis'!C555/17+(2*'Lab Analysis'!E555/60)),"0")</f>
        <v>0</v>
      </c>
      <c r="D555" s="187" t="str">
        <f>IFERROR(((2*('Lab Analysis'!E555/60)+('Lab Analysis'!C555/17))/(('Lab Analysis'!D555/44)+('Lab Analysis'!E555/60))),"0")</f>
        <v>0</v>
      </c>
      <c r="E555" s="187" t="str">
        <f>IFERROR((('Lab Analysis'!F555/18)-('Lab Analysis'!E555/60))/(('Lab Analysis'!D555/44)+('Lab Analysis'!E555/60)),"0")</f>
        <v>0</v>
      </c>
      <c r="F555" s="187" t="str">
        <f>IFERROR((('Lab Analysis'!F555/18)/('Lab Analysis'!E555/60)),"0")</f>
        <v>0</v>
      </c>
      <c r="G555" s="188" t="str">
        <f>IFERROR(('Lab Analysis'!I555/('Lab Analysis'!I555+(1.765*'Lab Analysis'!G555))),"0")</f>
        <v>0</v>
      </c>
      <c r="H555" s="189" t="str">
        <f>IFERROR(((2*('Lab Analysis'!I555/60))+('Lab Analysis'!G555/17))/(('Lab Analysis'!H555/44)+('Lab Analysis'!I555/60)),"0")</f>
        <v>0</v>
      </c>
      <c r="I555" s="189" t="str">
        <f>IFERROR((('Lab Analysis'!J555/18)-('Lab Analysis'!I555/60))/(('Lab Analysis'!H555/44)+('Lab Analysis'!I555/60)),"0")</f>
        <v>0</v>
      </c>
      <c r="J555" s="186" t="str">
        <f>IFERROR(('Lab Analysis'!M555/('Lab Analysis'!M555+(1.765*'Lab Analysis'!K555))),"0")</f>
        <v>0</v>
      </c>
      <c r="K555" s="190" t="str">
        <f>IFERROR(((2*('Lab Analysis'!M555/60))+('Lab Analysis'!K555/17))/(('Lab Analysis'!L555/44)+('Lab Analysis'!M555/60)),"0")</f>
        <v>0</v>
      </c>
      <c r="L555" s="190" t="str">
        <f>IFERROR((('Lab Analysis'!N555/18)-('Lab Analysis'!M555/60))/(('Lab Analysis'!L555/44)+('Lab Analysis'!M555/60)),"0")</f>
        <v>0</v>
      </c>
      <c r="M555" s="187" t="str">
        <f>IFERROR(((2*('Lab Analysis'!U555/60))+('Lab Analysis'!S555/17))/(('Lab Analysis'!T555/44)+('Lab Analysis'!U555/60)),"0")</f>
        <v>0</v>
      </c>
      <c r="N555" s="187" t="str">
        <f>IFERROR((('Lab Analysis'!V555/18)-('Lab Analysis'!U555/60))/(('Lab Analysis'!T555/44)+('Lab Analysis'!U555/60)),"0")</f>
        <v>0</v>
      </c>
      <c r="O555" s="187" t="str">
        <f>IFERROR(((2*('Lab Analysis'!Y555/60)+('Lab Analysis'!W555/17))/(('Lab Analysis'!X555/44)+('Lab Analysis'!Y555/60))),"0")</f>
        <v>0</v>
      </c>
      <c r="P555" s="187" t="str">
        <f>IFERROR((('Lab Analysis'!Z555/18)-('Lab Analysis'!Y555/60))/(('Lab Analysis'!X555/44)+('Lab Analysis'!Y555/60)),"0")</f>
        <v>0</v>
      </c>
      <c r="Q555" s="191"/>
    </row>
    <row r="556" spans="1:17">
      <c r="A556" s="185">
        <v>46370</v>
      </c>
      <c r="B556" s="186" t="str">
        <f>IFERROR(('Lab Analysis'!E556/('Lab Analysis'!E556+(1.364*'Lab Analysis'!D556))),"0")</f>
        <v>0</v>
      </c>
      <c r="C556" s="186" t="str">
        <f>IFERROR((2*'Lab Analysis'!E556/60)/('Lab Analysis'!C556/17+(2*'Lab Analysis'!E556/60)),"0")</f>
        <v>0</v>
      </c>
      <c r="D556" s="187" t="str">
        <f>IFERROR(((2*('Lab Analysis'!E556/60)+('Lab Analysis'!C556/17))/(('Lab Analysis'!D556/44)+('Lab Analysis'!E556/60))),"0")</f>
        <v>0</v>
      </c>
      <c r="E556" s="187" t="str">
        <f>IFERROR((('Lab Analysis'!F556/18)-('Lab Analysis'!E556/60))/(('Lab Analysis'!D556/44)+('Lab Analysis'!E556/60)),"0")</f>
        <v>0</v>
      </c>
      <c r="F556" s="187" t="str">
        <f>IFERROR((('Lab Analysis'!F556/18)/('Lab Analysis'!E556/60)),"0")</f>
        <v>0</v>
      </c>
      <c r="G556" s="188" t="str">
        <f>IFERROR(('Lab Analysis'!I556/('Lab Analysis'!I556+(1.765*'Lab Analysis'!G556))),"0")</f>
        <v>0</v>
      </c>
      <c r="H556" s="189" t="str">
        <f>IFERROR(((2*('Lab Analysis'!I556/60))+('Lab Analysis'!G556/17))/(('Lab Analysis'!H556/44)+('Lab Analysis'!I556/60)),"0")</f>
        <v>0</v>
      </c>
      <c r="I556" s="189" t="str">
        <f>IFERROR((('Lab Analysis'!J556/18)-('Lab Analysis'!I556/60))/(('Lab Analysis'!H556/44)+('Lab Analysis'!I556/60)),"0")</f>
        <v>0</v>
      </c>
      <c r="J556" s="186" t="str">
        <f>IFERROR(('Lab Analysis'!M556/('Lab Analysis'!M556+(1.765*'Lab Analysis'!K556))),"0")</f>
        <v>0</v>
      </c>
      <c r="K556" s="190" t="str">
        <f>IFERROR(((2*('Lab Analysis'!M556/60))+('Lab Analysis'!K556/17))/(('Lab Analysis'!L556/44)+('Lab Analysis'!M556/60)),"0")</f>
        <v>0</v>
      </c>
      <c r="L556" s="190" t="str">
        <f>IFERROR((('Lab Analysis'!N556/18)-('Lab Analysis'!M556/60))/(('Lab Analysis'!L556/44)+('Lab Analysis'!M556/60)),"0")</f>
        <v>0</v>
      </c>
      <c r="M556" s="187" t="str">
        <f>IFERROR(((2*('Lab Analysis'!U556/60))+('Lab Analysis'!S556/17))/(('Lab Analysis'!T556/44)+('Lab Analysis'!U556/60)),"0")</f>
        <v>0</v>
      </c>
      <c r="N556" s="187" t="str">
        <f>IFERROR((('Lab Analysis'!V556/18)-('Lab Analysis'!U556/60))/(('Lab Analysis'!T556/44)+('Lab Analysis'!U556/60)),"0")</f>
        <v>0</v>
      </c>
      <c r="O556" s="187" t="str">
        <f>IFERROR(((2*('Lab Analysis'!Y556/60)+('Lab Analysis'!W556/17))/(('Lab Analysis'!X556/44)+('Lab Analysis'!Y556/60))),"0")</f>
        <v>0</v>
      </c>
      <c r="P556" s="187" t="str">
        <f>IFERROR((('Lab Analysis'!Z556/18)-('Lab Analysis'!Y556/60))/(('Lab Analysis'!X556/44)+('Lab Analysis'!Y556/60)),"0")</f>
        <v>0</v>
      </c>
      <c r="Q556" s="191"/>
    </row>
    <row r="557" spans="1:17">
      <c r="A557" s="185">
        <v>46371</v>
      </c>
      <c r="B557" s="186" t="str">
        <f>IFERROR(('Lab Analysis'!E557/('Lab Analysis'!E557+(1.364*'Lab Analysis'!D557))),"0")</f>
        <v>0</v>
      </c>
      <c r="C557" s="186" t="str">
        <f>IFERROR((2*'Lab Analysis'!E557/60)/('Lab Analysis'!C557/17+(2*'Lab Analysis'!E557/60)),"0")</f>
        <v>0</v>
      </c>
      <c r="D557" s="187" t="str">
        <f>IFERROR(((2*('Lab Analysis'!E557/60)+('Lab Analysis'!C557/17))/(('Lab Analysis'!D557/44)+('Lab Analysis'!E557/60))),"0")</f>
        <v>0</v>
      </c>
      <c r="E557" s="187" t="str">
        <f>IFERROR((('Lab Analysis'!F557/18)-('Lab Analysis'!E557/60))/(('Lab Analysis'!D557/44)+('Lab Analysis'!E557/60)),"0")</f>
        <v>0</v>
      </c>
      <c r="F557" s="187" t="str">
        <f>IFERROR((('Lab Analysis'!F557/18)/('Lab Analysis'!E557/60)),"0")</f>
        <v>0</v>
      </c>
      <c r="G557" s="188" t="str">
        <f>IFERROR(('Lab Analysis'!I557/('Lab Analysis'!I557+(1.765*'Lab Analysis'!G557))),"0")</f>
        <v>0</v>
      </c>
      <c r="H557" s="189" t="str">
        <f>IFERROR(((2*('Lab Analysis'!I557/60))+('Lab Analysis'!G557/17))/(('Lab Analysis'!H557/44)+('Lab Analysis'!I557/60)),"0")</f>
        <v>0</v>
      </c>
      <c r="I557" s="189" t="str">
        <f>IFERROR((('Lab Analysis'!J557/18)-('Lab Analysis'!I557/60))/(('Lab Analysis'!H557/44)+('Lab Analysis'!I557/60)),"0")</f>
        <v>0</v>
      </c>
      <c r="J557" s="186" t="str">
        <f>IFERROR(('Lab Analysis'!M557/('Lab Analysis'!M557+(1.765*'Lab Analysis'!K557))),"0")</f>
        <v>0</v>
      </c>
      <c r="K557" s="190" t="str">
        <f>IFERROR(((2*('Lab Analysis'!M557/60))+('Lab Analysis'!K557/17))/(('Lab Analysis'!L557/44)+('Lab Analysis'!M557/60)),"0")</f>
        <v>0</v>
      </c>
      <c r="L557" s="190" t="str">
        <f>IFERROR((('Lab Analysis'!N557/18)-('Lab Analysis'!M557/60))/(('Lab Analysis'!L557/44)+('Lab Analysis'!M557/60)),"0")</f>
        <v>0</v>
      </c>
      <c r="M557" s="187" t="str">
        <f>IFERROR(((2*('Lab Analysis'!U557/60))+('Lab Analysis'!S557/17))/(('Lab Analysis'!T557/44)+('Lab Analysis'!U557/60)),"0")</f>
        <v>0</v>
      </c>
      <c r="N557" s="187" t="str">
        <f>IFERROR((('Lab Analysis'!V557/18)-('Lab Analysis'!U557/60))/(('Lab Analysis'!T557/44)+('Lab Analysis'!U557/60)),"0")</f>
        <v>0</v>
      </c>
      <c r="O557" s="187" t="str">
        <f>IFERROR(((2*('Lab Analysis'!Y557/60)+('Lab Analysis'!W557/17))/(('Lab Analysis'!X557/44)+('Lab Analysis'!Y557/60))),"0")</f>
        <v>0</v>
      </c>
      <c r="P557" s="187" t="str">
        <f>IFERROR((('Lab Analysis'!Z557/18)-('Lab Analysis'!Y557/60))/(('Lab Analysis'!X557/44)+('Lab Analysis'!Y557/60)),"0")</f>
        <v>0</v>
      </c>
      <c r="Q557" s="191"/>
    </row>
    <row r="558" spans="1:17">
      <c r="A558" s="185">
        <v>46372</v>
      </c>
      <c r="B558" s="186" t="str">
        <f>IFERROR(('Lab Analysis'!E558/('Lab Analysis'!E558+(1.364*'Lab Analysis'!D558))),"0")</f>
        <v>0</v>
      </c>
      <c r="C558" s="186" t="str">
        <f>IFERROR((2*'Lab Analysis'!E558/60)/('Lab Analysis'!C558/17+(2*'Lab Analysis'!E558/60)),"0")</f>
        <v>0</v>
      </c>
      <c r="D558" s="187" t="str">
        <f>IFERROR(((2*('Lab Analysis'!E558/60)+('Lab Analysis'!C558/17))/(('Lab Analysis'!D558/44)+('Lab Analysis'!E558/60))),"0")</f>
        <v>0</v>
      </c>
      <c r="E558" s="187" t="str">
        <f>IFERROR((('Lab Analysis'!F558/18)-('Lab Analysis'!E558/60))/(('Lab Analysis'!D558/44)+('Lab Analysis'!E558/60)),"0")</f>
        <v>0</v>
      </c>
      <c r="F558" s="187" t="str">
        <f>IFERROR((('Lab Analysis'!F558/18)/('Lab Analysis'!E558/60)),"0")</f>
        <v>0</v>
      </c>
      <c r="G558" s="188" t="str">
        <f>IFERROR(('Lab Analysis'!I558/('Lab Analysis'!I558+(1.765*'Lab Analysis'!G558))),"0")</f>
        <v>0</v>
      </c>
      <c r="H558" s="189" t="str">
        <f>IFERROR(((2*('Lab Analysis'!I558/60))+('Lab Analysis'!G558/17))/(('Lab Analysis'!H558/44)+('Lab Analysis'!I558/60)),"0")</f>
        <v>0</v>
      </c>
      <c r="I558" s="189" t="str">
        <f>IFERROR((('Lab Analysis'!J558/18)-('Lab Analysis'!I558/60))/(('Lab Analysis'!H558/44)+('Lab Analysis'!I558/60)),"0")</f>
        <v>0</v>
      </c>
      <c r="J558" s="186" t="str">
        <f>IFERROR(('Lab Analysis'!M558/('Lab Analysis'!M558+(1.765*'Lab Analysis'!K558))),"0")</f>
        <v>0</v>
      </c>
      <c r="K558" s="190" t="str">
        <f>IFERROR(((2*('Lab Analysis'!M558/60))+('Lab Analysis'!K558/17))/(('Lab Analysis'!L558/44)+('Lab Analysis'!M558/60)),"0")</f>
        <v>0</v>
      </c>
      <c r="L558" s="190" t="str">
        <f>IFERROR((('Lab Analysis'!N558/18)-('Lab Analysis'!M558/60))/(('Lab Analysis'!L558/44)+('Lab Analysis'!M558/60)),"0")</f>
        <v>0</v>
      </c>
      <c r="M558" s="187" t="str">
        <f>IFERROR(((2*('Lab Analysis'!U558/60))+('Lab Analysis'!S558/17))/(('Lab Analysis'!T558/44)+('Lab Analysis'!U558/60)),"0")</f>
        <v>0</v>
      </c>
      <c r="N558" s="187" t="str">
        <f>IFERROR((('Lab Analysis'!V558/18)-('Lab Analysis'!U558/60))/(('Lab Analysis'!T558/44)+('Lab Analysis'!U558/60)),"0")</f>
        <v>0</v>
      </c>
      <c r="O558" s="187" t="str">
        <f>IFERROR(((2*('Lab Analysis'!Y558/60)+('Lab Analysis'!W558/17))/(('Lab Analysis'!X558/44)+('Lab Analysis'!Y558/60))),"0")</f>
        <v>0</v>
      </c>
      <c r="P558" s="187" t="str">
        <f>IFERROR((('Lab Analysis'!Z558/18)-('Lab Analysis'!Y558/60))/(('Lab Analysis'!X558/44)+('Lab Analysis'!Y558/60)),"0")</f>
        <v>0</v>
      </c>
      <c r="Q558" s="191"/>
    </row>
    <row r="559" spans="1:17">
      <c r="A559" s="185">
        <v>46373</v>
      </c>
      <c r="B559" s="186" t="str">
        <f>IFERROR(('Lab Analysis'!E559/('Lab Analysis'!E559+(1.364*'Lab Analysis'!D559))),"0")</f>
        <v>0</v>
      </c>
      <c r="C559" s="186" t="str">
        <f>IFERROR((2*'Lab Analysis'!E559/60)/('Lab Analysis'!C559/17+(2*'Lab Analysis'!E559/60)),"0")</f>
        <v>0</v>
      </c>
      <c r="D559" s="187" t="str">
        <f>IFERROR(((2*('Lab Analysis'!E559/60)+('Lab Analysis'!C559/17))/(('Lab Analysis'!D559/44)+('Lab Analysis'!E559/60))),"0")</f>
        <v>0</v>
      </c>
      <c r="E559" s="187" t="str">
        <f>IFERROR((('Lab Analysis'!F559/18)-('Lab Analysis'!E559/60))/(('Lab Analysis'!D559/44)+('Lab Analysis'!E559/60)),"0")</f>
        <v>0</v>
      </c>
      <c r="F559" s="187" t="str">
        <f>IFERROR((('Lab Analysis'!F559/18)/('Lab Analysis'!E559/60)),"0")</f>
        <v>0</v>
      </c>
      <c r="G559" s="188" t="str">
        <f>IFERROR(('Lab Analysis'!I559/('Lab Analysis'!I559+(1.765*'Lab Analysis'!G559))),"0")</f>
        <v>0</v>
      </c>
      <c r="H559" s="189" t="str">
        <f>IFERROR(((2*('Lab Analysis'!I559/60))+('Lab Analysis'!G559/17))/(('Lab Analysis'!H559/44)+('Lab Analysis'!I559/60)),"0")</f>
        <v>0</v>
      </c>
      <c r="I559" s="189" t="str">
        <f>IFERROR((('Lab Analysis'!J559/18)-('Lab Analysis'!I559/60))/(('Lab Analysis'!H559/44)+('Lab Analysis'!I559/60)),"0")</f>
        <v>0</v>
      </c>
      <c r="J559" s="186" t="str">
        <f>IFERROR(('Lab Analysis'!M559/('Lab Analysis'!M559+(1.765*'Lab Analysis'!K559))),"0")</f>
        <v>0</v>
      </c>
      <c r="K559" s="190" t="str">
        <f>IFERROR(((2*('Lab Analysis'!M559/60))+('Lab Analysis'!K559/17))/(('Lab Analysis'!L559/44)+('Lab Analysis'!M559/60)),"0")</f>
        <v>0</v>
      </c>
      <c r="L559" s="190" t="str">
        <f>IFERROR((('Lab Analysis'!N559/18)-('Lab Analysis'!M559/60))/(('Lab Analysis'!L559/44)+('Lab Analysis'!M559/60)),"0")</f>
        <v>0</v>
      </c>
      <c r="M559" s="187" t="str">
        <f>IFERROR(((2*('Lab Analysis'!U559/60))+('Lab Analysis'!S559/17))/(('Lab Analysis'!T559/44)+('Lab Analysis'!U559/60)),"0")</f>
        <v>0</v>
      </c>
      <c r="N559" s="187" t="str">
        <f>IFERROR((('Lab Analysis'!V559/18)-('Lab Analysis'!U559/60))/(('Lab Analysis'!T559/44)+('Lab Analysis'!U559/60)),"0")</f>
        <v>0</v>
      </c>
      <c r="O559" s="187" t="str">
        <f>IFERROR(((2*('Lab Analysis'!Y559/60)+('Lab Analysis'!W559/17))/(('Lab Analysis'!X559/44)+('Lab Analysis'!Y559/60))),"0")</f>
        <v>0</v>
      </c>
      <c r="P559" s="187" t="str">
        <f>IFERROR((('Lab Analysis'!Z559/18)-('Lab Analysis'!Y559/60))/(('Lab Analysis'!X559/44)+('Lab Analysis'!Y559/60)),"0")</f>
        <v>0</v>
      </c>
      <c r="Q559" s="191"/>
    </row>
    <row r="560" spans="1:17">
      <c r="A560" s="185">
        <v>46374</v>
      </c>
      <c r="B560" s="186" t="str">
        <f>IFERROR(('Lab Analysis'!E560/('Lab Analysis'!E560+(1.364*'Lab Analysis'!D560))),"0")</f>
        <v>0</v>
      </c>
      <c r="C560" s="186" t="str">
        <f>IFERROR((2*'Lab Analysis'!E560/60)/('Lab Analysis'!C560/17+(2*'Lab Analysis'!E560/60)),"0")</f>
        <v>0</v>
      </c>
      <c r="D560" s="187" t="str">
        <f>IFERROR(((2*('Lab Analysis'!E560/60)+('Lab Analysis'!C560/17))/(('Lab Analysis'!D560/44)+('Lab Analysis'!E560/60))),"0")</f>
        <v>0</v>
      </c>
      <c r="E560" s="187" t="str">
        <f>IFERROR((('Lab Analysis'!F560/18)-('Lab Analysis'!E560/60))/(('Lab Analysis'!D560/44)+('Lab Analysis'!E560/60)),"0")</f>
        <v>0</v>
      </c>
      <c r="F560" s="187" t="str">
        <f>IFERROR((('Lab Analysis'!F560/18)/('Lab Analysis'!E560/60)),"0")</f>
        <v>0</v>
      </c>
      <c r="G560" s="188" t="str">
        <f>IFERROR(('Lab Analysis'!I560/('Lab Analysis'!I560+(1.765*'Lab Analysis'!G560))),"0")</f>
        <v>0</v>
      </c>
      <c r="H560" s="189" t="str">
        <f>IFERROR(((2*('Lab Analysis'!I560/60))+('Lab Analysis'!G560/17))/(('Lab Analysis'!H560/44)+('Lab Analysis'!I560/60)),"0")</f>
        <v>0</v>
      </c>
      <c r="I560" s="189" t="str">
        <f>IFERROR((('Lab Analysis'!J560/18)-('Lab Analysis'!I560/60))/(('Lab Analysis'!H560/44)+('Lab Analysis'!I560/60)),"0")</f>
        <v>0</v>
      </c>
      <c r="J560" s="186" t="str">
        <f>IFERROR(('Lab Analysis'!M560/('Lab Analysis'!M560+(1.765*'Lab Analysis'!K560))),"0")</f>
        <v>0</v>
      </c>
      <c r="K560" s="190" t="str">
        <f>IFERROR(((2*('Lab Analysis'!M560/60))+('Lab Analysis'!K560/17))/(('Lab Analysis'!L560/44)+('Lab Analysis'!M560/60)),"0")</f>
        <v>0</v>
      </c>
      <c r="L560" s="190" t="str">
        <f>IFERROR((('Lab Analysis'!N560/18)-('Lab Analysis'!M560/60))/(('Lab Analysis'!L560/44)+('Lab Analysis'!M560/60)),"0")</f>
        <v>0</v>
      </c>
      <c r="M560" s="187" t="str">
        <f>IFERROR(((2*('Lab Analysis'!U560/60))+('Lab Analysis'!S560/17))/(('Lab Analysis'!T560/44)+('Lab Analysis'!U560/60)),"0")</f>
        <v>0</v>
      </c>
      <c r="N560" s="187" t="str">
        <f>IFERROR((('Lab Analysis'!V560/18)-('Lab Analysis'!U560/60))/(('Lab Analysis'!T560/44)+('Lab Analysis'!U560/60)),"0")</f>
        <v>0</v>
      </c>
      <c r="O560" s="187" t="str">
        <f>IFERROR(((2*('Lab Analysis'!Y560/60)+('Lab Analysis'!W560/17))/(('Lab Analysis'!X560/44)+('Lab Analysis'!Y560/60))),"0")</f>
        <v>0</v>
      </c>
      <c r="P560" s="187" t="str">
        <f>IFERROR((('Lab Analysis'!Z560/18)-('Lab Analysis'!Y560/60))/(('Lab Analysis'!X560/44)+('Lab Analysis'!Y560/60)),"0")</f>
        <v>0</v>
      </c>
      <c r="Q560" s="191"/>
    </row>
    <row r="561" spans="1:17">
      <c r="A561" s="185">
        <v>46375</v>
      </c>
      <c r="B561" s="186" t="str">
        <f>IFERROR(('Lab Analysis'!E561/('Lab Analysis'!E561+(1.364*'Lab Analysis'!D561))),"0")</f>
        <v>0</v>
      </c>
      <c r="C561" s="186" t="str">
        <f>IFERROR((2*'Lab Analysis'!E561/60)/('Lab Analysis'!C561/17+(2*'Lab Analysis'!E561/60)),"0")</f>
        <v>0</v>
      </c>
      <c r="D561" s="187" t="str">
        <f>IFERROR(((2*('Lab Analysis'!E561/60)+('Lab Analysis'!C561/17))/(('Lab Analysis'!D561/44)+('Lab Analysis'!E561/60))),"0")</f>
        <v>0</v>
      </c>
      <c r="E561" s="187" t="str">
        <f>IFERROR((('Lab Analysis'!F561/18)-('Lab Analysis'!E561/60))/(('Lab Analysis'!D561/44)+('Lab Analysis'!E561/60)),"0")</f>
        <v>0</v>
      </c>
      <c r="F561" s="187" t="str">
        <f>IFERROR((('Lab Analysis'!F561/18)/('Lab Analysis'!E561/60)),"0")</f>
        <v>0</v>
      </c>
      <c r="G561" s="188" t="str">
        <f>IFERROR(('Lab Analysis'!I561/('Lab Analysis'!I561+(1.765*'Lab Analysis'!G561))),"0")</f>
        <v>0</v>
      </c>
      <c r="H561" s="189" t="str">
        <f>IFERROR(((2*('Lab Analysis'!I561/60))+('Lab Analysis'!G561/17))/(('Lab Analysis'!H561/44)+('Lab Analysis'!I561/60)),"0")</f>
        <v>0</v>
      </c>
      <c r="I561" s="189" t="str">
        <f>IFERROR((('Lab Analysis'!J561/18)-('Lab Analysis'!I561/60))/(('Lab Analysis'!H561/44)+('Lab Analysis'!I561/60)),"0")</f>
        <v>0</v>
      </c>
      <c r="J561" s="186" t="str">
        <f>IFERROR(('Lab Analysis'!M561/('Lab Analysis'!M561+(1.765*'Lab Analysis'!K561))),"0")</f>
        <v>0</v>
      </c>
      <c r="K561" s="190" t="str">
        <f>IFERROR(((2*('Lab Analysis'!M561/60))+('Lab Analysis'!K561/17))/(('Lab Analysis'!L561/44)+('Lab Analysis'!M561/60)),"0")</f>
        <v>0</v>
      </c>
      <c r="L561" s="190" t="str">
        <f>IFERROR((('Lab Analysis'!N561/18)-('Lab Analysis'!M561/60))/(('Lab Analysis'!L561/44)+('Lab Analysis'!M561/60)),"0")</f>
        <v>0</v>
      </c>
      <c r="M561" s="187" t="str">
        <f>IFERROR(((2*('Lab Analysis'!U561/60))+('Lab Analysis'!S561/17))/(('Lab Analysis'!T561/44)+('Lab Analysis'!U561/60)),"0")</f>
        <v>0</v>
      </c>
      <c r="N561" s="187" t="str">
        <f>IFERROR((('Lab Analysis'!V561/18)-('Lab Analysis'!U561/60))/(('Lab Analysis'!T561/44)+('Lab Analysis'!U561/60)),"0")</f>
        <v>0</v>
      </c>
      <c r="O561" s="187" t="str">
        <f>IFERROR(((2*('Lab Analysis'!Y561/60)+('Lab Analysis'!W561/17))/(('Lab Analysis'!X561/44)+('Lab Analysis'!Y561/60))),"0")</f>
        <v>0</v>
      </c>
      <c r="P561" s="187" t="str">
        <f>IFERROR((('Lab Analysis'!Z561/18)-('Lab Analysis'!Y561/60))/(('Lab Analysis'!X561/44)+('Lab Analysis'!Y561/60)),"0")</f>
        <v>0</v>
      </c>
      <c r="Q561" s="191"/>
    </row>
    <row r="562" spans="1:17">
      <c r="A562" s="185">
        <v>46376</v>
      </c>
      <c r="B562" s="186" t="str">
        <f>IFERROR(('Lab Analysis'!E562/('Lab Analysis'!E562+(1.364*'Lab Analysis'!D562))),"0")</f>
        <v>0</v>
      </c>
      <c r="C562" s="186" t="str">
        <f>IFERROR((2*'Lab Analysis'!E562/60)/('Lab Analysis'!C562/17+(2*'Lab Analysis'!E562/60)),"0")</f>
        <v>0</v>
      </c>
      <c r="D562" s="187" t="str">
        <f>IFERROR(((2*('Lab Analysis'!E562/60)+('Lab Analysis'!C562/17))/(('Lab Analysis'!D562/44)+('Lab Analysis'!E562/60))),"0")</f>
        <v>0</v>
      </c>
      <c r="E562" s="187" t="str">
        <f>IFERROR((('Lab Analysis'!F562/18)-('Lab Analysis'!E562/60))/(('Lab Analysis'!D562/44)+('Lab Analysis'!E562/60)),"0")</f>
        <v>0</v>
      </c>
      <c r="F562" s="187" t="str">
        <f>IFERROR((('Lab Analysis'!F562/18)/('Lab Analysis'!E562/60)),"0")</f>
        <v>0</v>
      </c>
      <c r="G562" s="188" t="str">
        <f>IFERROR(('Lab Analysis'!I562/('Lab Analysis'!I562+(1.765*'Lab Analysis'!G562))),"0")</f>
        <v>0</v>
      </c>
      <c r="H562" s="189" t="str">
        <f>IFERROR(((2*('Lab Analysis'!I562/60))+('Lab Analysis'!G562/17))/(('Lab Analysis'!H562/44)+('Lab Analysis'!I562/60)),"0")</f>
        <v>0</v>
      </c>
      <c r="I562" s="189" t="str">
        <f>IFERROR((('Lab Analysis'!J562/18)-('Lab Analysis'!I562/60))/(('Lab Analysis'!H562/44)+('Lab Analysis'!I562/60)),"0")</f>
        <v>0</v>
      </c>
      <c r="J562" s="186" t="str">
        <f>IFERROR(('Lab Analysis'!M562/('Lab Analysis'!M562+(1.765*'Lab Analysis'!K562))),"0")</f>
        <v>0</v>
      </c>
      <c r="K562" s="190" t="str">
        <f>IFERROR(((2*('Lab Analysis'!M562/60))+('Lab Analysis'!K562/17))/(('Lab Analysis'!L562/44)+('Lab Analysis'!M562/60)),"0")</f>
        <v>0</v>
      </c>
      <c r="L562" s="190" t="str">
        <f>IFERROR((('Lab Analysis'!N562/18)-('Lab Analysis'!M562/60))/(('Lab Analysis'!L562/44)+('Lab Analysis'!M562/60)),"0")</f>
        <v>0</v>
      </c>
      <c r="M562" s="187" t="str">
        <f>IFERROR(((2*('Lab Analysis'!U562/60))+('Lab Analysis'!S562/17))/(('Lab Analysis'!T562/44)+('Lab Analysis'!U562/60)),"0")</f>
        <v>0</v>
      </c>
      <c r="N562" s="187" t="str">
        <f>IFERROR((('Lab Analysis'!V562/18)-('Lab Analysis'!U562/60))/(('Lab Analysis'!T562/44)+('Lab Analysis'!U562/60)),"0")</f>
        <v>0</v>
      </c>
      <c r="O562" s="187" t="str">
        <f>IFERROR(((2*('Lab Analysis'!Y562/60)+('Lab Analysis'!W562/17))/(('Lab Analysis'!X562/44)+('Lab Analysis'!Y562/60))),"0")</f>
        <v>0</v>
      </c>
      <c r="P562" s="187" t="str">
        <f>IFERROR((('Lab Analysis'!Z562/18)-('Lab Analysis'!Y562/60))/(('Lab Analysis'!X562/44)+('Lab Analysis'!Y562/60)),"0")</f>
        <v>0</v>
      </c>
      <c r="Q562" s="191"/>
    </row>
    <row r="563" spans="1:17">
      <c r="A563" s="185">
        <v>46377</v>
      </c>
      <c r="B563" s="186" t="str">
        <f>IFERROR(('Lab Analysis'!E563/('Lab Analysis'!E563+(1.364*'Lab Analysis'!D563))),"0")</f>
        <v>0</v>
      </c>
      <c r="C563" s="186" t="str">
        <f>IFERROR((2*'Lab Analysis'!E563/60)/('Lab Analysis'!C563/17+(2*'Lab Analysis'!E563/60)),"0")</f>
        <v>0</v>
      </c>
      <c r="D563" s="187" t="str">
        <f>IFERROR(((2*('Lab Analysis'!E563/60)+('Lab Analysis'!C563/17))/(('Lab Analysis'!D563/44)+('Lab Analysis'!E563/60))),"0")</f>
        <v>0</v>
      </c>
      <c r="E563" s="187" t="str">
        <f>IFERROR((('Lab Analysis'!F563/18)-('Lab Analysis'!E563/60))/(('Lab Analysis'!D563/44)+('Lab Analysis'!E563/60)),"0")</f>
        <v>0</v>
      </c>
      <c r="F563" s="187" t="str">
        <f>IFERROR((('Lab Analysis'!F563/18)/('Lab Analysis'!E563/60)),"0")</f>
        <v>0</v>
      </c>
      <c r="G563" s="188" t="str">
        <f>IFERROR(('Lab Analysis'!I563/('Lab Analysis'!I563+(1.765*'Lab Analysis'!G563))),"0")</f>
        <v>0</v>
      </c>
      <c r="H563" s="189" t="str">
        <f>IFERROR(((2*('Lab Analysis'!I563/60))+('Lab Analysis'!G563/17))/(('Lab Analysis'!H563/44)+('Lab Analysis'!I563/60)),"0")</f>
        <v>0</v>
      </c>
      <c r="I563" s="189" t="str">
        <f>IFERROR((('Lab Analysis'!J563/18)-('Lab Analysis'!I563/60))/(('Lab Analysis'!H563/44)+('Lab Analysis'!I563/60)),"0")</f>
        <v>0</v>
      </c>
      <c r="J563" s="186" t="str">
        <f>IFERROR(('Lab Analysis'!M563/('Lab Analysis'!M563+(1.765*'Lab Analysis'!K563))),"0")</f>
        <v>0</v>
      </c>
      <c r="K563" s="190" t="str">
        <f>IFERROR(((2*('Lab Analysis'!M563/60))+('Lab Analysis'!K563/17))/(('Lab Analysis'!L563/44)+('Lab Analysis'!M563/60)),"0")</f>
        <v>0</v>
      </c>
      <c r="L563" s="190" t="str">
        <f>IFERROR((('Lab Analysis'!N563/18)-('Lab Analysis'!M563/60))/(('Lab Analysis'!L563/44)+('Lab Analysis'!M563/60)),"0")</f>
        <v>0</v>
      </c>
      <c r="M563" s="187" t="str">
        <f>IFERROR(((2*('Lab Analysis'!U563/60))+('Lab Analysis'!S563/17))/(('Lab Analysis'!T563/44)+('Lab Analysis'!U563/60)),"0")</f>
        <v>0</v>
      </c>
      <c r="N563" s="187" t="str">
        <f>IFERROR((('Lab Analysis'!V563/18)-('Lab Analysis'!U563/60))/(('Lab Analysis'!T563/44)+('Lab Analysis'!U563/60)),"0")</f>
        <v>0</v>
      </c>
      <c r="O563" s="187" t="str">
        <f>IFERROR(((2*('Lab Analysis'!Y563/60)+('Lab Analysis'!W563/17))/(('Lab Analysis'!X563/44)+('Lab Analysis'!Y563/60))),"0")</f>
        <v>0</v>
      </c>
      <c r="P563" s="187" t="str">
        <f>IFERROR((('Lab Analysis'!Z563/18)-('Lab Analysis'!Y563/60))/(('Lab Analysis'!X563/44)+('Lab Analysis'!Y563/60)),"0")</f>
        <v>0</v>
      </c>
      <c r="Q563" s="191"/>
    </row>
    <row r="564" spans="1:17">
      <c r="A564" s="185">
        <v>46378</v>
      </c>
      <c r="B564" s="186" t="str">
        <f>IFERROR(('Lab Analysis'!E564/('Lab Analysis'!E564+(1.364*'Lab Analysis'!D564))),"0")</f>
        <v>0</v>
      </c>
      <c r="C564" s="186" t="str">
        <f>IFERROR((2*'Lab Analysis'!E564/60)/('Lab Analysis'!C564/17+(2*'Lab Analysis'!E564/60)),"0")</f>
        <v>0</v>
      </c>
      <c r="D564" s="187" t="str">
        <f>IFERROR(((2*('Lab Analysis'!E564/60)+('Lab Analysis'!C564/17))/(('Lab Analysis'!D564/44)+('Lab Analysis'!E564/60))),"0")</f>
        <v>0</v>
      </c>
      <c r="E564" s="187" t="str">
        <f>IFERROR((('Lab Analysis'!F564/18)-('Lab Analysis'!E564/60))/(('Lab Analysis'!D564/44)+('Lab Analysis'!E564/60)),"0")</f>
        <v>0</v>
      </c>
      <c r="F564" s="187" t="str">
        <f>IFERROR((('Lab Analysis'!F564/18)/('Lab Analysis'!E564/60)),"0")</f>
        <v>0</v>
      </c>
      <c r="G564" s="188" t="str">
        <f>IFERROR(('Lab Analysis'!I564/('Lab Analysis'!I564+(1.765*'Lab Analysis'!G564))),"0")</f>
        <v>0</v>
      </c>
      <c r="H564" s="189" t="str">
        <f>IFERROR(((2*('Lab Analysis'!I564/60))+('Lab Analysis'!G564/17))/(('Lab Analysis'!H564/44)+('Lab Analysis'!I564/60)),"0")</f>
        <v>0</v>
      </c>
      <c r="I564" s="189" t="str">
        <f>IFERROR((('Lab Analysis'!J564/18)-('Lab Analysis'!I564/60))/(('Lab Analysis'!H564/44)+('Lab Analysis'!I564/60)),"0")</f>
        <v>0</v>
      </c>
      <c r="J564" s="186" t="str">
        <f>IFERROR(('Lab Analysis'!M564/('Lab Analysis'!M564+(1.765*'Lab Analysis'!K564))),"0")</f>
        <v>0</v>
      </c>
      <c r="K564" s="190" t="str">
        <f>IFERROR(((2*('Lab Analysis'!M564/60))+('Lab Analysis'!K564/17))/(('Lab Analysis'!L564/44)+('Lab Analysis'!M564/60)),"0")</f>
        <v>0</v>
      </c>
      <c r="L564" s="190" t="str">
        <f>IFERROR((('Lab Analysis'!N564/18)-('Lab Analysis'!M564/60))/(('Lab Analysis'!L564/44)+('Lab Analysis'!M564/60)),"0")</f>
        <v>0</v>
      </c>
      <c r="M564" s="187" t="str">
        <f>IFERROR(((2*('Lab Analysis'!U564/60))+('Lab Analysis'!S564/17))/(('Lab Analysis'!T564/44)+('Lab Analysis'!U564/60)),"0")</f>
        <v>0</v>
      </c>
      <c r="N564" s="187" t="str">
        <f>IFERROR((('Lab Analysis'!V564/18)-('Lab Analysis'!U564/60))/(('Lab Analysis'!T564/44)+('Lab Analysis'!U564/60)),"0")</f>
        <v>0</v>
      </c>
      <c r="O564" s="187" t="str">
        <f>IFERROR(((2*('Lab Analysis'!Y564/60)+('Lab Analysis'!W564/17))/(('Lab Analysis'!X564/44)+('Lab Analysis'!Y564/60))),"0")</f>
        <v>0</v>
      </c>
      <c r="P564" s="187" t="str">
        <f>IFERROR((('Lab Analysis'!Z564/18)-('Lab Analysis'!Y564/60))/(('Lab Analysis'!X564/44)+('Lab Analysis'!Y564/60)),"0")</f>
        <v>0</v>
      </c>
      <c r="Q564" s="191"/>
    </row>
    <row r="565" spans="1:17">
      <c r="A565" s="185">
        <v>46379</v>
      </c>
      <c r="B565" s="186" t="str">
        <f>IFERROR(('Lab Analysis'!E565/('Lab Analysis'!E565+(1.364*'Lab Analysis'!D565))),"0")</f>
        <v>0</v>
      </c>
      <c r="C565" s="186" t="str">
        <f>IFERROR((2*'Lab Analysis'!E565/60)/('Lab Analysis'!C565/17+(2*'Lab Analysis'!E565/60)),"0")</f>
        <v>0</v>
      </c>
      <c r="D565" s="187" t="str">
        <f>IFERROR(((2*('Lab Analysis'!E565/60)+('Lab Analysis'!C565/17))/(('Lab Analysis'!D565/44)+('Lab Analysis'!E565/60))),"0")</f>
        <v>0</v>
      </c>
      <c r="E565" s="187" t="str">
        <f>IFERROR((('Lab Analysis'!F565/18)-('Lab Analysis'!E565/60))/(('Lab Analysis'!D565/44)+('Lab Analysis'!E565/60)),"0")</f>
        <v>0</v>
      </c>
      <c r="F565" s="187" t="str">
        <f>IFERROR((('Lab Analysis'!F565/18)/('Lab Analysis'!E565/60)),"0")</f>
        <v>0</v>
      </c>
      <c r="G565" s="188" t="str">
        <f>IFERROR(('Lab Analysis'!I565/('Lab Analysis'!I565+(1.765*'Lab Analysis'!G565))),"0")</f>
        <v>0</v>
      </c>
      <c r="H565" s="189" t="str">
        <f>IFERROR(((2*('Lab Analysis'!I565/60))+('Lab Analysis'!G565/17))/(('Lab Analysis'!H565/44)+('Lab Analysis'!I565/60)),"0")</f>
        <v>0</v>
      </c>
      <c r="I565" s="189" t="str">
        <f>IFERROR((('Lab Analysis'!J565/18)-('Lab Analysis'!I565/60))/(('Lab Analysis'!H565/44)+('Lab Analysis'!I565/60)),"0")</f>
        <v>0</v>
      </c>
      <c r="J565" s="186" t="str">
        <f>IFERROR(('Lab Analysis'!M565/('Lab Analysis'!M565+(1.765*'Lab Analysis'!K565))),"0")</f>
        <v>0</v>
      </c>
      <c r="K565" s="190" t="str">
        <f>IFERROR(((2*('Lab Analysis'!M565/60))+('Lab Analysis'!K565/17))/(('Lab Analysis'!L565/44)+('Lab Analysis'!M565/60)),"0")</f>
        <v>0</v>
      </c>
      <c r="L565" s="190" t="str">
        <f>IFERROR((('Lab Analysis'!N565/18)-('Lab Analysis'!M565/60))/(('Lab Analysis'!L565/44)+('Lab Analysis'!M565/60)),"0")</f>
        <v>0</v>
      </c>
      <c r="M565" s="187" t="str">
        <f>IFERROR(((2*('Lab Analysis'!U565/60))+('Lab Analysis'!S565/17))/(('Lab Analysis'!T565/44)+('Lab Analysis'!U565/60)),"0")</f>
        <v>0</v>
      </c>
      <c r="N565" s="187" t="str">
        <f>IFERROR((('Lab Analysis'!V565/18)-('Lab Analysis'!U565/60))/(('Lab Analysis'!T565/44)+('Lab Analysis'!U565/60)),"0")</f>
        <v>0</v>
      </c>
      <c r="O565" s="187" t="str">
        <f>IFERROR(((2*('Lab Analysis'!Y565/60)+('Lab Analysis'!W565/17))/(('Lab Analysis'!X565/44)+('Lab Analysis'!Y565/60))),"0")</f>
        <v>0</v>
      </c>
      <c r="P565" s="187" t="str">
        <f>IFERROR((('Lab Analysis'!Z565/18)-('Lab Analysis'!Y565/60))/(('Lab Analysis'!X565/44)+('Lab Analysis'!Y565/60)),"0")</f>
        <v>0</v>
      </c>
      <c r="Q565" s="191"/>
    </row>
    <row r="566" spans="1:17">
      <c r="A566" s="185">
        <v>46380</v>
      </c>
      <c r="B566" s="186" t="str">
        <f>IFERROR(('Lab Analysis'!E566/('Lab Analysis'!E566+(1.364*'Lab Analysis'!D566))),"0")</f>
        <v>0</v>
      </c>
      <c r="C566" s="186" t="str">
        <f>IFERROR((2*'Lab Analysis'!E566/60)/('Lab Analysis'!C566/17+(2*'Lab Analysis'!E566/60)),"0")</f>
        <v>0</v>
      </c>
      <c r="D566" s="187" t="str">
        <f>IFERROR(((2*('Lab Analysis'!E566/60)+('Lab Analysis'!C566/17))/(('Lab Analysis'!D566/44)+('Lab Analysis'!E566/60))),"0")</f>
        <v>0</v>
      </c>
      <c r="E566" s="187" t="str">
        <f>IFERROR((('Lab Analysis'!F566/18)-('Lab Analysis'!E566/60))/(('Lab Analysis'!D566/44)+('Lab Analysis'!E566/60)),"0")</f>
        <v>0</v>
      </c>
      <c r="F566" s="187" t="str">
        <f>IFERROR((('Lab Analysis'!F566/18)/('Lab Analysis'!E566/60)),"0")</f>
        <v>0</v>
      </c>
      <c r="G566" s="188" t="str">
        <f>IFERROR(('Lab Analysis'!I566/('Lab Analysis'!I566+(1.765*'Lab Analysis'!G566))),"0")</f>
        <v>0</v>
      </c>
      <c r="H566" s="189" t="str">
        <f>IFERROR(((2*('Lab Analysis'!I566/60))+('Lab Analysis'!G566/17))/(('Lab Analysis'!H566/44)+('Lab Analysis'!I566/60)),"0")</f>
        <v>0</v>
      </c>
      <c r="I566" s="189" t="str">
        <f>IFERROR((('Lab Analysis'!J566/18)-('Lab Analysis'!I566/60))/(('Lab Analysis'!H566/44)+('Lab Analysis'!I566/60)),"0")</f>
        <v>0</v>
      </c>
      <c r="J566" s="186" t="str">
        <f>IFERROR(('Lab Analysis'!M566/('Lab Analysis'!M566+(1.765*'Lab Analysis'!K566))),"0")</f>
        <v>0</v>
      </c>
      <c r="K566" s="190" t="str">
        <f>IFERROR(((2*('Lab Analysis'!M566/60))+('Lab Analysis'!K566/17))/(('Lab Analysis'!L566/44)+('Lab Analysis'!M566/60)),"0")</f>
        <v>0</v>
      </c>
      <c r="L566" s="190" t="str">
        <f>IFERROR((('Lab Analysis'!N566/18)-('Lab Analysis'!M566/60))/(('Lab Analysis'!L566/44)+('Lab Analysis'!M566/60)),"0")</f>
        <v>0</v>
      </c>
      <c r="M566" s="187" t="str">
        <f>IFERROR(((2*('Lab Analysis'!U566/60))+('Lab Analysis'!S566/17))/(('Lab Analysis'!T566/44)+('Lab Analysis'!U566/60)),"0")</f>
        <v>0</v>
      </c>
      <c r="N566" s="187" t="str">
        <f>IFERROR((('Lab Analysis'!V566/18)-('Lab Analysis'!U566/60))/(('Lab Analysis'!T566/44)+('Lab Analysis'!U566/60)),"0")</f>
        <v>0</v>
      </c>
      <c r="O566" s="187" t="str">
        <f>IFERROR(((2*('Lab Analysis'!Y566/60)+('Lab Analysis'!W566/17))/(('Lab Analysis'!X566/44)+('Lab Analysis'!Y566/60))),"0")</f>
        <v>0</v>
      </c>
      <c r="P566" s="187" t="str">
        <f>IFERROR((('Lab Analysis'!Z566/18)-('Lab Analysis'!Y566/60))/(('Lab Analysis'!X566/44)+('Lab Analysis'!Y566/60)),"0")</f>
        <v>0</v>
      </c>
      <c r="Q566" s="191"/>
    </row>
    <row r="567" spans="1:17">
      <c r="A567" s="185">
        <v>46381</v>
      </c>
      <c r="B567" s="186" t="str">
        <f>IFERROR(('Lab Analysis'!E567/('Lab Analysis'!E567+(1.364*'Lab Analysis'!D567))),"0")</f>
        <v>0</v>
      </c>
      <c r="C567" s="186" t="str">
        <f>IFERROR((2*'Lab Analysis'!E567/60)/('Lab Analysis'!C567/17+(2*'Lab Analysis'!E567/60)),"0")</f>
        <v>0</v>
      </c>
      <c r="D567" s="187" t="str">
        <f>IFERROR(((2*('Lab Analysis'!E567/60)+('Lab Analysis'!C567/17))/(('Lab Analysis'!D567/44)+('Lab Analysis'!E567/60))),"0")</f>
        <v>0</v>
      </c>
      <c r="E567" s="187" t="str">
        <f>IFERROR((('Lab Analysis'!F567/18)-('Lab Analysis'!E567/60))/(('Lab Analysis'!D567/44)+('Lab Analysis'!E567/60)),"0")</f>
        <v>0</v>
      </c>
      <c r="F567" s="187" t="str">
        <f>IFERROR((('Lab Analysis'!F567/18)/('Lab Analysis'!E567/60)),"0")</f>
        <v>0</v>
      </c>
      <c r="G567" s="188" t="str">
        <f>IFERROR(('Lab Analysis'!I567/('Lab Analysis'!I567+(1.765*'Lab Analysis'!G567))),"0")</f>
        <v>0</v>
      </c>
      <c r="H567" s="189" t="str">
        <f>IFERROR(((2*('Lab Analysis'!I567/60))+('Lab Analysis'!G567/17))/(('Lab Analysis'!H567/44)+('Lab Analysis'!I567/60)),"0")</f>
        <v>0</v>
      </c>
      <c r="I567" s="189" t="str">
        <f>IFERROR((('Lab Analysis'!J567/18)-('Lab Analysis'!I567/60))/(('Lab Analysis'!H567/44)+('Lab Analysis'!I567/60)),"0")</f>
        <v>0</v>
      </c>
      <c r="J567" s="186" t="str">
        <f>IFERROR(('Lab Analysis'!M567/('Lab Analysis'!M567+(1.765*'Lab Analysis'!K567))),"0")</f>
        <v>0</v>
      </c>
      <c r="K567" s="190" t="str">
        <f>IFERROR(((2*('Lab Analysis'!M567/60))+('Lab Analysis'!K567/17))/(('Lab Analysis'!L567/44)+('Lab Analysis'!M567/60)),"0")</f>
        <v>0</v>
      </c>
      <c r="L567" s="190" t="str">
        <f>IFERROR((('Lab Analysis'!N567/18)-('Lab Analysis'!M567/60))/(('Lab Analysis'!L567/44)+('Lab Analysis'!M567/60)),"0")</f>
        <v>0</v>
      </c>
      <c r="M567" s="187" t="str">
        <f>IFERROR(((2*('Lab Analysis'!U567/60))+('Lab Analysis'!S567/17))/(('Lab Analysis'!T567/44)+('Lab Analysis'!U567/60)),"0")</f>
        <v>0</v>
      </c>
      <c r="N567" s="187" t="str">
        <f>IFERROR((('Lab Analysis'!V567/18)-('Lab Analysis'!U567/60))/(('Lab Analysis'!T567/44)+('Lab Analysis'!U567/60)),"0")</f>
        <v>0</v>
      </c>
      <c r="O567" s="187" t="str">
        <f>IFERROR(((2*('Lab Analysis'!Y567/60)+('Lab Analysis'!W567/17))/(('Lab Analysis'!X567/44)+('Lab Analysis'!Y567/60))),"0")</f>
        <v>0</v>
      </c>
      <c r="P567" s="187" t="str">
        <f>IFERROR((('Lab Analysis'!Z567/18)-('Lab Analysis'!Y567/60))/(('Lab Analysis'!X567/44)+('Lab Analysis'!Y567/60)),"0")</f>
        <v>0</v>
      </c>
      <c r="Q567" s="191"/>
    </row>
    <row r="568" spans="1:17">
      <c r="A568" s="185">
        <v>46382</v>
      </c>
      <c r="B568" s="186" t="str">
        <f>IFERROR(('Lab Analysis'!E568/('Lab Analysis'!E568+(1.364*'Lab Analysis'!D568))),"0")</f>
        <v>0</v>
      </c>
      <c r="C568" s="186" t="str">
        <f>IFERROR((2*'Lab Analysis'!E568/60)/('Lab Analysis'!C568/17+(2*'Lab Analysis'!E568/60)),"0")</f>
        <v>0</v>
      </c>
      <c r="D568" s="187" t="str">
        <f>IFERROR(((2*('Lab Analysis'!E568/60)+('Lab Analysis'!C568/17))/(('Lab Analysis'!D568/44)+('Lab Analysis'!E568/60))),"0")</f>
        <v>0</v>
      </c>
      <c r="E568" s="187" t="str">
        <f>IFERROR((('Lab Analysis'!F568/18)-('Lab Analysis'!E568/60))/(('Lab Analysis'!D568/44)+('Lab Analysis'!E568/60)),"0")</f>
        <v>0</v>
      </c>
      <c r="F568" s="187" t="str">
        <f>IFERROR((('Lab Analysis'!F568/18)/('Lab Analysis'!E568/60)),"0")</f>
        <v>0</v>
      </c>
      <c r="G568" s="188" t="str">
        <f>IFERROR(('Lab Analysis'!I568/('Lab Analysis'!I568+(1.765*'Lab Analysis'!G568))),"0")</f>
        <v>0</v>
      </c>
      <c r="H568" s="189" t="str">
        <f>IFERROR(((2*('Lab Analysis'!I568/60))+('Lab Analysis'!G568/17))/(('Lab Analysis'!H568/44)+('Lab Analysis'!I568/60)),"0")</f>
        <v>0</v>
      </c>
      <c r="I568" s="189" t="str">
        <f>IFERROR((('Lab Analysis'!J568/18)-('Lab Analysis'!I568/60))/(('Lab Analysis'!H568/44)+('Lab Analysis'!I568/60)),"0")</f>
        <v>0</v>
      </c>
      <c r="J568" s="186" t="str">
        <f>IFERROR(('Lab Analysis'!M568/('Lab Analysis'!M568+(1.765*'Lab Analysis'!K568))),"0")</f>
        <v>0</v>
      </c>
      <c r="K568" s="190" t="str">
        <f>IFERROR(((2*('Lab Analysis'!M568/60))+('Lab Analysis'!K568/17))/(('Lab Analysis'!L568/44)+('Lab Analysis'!M568/60)),"0")</f>
        <v>0</v>
      </c>
      <c r="L568" s="190" t="str">
        <f>IFERROR((('Lab Analysis'!N568/18)-('Lab Analysis'!M568/60))/(('Lab Analysis'!L568/44)+('Lab Analysis'!M568/60)),"0")</f>
        <v>0</v>
      </c>
      <c r="M568" s="187" t="str">
        <f>IFERROR(((2*('Lab Analysis'!U568/60))+('Lab Analysis'!S568/17))/(('Lab Analysis'!T568/44)+('Lab Analysis'!U568/60)),"0")</f>
        <v>0</v>
      </c>
      <c r="N568" s="187" t="str">
        <f>IFERROR((('Lab Analysis'!V568/18)-('Lab Analysis'!U568/60))/(('Lab Analysis'!T568/44)+('Lab Analysis'!U568/60)),"0")</f>
        <v>0</v>
      </c>
      <c r="O568" s="187" t="str">
        <f>IFERROR(((2*('Lab Analysis'!Y568/60)+('Lab Analysis'!W568/17))/(('Lab Analysis'!X568/44)+('Lab Analysis'!Y568/60))),"0")</f>
        <v>0</v>
      </c>
      <c r="P568" s="187" t="str">
        <f>IFERROR((('Lab Analysis'!Z568/18)-('Lab Analysis'!Y568/60))/(('Lab Analysis'!X568/44)+('Lab Analysis'!Y568/60)),"0")</f>
        <v>0</v>
      </c>
      <c r="Q568" s="191"/>
    </row>
    <row r="569" spans="1:17">
      <c r="A569" s="185">
        <v>46383</v>
      </c>
      <c r="B569" s="186" t="str">
        <f>IFERROR(('Lab Analysis'!E569/('Lab Analysis'!E569+(1.364*'Lab Analysis'!D569))),"0")</f>
        <v>0</v>
      </c>
      <c r="C569" s="186" t="str">
        <f>IFERROR((2*'Lab Analysis'!E569/60)/('Lab Analysis'!C569/17+(2*'Lab Analysis'!E569/60)),"0")</f>
        <v>0</v>
      </c>
      <c r="D569" s="187" t="str">
        <f>IFERROR(((2*('Lab Analysis'!E569/60)+('Lab Analysis'!C569/17))/(('Lab Analysis'!D569/44)+('Lab Analysis'!E569/60))),"0")</f>
        <v>0</v>
      </c>
      <c r="E569" s="187" t="str">
        <f>IFERROR((('Lab Analysis'!F569/18)-('Lab Analysis'!E569/60))/(('Lab Analysis'!D569/44)+('Lab Analysis'!E569/60)),"0")</f>
        <v>0</v>
      </c>
      <c r="F569" s="187" t="str">
        <f>IFERROR((('Lab Analysis'!F569/18)/('Lab Analysis'!E569/60)),"0")</f>
        <v>0</v>
      </c>
      <c r="G569" s="188" t="str">
        <f>IFERROR(('Lab Analysis'!I569/('Lab Analysis'!I569+(1.765*'Lab Analysis'!G569))),"0")</f>
        <v>0</v>
      </c>
      <c r="H569" s="189" t="str">
        <f>IFERROR(((2*('Lab Analysis'!I569/60))+('Lab Analysis'!G569/17))/(('Lab Analysis'!H569/44)+('Lab Analysis'!I569/60)),"0")</f>
        <v>0</v>
      </c>
      <c r="I569" s="189" t="str">
        <f>IFERROR((('Lab Analysis'!J569/18)-('Lab Analysis'!I569/60))/(('Lab Analysis'!H569/44)+('Lab Analysis'!I569/60)),"0")</f>
        <v>0</v>
      </c>
      <c r="J569" s="186" t="str">
        <f>IFERROR(('Lab Analysis'!M569/('Lab Analysis'!M569+(1.765*'Lab Analysis'!K569))),"0")</f>
        <v>0</v>
      </c>
      <c r="K569" s="190" t="str">
        <f>IFERROR(((2*('Lab Analysis'!M569/60))+('Lab Analysis'!K569/17))/(('Lab Analysis'!L569/44)+('Lab Analysis'!M569/60)),"0")</f>
        <v>0</v>
      </c>
      <c r="L569" s="190" t="str">
        <f>IFERROR((('Lab Analysis'!N569/18)-('Lab Analysis'!M569/60))/(('Lab Analysis'!L569/44)+('Lab Analysis'!M569/60)),"0")</f>
        <v>0</v>
      </c>
      <c r="M569" s="187" t="str">
        <f>IFERROR(((2*('Lab Analysis'!U569/60))+('Lab Analysis'!S569/17))/(('Lab Analysis'!T569/44)+('Lab Analysis'!U569/60)),"0")</f>
        <v>0</v>
      </c>
      <c r="N569" s="187" t="str">
        <f>IFERROR((('Lab Analysis'!V569/18)-('Lab Analysis'!U569/60))/(('Lab Analysis'!T569/44)+('Lab Analysis'!U569/60)),"0")</f>
        <v>0</v>
      </c>
      <c r="O569" s="187" t="str">
        <f>IFERROR(((2*('Lab Analysis'!Y569/60)+('Lab Analysis'!W569/17))/(('Lab Analysis'!X569/44)+('Lab Analysis'!Y569/60))),"0")</f>
        <v>0</v>
      </c>
      <c r="P569" s="187" t="str">
        <f>IFERROR((('Lab Analysis'!Z569/18)-('Lab Analysis'!Y569/60))/(('Lab Analysis'!X569/44)+('Lab Analysis'!Y569/60)),"0")</f>
        <v>0</v>
      </c>
      <c r="Q569" s="191"/>
    </row>
    <row r="570" spans="1:17">
      <c r="A570" s="185">
        <v>46384</v>
      </c>
      <c r="B570" s="186" t="str">
        <f>IFERROR(('Lab Analysis'!E570/('Lab Analysis'!E570+(1.364*'Lab Analysis'!D570))),"0")</f>
        <v>0</v>
      </c>
      <c r="C570" s="186" t="str">
        <f>IFERROR((2*'Lab Analysis'!E570/60)/('Lab Analysis'!C570/17+(2*'Lab Analysis'!E570/60)),"0")</f>
        <v>0</v>
      </c>
      <c r="D570" s="187" t="str">
        <f>IFERROR(((2*('Lab Analysis'!E570/60)+('Lab Analysis'!C570/17))/(('Lab Analysis'!D570/44)+('Lab Analysis'!E570/60))),"0")</f>
        <v>0</v>
      </c>
      <c r="E570" s="187" t="str">
        <f>IFERROR((('Lab Analysis'!F570/18)-('Lab Analysis'!E570/60))/(('Lab Analysis'!D570/44)+('Lab Analysis'!E570/60)),"0")</f>
        <v>0</v>
      </c>
      <c r="F570" s="187" t="str">
        <f>IFERROR((('Lab Analysis'!F570/18)/('Lab Analysis'!E570/60)),"0")</f>
        <v>0</v>
      </c>
      <c r="G570" s="188" t="str">
        <f>IFERROR(('Lab Analysis'!I570/('Lab Analysis'!I570+(1.765*'Lab Analysis'!G570))),"0")</f>
        <v>0</v>
      </c>
      <c r="H570" s="189" t="str">
        <f>IFERROR(((2*('Lab Analysis'!I570/60))+('Lab Analysis'!G570/17))/(('Lab Analysis'!H570/44)+('Lab Analysis'!I570/60)),"0")</f>
        <v>0</v>
      </c>
      <c r="I570" s="189" t="str">
        <f>IFERROR((('Lab Analysis'!J570/18)-('Lab Analysis'!I570/60))/(('Lab Analysis'!H570/44)+('Lab Analysis'!I570/60)),"0")</f>
        <v>0</v>
      </c>
      <c r="J570" s="186" t="str">
        <f>IFERROR(('Lab Analysis'!M570/('Lab Analysis'!M570+(1.765*'Lab Analysis'!K570))),"0")</f>
        <v>0</v>
      </c>
      <c r="K570" s="190" t="str">
        <f>IFERROR(((2*('Lab Analysis'!M570/60))+('Lab Analysis'!K570/17))/(('Lab Analysis'!L570/44)+('Lab Analysis'!M570/60)),"0")</f>
        <v>0</v>
      </c>
      <c r="L570" s="190" t="str">
        <f>IFERROR((('Lab Analysis'!N570/18)-('Lab Analysis'!M570/60))/(('Lab Analysis'!L570/44)+('Lab Analysis'!M570/60)),"0")</f>
        <v>0</v>
      </c>
      <c r="M570" s="187" t="str">
        <f>IFERROR(((2*('Lab Analysis'!U570/60))+('Lab Analysis'!S570/17))/(('Lab Analysis'!T570/44)+('Lab Analysis'!U570/60)),"0")</f>
        <v>0</v>
      </c>
      <c r="N570" s="187" t="str">
        <f>IFERROR((('Lab Analysis'!V570/18)-('Lab Analysis'!U570/60))/(('Lab Analysis'!T570/44)+('Lab Analysis'!U570/60)),"0")</f>
        <v>0</v>
      </c>
      <c r="O570" s="187" t="str">
        <f>IFERROR(((2*('Lab Analysis'!Y570/60)+('Lab Analysis'!W570/17))/(('Lab Analysis'!X570/44)+('Lab Analysis'!Y570/60))),"0")</f>
        <v>0</v>
      </c>
      <c r="P570" s="187" t="str">
        <f>IFERROR((('Lab Analysis'!Z570/18)-('Lab Analysis'!Y570/60))/(('Lab Analysis'!X570/44)+('Lab Analysis'!Y570/60)),"0")</f>
        <v>0</v>
      </c>
      <c r="Q570" s="191"/>
    </row>
    <row r="571" spans="1:17">
      <c r="A571" s="185">
        <v>46385</v>
      </c>
      <c r="B571" s="186" t="str">
        <f>IFERROR(('Lab Analysis'!E571/('Lab Analysis'!E571+(1.364*'Lab Analysis'!D571))),"0")</f>
        <v>0</v>
      </c>
      <c r="C571" s="186" t="str">
        <f>IFERROR((2*'Lab Analysis'!E571/60)/('Lab Analysis'!C571/17+(2*'Lab Analysis'!E571/60)),"0")</f>
        <v>0</v>
      </c>
      <c r="D571" s="187" t="str">
        <f>IFERROR(((2*('Lab Analysis'!E571/60)+('Lab Analysis'!C571/17))/(('Lab Analysis'!D571/44)+('Lab Analysis'!E571/60))),"0")</f>
        <v>0</v>
      </c>
      <c r="E571" s="187" t="str">
        <f>IFERROR((('Lab Analysis'!F571/18)-('Lab Analysis'!E571/60))/(('Lab Analysis'!D571/44)+('Lab Analysis'!E571/60)),"0")</f>
        <v>0</v>
      </c>
      <c r="F571" s="187" t="str">
        <f>IFERROR((('Lab Analysis'!F571/18)/('Lab Analysis'!E571/60)),"0")</f>
        <v>0</v>
      </c>
      <c r="G571" s="188" t="str">
        <f>IFERROR(('Lab Analysis'!I571/('Lab Analysis'!I571+(1.765*'Lab Analysis'!G571))),"0")</f>
        <v>0</v>
      </c>
      <c r="H571" s="189" t="str">
        <f>IFERROR(((2*('Lab Analysis'!I571/60))+('Lab Analysis'!G571/17))/(('Lab Analysis'!H571/44)+('Lab Analysis'!I571/60)),"0")</f>
        <v>0</v>
      </c>
      <c r="I571" s="189" t="str">
        <f>IFERROR((('Lab Analysis'!J571/18)-('Lab Analysis'!I571/60))/(('Lab Analysis'!H571/44)+('Lab Analysis'!I571/60)),"0")</f>
        <v>0</v>
      </c>
      <c r="J571" s="186" t="str">
        <f>IFERROR(('Lab Analysis'!M571/('Lab Analysis'!M571+(1.765*'Lab Analysis'!K571))),"0")</f>
        <v>0</v>
      </c>
      <c r="K571" s="190" t="str">
        <f>IFERROR(((2*('Lab Analysis'!M571/60))+('Lab Analysis'!K571/17))/(('Lab Analysis'!L571/44)+('Lab Analysis'!M571/60)),"0")</f>
        <v>0</v>
      </c>
      <c r="L571" s="190" t="str">
        <f>IFERROR((('Lab Analysis'!N571/18)-('Lab Analysis'!M571/60))/(('Lab Analysis'!L571/44)+('Lab Analysis'!M571/60)),"0")</f>
        <v>0</v>
      </c>
      <c r="M571" s="187" t="str">
        <f>IFERROR(((2*('Lab Analysis'!U571/60))+('Lab Analysis'!S571/17))/(('Lab Analysis'!T571/44)+('Lab Analysis'!U571/60)),"0")</f>
        <v>0</v>
      </c>
      <c r="N571" s="187" t="str">
        <f>IFERROR((('Lab Analysis'!V571/18)-('Lab Analysis'!U571/60))/(('Lab Analysis'!T571/44)+('Lab Analysis'!U571/60)),"0")</f>
        <v>0</v>
      </c>
      <c r="O571" s="187" t="str">
        <f>IFERROR(((2*('Lab Analysis'!Y571/60)+('Lab Analysis'!W571/17))/(('Lab Analysis'!X571/44)+('Lab Analysis'!Y571/60))),"0")</f>
        <v>0</v>
      </c>
      <c r="P571" s="187" t="str">
        <f>IFERROR((('Lab Analysis'!Z571/18)-('Lab Analysis'!Y571/60))/(('Lab Analysis'!X571/44)+('Lab Analysis'!Y571/60)),"0")</f>
        <v>0</v>
      </c>
      <c r="Q571" s="191"/>
    </row>
    <row r="572" spans="1:17">
      <c r="A572" s="185">
        <v>46386</v>
      </c>
      <c r="B572" s="186" t="str">
        <f>IFERROR(('Lab Analysis'!E572/('Lab Analysis'!E572+(1.364*'Lab Analysis'!D572))),"0")</f>
        <v>0</v>
      </c>
      <c r="C572" s="186" t="str">
        <f>IFERROR((2*'Lab Analysis'!E572/60)/('Lab Analysis'!C572/17+(2*'Lab Analysis'!E572/60)),"0")</f>
        <v>0</v>
      </c>
      <c r="D572" s="187" t="str">
        <f>IFERROR(((2*('Lab Analysis'!E572/60)+('Lab Analysis'!C572/17))/(('Lab Analysis'!D572/44)+('Lab Analysis'!E572/60))),"0")</f>
        <v>0</v>
      </c>
      <c r="E572" s="187" t="str">
        <f>IFERROR((('Lab Analysis'!F572/18)-('Lab Analysis'!E572/60))/(('Lab Analysis'!D572/44)+('Lab Analysis'!E572/60)),"0")</f>
        <v>0</v>
      </c>
      <c r="F572" s="187" t="str">
        <f>IFERROR((('Lab Analysis'!F572/18)/('Lab Analysis'!E572/60)),"0")</f>
        <v>0</v>
      </c>
      <c r="G572" s="188" t="str">
        <f>IFERROR(('Lab Analysis'!I572/('Lab Analysis'!I572+(1.765*'Lab Analysis'!G572))),"0")</f>
        <v>0</v>
      </c>
      <c r="H572" s="189" t="str">
        <f>IFERROR(((2*('Lab Analysis'!I572/60))+('Lab Analysis'!G572/17))/(('Lab Analysis'!H572/44)+('Lab Analysis'!I572/60)),"0")</f>
        <v>0</v>
      </c>
      <c r="I572" s="189" t="str">
        <f>IFERROR((('Lab Analysis'!J572/18)-('Lab Analysis'!I572/60))/(('Lab Analysis'!H572/44)+('Lab Analysis'!I572/60)),"0")</f>
        <v>0</v>
      </c>
      <c r="J572" s="186" t="str">
        <f>IFERROR(('Lab Analysis'!M572/('Lab Analysis'!M572+(1.765*'Lab Analysis'!K572))),"0")</f>
        <v>0</v>
      </c>
      <c r="K572" s="190" t="str">
        <f>IFERROR(((2*('Lab Analysis'!M572/60))+('Lab Analysis'!K572/17))/(('Lab Analysis'!L572/44)+('Lab Analysis'!M572/60)),"0")</f>
        <v>0</v>
      </c>
      <c r="L572" s="190" t="str">
        <f>IFERROR((('Lab Analysis'!N572/18)-('Lab Analysis'!M572/60))/(('Lab Analysis'!L572/44)+('Lab Analysis'!M572/60)),"0")</f>
        <v>0</v>
      </c>
      <c r="M572" s="187" t="str">
        <f>IFERROR(((2*('Lab Analysis'!U572/60))+('Lab Analysis'!S572/17))/(('Lab Analysis'!T572/44)+('Lab Analysis'!U572/60)),"0")</f>
        <v>0</v>
      </c>
      <c r="N572" s="187" t="str">
        <f>IFERROR((('Lab Analysis'!V572/18)-('Lab Analysis'!U572/60))/(('Lab Analysis'!T572/44)+('Lab Analysis'!U572/60)),"0")</f>
        <v>0</v>
      </c>
      <c r="O572" s="187" t="str">
        <f>IFERROR(((2*('Lab Analysis'!Y572/60)+('Lab Analysis'!W572/17))/(('Lab Analysis'!X572/44)+('Lab Analysis'!Y572/60))),"0")</f>
        <v>0</v>
      </c>
      <c r="P572" s="187" t="str">
        <f>IFERROR((('Lab Analysis'!Z572/18)-('Lab Analysis'!Y572/60))/(('Lab Analysis'!X572/44)+('Lab Analysis'!Y572/60)),"0")</f>
        <v>0</v>
      </c>
      <c r="Q572" s="191"/>
    </row>
    <row r="573" spans="1:17">
      <c r="A573" s="185">
        <v>46387</v>
      </c>
      <c r="B573" s="186" t="str">
        <f>IFERROR(('Lab Analysis'!E573/('Lab Analysis'!E573+(1.364*'Lab Analysis'!D573))),"0")</f>
        <v>0</v>
      </c>
      <c r="C573" s="186" t="str">
        <f>IFERROR((2*'Lab Analysis'!E573/60)/('Lab Analysis'!C573/17+(2*'Lab Analysis'!E573/60)),"0")</f>
        <v>0</v>
      </c>
      <c r="D573" s="187" t="str">
        <f>IFERROR(((2*('Lab Analysis'!E573/60)+('Lab Analysis'!C573/17))/(('Lab Analysis'!D573/44)+('Lab Analysis'!E573/60))),"0")</f>
        <v>0</v>
      </c>
      <c r="E573" s="187" t="str">
        <f>IFERROR((('Lab Analysis'!F573/18)-('Lab Analysis'!E573/60))/(('Lab Analysis'!D573/44)+('Lab Analysis'!E573/60)),"0")</f>
        <v>0</v>
      </c>
      <c r="F573" s="187" t="str">
        <f>IFERROR((('Lab Analysis'!F573/18)/('Lab Analysis'!E573/60)),"0")</f>
        <v>0</v>
      </c>
      <c r="G573" s="188" t="str">
        <f>IFERROR(('Lab Analysis'!I573/('Lab Analysis'!I573+(1.765*'Lab Analysis'!G573))),"0")</f>
        <v>0</v>
      </c>
      <c r="H573" s="189" t="str">
        <f>IFERROR(((2*('Lab Analysis'!I573/60))+('Lab Analysis'!G573/17))/(('Lab Analysis'!H573/44)+('Lab Analysis'!I573/60)),"0")</f>
        <v>0</v>
      </c>
      <c r="I573" s="189" t="str">
        <f>IFERROR((('Lab Analysis'!J573/18)-('Lab Analysis'!I573/60))/(('Lab Analysis'!H573/44)+('Lab Analysis'!I573/60)),"0")</f>
        <v>0</v>
      </c>
      <c r="J573" s="186" t="str">
        <f>IFERROR(('Lab Analysis'!M573/('Lab Analysis'!M573+(1.765*'Lab Analysis'!K573))),"0")</f>
        <v>0</v>
      </c>
      <c r="K573" s="190" t="str">
        <f>IFERROR(((2*('Lab Analysis'!M573/60))+('Lab Analysis'!K573/17))/(('Lab Analysis'!L573/44)+('Lab Analysis'!M573/60)),"0")</f>
        <v>0</v>
      </c>
      <c r="L573" s="190" t="str">
        <f>IFERROR((('Lab Analysis'!N573/18)-('Lab Analysis'!M573/60))/(('Lab Analysis'!L573/44)+('Lab Analysis'!M573/60)),"0")</f>
        <v>0</v>
      </c>
      <c r="M573" s="187" t="str">
        <f>IFERROR(((2*('Lab Analysis'!U573/60))+('Lab Analysis'!S573/17))/(('Lab Analysis'!T573/44)+('Lab Analysis'!U573/60)),"0")</f>
        <v>0</v>
      </c>
      <c r="N573" s="187" t="str">
        <f>IFERROR((('Lab Analysis'!V573/18)-('Lab Analysis'!U573/60))/(('Lab Analysis'!T573/44)+('Lab Analysis'!U573/60)),"0")</f>
        <v>0</v>
      </c>
      <c r="O573" s="187" t="str">
        <f>IFERROR(((2*('Lab Analysis'!Y573/60)+('Lab Analysis'!W573/17))/(('Lab Analysis'!X573/44)+('Lab Analysis'!Y573/60))),"0")</f>
        <v>0</v>
      </c>
      <c r="P573" s="187" t="str">
        <f>IFERROR((('Lab Analysis'!Z573/18)-('Lab Analysis'!Y573/60))/(('Lab Analysis'!X573/44)+('Lab Analysis'!Y573/60)),"0")</f>
        <v>0</v>
      </c>
      <c r="Q573" s="191"/>
    </row>
    <row r="574" spans="1:17">
      <c r="A574" s="185">
        <v>46388</v>
      </c>
      <c r="B574" s="186" t="str">
        <f>IFERROR(('Lab Analysis'!E574/('Lab Analysis'!E574+(1.364*'Lab Analysis'!D574))),"0")</f>
        <v>0</v>
      </c>
      <c r="C574" s="186" t="str">
        <f>IFERROR((2*'Lab Analysis'!E574/60)/('Lab Analysis'!C574/17+(2*'Lab Analysis'!E574/60)),"0")</f>
        <v>0</v>
      </c>
      <c r="D574" s="187" t="str">
        <f>IFERROR(((2*('Lab Analysis'!E574/60)+('Lab Analysis'!C574/17))/(('Lab Analysis'!D574/44)+('Lab Analysis'!E574/60))),"0")</f>
        <v>0</v>
      </c>
      <c r="E574" s="187" t="str">
        <f>IFERROR((('Lab Analysis'!F574/18)-('Lab Analysis'!E574/60))/(('Lab Analysis'!D574/44)+('Lab Analysis'!E574/60)),"0")</f>
        <v>0</v>
      </c>
      <c r="F574" s="187" t="str">
        <f>IFERROR((('Lab Analysis'!F574/18)/('Lab Analysis'!E574/60)),"0")</f>
        <v>0</v>
      </c>
      <c r="G574" s="188" t="str">
        <f>IFERROR(('Lab Analysis'!I574/('Lab Analysis'!I574+(1.765*'Lab Analysis'!G574))),"0")</f>
        <v>0</v>
      </c>
      <c r="H574" s="189" t="str">
        <f>IFERROR(((2*('Lab Analysis'!I574/60))+('Lab Analysis'!G574/17))/(('Lab Analysis'!H574/44)+('Lab Analysis'!I574/60)),"0")</f>
        <v>0</v>
      </c>
      <c r="I574" s="189" t="str">
        <f>IFERROR((('Lab Analysis'!J574/18)-('Lab Analysis'!I574/60))/(('Lab Analysis'!H574/44)+('Lab Analysis'!I574/60)),"0")</f>
        <v>0</v>
      </c>
      <c r="J574" s="186" t="str">
        <f>IFERROR(('Lab Analysis'!M574/('Lab Analysis'!M574+(1.765*'Lab Analysis'!K574))),"0")</f>
        <v>0</v>
      </c>
      <c r="K574" s="190" t="str">
        <f>IFERROR(((2*('Lab Analysis'!M574/60))+('Lab Analysis'!K574/17))/(('Lab Analysis'!L574/44)+('Lab Analysis'!M574/60)),"0")</f>
        <v>0</v>
      </c>
      <c r="L574" s="190" t="str">
        <f>IFERROR((('Lab Analysis'!N574/18)-('Lab Analysis'!M574/60))/(('Lab Analysis'!L574/44)+('Lab Analysis'!M574/60)),"0")</f>
        <v>0</v>
      </c>
      <c r="M574" s="187" t="str">
        <f>IFERROR(((2*('Lab Analysis'!U574/60))+('Lab Analysis'!S574/17))/(('Lab Analysis'!T574/44)+('Lab Analysis'!U574/60)),"0")</f>
        <v>0</v>
      </c>
      <c r="N574" s="187" t="str">
        <f>IFERROR((('Lab Analysis'!V574/18)-('Lab Analysis'!U574/60))/(('Lab Analysis'!T574/44)+('Lab Analysis'!U574/60)),"0")</f>
        <v>0</v>
      </c>
      <c r="O574" s="187" t="str">
        <f>IFERROR(((2*('Lab Analysis'!Y574/60)+('Lab Analysis'!W574/17))/(('Lab Analysis'!X574/44)+('Lab Analysis'!Y574/60))),"0")</f>
        <v>0</v>
      </c>
      <c r="P574" s="187" t="str">
        <f>IFERROR((('Lab Analysis'!Z574/18)-('Lab Analysis'!Y574/60))/(('Lab Analysis'!X574/44)+('Lab Analysis'!Y574/60)),"0")</f>
        <v>0</v>
      </c>
      <c r="Q574" s="191"/>
    </row>
    <row r="575" spans="1:17">
      <c r="A575" s="185">
        <v>46389</v>
      </c>
      <c r="B575" s="186" t="str">
        <f>IFERROR(('Lab Analysis'!E575/('Lab Analysis'!E575+(1.364*'Lab Analysis'!D575))),"0")</f>
        <v>0</v>
      </c>
      <c r="C575" s="186" t="str">
        <f>IFERROR((2*'Lab Analysis'!E575/60)/('Lab Analysis'!C575/17+(2*'Lab Analysis'!E575/60)),"0")</f>
        <v>0</v>
      </c>
      <c r="D575" s="187" t="str">
        <f>IFERROR(((2*('Lab Analysis'!E575/60)+('Lab Analysis'!C575/17))/(('Lab Analysis'!D575/44)+('Lab Analysis'!E575/60))),"0")</f>
        <v>0</v>
      </c>
      <c r="E575" s="187" t="str">
        <f>IFERROR((('Lab Analysis'!F575/18)-('Lab Analysis'!E575/60))/(('Lab Analysis'!D575/44)+('Lab Analysis'!E575/60)),"0")</f>
        <v>0</v>
      </c>
      <c r="F575" s="187" t="str">
        <f>IFERROR((('Lab Analysis'!F575/18)/('Lab Analysis'!E575/60)),"0")</f>
        <v>0</v>
      </c>
      <c r="G575" s="188" t="str">
        <f>IFERROR(('Lab Analysis'!I575/('Lab Analysis'!I575+(1.765*'Lab Analysis'!G575))),"0")</f>
        <v>0</v>
      </c>
      <c r="H575" s="189" t="str">
        <f>IFERROR(((2*('Lab Analysis'!I575/60))+('Lab Analysis'!G575/17))/(('Lab Analysis'!H575/44)+('Lab Analysis'!I575/60)),"0")</f>
        <v>0</v>
      </c>
      <c r="I575" s="189" t="str">
        <f>IFERROR((('Lab Analysis'!J575/18)-('Lab Analysis'!I575/60))/(('Lab Analysis'!H575/44)+('Lab Analysis'!I575/60)),"0")</f>
        <v>0</v>
      </c>
      <c r="J575" s="186" t="str">
        <f>IFERROR(('Lab Analysis'!M575/('Lab Analysis'!M575+(1.765*'Lab Analysis'!K575))),"0")</f>
        <v>0</v>
      </c>
      <c r="K575" s="190" t="str">
        <f>IFERROR(((2*('Lab Analysis'!M575/60))+('Lab Analysis'!K575/17))/(('Lab Analysis'!L575/44)+('Lab Analysis'!M575/60)),"0")</f>
        <v>0</v>
      </c>
      <c r="L575" s="190" t="str">
        <f>IFERROR((('Lab Analysis'!N575/18)-('Lab Analysis'!M575/60))/(('Lab Analysis'!L575/44)+('Lab Analysis'!M575/60)),"0")</f>
        <v>0</v>
      </c>
      <c r="M575" s="187" t="str">
        <f>IFERROR(((2*('Lab Analysis'!U575/60))+('Lab Analysis'!S575/17))/(('Lab Analysis'!T575/44)+('Lab Analysis'!U575/60)),"0")</f>
        <v>0</v>
      </c>
      <c r="N575" s="187" t="str">
        <f>IFERROR((('Lab Analysis'!V575/18)-('Lab Analysis'!U575/60))/(('Lab Analysis'!T575/44)+('Lab Analysis'!U575/60)),"0")</f>
        <v>0</v>
      </c>
      <c r="O575" s="187" t="str">
        <f>IFERROR(((2*('Lab Analysis'!Y575/60)+('Lab Analysis'!W575/17))/(('Lab Analysis'!X575/44)+('Lab Analysis'!Y575/60))),"0")</f>
        <v>0</v>
      </c>
      <c r="P575" s="187" t="str">
        <f>IFERROR((('Lab Analysis'!Z575/18)-('Lab Analysis'!Y575/60))/(('Lab Analysis'!X575/44)+('Lab Analysis'!Y575/60)),"0")</f>
        <v>0</v>
      </c>
      <c r="Q575" s="191"/>
    </row>
    <row r="576" spans="1:17">
      <c r="A576" s="185">
        <v>46390</v>
      </c>
      <c r="B576" s="186" t="str">
        <f>IFERROR(('Lab Analysis'!E576/('Lab Analysis'!E576+(1.364*'Lab Analysis'!D576))),"0")</f>
        <v>0</v>
      </c>
      <c r="C576" s="186" t="str">
        <f>IFERROR((2*'Lab Analysis'!E576/60)/('Lab Analysis'!C576/17+(2*'Lab Analysis'!E576/60)),"0")</f>
        <v>0</v>
      </c>
      <c r="D576" s="187" t="str">
        <f>IFERROR(((2*('Lab Analysis'!E576/60)+('Lab Analysis'!C576/17))/(('Lab Analysis'!D576/44)+('Lab Analysis'!E576/60))),"0")</f>
        <v>0</v>
      </c>
      <c r="E576" s="187" t="str">
        <f>IFERROR((('Lab Analysis'!F576/18)-('Lab Analysis'!E576/60))/(('Lab Analysis'!D576/44)+('Lab Analysis'!E576/60)),"0")</f>
        <v>0</v>
      </c>
      <c r="F576" s="187" t="str">
        <f>IFERROR((('Lab Analysis'!F576/18)/('Lab Analysis'!E576/60)),"0")</f>
        <v>0</v>
      </c>
      <c r="G576" s="188" t="str">
        <f>IFERROR(('Lab Analysis'!I576/('Lab Analysis'!I576+(1.765*'Lab Analysis'!G576))),"0")</f>
        <v>0</v>
      </c>
      <c r="H576" s="189" t="str">
        <f>IFERROR(((2*('Lab Analysis'!I576/60))+('Lab Analysis'!G576/17))/(('Lab Analysis'!H576/44)+('Lab Analysis'!I576/60)),"0")</f>
        <v>0</v>
      </c>
      <c r="I576" s="189" t="str">
        <f>IFERROR((('Lab Analysis'!J576/18)-('Lab Analysis'!I576/60))/(('Lab Analysis'!H576/44)+('Lab Analysis'!I576/60)),"0")</f>
        <v>0</v>
      </c>
      <c r="J576" s="186" t="str">
        <f>IFERROR(('Lab Analysis'!M576/('Lab Analysis'!M576+(1.765*'Lab Analysis'!K576))),"0")</f>
        <v>0</v>
      </c>
      <c r="K576" s="190" t="str">
        <f>IFERROR(((2*('Lab Analysis'!M576/60))+('Lab Analysis'!K576/17))/(('Lab Analysis'!L576/44)+('Lab Analysis'!M576/60)),"0")</f>
        <v>0</v>
      </c>
      <c r="L576" s="190" t="str">
        <f>IFERROR((('Lab Analysis'!N576/18)-('Lab Analysis'!M576/60))/(('Lab Analysis'!L576/44)+('Lab Analysis'!M576/60)),"0")</f>
        <v>0</v>
      </c>
      <c r="M576" s="187" t="str">
        <f>IFERROR(((2*('Lab Analysis'!U576/60))+('Lab Analysis'!S576/17))/(('Lab Analysis'!T576/44)+('Lab Analysis'!U576/60)),"0")</f>
        <v>0</v>
      </c>
      <c r="N576" s="187" t="str">
        <f>IFERROR((('Lab Analysis'!V576/18)-('Lab Analysis'!U576/60))/(('Lab Analysis'!T576/44)+('Lab Analysis'!U576/60)),"0")</f>
        <v>0</v>
      </c>
      <c r="O576" s="187" t="str">
        <f>IFERROR(((2*('Lab Analysis'!Y576/60)+('Lab Analysis'!W576/17))/(('Lab Analysis'!X576/44)+('Lab Analysis'!Y576/60))),"0")</f>
        <v>0</v>
      </c>
      <c r="P576" s="187" t="str">
        <f>IFERROR((('Lab Analysis'!Z576/18)-('Lab Analysis'!Y576/60))/(('Lab Analysis'!X576/44)+('Lab Analysis'!Y576/60)),"0")</f>
        <v>0</v>
      </c>
      <c r="Q576" s="191"/>
    </row>
    <row r="577" spans="1:17">
      <c r="A577" s="185">
        <v>46391</v>
      </c>
      <c r="B577" s="186" t="str">
        <f>IFERROR(('Lab Analysis'!E577/('Lab Analysis'!E577+(1.364*'Lab Analysis'!D577))),"0")</f>
        <v>0</v>
      </c>
      <c r="C577" s="186" t="str">
        <f>IFERROR((2*'Lab Analysis'!E577/60)/('Lab Analysis'!C577/17+(2*'Lab Analysis'!E577/60)),"0")</f>
        <v>0</v>
      </c>
      <c r="D577" s="187" t="str">
        <f>IFERROR(((2*('Lab Analysis'!E577/60)+('Lab Analysis'!C577/17))/(('Lab Analysis'!D577/44)+('Lab Analysis'!E577/60))),"0")</f>
        <v>0</v>
      </c>
      <c r="E577" s="187" t="str">
        <f>IFERROR((('Lab Analysis'!F577/18)-('Lab Analysis'!E577/60))/(('Lab Analysis'!D577/44)+('Lab Analysis'!E577/60)),"0")</f>
        <v>0</v>
      </c>
      <c r="F577" s="187" t="str">
        <f>IFERROR((('Lab Analysis'!F577/18)/('Lab Analysis'!E577/60)),"0")</f>
        <v>0</v>
      </c>
      <c r="G577" s="188" t="str">
        <f>IFERROR(('Lab Analysis'!I577/('Lab Analysis'!I577+(1.765*'Lab Analysis'!G577))),"0")</f>
        <v>0</v>
      </c>
      <c r="H577" s="189" t="str">
        <f>IFERROR(((2*('Lab Analysis'!I577/60))+('Lab Analysis'!G577/17))/(('Lab Analysis'!H577/44)+('Lab Analysis'!I577/60)),"0")</f>
        <v>0</v>
      </c>
      <c r="I577" s="189" t="str">
        <f>IFERROR((('Lab Analysis'!J577/18)-('Lab Analysis'!I577/60))/(('Lab Analysis'!H577/44)+('Lab Analysis'!I577/60)),"0")</f>
        <v>0</v>
      </c>
      <c r="J577" s="186" t="str">
        <f>IFERROR(('Lab Analysis'!M577/('Lab Analysis'!M577+(1.765*'Lab Analysis'!K577))),"0")</f>
        <v>0</v>
      </c>
      <c r="K577" s="190" t="str">
        <f>IFERROR(((2*('Lab Analysis'!M577/60))+('Lab Analysis'!K577/17))/(('Lab Analysis'!L577/44)+('Lab Analysis'!M577/60)),"0")</f>
        <v>0</v>
      </c>
      <c r="L577" s="190" t="str">
        <f>IFERROR((('Lab Analysis'!N577/18)-('Lab Analysis'!M577/60))/(('Lab Analysis'!L577/44)+('Lab Analysis'!M577/60)),"0")</f>
        <v>0</v>
      </c>
      <c r="M577" s="187" t="str">
        <f>IFERROR(((2*('Lab Analysis'!U577/60))+('Lab Analysis'!S577/17))/(('Lab Analysis'!T577/44)+('Lab Analysis'!U577/60)),"0")</f>
        <v>0</v>
      </c>
      <c r="N577" s="187" t="str">
        <f>IFERROR((('Lab Analysis'!V577/18)-('Lab Analysis'!U577/60))/(('Lab Analysis'!T577/44)+('Lab Analysis'!U577/60)),"0")</f>
        <v>0</v>
      </c>
      <c r="O577" s="187" t="str">
        <f>IFERROR(((2*('Lab Analysis'!Y577/60)+('Lab Analysis'!W577/17))/(('Lab Analysis'!X577/44)+('Lab Analysis'!Y577/60))),"0")</f>
        <v>0</v>
      </c>
      <c r="P577" s="187" t="str">
        <f>IFERROR((('Lab Analysis'!Z577/18)-('Lab Analysis'!Y577/60))/(('Lab Analysis'!X577/44)+('Lab Analysis'!Y577/60)),"0")</f>
        <v>0</v>
      </c>
      <c r="Q577" s="191"/>
    </row>
    <row r="578" spans="1:17">
      <c r="A578" s="185">
        <v>46392</v>
      </c>
      <c r="B578" s="186" t="str">
        <f>IFERROR(('Lab Analysis'!E578/('Lab Analysis'!E578+(1.364*'Lab Analysis'!D578))),"0")</f>
        <v>0</v>
      </c>
      <c r="C578" s="186" t="str">
        <f>IFERROR((2*'Lab Analysis'!E578/60)/('Lab Analysis'!C578/17+(2*'Lab Analysis'!E578/60)),"0")</f>
        <v>0</v>
      </c>
      <c r="D578" s="187" t="str">
        <f>IFERROR(((2*('Lab Analysis'!E578/60)+('Lab Analysis'!C578/17))/(('Lab Analysis'!D578/44)+('Lab Analysis'!E578/60))),"0")</f>
        <v>0</v>
      </c>
      <c r="E578" s="187" t="str">
        <f>IFERROR((('Lab Analysis'!F578/18)-('Lab Analysis'!E578/60))/(('Lab Analysis'!D578/44)+('Lab Analysis'!E578/60)),"0")</f>
        <v>0</v>
      </c>
      <c r="F578" s="187" t="str">
        <f>IFERROR((('Lab Analysis'!F578/18)/('Lab Analysis'!E578/60)),"0")</f>
        <v>0</v>
      </c>
      <c r="G578" s="188" t="str">
        <f>IFERROR(('Lab Analysis'!I578/('Lab Analysis'!I578+(1.765*'Lab Analysis'!G578))),"0")</f>
        <v>0</v>
      </c>
      <c r="H578" s="189" t="str">
        <f>IFERROR(((2*('Lab Analysis'!I578/60))+('Lab Analysis'!G578/17))/(('Lab Analysis'!H578/44)+('Lab Analysis'!I578/60)),"0")</f>
        <v>0</v>
      </c>
      <c r="I578" s="189" t="str">
        <f>IFERROR((('Lab Analysis'!J578/18)-('Lab Analysis'!I578/60))/(('Lab Analysis'!H578/44)+('Lab Analysis'!I578/60)),"0")</f>
        <v>0</v>
      </c>
      <c r="J578" s="186" t="str">
        <f>IFERROR(('Lab Analysis'!M578/('Lab Analysis'!M578+(1.765*'Lab Analysis'!K578))),"0")</f>
        <v>0</v>
      </c>
      <c r="K578" s="190" t="str">
        <f>IFERROR(((2*('Lab Analysis'!M578/60))+('Lab Analysis'!K578/17))/(('Lab Analysis'!L578/44)+('Lab Analysis'!M578/60)),"0")</f>
        <v>0</v>
      </c>
      <c r="L578" s="190" t="str">
        <f>IFERROR((('Lab Analysis'!N578/18)-('Lab Analysis'!M578/60))/(('Lab Analysis'!L578/44)+('Lab Analysis'!M578/60)),"0")</f>
        <v>0</v>
      </c>
      <c r="M578" s="187" t="str">
        <f>IFERROR(((2*('Lab Analysis'!U578/60))+('Lab Analysis'!S578/17))/(('Lab Analysis'!T578/44)+('Lab Analysis'!U578/60)),"0")</f>
        <v>0</v>
      </c>
      <c r="N578" s="187" t="str">
        <f>IFERROR((('Lab Analysis'!V578/18)-('Lab Analysis'!U578/60))/(('Lab Analysis'!T578/44)+('Lab Analysis'!U578/60)),"0")</f>
        <v>0</v>
      </c>
      <c r="O578" s="187" t="str">
        <f>IFERROR(((2*('Lab Analysis'!Y578/60)+('Lab Analysis'!W578/17))/(('Lab Analysis'!X578/44)+('Lab Analysis'!Y578/60))),"0")</f>
        <v>0</v>
      </c>
      <c r="P578" s="187" t="str">
        <f>IFERROR((('Lab Analysis'!Z578/18)-('Lab Analysis'!Y578/60))/(('Lab Analysis'!X578/44)+('Lab Analysis'!Y578/60)),"0")</f>
        <v>0</v>
      </c>
      <c r="Q578" s="191"/>
    </row>
    <row r="579" spans="1:17">
      <c r="A579" s="185">
        <v>46393</v>
      </c>
      <c r="B579" s="186" t="str">
        <f>IFERROR(('Lab Analysis'!E579/('Lab Analysis'!E579+(1.364*'Lab Analysis'!D579))),"0")</f>
        <v>0</v>
      </c>
      <c r="C579" s="186" t="str">
        <f>IFERROR((2*'Lab Analysis'!E579/60)/('Lab Analysis'!C579/17+(2*'Lab Analysis'!E579/60)),"0")</f>
        <v>0</v>
      </c>
      <c r="D579" s="187" t="str">
        <f>IFERROR(((2*('Lab Analysis'!E579/60)+('Lab Analysis'!C579/17))/(('Lab Analysis'!D579/44)+('Lab Analysis'!E579/60))),"0")</f>
        <v>0</v>
      </c>
      <c r="E579" s="187" t="str">
        <f>IFERROR((('Lab Analysis'!F579/18)-('Lab Analysis'!E579/60))/(('Lab Analysis'!D579/44)+('Lab Analysis'!E579/60)),"0")</f>
        <v>0</v>
      </c>
      <c r="F579" s="187" t="str">
        <f>IFERROR((('Lab Analysis'!F579/18)/('Lab Analysis'!E579/60)),"0")</f>
        <v>0</v>
      </c>
      <c r="G579" s="188" t="str">
        <f>IFERROR(('Lab Analysis'!I579/('Lab Analysis'!I579+(1.765*'Lab Analysis'!G579))),"0")</f>
        <v>0</v>
      </c>
      <c r="H579" s="189" t="str">
        <f>IFERROR(((2*('Lab Analysis'!I579/60))+('Lab Analysis'!G579/17))/(('Lab Analysis'!H579/44)+('Lab Analysis'!I579/60)),"0")</f>
        <v>0</v>
      </c>
      <c r="I579" s="189" t="str">
        <f>IFERROR((('Lab Analysis'!J579/18)-('Lab Analysis'!I579/60))/(('Lab Analysis'!H579/44)+('Lab Analysis'!I579/60)),"0")</f>
        <v>0</v>
      </c>
      <c r="J579" s="186" t="str">
        <f>IFERROR(('Lab Analysis'!M579/('Lab Analysis'!M579+(1.765*'Lab Analysis'!K579))),"0")</f>
        <v>0</v>
      </c>
      <c r="K579" s="190" t="str">
        <f>IFERROR(((2*('Lab Analysis'!M579/60))+('Lab Analysis'!K579/17))/(('Lab Analysis'!L579/44)+('Lab Analysis'!M579/60)),"0")</f>
        <v>0</v>
      </c>
      <c r="L579" s="190" t="str">
        <f>IFERROR((('Lab Analysis'!N579/18)-('Lab Analysis'!M579/60))/(('Lab Analysis'!L579/44)+('Lab Analysis'!M579/60)),"0")</f>
        <v>0</v>
      </c>
      <c r="M579" s="187" t="str">
        <f>IFERROR(((2*('Lab Analysis'!U579/60))+('Lab Analysis'!S579/17))/(('Lab Analysis'!T579/44)+('Lab Analysis'!U579/60)),"0")</f>
        <v>0</v>
      </c>
      <c r="N579" s="187" t="str">
        <f>IFERROR((('Lab Analysis'!V579/18)-('Lab Analysis'!U579/60))/(('Lab Analysis'!T579/44)+('Lab Analysis'!U579/60)),"0")</f>
        <v>0</v>
      </c>
      <c r="O579" s="187" t="str">
        <f>IFERROR(((2*('Lab Analysis'!Y579/60)+('Lab Analysis'!W579/17))/(('Lab Analysis'!X579/44)+('Lab Analysis'!Y579/60))),"0")</f>
        <v>0</v>
      </c>
      <c r="P579" s="187" t="str">
        <f>IFERROR((('Lab Analysis'!Z579/18)-('Lab Analysis'!Y579/60))/(('Lab Analysis'!X579/44)+('Lab Analysis'!Y579/60)),"0")</f>
        <v>0</v>
      </c>
      <c r="Q579" s="191"/>
    </row>
    <row r="580" spans="1:17">
      <c r="A580" s="185">
        <v>46394</v>
      </c>
      <c r="B580" s="186" t="str">
        <f>IFERROR(('Lab Analysis'!E580/('Lab Analysis'!E580+(1.364*'Lab Analysis'!D580))),"0")</f>
        <v>0</v>
      </c>
      <c r="C580" s="186" t="str">
        <f>IFERROR((2*'Lab Analysis'!E580/60)/('Lab Analysis'!C580/17+(2*'Lab Analysis'!E580/60)),"0")</f>
        <v>0</v>
      </c>
      <c r="D580" s="187" t="str">
        <f>IFERROR(((2*('Lab Analysis'!E580/60)+('Lab Analysis'!C580/17))/(('Lab Analysis'!D580/44)+('Lab Analysis'!E580/60))),"0")</f>
        <v>0</v>
      </c>
      <c r="E580" s="187" t="str">
        <f>IFERROR((('Lab Analysis'!F580/18)-('Lab Analysis'!E580/60))/(('Lab Analysis'!D580/44)+('Lab Analysis'!E580/60)),"0")</f>
        <v>0</v>
      </c>
      <c r="F580" s="187" t="str">
        <f>IFERROR((('Lab Analysis'!F580/18)/('Lab Analysis'!E580/60)),"0")</f>
        <v>0</v>
      </c>
      <c r="G580" s="188" t="str">
        <f>IFERROR(('Lab Analysis'!I580/('Lab Analysis'!I580+(1.765*'Lab Analysis'!G580))),"0")</f>
        <v>0</v>
      </c>
      <c r="H580" s="189" t="str">
        <f>IFERROR(((2*('Lab Analysis'!I580/60))+('Lab Analysis'!G580/17))/(('Lab Analysis'!H580/44)+('Lab Analysis'!I580/60)),"0")</f>
        <v>0</v>
      </c>
      <c r="I580" s="189" t="str">
        <f>IFERROR((('Lab Analysis'!J580/18)-('Lab Analysis'!I580/60))/(('Lab Analysis'!H580/44)+('Lab Analysis'!I580/60)),"0")</f>
        <v>0</v>
      </c>
      <c r="J580" s="186" t="str">
        <f>IFERROR(('Lab Analysis'!M580/('Lab Analysis'!M580+(1.765*'Lab Analysis'!K580))),"0")</f>
        <v>0</v>
      </c>
      <c r="K580" s="190" t="str">
        <f>IFERROR(((2*('Lab Analysis'!M580/60))+('Lab Analysis'!K580/17))/(('Lab Analysis'!L580/44)+('Lab Analysis'!M580/60)),"0")</f>
        <v>0</v>
      </c>
      <c r="L580" s="190" t="str">
        <f>IFERROR((('Lab Analysis'!N580/18)-('Lab Analysis'!M580/60))/(('Lab Analysis'!L580/44)+('Lab Analysis'!M580/60)),"0")</f>
        <v>0</v>
      </c>
      <c r="M580" s="187" t="str">
        <f>IFERROR(((2*('Lab Analysis'!U580/60))+('Lab Analysis'!S580/17))/(('Lab Analysis'!T580/44)+('Lab Analysis'!U580/60)),"0")</f>
        <v>0</v>
      </c>
      <c r="N580" s="187" t="str">
        <f>IFERROR((('Lab Analysis'!V580/18)-('Lab Analysis'!U580/60))/(('Lab Analysis'!T580/44)+('Lab Analysis'!U580/60)),"0")</f>
        <v>0</v>
      </c>
      <c r="O580" s="187" t="str">
        <f>IFERROR(((2*('Lab Analysis'!Y580/60)+('Lab Analysis'!W580/17))/(('Lab Analysis'!X580/44)+('Lab Analysis'!Y580/60))),"0")</f>
        <v>0</v>
      </c>
      <c r="P580" s="187" t="str">
        <f>IFERROR((('Lab Analysis'!Z580/18)-('Lab Analysis'!Y580/60))/(('Lab Analysis'!X580/44)+('Lab Analysis'!Y580/60)),"0")</f>
        <v>0</v>
      </c>
      <c r="Q580" s="191"/>
    </row>
    <row r="581" spans="1:17">
      <c r="A581" s="185">
        <v>46395</v>
      </c>
      <c r="B581" s="186" t="str">
        <f>IFERROR(('Lab Analysis'!E581/('Lab Analysis'!E581+(1.364*'Lab Analysis'!D581))),"0")</f>
        <v>0</v>
      </c>
      <c r="C581" s="186" t="str">
        <f>IFERROR((2*'Lab Analysis'!E581/60)/('Lab Analysis'!C581/17+(2*'Lab Analysis'!E581/60)),"0")</f>
        <v>0</v>
      </c>
      <c r="D581" s="187" t="str">
        <f>IFERROR(((2*('Lab Analysis'!E581/60)+('Lab Analysis'!C581/17))/(('Lab Analysis'!D581/44)+('Lab Analysis'!E581/60))),"0")</f>
        <v>0</v>
      </c>
      <c r="E581" s="187" t="str">
        <f>IFERROR((('Lab Analysis'!F581/18)-('Lab Analysis'!E581/60))/(('Lab Analysis'!D581/44)+('Lab Analysis'!E581/60)),"0")</f>
        <v>0</v>
      </c>
      <c r="F581" s="187" t="str">
        <f>IFERROR((('Lab Analysis'!F581/18)/('Lab Analysis'!E581/60)),"0")</f>
        <v>0</v>
      </c>
      <c r="G581" s="188" t="str">
        <f>IFERROR(('Lab Analysis'!I581/('Lab Analysis'!I581+(1.765*'Lab Analysis'!G581))),"0")</f>
        <v>0</v>
      </c>
      <c r="H581" s="189" t="str">
        <f>IFERROR(((2*('Lab Analysis'!I581/60))+('Lab Analysis'!G581/17))/(('Lab Analysis'!H581/44)+('Lab Analysis'!I581/60)),"0")</f>
        <v>0</v>
      </c>
      <c r="I581" s="189" t="str">
        <f>IFERROR((('Lab Analysis'!J581/18)-('Lab Analysis'!I581/60))/(('Lab Analysis'!H581/44)+('Lab Analysis'!I581/60)),"0")</f>
        <v>0</v>
      </c>
      <c r="J581" s="186" t="str">
        <f>IFERROR(('Lab Analysis'!M581/('Lab Analysis'!M581+(1.765*'Lab Analysis'!K581))),"0")</f>
        <v>0</v>
      </c>
      <c r="K581" s="190" t="str">
        <f>IFERROR(((2*('Lab Analysis'!M581/60))+('Lab Analysis'!K581/17))/(('Lab Analysis'!L581/44)+('Lab Analysis'!M581/60)),"0")</f>
        <v>0</v>
      </c>
      <c r="L581" s="190" t="str">
        <f>IFERROR((('Lab Analysis'!N581/18)-('Lab Analysis'!M581/60))/(('Lab Analysis'!L581/44)+('Lab Analysis'!M581/60)),"0")</f>
        <v>0</v>
      </c>
      <c r="M581" s="187" t="str">
        <f>IFERROR(((2*('Lab Analysis'!U581/60))+('Lab Analysis'!S581/17))/(('Lab Analysis'!T581/44)+('Lab Analysis'!U581/60)),"0")</f>
        <v>0</v>
      </c>
      <c r="N581" s="187" t="str">
        <f>IFERROR((('Lab Analysis'!V581/18)-('Lab Analysis'!U581/60))/(('Lab Analysis'!T581/44)+('Lab Analysis'!U581/60)),"0")</f>
        <v>0</v>
      </c>
      <c r="O581" s="187" t="str">
        <f>IFERROR(((2*('Lab Analysis'!Y581/60)+('Lab Analysis'!W581/17))/(('Lab Analysis'!X581/44)+('Lab Analysis'!Y581/60))),"0")</f>
        <v>0</v>
      </c>
      <c r="P581" s="187" t="str">
        <f>IFERROR((('Lab Analysis'!Z581/18)-('Lab Analysis'!Y581/60))/(('Lab Analysis'!X581/44)+('Lab Analysis'!Y581/60)),"0")</f>
        <v>0</v>
      </c>
      <c r="Q581" s="191"/>
    </row>
    <row r="582" spans="1:17">
      <c r="A582" s="185">
        <v>46396</v>
      </c>
      <c r="B582" s="186" t="str">
        <f>IFERROR(('Lab Analysis'!E582/('Lab Analysis'!E582+(1.364*'Lab Analysis'!D582))),"0")</f>
        <v>0</v>
      </c>
      <c r="C582" s="186" t="str">
        <f>IFERROR((2*'Lab Analysis'!E582/60)/('Lab Analysis'!C582/17+(2*'Lab Analysis'!E582/60)),"0")</f>
        <v>0</v>
      </c>
      <c r="D582" s="187" t="str">
        <f>IFERROR(((2*('Lab Analysis'!E582/60)+('Lab Analysis'!C582/17))/(('Lab Analysis'!D582/44)+('Lab Analysis'!E582/60))),"0")</f>
        <v>0</v>
      </c>
      <c r="E582" s="187" t="str">
        <f>IFERROR((('Lab Analysis'!F582/18)-('Lab Analysis'!E582/60))/(('Lab Analysis'!D582/44)+('Lab Analysis'!E582/60)),"0")</f>
        <v>0</v>
      </c>
      <c r="F582" s="187" t="str">
        <f>IFERROR((('Lab Analysis'!F582/18)/('Lab Analysis'!E582/60)),"0")</f>
        <v>0</v>
      </c>
      <c r="G582" s="188" t="str">
        <f>IFERROR(('Lab Analysis'!I582/('Lab Analysis'!I582+(1.765*'Lab Analysis'!G582))),"0")</f>
        <v>0</v>
      </c>
      <c r="H582" s="189" t="str">
        <f>IFERROR(((2*('Lab Analysis'!I582/60))+('Lab Analysis'!G582/17))/(('Lab Analysis'!H582/44)+('Lab Analysis'!I582/60)),"0")</f>
        <v>0</v>
      </c>
      <c r="I582" s="189" t="str">
        <f>IFERROR((('Lab Analysis'!J582/18)-('Lab Analysis'!I582/60))/(('Lab Analysis'!H582/44)+('Lab Analysis'!I582/60)),"0")</f>
        <v>0</v>
      </c>
      <c r="J582" s="186" t="str">
        <f>IFERROR(('Lab Analysis'!M582/('Lab Analysis'!M582+(1.765*'Lab Analysis'!K582))),"0")</f>
        <v>0</v>
      </c>
      <c r="K582" s="190" t="str">
        <f>IFERROR(((2*('Lab Analysis'!M582/60))+('Lab Analysis'!K582/17))/(('Lab Analysis'!L582/44)+('Lab Analysis'!M582/60)),"0")</f>
        <v>0</v>
      </c>
      <c r="L582" s="190" t="str">
        <f>IFERROR((('Lab Analysis'!N582/18)-('Lab Analysis'!M582/60))/(('Lab Analysis'!L582/44)+('Lab Analysis'!M582/60)),"0")</f>
        <v>0</v>
      </c>
      <c r="M582" s="187" t="str">
        <f>IFERROR(((2*('Lab Analysis'!U582/60))+('Lab Analysis'!S582/17))/(('Lab Analysis'!T582/44)+('Lab Analysis'!U582/60)),"0")</f>
        <v>0</v>
      </c>
      <c r="N582" s="187" t="str">
        <f>IFERROR((('Lab Analysis'!V582/18)-('Lab Analysis'!U582/60))/(('Lab Analysis'!T582/44)+('Lab Analysis'!U582/60)),"0")</f>
        <v>0</v>
      </c>
      <c r="O582" s="187" t="str">
        <f>IFERROR(((2*('Lab Analysis'!Y582/60)+('Lab Analysis'!W582/17))/(('Lab Analysis'!X582/44)+('Lab Analysis'!Y582/60))),"0")</f>
        <v>0</v>
      </c>
      <c r="P582" s="187" t="str">
        <f>IFERROR((('Lab Analysis'!Z582/18)-('Lab Analysis'!Y582/60))/(('Lab Analysis'!X582/44)+('Lab Analysis'!Y582/60)),"0")</f>
        <v>0</v>
      </c>
      <c r="Q582" s="191"/>
    </row>
    <row r="583" spans="1:17">
      <c r="A583" s="185">
        <v>46397</v>
      </c>
      <c r="B583" s="186" t="str">
        <f>IFERROR(('Lab Analysis'!E583/('Lab Analysis'!E583+(1.364*'Lab Analysis'!D583))),"0")</f>
        <v>0</v>
      </c>
      <c r="C583" s="186" t="str">
        <f>IFERROR((2*'Lab Analysis'!E583/60)/('Lab Analysis'!C583/17+(2*'Lab Analysis'!E583/60)),"0")</f>
        <v>0</v>
      </c>
      <c r="D583" s="187" t="str">
        <f>IFERROR(((2*('Lab Analysis'!E583/60)+('Lab Analysis'!C583/17))/(('Lab Analysis'!D583/44)+('Lab Analysis'!E583/60))),"0")</f>
        <v>0</v>
      </c>
      <c r="E583" s="187" t="str">
        <f>IFERROR((('Lab Analysis'!F583/18)-('Lab Analysis'!E583/60))/(('Lab Analysis'!D583/44)+('Lab Analysis'!E583/60)),"0")</f>
        <v>0</v>
      </c>
      <c r="F583" s="187" t="str">
        <f>IFERROR((('Lab Analysis'!F583/18)/('Lab Analysis'!E583/60)),"0")</f>
        <v>0</v>
      </c>
      <c r="G583" s="188" t="str">
        <f>IFERROR(('Lab Analysis'!I583/('Lab Analysis'!I583+(1.765*'Lab Analysis'!G583))),"0")</f>
        <v>0</v>
      </c>
      <c r="H583" s="189" t="str">
        <f>IFERROR(((2*('Lab Analysis'!I583/60))+('Lab Analysis'!G583/17))/(('Lab Analysis'!H583/44)+('Lab Analysis'!I583/60)),"0")</f>
        <v>0</v>
      </c>
      <c r="I583" s="189" t="str">
        <f>IFERROR((('Lab Analysis'!J583/18)-('Lab Analysis'!I583/60))/(('Lab Analysis'!H583/44)+('Lab Analysis'!I583/60)),"0")</f>
        <v>0</v>
      </c>
      <c r="J583" s="186" t="str">
        <f>IFERROR(('Lab Analysis'!M583/('Lab Analysis'!M583+(1.765*'Lab Analysis'!K583))),"0")</f>
        <v>0</v>
      </c>
      <c r="K583" s="190" t="str">
        <f>IFERROR(((2*('Lab Analysis'!M583/60))+('Lab Analysis'!K583/17))/(('Lab Analysis'!L583/44)+('Lab Analysis'!M583/60)),"0")</f>
        <v>0</v>
      </c>
      <c r="L583" s="190" t="str">
        <f>IFERROR((('Lab Analysis'!N583/18)-('Lab Analysis'!M583/60))/(('Lab Analysis'!L583/44)+('Lab Analysis'!M583/60)),"0")</f>
        <v>0</v>
      </c>
      <c r="M583" s="187" t="str">
        <f>IFERROR(((2*('Lab Analysis'!U583/60))+('Lab Analysis'!S583/17))/(('Lab Analysis'!T583/44)+('Lab Analysis'!U583/60)),"0")</f>
        <v>0</v>
      </c>
      <c r="N583" s="187" t="str">
        <f>IFERROR((('Lab Analysis'!V583/18)-('Lab Analysis'!U583/60))/(('Lab Analysis'!T583/44)+('Lab Analysis'!U583/60)),"0")</f>
        <v>0</v>
      </c>
      <c r="O583" s="187" t="str">
        <f>IFERROR(((2*('Lab Analysis'!Y583/60)+('Lab Analysis'!W583/17))/(('Lab Analysis'!X583/44)+('Lab Analysis'!Y583/60))),"0")</f>
        <v>0</v>
      </c>
      <c r="P583" s="187" t="str">
        <f>IFERROR((('Lab Analysis'!Z583/18)-('Lab Analysis'!Y583/60))/(('Lab Analysis'!X583/44)+('Lab Analysis'!Y583/60)),"0")</f>
        <v>0</v>
      </c>
      <c r="Q583" s="191"/>
    </row>
    <row r="584" spans="1:17">
      <c r="A584" s="185">
        <v>46398</v>
      </c>
      <c r="B584" s="186" t="str">
        <f>IFERROR(('Lab Analysis'!E584/('Lab Analysis'!E584+(1.364*'Lab Analysis'!D584))),"0")</f>
        <v>0</v>
      </c>
      <c r="C584" s="186" t="str">
        <f>IFERROR((2*'Lab Analysis'!E584/60)/('Lab Analysis'!C584/17+(2*'Lab Analysis'!E584/60)),"0")</f>
        <v>0</v>
      </c>
      <c r="D584" s="187" t="str">
        <f>IFERROR(((2*('Lab Analysis'!E584/60)+('Lab Analysis'!C584/17))/(('Lab Analysis'!D584/44)+('Lab Analysis'!E584/60))),"0")</f>
        <v>0</v>
      </c>
      <c r="E584" s="187" t="str">
        <f>IFERROR((('Lab Analysis'!F584/18)-('Lab Analysis'!E584/60))/(('Lab Analysis'!D584/44)+('Lab Analysis'!E584/60)),"0")</f>
        <v>0</v>
      </c>
      <c r="F584" s="187" t="str">
        <f>IFERROR((('Lab Analysis'!F584/18)/('Lab Analysis'!E584/60)),"0")</f>
        <v>0</v>
      </c>
      <c r="G584" s="188" t="str">
        <f>IFERROR(('Lab Analysis'!I584/('Lab Analysis'!I584+(1.765*'Lab Analysis'!G584))),"0")</f>
        <v>0</v>
      </c>
      <c r="H584" s="189" t="str">
        <f>IFERROR(((2*('Lab Analysis'!I584/60))+('Lab Analysis'!G584/17))/(('Lab Analysis'!H584/44)+('Lab Analysis'!I584/60)),"0")</f>
        <v>0</v>
      </c>
      <c r="I584" s="189" t="str">
        <f>IFERROR((('Lab Analysis'!J584/18)-('Lab Analysis'!I584/60))/(('Lab Analysis'!H584/44)+('Lab Analysis'!I584/60)),"0")</f>
        <v>0</v>
      </c>
      <c r="J584" s="186" t="str">
        <f>IFERROR(('Lab Analysis'!M584/('Lab Analysis'!M584+(1.765*'Lab Analysis'!K584))),"0")</f>
        <v>0</v>
      </c>
      <c r="K584" s="190" t="str">
        <f>IFERROR(((2*('Lab Analysis'!M584/60))+('Lab Analysis'!K584/17))/(('Lab Analysis'!L584/44)+('Lab Analysis'!M584/60)),"0")</f>
        <v>0</v>
      </c>
      <c r="L584" s="190" t="str">
        <f>IFERROR((('Lab Analysis'!N584/18)-('Lab Analysis'!M584/60))/(('Lab Analysis'!L584/44)+('Lab Analysis'!M584/60)),"0")</f>
        <v>0</v>
      </c>
      <c r="M584" s="187" t="str">
        <f>IFERROR(((2*('Lab Analysis'!U584/60))+('Lab Analysis'!S584/17))/(('Lab Analysis'!T584/44)+('Lab Analysis'!U584/60)),"0")</f>
        <v>0</v>
      </c>
      <c r="N584" s="187" t="str">
        <f>IFERROR((('Lab Analysis'!V584/18)-('Lab Analysis'!U584/60))/(('Lab Analysis'!T584/44)+('Lab Analysis'!U584/60)),"0")</f>
        <v>0</v>
      </c>
      <c r="O584" s="187" t="str">
        <f>IFERROR(((2*('Lab Analysis'!Y584/60)+('Lab Analysis'!W584/17))/(('Lab Analysis'!X584/44)+('Lab Analysis'!Y584/60))),"0")</f>
        <v>0</v>
      </c>
      <c r="P584" s="187" t="str">
        <f>IFERROR((('Lab Analysis'!Z584/18)-('Lab Analysis'!Y584/60))/(('Lab Analysis'!X584/44)+('Lab Analysis'!Y584/60)),"0")</f>
        <v>0</v>
      </c>
      <c r="Q584" s="191"/>
    </row>
    <row r="585" spans="1:17">
      <c r="A585" s="185">
        <v>46399</v>
      </c>
      <c r="B585" s="186" t="str">
        <f>IFERROR(('Lab Analysis'!E585/('Lab Analysis'!E585+(1.364*'Lab Analysis'!D585))),"0")</f>
        <v>0</v>
      </c>
      <c r="C585" s="186" t="str">
        <f>IFERROR((2*'Lab Analysis'!E585/60)/('Lab Analysis'!C585/17+(2*'Lab Analysis'!E585/60)),"0")</f>
        <v>0</v>
      </c>
      <c r="D585" s="187" t="str">
        <f>IFERROR(((2*('Lab Analysis'!E585/60)+('Lab Analysis'!C585/17))/(('Lab Analysis'!D585/44)+('Lab Analysis'!E585/60))),"0")</f>
        <v>0</v>
      </c>
      <c r="E585" s="187" t="str">
        <f>IFERROR((('Lab Analysis'!F585/18)-('Lab Analysis'!E585/60))/(('Lab Analysis'!D585/44)+('Lab Analysis'!E585/60)),"0")</f>
        <v>0</v>
      </c>
      <c r="F585" s="187" t="str">
        <f>IFERROR((('Lab Analysis'!F585/18)/('Lab Analysis'!E585/60)),"0")</f>
        <v>0</v>
      </c>
      <c r="G585" s="188" t="str">
        <f>IFERROR(('Lab Analysis'!I585/('Lab Analysis'!I585+(1.765*'Lab Analysis'!G585))),"0")</f>
        <v>0</v>
      </c>
      <c r="H585" s="189" t="str">
        <f>IFERROR(((2*('Lab Analysis'!I585/60))+('Lab Analysis'!G585/17))/(('Lab Analysis'!H585/44)+('Lab Analysis'!I585/60)),"0")</f>
        <v>0</v>
      </c>
      <c r="I585" s="189" t="str">
        <f>IFERROR((('Lab Analysis'!J585/18)-('Lab Analysis'!I585/60))/(('Lab Analysis'!H585/44)+('Lab Analysis'!I585/60)),"0")</f>
        <v>0</v>
      </c>
      <c r="J585" s="186" t="str">
        <f>IFERROR(('Lab Analysis'!M585/('Lab Analysis'!M585+(1.765*'Lab Analysis'!K585))),"0")</f>
        <v>0</v>
      </c>
      <c r="K585" s="190" t="str">
        <f>IFERROR(((2*('Lab Analysis'!M585/60))+('Lab Analysis'!K585/17))/(('Lab Analysis'!L585/44)+('Lab Analysis'!M585/60)),"0")</f>
        <v>0</v>
      </c>
      <c r="L585" s="190" t="str">
        <f>IFERROR((('Lab Analysis'!N585/18)-('Lab Analysis'!M585/60))/(('Lab Analysis'!L585/44)+('Lab Analysis'!M585/60)),"0")</f>
        <v>0</v>
      </c>
      <c r="M585" s="187" t="str">
        <f>IFERROR(((2*('Lab Analysis'!U585/60))+('Lab Analysis'!S585/17))/(('Lab Analysis'!T585/44)+('Lab Analysis'!U585/60)),"0")</f>
        <v>0</v>
      </c>
      <c r="N585" s="187" t="str">
        <f>IFERROR((('Lab Analysis'!V585/18)-('Lab Analysis'!U585/60))/(('Lab Analysis'!T585/44)+('Lab Analysis'!U585/60)),"0")</f>
        <v>0</v>
      </c>
      <c r="O585" s="187" t="str">
        <f>IFERROR(((2*('Lab Analysis'!Y585/60)+('Lab Analysis'!W585/17))/(('Lab Analysis'!X585/44)+('Lab Analysis'!Y585/60))),"0")</f>
        <v>0</v>
      </c>
      <c r="P585" s="187" t="str">
        <f>IFERROR((('Lab Analysis'!Z585/18)-('Lab Analysis'!Y585/60))/(('Lab Analysis'!X585/44)+('Lab Analysis'!Y585/60)),"0")</f>
        <v>0</v>
      </c>
      <c r="Q585" s="191"/>
    </row>
    <row r="586" spans="1:17">
      <c r="A586" s="185">
        <v>46400</v>
      </c>
      <c r="B586" s="186" t="str">
        <f>IFERROR(('Lab Analysis'!E586/('Lab Analysis'!E586+(1.364*'Lab Analysis'!D586))),"0")</f>
        <v>0</v>
      </c>
      <c r="C586" s="186" t="str">
        <f>IFERROR((2*'Lab Analysis'!E586/60)/('Lab Analysis'!C586/17+(2*'Lab Analysis'!E586/60)),"0")</f>
        <v>0</v>
      </c>
      <c r="D586" s="187" t="str">
        <f>IFERROR(((2*('Lab Analysis'!E586/60)+('Lab Analysis'!C586/17))/(('Lab Analysis'!D586/44)+('Lab Analysis'!E586/60))),"0")</f>
        <v>0</v>
      </c>
      <c r="E586" s="187" t="str">
        <f>IFERROR((('Lab Analysis'!F586/18)-('Lab Analysis'!E586/60))/(('Lab Analysis'!D586/44)+('Lab Analysis'!E586/60)),"0")</f>
        <v>0</v>
      </c>
      <c r="F586" s="187" t="str">
        <f>IFERROR((('Lab Analysis'!F586/18)/('Lab Analysis'!E586/60)),"0")</f>
        <v>0</v>
      </c>
      <c r="G586" s="188" t="str">
        <f>IFERROR(('Lab Analysis'!I586/('Lab Analysis'!I586+(1.765*'Lab Analysis'!G586))),"0")</f>
        <v>0</v>
      </c>
      <c r="H586" s="189" t="str">
        <f>IFERROR(((2*('Lab Analysis'!I586/60))+('Lab Analysis'!G586/17))/(('Lab Analysis'!H586/44)+('Lab Analysis'!I586/60)),"0")</f>
        <v>0</v>
      </c>
      <c r="I586" s="189" t="str">
        <f>IFERROR((('Lab Analysis'!J586/18)-('Lab Analysis'!I586/60))/(('Lab Analysis'!H586/44)+('Lab Analysis'!I586/60)),"0")</f>
        <v>0</v>
      </c>
      <c r="J586" s="186" t="str">
        <f>IFERROR(('Lab Analysis'!M586/('Lab Analysis'!M586+(1.765*'Lab Analysis'!K586))),"0")</f>
        <v>0</v>
      </c>
      <c r="K586" s="190" t="str">
        <f>IFERROR(((2*('Lab Analysis'!M586/60))+('Lab Analysis'!K586/17))/(('Lab Analysis'!L586/44)+('Lab Analysis'!M586/60)),"0")</f>
        <v>0</v>
      </c>
      <c r="L586" s="190" t="str">
        <f>IFERROR((('Lab Analysis'!N586/18)-('Lab Analysis'!M586/60))/(('Lab Analysis'!L586/44)+('Lab Analysis'!M586/60)),"0")</f>
        <v>0</v>
      </c>
      <c r="M586" s="187" t="str">
        <f>IFERROR(((2*('Lab Analysis'!U586/60))+('Lab Analysis'!S586/17))/(('Lab Analysis'!T586/44)+('Lab Analysis'!U586/60)),"0")</f>
        <v>0</v>
      </c>
      <c r="N586" s="187" t="str">
        <f>IFERROR((('Lab Analysis'!V586/18)-('Lab Analysis'!U586/60))/(('Lab Analysis'!T586/44)+('Lab Analysis'!U586/60)),"0")</f>
        <v>0</v>
      </c>
      <c r="O586" s="187" t="str">
        <f>IFERROR(((2*('Lab Analysis'!Y586/60)+('Lab Analysis'!W586/17))/(('Lab Analysis'!X586/44)+('Lab Analysis'!Y586/60))),"0")</f>
        <v>0</v>
      </c>
      <c r="P586" s="187" t="str">
        <f>IFERROR((('Lab Analysis'!Z586/18)-('Lab Analysis'!Y586/60))/(('Lab Analysis'!X586/44)+('Lab Analysis'!Y586/60)),"0")</f>
        <v>0</v>
      </c>
      <c r="Q586" s="191"/>
    </row>
    <row r="587" spans="1:17">
      <c r="A587" s="185">
        <v>46401</v>
      </c>
      <c r="B587" s="186" t="str">
        <f>IFERROR(('Lab Analysis'!E587/('Lab Analysis'!E587+(1.364*'Lab Analysis'!D587))),"0")</f>
        <v>0</v>
      </c>
      <c r="C587" s="186" t="str">
        <f>IFERROR((2*'Lab Analysis'!E587/60)/('Lab Analysis'!C587/17+(2*'Lab Analysis'!E587/60)),"0")</f>
        <v>0</v>
      </c>
      <c r="D587" s="187" t="str">
        <f>IFERROR(((2*('Lab Analysis'!E587/60)+('Lab Analysis'!C587/17))/(('Lab Analysis'!D587/44)+('Lab Analysis'!E587/60))),"0")</f>
        <v>0</v>
      </c>
      <c r="E587" s="187" t="str">
        <f>IFERROR((('Lab Analysis'!F587/18)-('Lab Analysis'!E587/60))/(('Lab Analysis'!D587/44)+('Lab Analysis'!E587/60)),"0")</f>
        <v>0</v>
      </c>
      <c r="F587" s="187" t="str">
        <f>IFERROR((('Lab Analysis'!F587/18)/('Lab Analysis'!E587/60)),"0")</f>
        <v>0</v>
      </c>
      <c r="G587" s="188" t="str">
        <f>IFERROR(('Lab Analysis'!I587/('Lab Analysis'!I587+(1.765*'Lab Analysis'!G587))),"0")</f>
        <v>0</v>
      </c>
      <c r="H587" s="189" t="str">
        <f>IFERROR(((2*('Lab Analysis'!I587/60))+('Lab Analysis'!G587/17))/(('Lab Analysis'!H587/44)+('Lab Analysis'!I587/60)),"0")</f>
        <v>0</v>
      </c>
      <c r="I587" s="189" t="str">
        <f>IFERROR((('Lab Analysis'!J587/18)-('Lab Analysis'!I587/60))/(('Lab Analysis'!H587/44)+('Lab Analysis'!I587/60)),"0")</f>
        <v>0</v>
      </c>
      <c r="J587" s="186" t="str">
        <f>IFERROR(('Lab Analysis'!M587/('Lab Analysis'!M587+(1.765*'Lab Analysis'!K587))),"0")</f>
        <v>0</v>
      </c>
      <c r="K587" s="190" t="str">
        <f>IFERROR(((2*('Lab Analysis'!M587/60))+('Lab Analysis'!K587/17))/(('Lab Analysis'!L587/44)+('Lab Analysis'!M587/60)),"0")</f>
        <v>0</v>
      </c>
      <c r="L587" s="190" t="str">
        <f>IFERROR((('Lab Analysis'!N587/18)-('Lab Analysis'!M587/60))/(('Lab Analysis'!L587/44)+('Lab Analysis'!M587/60)),"0")</f>
        <v>0</v>
      </c>
      <c r="M587" s="187" t="str">
        <f>IFERROR(((2*('Lab Analysis'!U587/60))+('Lab Analysis'!S587/17))/(('Lab Analysis'!T587/44)+('Lab Analysis'!U587/60)),"0")</f>
        <v>0</v>
      </c>
      <c r="N587" s="187" t="str">
        <f>IFERROR((('Lab Analysis'!V587/18)-('Lab Analysis'!U587/60))/(('Lab Analysis'!T587/44)+('Lab Analysis'!U587/60)),"0")</f>
        <v>0</v>
      </c>
      <c r="O587" s="187" t="str">
        <f>IFERROR(((2*('Lab Analysis'!Y587/60)+('Lab Analysis'!W587/17))/(('Lab Analysis'!X587/44)+('Lab Analysis'!Y587/60))),"0")</f>
        <v>0</v>
      </c>
      <c r="P587" s="187" t="str">
        <f>IFERROR((('Lab Analysis'!Z587/18)-('Lab Analysis'!Y587/60))/(('Lab Analysis'!X587/44)+('Lab Analysis'!Y587/60)),"0")</f>
        <v>0</v>
      </c>
      <c r="Q587" s="191"/>
    </row>
    <row r="588" spans="1:17">
      <c r="A588" s="185">
        <v>46402</v>
      </c>
      <c r="B588" s="186" t="str">
        <f>IFERROR(('Lab Analysis'!E588/('Lab Analysis'!E588+(1.364*'Lab Analysis'!D588))),"0")</f>
        <v>0</v>
      </c>
      <c r="C588" s="186" t="str">
        <f>IFERROR((2*'Lab Analysis'!E588/60)/('Lab Analysis'!C588/17+(2*'Lab Analysis'!E588/60)),"0")</f>
        <v>0</v>
      </c>
      <c r="D588" s="187" t="str">
        <f>IFERROR(((2*('Lab Analysis'!E588/60)+('Lab Analysis'!C588/17))/(('Lab Analysis'!D588/44)+('Lab Analysis'!E588/60))),"0")</f>
        <v>0</v>
      </c>
      <c r="E588" s="187" t="str">
        <f>IFERROR((('Lab Analysis'!F588/18)-('Lab Analysis'!E588/60))/(('Lab Analysis'!D588/44)+('Lab Analysis'!E588/60)),"0")</f>
        <v>0</v>
      </c>
      <c r="F588" s="187" t="str">
        <f>IFERROR((('Lab Analysis'!F588/18)/('Lab Analysis'!E588/60)),"0")</f>
        <v>0</v>
      </c>
      <c r="G588" s="188" t="str">
        <f>IFERROR(('Lab Analysis'!I588/('Lab Analysis'!I588+(1.765*'Lab Analysis'!G588))),"0")</f>
        <v>0</v>
      </c>
      <c r="H588" s="189" t="str">
        <f>IFERROR(((2*('Lab Analysis'!I588/60))+('Lab Analysis'!G588/17))/(('Lab Analysis'!H588/44)+('Lab Analysis'!I588/60)),"0")</f>
        <v>0</v>
      </c>
      <c r="I588" s="189" t="str">
        <f>IFERROR((('Lab Analysis'!J588/18)-('Lab Analysis'!I588/60))/(('Lab Analysis'!H588/44)+('Lab Analysis'!I588/60)),"0")</f>
        <v>0</v>
      </c>
      <c r="J588" s="186" t="str">
        <f>IFERROR(('Lab Analysis'!M588/('Lab Analysis'!M588+(1.765*'Lab Analysis'!K588))),"0")</f>
        <v>0</v>
      </c>
      <c r="K588" s="190" t="str">
        <f>IFERROR(((2*('Lab Analysis'!M588/60))+('Lab Analysis'!K588/17))/(('Lab Analysis'!L588/44)+('Lab Analysis'!M588/60)),"0")</f>
        <v>0</v>
      </c>
      <c r="L588" s="190" t="str">
        <f>IFERROR((('Lab Analysis'!N588/18)-('Lab Analysis'!M588/60))/(('Lab Analysis'!L588/44)+('Lab Analysis'!M588/60)),"0")</f>
        <v>0</v>
      </c>
      <c r="M588" s="187" t="str">
        <f>IFERROR(((2*('Lab Analysis'!U588/60))+('Lab Analysis'!S588/17))/(('Lab Analysis'!T588/44)+('Lab Analysis'!U588/60)),"0")</f>
        <v>0</v>
      </c>
      <c r="N588" s="187" t="str">
        <f>IFERROR((('Lab Analysis'!V588/18)-('Lab Analysis'!U588/60))/(('Lab Analysis'!T588/44)+('Lab Analysis'!U588/60)),"0")</f>
        <v>0</v>
      </c>
      <c r="O588" s="187" t="str">
        <f>IFERROR(((2*('Lab Analysis'!Y588/60)+('Lab Analysis'!W588/17))/(('Lab Analysis'!X588/44)+('Lab Analysis'!Y588/60))),"0")</f>
        <v>0</v>
      </c>
      <c r="P588" s="187" t="str">
        <f>IFERROR((('Lab Analysis'!Z588/18)-('Lab Analysis'!Y588/60))/(('Lab Analysis'!X588/44)+('Lab Analysis'!Y588/60)),"0")</f>
        <v>0</v>
      </c>
      <c r="Q588" s="191"/>
    </row>
    <row r="589" spans="1:17">
      <c r="A589" s="185">
        <v>46403</v>
      </c>
      <c r="B589" s="186" t="str">
        <f>IFERROR(('Lab Analysis'!E589/('Lab Analysis'!E589+(1.364*'Lab Analysis'!D589))),"0")</f>
        <v>0</v>
      </c>
      <c r="C589" s="186" t="str">
        <f>IFERROR((2*'Lab Analysis'!E589/60)/('Lab Analysis'!C589/17+(2*'Lab Analysis'!E589/60)),"0")</f>
        <v>0</v>
      </c>
      <c r="D589" s="187" t="str">
        <f>IFERROR(((2*('Lab Analysis'!E589/60)+('Lab Analysis'!C589/17))/(('Lab Analysis'!D589/44)+('Lab Analysis'!E589/60))),"0")</f>
        <v>0</v>
      </c>
      <c r="E589" s="187" t="str">
        <f>IFERROR((('Lab Analysis'!F589/18)-('Lab Analysis'!E589/60))/(('Lab Analysis'!D589/44)+('Lab Analysis'!E589/60)),"0")</f>
        <v>0</v>
      </c>
      <c r="F589" s="187" t="str">
        <f>IFERROR((('Lab Analysis'!F589/18)/('Lab Analysis'!E589/60)),"0")</f>
        <v>0</v>
      </c>
      <c r="G589" s="188" t="str">
        <f>IFERROR(('Lab Analysis'!I589/('Lab Analysis'!I589+(1.765*'Lab Analysis'!G589))),"0")</f>
        <v>0</v>
      </c>
      <c r="H589" s="189" t="str">
        <f>IFERROR(((2*('Lab Analysis'!I589/60))+('Lab Analysis'!G589/17))/(('Lab Analysis'!H589/44)+('Lab Analysis'!I589/60)),"0")</f>
        <v>0</v>
      </c>
      <c r="I589" s="189" t="str">
        <f>IFERROR((('Lab Analysis'!J589/18)-('Lab Analysis'!I589/60))/(('Lab Analysis'!H589/44)+('Lab Analysis'!I589/60)),"0")</f>
        <v>0</v>
      </c>
      <c r="J589" s="186" t="str">
        <f>IFERROR(('Lab Analysis'!M589/('Lab Analysis'!M589+(1.765*'Lab Analysis'!K589))),"0")</f>
        <v>0</v>
      </c>
      <c r="K589" s="190" t="str">
        <f>IFERROR(((2*('Lab Analysis'!M589/60))+('Lab Analysis'!K589/17))/(('Lab Analysis'!L589/44)+('Lab Analysis'!M589/60)),"0")</f>
        <v>0</v>
      </c>
      <c r="L589" s="190" t="str">
        <f>IFERROR((('Lab Analysis'!N589/18)-('Lab Analysis'!M589/60))/(('Lab Analysis'!L589/44)+('Lab Analysis'!M589/60)),"0")</f>
        <v>0</v>
      </c>
      <c r="M589" s="187" t="str">
        <f>IFERROR(((2*('Lab Analysis'!U589/60))+('Lab Analysis'!S589/17))/(('Lab Analysis'!T589/44)+('Lab Analysis'!U589/60)),"0")</f>
        <v>0</v>
      </c>
      <c r="N589" s="187" t="str">
        <f>IFERROR((('Lab Analysis'!V589/18)-('Lab Analysis'!U589/60))/(('Lab Analysis'!T589/44)+('Lab Analysis'!U589/60)),"0")</f>
        <v>0</v>
      </c>
      <c r="O589" s="187" t="str">
        <f>IFERROR(((2*('Lab Analysis'!Y589/60)+('Lab Analysis'!W589/17))/(('Lab Analysis'!X589/44)+('Lab Analysis'!Y589/60))),"0")</f>
        <v>0</v>
      </c>
      <c r="P589" s="187" t="str">
        <f>IFERROR((('Lab Analysis'!Z589/18)-('Lab Analysis'!Y589/60))/(('Lab Analysis'!X589/44)+('Lab Analysis'!Y589/60)),"0")</f>
        <v>0</v>
      </c>
      <c r="Q589" s="191"/>
    </row>
    <row r="590" spans="1:17">
      <c r="A590" s="185">
        <v>46404</v>
      </c>
      <c r="B590" s="186" t="str">
        <f>IFERROR(('Lab Analysis'!E590/('Lab Analysis'!E590+(1.364*'Lab Analysis'!D590))),"0")</f>
        <v>0</v>
      </c>
      <c r="C590" s="186" t="str">
        <f>IFERROR((2*'Lab Analysis'!E590/60)/('Lab Analysis'!C590/17+(2*'Lab Analysis'!E590/60)),"0")</f>
        <v>0</v>
      </c>
      <c r="D590" s="187" t="str">
        <f>IFERROR(((2*('Lab Analysis'!E590/60)+('Lab Analysis'!C590/17))/(('Lab Analysis'!D590/44)+('Lab Analysis'!E590/60))),"0")</f>
        <v>0</v>
      </c>
      <c r="E590" s="187" t="str">
        <f>IFERROR((('Lab Analysis'!F590/18)-('Lab Analysis'!E590/60))/(('Lab Analysis'!D590/44)+('Lab Analysis'!E590/60)),"0")</f>
        <v>0</v>
      </c>
      <c r="F590" s="187" t="str">
        <f>IFERROR((('Lab Analysis'!F590/18)/('Lab Analysis'!E590/60)),"0")</f>
        <v>0</v>
      </c>
      <c r="G590" s="188" t="str">
        <f>IFERROR(('Lab Analysis'!I590/('Lab Analysis'!I590+(1.765*'Lab Analysis'!G590))),"0")</f>
        <v>0</v>
      </c>
      <c r="H590" s="189" t="str">
        <f>IFERROR(((2*('Lab Analysis'!I590/60))+('Lab Analysis'!G590/17))/(('Lab Analysis'!H590/44)+('Lab Analysis'!I590/60)),"0")</f>
        <v>0</v>
      </c>
      <c r="I590" s="189" t="str">
        <f>IFERROR((('Lab Analysis'!J590/18)-('Lab Analysis'!I590/60))/(('Lab Analysis'!H590/44)+('Lab Analysis'!I590/60)),"0")</f>
        <v>0</v>
      </c>
      <c r="J590" s="186" t="str">
        <f>IFERROR(('Lab Analysis'!M590/('Lab Analysis'!M590+(1.765*'Lab Analysis'!K590))),"0")</f>
        <v>0</v>
      </c>
      <c r="K590" s="190" t="str">
        <f>IFERROR(((2*('Lab Analysis'!M590/60))+('Lab Analysis'!K590/17))/(('Lab Analysis'!L590/44)+('Lab Analysis'!M590/60)),"0")</f>
        <v>0</v>
      </c>
      <c r="L590" s="190" t="str">
        <f>IFERROR((('Lab Analysis'!N590/18)-('Lab Analysis'!M590/60))/(('Lab Analysis'!L590/44)+('Lab Analysis'!M590/60)),"0")</f>
        <v>0</v>
      </c>
      <c r="M590" s="187" t="str">
        <f>IFERROR(((2*('Lab Analysis'!U590/60))+('Lab Analysis'!S590/17))/(('Lab Analysis'!T590/44)+('Lab Analysis'!U590/60)),"0")</f>
        <v>0</v>
      </c>
      <c r="N590" s="187" t="str">
        <f>IFERROR((('Lab Analysis'!V590/18)-('Lab Analysis'!U590/60))/(('Lab Analysis'!T590/44)+('Lab Analysis'!U590/60)),"0")</f>
        <v>0</v>
      </c>
      <c r="O590" s="187" t="str">
        <f>IFERROR(((2*('Lab Analysis'!Y590/60)+('Lab Analysis'!W590/17))/(('Lab Analysis'!X590/44)+('Lab Analysis'!Y590/60))),"0")</f>
        <v>0</v>
      </c>
      <c r="P590" s="187" t="str">
        <f>IFERROR((('Lab Analysis'!Z590/18)-('Lab Analysis'!Y590/60))/(('Lab Analysis'!X590/44)+('Lab Analysis'!Y590/60)),"0")</f>
        <v>0</v>
      </c>
      <c r="Q590" s="191"/>
    </row>
    <row r="591" spans="1:17">
      <c r="A591" s="185">
        <v>46405</v>
      </c>
      <c r="B591" s="186" t="str">
        <f>IFERROR(('Lab Analysis'!E591/('Lab Analysis'!E591+(1.364*'Lab Analysis'!D591))),"0")</f>
        <v>0</v>
      </c>
      <c r="C591" s="186" t="str">
        <f>IFERROR((2*'Lab Analysis'!E591/60)/('Lab Analysis'!C591/17+(2*'Lab Analysis'!E591/60)),"0")</f>
        <v>0</v>
      </c>
      <c r="D591" s="187" t="str">
        <f>IFERROR(((2*('Lab Analysis'!E591/60)+('Lab Analysis'!C591/17))/(('Lab Analysis'!D591/44)+('Lab Analysis'!E591/60))),"0")</f>
        <v>0</v>
      </c>
      <c r="E591" s="187" t="str">
        <f>IFERROR((('Lab Analysis'!F591/18)-('Lab Analysis'!E591/60))/(('Lab Analysis'!D591/44)+('Lab Analysis'!E591/60)),"0")</f>
        <v>0</v>
      </c>
      <c r="F591" s="187" t="str">
        <f>IFERROR((('Lab Analysis'!F591/18)/('Lab Analysis'!E591/60)),"0")</f>
        <v>0</v>
      </c>
      <c r="G591" s="188" t="str">
        <f>IFERROR(('Lab Analysis'!I591/('Lab Analysis'!I591+(1.765*'Lab Analysis'!G591))),"0")</f>
        <v>0</v>
      </c>
      <c r="H591" s="189" t="str">
        <f>IFERROR(((2*('Lab Analysis'!I591/60))+('Lab Analysis'!G591/17))/(('Lab Analysis'!H591/44)+('Lab Analysis'!I591/60)),"0")</f>
        <v>0</v>
      </c>
      <c r="I591" s="189" t="str">
        <f>IFERROR((('Lab Analysis'!J591/18)-('Lab Analysis'!I591/60))/(('Lab Analysis'!H591/44)+('Lab Analysis'!I591/60)),"0")</f>
        <v>0</v>
      </c>
      <c r="J591" s="186" t="str">
        <f>IFERROR(('Lab Analysis'!M591/('Lab Analysis'!M591+(1.765*'Lab Analysis'!K591))),"0")</f>
        <v>0</v>
      </c>
      <c r="K591" s="190" t="str">
        <f>IFERROR(((2*('Lab Analysis'!M591/60))+('Lab Analysis'!K591/17))/(('Lab Analysis'!L591/44)+('Lab Analysis'!M591/60)),"0")</f>
        <v>0</v>
      </c>
      <c r="L591" s="190" t="str">
        <f>IFERROR((('Lab Analysis'!N591/18)-('Lab Analysis'!M591/60))/(('Lab Analysis'!L591/44)+('Lab Analysis'!M591/60)),"0")</f>
        <v>0</v>
      </c>
      <c r="M591" s="187" t="str">
        <f>IFERROR(((2*('Lab Analysis'!U591/60))+('Lab Analysis'!S591/17))/(('Lab Analysis'!T591/44)+('Lab Analysis'!U591/60)),"0")</f>
        <v>0</v>
      </c>
      <c r="N591" s="187" t="str">
        <f>IFERROR((('Lab Analysis'!V591/18)-('Lab Analysis'!U591/60))/(('Lab Analysis'!T591/44)+('Lab Analysis'!U591/60)),"0")</f>
        <v>0</v>
      </c>
      <c r="O591" s="187" t="str">
        <f>IFERROR(((2*('Lab Analysis'!Y591/60)+('Lab Analysis'!W591/17))/(('Lab Analysis'!X591/44)+('Lab Analysis'!Y591/60))),"0")</f>
        <v>0</v>
      </c>
      <c r="P591" s="187" t="str">
        <f>IFERROR((('Lab Analysis'!Z591/18)-('Lab Analysis'!Y591/60))/(('Lab Analysis'!X591/44)+('Lab Analysis'!Y591/60)),"0")</f>
        <v>0</v>
      </c>
      <c r="Q591" s="191"/>
    </row>
    <row r="592" spans="1:17">
      <c r="A592" s="185">
        <v>46406</v>
      </c>
      <c r="B592" s="186" t="str">
        <f>IFERROR(('Lab Analysis'!E592/('Lab Analysis'!E592+(1.364*'Lab Analysis'!D592))),"0")</f>
        <v>0</v>
      </c>
      <c r="C592" s="186" t="str">
        <f>IFERROR((2*'Lab Analysis'!E592/60)/('Lab Analysis'!C592/17+(2*'Lab Analysis'!E592/60)),"0")</f>
        <v>0</v>
      </c>
      <c r="D592" s="187" t="str">
        <f>IFERROR(((2*('Lab Analysis'!E592/60)+('Lab Analysis'!C592/17))/(('Lab Analysis'!D592/44)+('Lab Analysis'!E592/60))),"0")</f>
        <v>0</v>
      </c>
      <c r="E592" s="187" t="str">
        <f>IFERROR((('Lab Analysis'!F592/18)-('Lab Analysis'!E592/60))/(('Lab Analysis'!D592/44)+('Lab Analysis'!E592/60)),"0")</f>
        <v>0</v>
      </c>
      <c r="F592" s="187" t="str">
        <f>IFERROR((('Lab Analysis'!F592/18)/('Lab Analysis'!E592/60)),"0")</f>
        <v>0</v>
      </c>
      <c r="G592" s="188" t="str">
        <f>IFERROR(('Lab Analysis'!I592/('Lab Analysis'!I592+(1.765*'Lab Analysis'!G592))),"0")</f>
        <v>0</v>
      </c>
      <c r="H592" s="189" t="str">
        <f>IFERROR(((2*('Lab Analysis'!I592/60))+('Lab Analysis'!G592/17))/(('Lab Analysis'!H592/44)+('Lab Analysis'!I592/60)),"0")</f>
        <v>0</v>
      </c>
      <c r="I592" s="189" t="str">
        <f>IFERROR((('Lab Analysis'!J592/18)-('Lab Analysis'!I592/60))/(('Lab Analysis'!H592/44)+('Lab Analysis'!I592/60)),"0")</f>
        <v>0</v>
      </c>
      <c r="J592" s="186" t="str">
        <f>IFERROR(('Lab Analysis'!M592/('Lab Analysis'!M592+(1.765*'Lab Analysis'!K592))),"0")</f>
        <v>0</v>
      </c>
      <c r="K592" s="190" t="str">
        <f>IFERROR(((2*('Lab Analysis'!M592/60))+('Lab Analysis'!K592/17))/(('Lab Analysis'!L592/44)+('Lab Analysis'!M592/60)),"0")</f>
        <v>0</v>
      </c>
      <c r="L592" s="190" t="str">
        <f>IFERROR((('Lab Analysis'!N592/18)-('Lab Analysis'!M592/60))/(('Lab Analysis'!L592/44)+('Lab Analysis'!M592/60)),"0")</f>
        <v>0</v>
      </c>
      <c r="M592" s="187" t="str">
        <f>IFERROR(((2*('Lab Analysis'!U592/60))+('Lab Analysis'!S592/17))/(('Lab Analysis'!T592/44)+('Lab Analysis'!U592/60)),"0")</f>
        <v>0</v>
      </c>
      <c r="N592" s="187" t="str">
        <f>IFERROR((('Lab Analysis'!V592/18)-('Lab Analysis'!U592/60))/(('Lab Analysis'!T592/44)+('Lab Analysis'!U592/60)),"0")</f>
        <v>0</v>
      </c>
      <c r="O592" s="187" t="str">
        <f>IFERROR(((2*('Lab Analysis'!Y592/60)+('Lab Analysis'!W592/17))/(('Lab Analysis'!X592/44)+('Lab Analysis'!Y592/60))),"0")</f>
        <v>0</v>
      </c>
      <c r="P592" s="187" t="str">
        <f>IFERROR((('Lab Analysis'!Z592/18)-('Lab Analysis'!Y592/60))/(('Lab Analysis'!X592/44)+('Lab Analysis'!Y592/60)),"0")</f>
        <v>0</v>
      </c>
      <c r="Q592" s="191"/>
    </row>
    <row r="593" spans="1:17">
      <c r="A593" s="185">
        <v>46407</v>
      </c>
      <c r="B593" s="186" t="str">
        <f>IFERROR(('Lab Analysis'!E593/('Lab Analysis'!E593+(1.364*'Lab Analysis'!D593))),"0")</f>
        <v>0</v>
      </c>
      <c r="C593" s="186" t="str">
        <f>IFERROR((2*'Lab Analysis'!E593/60)/('Lab Analysis'!C593/17+(2*'Lab Analysis'!E593/60)),"0")</f>
        <v>0</v>
      </c>
      <c r="D593" s="187" t="str">
        <f>IFERROR(((2*('Lab Analysis'!E593/60)+('Lab Analysis'!C593/17))/(('Lab Analysis'!D593/44)+('Lab Analysis'!E593/60))),"0")</f>
        <v>0</v>
      </c>
      <c r="E593" s="187" t="str">
        <f>IFERROR((('Lab Analysis'!F593/18)-('Lab Analysis'!E593/60))/(('Lab Analysis'!D593/44)+('Lab Analysis'!E593/60)),"0")</f>
        <v>0</v>
      </c>
      <c r="F593" s="187" t="str">
        <f>IFERROR((('Lab Analysis'!F593/18)/('Lab Analysis'!E593/60)),"0")</f>
        <v>0</v>
      </c>
      <c r="G593" s="188" t="str">
        <f>IFERROR(('Lab Analysis'!I593/('Lab Analysis'!I593+(1.765*'Lab Analysis'!G593))),"0")</f>
        <v>0</v>
      </c>
      <c r="H593" s="189" t="str">
        <f>IFERROR(((2*('Lab Analysis'!I593/60))+('Lab Analysis'!G593/17))/(('Lab Analysis'!H593/44)+('Lab Analysis'!I593/60)),"0")</f>
        <v>0</v>
      </c>
      <c r="I593" s="189" t="str">
        <f>IFERROR((('Lab Analysis'!J593/18)-('Lab Analysis'!I593/60))/(('Lab Analysis'!H593/44)+('Lab Analysis'!I593/60)),"0")</f>
        <v>0</v>
      </c>
      <c r="J593" s="186" t="str">
        <f>IFERROR(('Lab Analysis'!M593/('Lab Analysis'!M593+(1.765*'Lab Analysis'!K593))),"0")</f>
        <v>0</v>
      </c>
      <c r="K593" s="190" t="str">
        <f>IFERROR(((2*('Lab Analysis'!M593/60))+('Lab Analysis'!K593/17))/(('Lab Analysis'!L593/44)+('Lab Analysis'!M593/60)),"0")</f>
        <v>0</v>
      </c>
      <c r="L593" s="190" t="str">
        <f>IFERROR((('Lab Analysis'!N593/18)-('Lab Analysis'!M593/60))/(('Lab Analysis'!L593/44)+('Lab Analysis'!M593/60)),"0")</f>
        <v>0</v>
      </c>
      <c r="M593" s="187" t="str">
        <f>IFERROR(((2*('Lab Analysis'!U593/60))+('Lab Analysis'!S593/17))/(('Lab Analysis'!T593/44)+('Lab Analysis'!U593/60)),"0")</f>
        <v>0</v>
      </c>
      <c r="N593" s="187" t="str">
        <f>IFERROR((('Lab Analysis'!V593/18)-('Lab Analysis'!U593/60))/(('Lab Analysis'!T593/44)+('Lab Analysis'!U593/60)),"0")</f>
        <v>0</v>
      </c>
      <c r="O593" s="187" t="str">
        <f>IFERROR(((2*('Lab Analysis'!Y593/60)+('Lab Analysis'!W593/17))/(('Lab Analysis'!X593/44)+('Lab Analysis'!Y593/60))),"0")</f>
        <v>0</v>
      </c>
      <c r="P593" s="187" t="str">
        <f>IFERROR((('Lab Analysis'!Z593/18)-('Lab Analysis'!Y593/60))/(('Lab Analysis'!X593/44)+('Lab Analysis'!Y593/60)),"0")</f>
        <v>0</v>
      </c>
      <c r="Q593" s="191"/>
    </row>
    <row r="594" spans="1:17">
      <c r="A594" s="185">
        <v>46408</v>
      </c>
      <c r="B594" s="186" t="str">
        <f>IFERROR(('Lab Analysis'!E594/('Lab Analysis'!E594+(1.364*'Lab Analysis'!D594))),"0")</f>
        <v>0</v>
      </c>
      <c r="C594" s="186" t="str">
        <f>IFERROR((2*'Lab Analysis'!E594/60)/('Lab Analysis'!C594/17+(2*'Lab Analysis'!E594/60)),"0")</f>
        <v>0</v>
      </c>
      <c r="D594" s="187" t="str">
        <f>IFERROR(((2*('Lab Analysis'!E594/60)+('Lab Analysis'!C594/17))/(('Lab Analysis'!D594/44)+('Lab Analysis'!E594/60))),"0")</f>
        <v>0</v>
      </c>
      <c r="E594" s="187" t="str">
        <f>IFERROR((('Lab Analysis'!F594/18)-('Lab Analysis'!E594/60))/(('Lab Analysis'!D594/44)+('Lab Analysis'!E594/60)),"0")</f>
        <v>0</v>
      </c>
      <c r="F594" s="187" t="str">
        <f>IFERROR((('Lab Analysis'!F594/18)/('Lab Analysis'!E594/60)),"0")</f>
        <v>0</v>
      </c>
      <c r="G594" s="188" t="str">
        <f>IFERROR(('Lab Analysis'!I594/('Lab Analysis'!I594+(1.765*'Lab Analysis'!G594))),"0")</f>
        <v>0</v>
      </c>
      <c r="H594" s="189" t="str">
        <f>IFERROR(((2*('Lab Analysis'!I594/60))+('Lab Analysis'!G594/17))/(('Lab Analysis'!H594/44)+('Lab Analysis'!I594/60)),"0")</f>
        <v>0</v>
      </c>
      <c r="I594" s="189" t="str">
        <f>IFERROR((('Lab Analysis'!J594/18)-('Lab Analysis'!I594/60))/(('Lab Analysis'!H594/44)+('Lab Analysis'!I594/60)),"0")</f>
        <v>0</v>
      </c>
      <c r="J594" s="186" t="str">
        <f>IFERROR(('Lab Analysis'!M594/('Lab Analysis'!M594+(1.765*'Lab Analysis'!K594))),"0")</f>
        <v>0</v>
      </c>
      <c r="K594" s="190" t="str">
        <f>IFERROR(((2*('Lab Analysis'!M594/60))+('Lab Analysis'!K594/17))/(('Lab Analysis'!L594/44)+('Lab Analysis'!M594/60)),"0")</f>
        <v>0</v>
      </c>
      <c r="L594" s="190" t="str">
        <f>IFERROR((('Lab Analysis'!N594/18)-('Lab Analysis'!M594/60))/(('Lab Analysis'!L594/44)+('Lab Analysis'!M594/60)),"0")</f>
        <v>0</v>
      </c>
      <c r="M594" s="187" t="str">
        <f>IFERROR(((2*('Lab Analysis'!U594/60))+('Lab Analysis'!S594/17))/(('Lab Analysis'!T594/44)+('Lab Analysis'!U594/60)),"0")</f>
        <v>0</v>
      </c>
      <c r="N594" s="187" t="str">
        <f>IFERROR((('Lab Analysis'!V594/18)-('Lab Analysis'!U594/60))/(('Lab Analysis'!T594/44)+('Lab Analysis'!U594/60)),"0")</f>
        <v>0</v>
      </c>
      <c r="O594" s="187" t="str">
        <f>IFERROR(((2*('Lab Analysis'!Y594/60)+('Lab Analysis'!W594/17))/(('Lab Analysis'!X594/44)+('Lab Analysis'!Y594/60))),"0")</f>
        <v>0</v>
      </c>
      <c r="P594" s="187" t="str">
        <f>IFERROR((('Lab Analysis'!Z594/18)-('Lab Analysis'!Y594/60))/(('Lab Analysis'!X594/44)+('Lab Analysis'!Y594/60)),"0")</f>
        <v>0</v>
      </c>
      <c r="Q594" s="191"/>
    </row>
    <row r="595" spans="1:17">
      <c r="A595" s="185">
        <v>46409</v>
      </c>
      <c r="B595" s="186" t="str">
        <f>IFERROR(('Lab Analysis'!E595/('Lab Analysis'!E595+(1.364*'Lab Analysis'!D595))),"0")</f>
        <v>0</v>
      </c>
      <c r="C595" s="186" t="str">
        <f>IFERROR((2*'Lab Analysis'!E595/60)/('Lab Analysis'!C595/17+(2*'Lab Analysis'!E595/60)),"0")</f>
        <v>0</v>
      </c>
      <c r="D595" s="187" t="str">
        <f>IFERROR(((2*('Lab Analysis'!E595/60)+('Lab Analysis'!C595/17))/(('Lab Analysis'!D595/44)+('Lab Analysis'!E595/60))),"0")</f>
        <v>0</v>
      </c>
      <c r="E595" s="187" t="str">
        <f>IFERROR((('Lab Analysis'!F595/18)-('Lab Analysis'!E595/60))/(('Lab Analysis'!D595/44)+('Lab Analysis'!E595/60)),"0")</f>
        <v>0</v>
      </c>
      <c r="F595" s="187" t="str">
        <f>IFERROR((('Lab Analysis'!F595/18)/('Lab Analysis'!E595/60)),"0")</f>
        <v>0</v>
      </c>
      <c r="G595" s="188" t="str">
        <f>IFERROR(('Lab Analysis'!I595/('Lab Analysis'!I595+(1.765*'Lab Analysis'!G595))),"0")</f>
        <v>0</v>
      </c>
      <c r="H595" s="189" t="str">
        <f>IFERROR(((2*('Lab Analysis'!I595/60))+('Lab Analysis'!G595/17))/(('Lab Analysis'!H595/44)+('Lab Analysis'!I595/60)),"0")</f>
        <v>0</v>
      </c>
      <c r="I595" s="189" t="str">
        <f>IFERROR((('Lab Analysis'!J595/18)-('Lab Analysis'!I595/60))/(('Lab Analysis'!H595/44)+('Lab Analysis'!I595/60)),"0")</f>
        <v>0</v>
      </c>
      <c r="J595" s="186" t="str">
        <f>IFERROR(('Lab Analysis'!M595/('Lab Analysis'!M595+(1.765*'Lab Analysis'!K595))),"0")</f>
        <v>0</v>
      </c>
      <c r="K595" s="190" t="str">
        <f>IFERROR(((2*('Lab Analysis'!M595/60))+('Lab Analysis'!K595/17))/(('Lab Analysis'!L595/44)+('Lab Analysis'!M595/60)),"0")</f>
        <v>0</v>
      </c>
      <c r="L595" s="190" t="str">
        <f>IFERROR((('Lab Analysis'!N595/18)-('Lab Analysis'!M595/60))/(('Lab Analysis'!L595/44)+('Lab Analysis'!M595/60)),"0")</f>
        <v>0</v>
      </c>
      <c r="M595" s="187" t="str">
        <f>IFERROR(((2*('Lab Analysis'!U595/60))+('Lab Analysis'!S595/17))/(('Lab Analysis'!T595/44)+('Lab Analysis'!U595/60)),"0")</f>
        <v>0</v>
      </c>
      <c r="N595" s="187" t="str">
        <f>IFERROR((('Lab Analysis'!V595/18)-('Lab Analysis'!U595/60))/(('Lab Analysis'!T595/44)+('Lab Analysis'!U595/60)),"0")</f>
        <v>0</v>
      </c>
      <c r="O595" s="187" t="str">
        <f>IFERROR(((2*('Lab Analysis'!Y595/60)+('Lab Analysis'!W595/17))/(('Lab Analysis'!X595/44)+('Lab Analysis'!Y595/60))),"0")</f>
        <v>0</v>
      </c>
      <c r="P595" s="187" t="str">
        <f>IFERROR((('Lab Analysis'!Z595/18)-('Lab Analysis'!Y595/60))/(('Lab Analysis'!X595/44)+('Lab Analysis'!Y595/60)),"0")</f>
        <v>0</v>
      </c>
      <c r="Q595" s="191"/>
    </row>
    <row r="596" spans="1:17">
      <c r="A596" s="185">
        <v>46410</v>
      </c>
      <c r="B596" s="186" t="str">
        <f>IFERROR(('Lab Analysis'!E596/('Lab Analysis'!E596+(1.364*'Lab Analysis'!D596))),"0")</f>
        <v>0</v>
      </c>
      <c r="C596" s="186" t="str">
        <f>IFERROR((2*'Lab Analysis'!E596/60)/('Lab Analysis'!C596/17+(2*'Lab Analysis'!E596/60)),"0")</f>
        <v>0</v>
      </c>
      <c r="D596" s="187" t="str">
        <f>IFERROR(((2*('Lab Analysis'!E596/60)+('Lab Analysis'!C596/17))/(('Lab Analysis'!D596/44)+('Lab Analysis'!E596/60))),"0")</f>
        <v>0</v>
      </c>
      <c r="E596" s="187" t="str">
        <f>IFERROR((('Lab Analysis'!F596/18)-('Lab Analysis'!E596/60))/(('Lab Analysis'!D596/44)+('Lab Analysis'!E596/60)),"0")</f>
        <v>0</v>
      </c>
      <c r="F596" s="187" t="str">
        <f>IFERROR((('Lab Analysis'!F596/18)/('Lab Analysis'!E596/60)),"0")</f>
        <v>0</v>
      </c>
      <c r="G596" s="188" t="str">
        <f>IFERROR(('Lab Analysis'!I596/('Lab Analysis'!I596+(1.765*'Lab Analysis'!G596))),"0")</f>
        <v>0</v>
      </c>
      <c r="H596" s="189" t="str">
        <f>IFERROR(((2*('Lab Analysis'!I596/60))+('Lab Analysis'!G596/17))/(('Lab Analysis'!H596/44)+('Lab Analysis'!I596/60)),"0")</f>
        <v>0</v>
      </c>
      <c r="I596" s="189" t="str">
        <f>IFERROR((('Lab Analysis'!J596/18)-('Lab Analysis'!I596/60))/(('Lab Analysis'!H596/44)+('Lab Analysis'!I596/60)),"0")</f>
        <v>0</v>
      </c>
      <c r="J596" s="186" t="str">
        <f>IFERROR(('Lab Analysis'!M596/('Lab Analysis'!M596+(1.765*'Lab Analysis'!K596))),"0")</f>
        <v>0</v>
      </c>
      <c r="K596" s="190" t="str">
        <f>IFERROR(((2*('Lab Analysis'!M596/60))+('Lab Analysis'!K596/17))/(('Lab Analysis'!L596/44)+('Lab Analysis'!M596/60)),"0")</f>
        <v>0</v>
      </c>
      <c r="L596" s="190" t="str">
        <f>IFERROR((('Lab Analysis'!N596/18)-('Lab Analysis'!M596/60))/(('Lab Analysis'!L596/44)+('Lab Analysis'!M596/60)),"0")</f>
        <v>0</v>
      </c>
      <c r="M596" s="187" t="str">
        <f>IFERROR(((2*('Lab Analysis'!U596/60))+('Lab Analysis'!S596/17))/(('Lab Analysis'!T596/44)+('Lab Analysis'!U596/60)),"0")</f>
        <v>0</v>
      </c>
      <c r="N596" s="187" t="str">
        <f>IFERROR((('Lab Analysis'!V596/18)-('Lab Analysis'!U596/60))/(('Lab Analysis'!T596/44)+('Lab Analysis'!U596/60)),"0")</f>
        <v>0</v>
      </c>
      <c r="O596" s="187" t="str">
        <f>IFERROR(((2*('Lab Analysis'!Y596/60)+('Lab Analysis'!W596/17))/(('Lab Analysis'!X596/44)+('Lab Analysis'!Y596/60))),"0")</f>
        <v>0</v>
      </c>
      <c r="P596" s="187" t="str">
        <f>IFERROR((('Lab Analysis'!Z596/18)-('Lab Analysis'!Y596/60))/(('Lab Analysis'!X596/44)+('Lab Analysis'!Y596/60)),"0")</f>
        <v>0</v>
      </c>
      <c r="Q596" s="191"/>
    </row>
    <row r="597" spans="1:17">
      <c r="A597" s="185">
        <v>46411</v>
      </c>
      <c r="B597" s="186" t="str">
        <f>IFERROR(('Lab Analysis'!E597/('Lab Analysis'!E597+(1.364*'Lab Analysis'!D597))),"0")</f>
        <v>0</v>
      </c>
      <c r="C597" s="186" t="str">
        <f>IFERROR((2*'Lab Analysis'!E597/60)/('Lab Analysis'!C597/17+(2*'Lab Analysis'!E597/60)),"0")</f>
        <v>0</v>
      </c>
      <c r="D597" s="187" t="str">
        <f>IFERROR(((2*('Lab Analysis'!E597/60)+('Lab Analysis'!C597/17))/(('Lab Analysis'!D597/44)+('Lab Analysis'!E597/60))),"0")</f>
        <v>0</v>
      </c>
      <c r="E597" s="187" t="str">
        <f>IFERROR((('Lab Analysis'!F597/18)-('Lab Analysis'!E597/60))/(('Lab Analysis'!D597/44)+('Lab Analysis'!E597/60)),"0")</f>
        <v>0</v>
      </c>
      <c r="F597" s="187" t="str">
        <f>IFERROR((('Lab Analysis'!F597/18)/('Lab Analysis'!E597/60)),"0")</f>
        <v>0</v>
      </c>
      <c r="G597" s="188" t="str">
        <f>IFERROR(('Lab Analysis'!I597/('Lab Analysis'!I597+(1.765*'Lab Analysis'!G597))),"0")</f>
        <v>0</v>
      </c>
      <c r="H597" s="189" t="str">
        <f>IFERROR(((2*('Lab Analysis'!I597/60))+('Lab Analysis'!G597/17))/(('Lab Analysis'!H597/44)+('Lab Analysis'!I597/60)),"0")</f>
        <v>0</v>
      </c>
      <c r="I597" s="189" t="str">
        <f>IFERROR((('Lab Analysis'!J597/18)-('Lab Analysis'!I597/60))/(('Lab Analysis'!H597/44)+('Lab Analysis'!I597/60)),"0")</f>
        <v>0</v>
      </c>
      <c r="J597" s="186" t="str">
        <f>IFERROR(('Lab Analysis'!M597/('Lab Analysis'!M597+(1.765*'Lab Analysis'!K597))),"0")</f>
        <v>0</v>
      </c>
      <c r="K597" s="190" t="str">
        <f>IFERROR(((2*('Lab Analysis'!M597/60))+('Lab Analysis'!K597/17))/(('Lab Analysis'!L597/44)+('Lab Analysis'!M597/60)),"0")</f>
        <v>0</v>
      </c>
      <c r="L597" s="190" t="str">
        <f>IFERROR((('Lab Analysis'!N597/18)-('Lab Analysis'!M597/60))/(('Lab Analysis'!L597/44)+('Lab Analysis'!M597/60)),"0")</f>
        <v>0</v>
      </c>
      <c r="M597" s="187" t="str">
        <f>IFERROR(((2*('Lab Analysis'!U597/60))+('Lab Analysis'!S597/17))/(('Lab Analysis'!T597/44)+('Lab Analysis'!U597/60)),"0")</f>
        <v>0</v>
      </c>
      <c r="N597" s="187" t="str">
        <f>IFERROR((('Lab Analysis'!V597/18)-('Lab Analysis'!U597/60))/(('Lab Analysis'!T597/44)+('Lab Analysis'!U597/60)),"0")</f>
        <v>0</v>
      </c>
      <c r="O597" s="187" t="str">
        <f>IFERROR(((2*('Lab Analysis'!Y597/60)+('Lab Analysis'!W597/17))/(('Lab Analysis'!X597/44)+('Lab Analysis'!Y597/60))),"0")</f>
        <v>0</v>
      </c>
      <c r="P597" s="187" t="str">
        <f>IFERROR((('Lab Analysis'!Z597/18)-('Lab Analysis'!Y597/60))/(('Lab Analysis'!X597/44)+('Lab Analysis'!Y597/60)),"0")</f>
        <v>0</v>
      </c>
      <c r="Q597" s="191"/>
    </row>
    <row r="598" spans="1:17">
      <c r="A598" s="185">
        <v>46412</v>
      </c>
      <c r="B598" s="186" t="str">
        <f>IFERROR(('Lab Analysis'!E598/('Lab Analysis'!E598+(1.364*'Lab Analysis'!D598))),"0")</f>
        <v>0</v>
      </c>
      <c r="C598" s="186" t="str">
        <f>IFERROR((2*'Lab Analysis'!E598/60)/('Lab Analysis'!C598/17+(2*'Lab Analysis'!E598/60)),"0")</f>
        <v>0</v>
      </c>
      <c r="D598" s="187" t="str">
        <f>IFERROR(((2*('Lab Analysis'!E598/60)+('Lab Analysis'!C598/17))/(('Lab Analysis'!D598/44)+('Lab Analysis'!E598/60))),"0")</f>
        <v>0</v>
      </c>
      <c r="E598" s="187" t="str">
        <f>IFERROR((('Lab Analysis'!F598/18)-('Lab Analysis'!E598/60))/(('Lab Analysis'!D598/44)+('Lab Analysis'!E598/60)),"0")</f>
        <v>0</v>
      </c>
      <c r="F598" s="187" t="str">
        <f>IFERROR((('Lab Analysis'!F598/18)/('Lab Analysis'!E598/60)),"0")</f>
        <v>0</v>
      </c>
      <c r="G598" s="188" t="str">
        <f>IFERROR(('Lab Analysis'!I598/('Lab Analysis'!I598+(1.765*'Lab Analysis'!G598))),"0")</f>
        <v>0</v>
      </c>
      <c r="H598" s="189" t="str">
        <f>IFERROR(((2*('Lab Analysis'!I598/60))+('Lab Analysis'!G598/17))/(('Lab Analysis'!H598/44)+('Lab Analysis'!I598/60)),"0")</f>
        <v>0</v>
      </c>
      <c r="I598" s="189" t="str">
        <f>IFERROR((('Lab Analysis'!J598/18)-('Lab Analysis'!I598/60))/(('Lab Analysis'!H598/44)+('Lab Analysis'!I598/60)),"0")</f>
        <v>0</v>
      </c>
      <c r="J598" s="186" t="str">
        <f>IFERROR(('Lab Analysis'!M598/('Lab Analysis'!M598+(1.765*'Lab Analysis'!K598))),"0")</f>
        <v>0</v>
      </c>
      <c r="K598" s="190" t="str">
        <f>IFERROR(((2*('Lab Analysis'!M598/60))+('Lab Analysis'!K598/17))/(('Lab Analysis'!L598/44)+('Lab Analysis'!M598/60)),"0")</f>
        <v>0</v>
      </c>
      <c r="L598" s="190" t="str">
        <f>IFERROR((('Lab Analysis'!N598/18)-('Lab Analysis'!M598/60))/(('Lab Analysis'!L598/44)+('Lab Analysis'!M598/60)),"0")</f>
        <v>0</v>
      </c>
      <c r="M598" s="187" t="str">
        <f>IFERROR(((2*('Lab Analysis'!U598/60))+('Lab Analysis'!S598/17))/(('Lab Analysis'!T598/44)+('Lab Analysis'!U598/60)),"0")</f>
        <v>0</v>
      </c>
      <c r="N598" s="187" t="str">
        <f>IFERROR((('Lab Analysis'!V598/18)-('Lab Analysis'!U598/60))/(('Lab Analysis'!T598/44)+('Lab Analysis'!U598/60)),"0")</f>
        <v>0</v>
      </c>
      <c r="O598" s="187" t="str">
        <f>IFERROR(((2*('Lab Analysis'!Y598/60)+('Lab Analysis'!W598/17))/(('Lab Analysis'!X598/44)+('Lab Analysis'!Y598/60))),"0")</f>
        <v>0</v>
      </c>
      <c r="P598" s="187" t="str">
        <f>IFERROR((('Lab Analysis'!Z598/18)-('Lab Analysis'!Y598/60))/(('Lab Analysis'!X598/44)+('Lab Analysis'!Y598/60)),"0")</f>
        <v>0</v>
      </c>
      <c r="Q598" s="191"/>
    </row>
    <row r="599" spans="1:17">
      <c r="A599" s="185">
        <v>46413</v>
      </c>
      <c r="B599" s="186" t="str">
        <f>IFERROR(('Lab Analysis'!E599/('Lab Analysis'!E599+(1.364*'Lab Analysis'!D599))),"0")</f>
        <v>0</v>
      </c>
      <c r="C599" s="186" t="str">
        <f>IFERROR((2*'Lab Analysis'!E599/60)/('Lab Analysis'!C599/17+(2*'Lab Analysis'!E599/60)),"0")</f>
        <v>0</v>
      </c>
      <c r="D599" s="187" t="str">
        <f>IFERROR(((2*('Lab Analysis'!E599/60)+('Lab Analysis'!C599/17))/(('Lab Analysis'!D599/44)+('Lab Analysis'!E599/60))),"0")</f>
        <v>0</v>
      </c>
      <c r="E599" s="187" t="str">
        <f>IFERROR((('Lab Analysis'!F599/18)-('Lab Analysis'!E599/60))/(('Lab Analysis'!D599/44)+('Lab Analysis'!E599/60)),"0")</f>
        <v>0</v>
      </c>
      <c r="F599" s="187" t="str">
        <f>IFERROR((('Lab Analysis'!F599/18)/('Lab Analysis'!E599/60)),"0")</f>
        <v>0</v>
      </c>
      <c r="G599" s="188" t="str">
        <f>IFERROR(('Lab Analysis'!I599/('Lab Analysis'!I599+(1.765*'Lab Analysis'!G599))),"0")</f>
        <v>0</v>
      </c>
      <c r="H599" s="189" t="str">
        <f>IFERROR(((2*('Lab Analysis'!I599/60))+('Lab Analysis'!G599/17))/(('Lab Analysis'!H599/44)+('Lab Analysis'!I599/60)),"0")</f>
        <v>0</v>
      </c>
      <c r="I599" s="189" t="str">
        <f>IFERROR((('Lab Analysis'!J599/18)-('Lab Analysis'!I599/60))/(('Lab Analysis'!H599/44)+('Lab Analysis'!I599/60)),"0")</f>
        <v>0</v>
      </c>
      <c r="J599" s="186" t="str">
        <f>IFERROR(('Lab Analysis'!M599/('Lab Analysis'!M599+(1.765*'Lab Analysis'!K599))),"0")</f>
        <v>0</v>
      </c>
      <c r="K599" s="190" t="str">
        <f>IFERROR(((2*('Lab Analysis'!M599/60))+('Lab Analysis'!K599/17))/(('Lab Analysis'!L599/44)+('Lab Analysis'!M599/60)),"0")</f>
        <v>0</v>
      </c>
      <c r="L599" s="190" t="str">
        <f>IFERROR((('Lab Analysis'!N599/18)-('Lab Analysis'!M599/60))/(('Lab Analysis'!L599/44)+('Lab Analysis'!M599/60)),"0")</f>
        <v>0</v>
      </c>
      <c r="M599" s="187" t="str">
        <f>IFERROR(((2*('Lab Analysis'!U599/60))+('Lab Analysis'!S599/17))/(('Lab Analysis'!T599/44)+('Lab Analysis'!U599/60)),"0")</f>
        <v>0</v>
      </c>
      <c r="N599" s="187" t="str">
        <f>IFERROR((('Lab Analysis'!V599/18)-('Lab Analysis'!U599/60))/(('Lab Analysis'!T599/44)+('Lab Analysis'!U599/60)),"0")</f>
        <v>0</v>
      </c>
      <c r="O599" s="187" t="str">
        <f>IFERROR(((2*('Lab Analysis'!Y599/60)+('Lab Analysis'!W599/17))/(('Lab Analysis'!X599/44)+('Lab Analysis'!Y599/60))),"0")</f>
        <v>0</v>
      </c>
      <c r="P599" s="187" t="str">
        <f>IFERROR((('Lab Analysis'!Z599/18)-('Lab Analysis'!Y599/60))/(('Lab Analysis'!X599/44)+('Lab Analysis'!Y599/60)),"0")</f>
        <v>0</v>
      </c>
      <c r="Q599" s="191"/>
    </row>
    <row r="600" spans="1:17">
      <c r="A600" s="185">
        <v>46414</v>
      </c>
      <c r="B600" s="186" t="str">
        <f>IFERROR(('Lab Analysis'!E600/('Lab Analysis'!E600+(1.364*'Lab Analysis'!D600))),"0")</f>
        <v>0</v>
      </c>
      <c r="C600" s="186" t="str">
        <f>IFERROR((2*'Lab Analysis'!E600/60)/('Lab Analysis'!C600/17+(2*'Lab Analysis'!E600/60)),"0")</f>
        <v>0</v>
      </c>
      <c r="D600" s="187" t="str">
        <f>IFERROR(((2*('Lab Analysis'!E600/60)+('Lab Analysis'!C600/17))/(('Lab Analysis'!D600/44)+('Lab Analysis'!E600/60))),"0")</f>
        <v>0</v>
      </c>
      <c r="E600" s="187" t="str">
        <f>IFERROR((('Lab Analysis'!F600/18)-('Lab Analysis'!E600/60))/(('Lab Analysis'!D600/44)+('Lab Analysis'!E600/60)),"0")</f>
        <v>0</v>
      </c>
      <c r="F600" s="187" t="str">
        <f>IFERROR((('Lab Analysis'!F600/18)/('Lab Analysis'!E600/60)),"0")</f>
        <v>0</v>
      </c>
      <c r="G600" s="188" t="str">
        <f>IFERROR(('Lab Analysis'!I600/('Lab Analysis'!I600+(1.765*'Lab Analysis'!G600))),"0")</f>
        <v>0</v>
      </c>
      <c r="H600" s="189" t="str">
        <f>IFERROR(((2*('Lab Analysis'!I600/60))+('Lab Analysis'!G600/17))/(('Lab Analysis'!H600/44)+('Lab Analysis'!I600/60)),"0")</f>
        <v>0</v>
      </c>
      <c r="I600" s="189" t="str">
        <f>IFERROR((('Lab Analysis'!J600/18)-('Lab Analysis'!I600/60))/(('Lab Analysis'!H600/44)+('Lab Analysis'!I600/60)),"0")</f>
        <v>0</v>
      </c>
      <c r="J600" s="186" t="str">
        <f>IFERROR(('Lab Analysis'!M600/('Lab Analysis'!M600+(1.765*'Lab Analysis'!K600))),"0")</f>
        <v>0</v>
      </c>
      <c r="K600" s="190" t="str">
        <f>IFERROR(((2*('Lab Analysis'!M600/60))+('Lab Analysis'!K600/17))/(('Lab Analysis'!L600/44)+('Lab Analysis'!M600/60)),"0")</f>
        <v>0</v>
      </c>
      <c r="L600" s="190" t="str">
        <f>IFERROR((('Lab Analysis'!N600/18)-('Lab Analysis'!M600/60))/(('Lab Analysis'!L600/44)+('Lab Analysis'!M600/60)),"0")</f>
        <v>0</v>
      </c>
      <c r="M600" s="187" t="str">
        <f>IFERROR(((2*('Lab Analysis'!U600/60))+('Lab Analysis'!S600/17))/(('Lab Analysis'!T600/44)+('Lab Analysis'!U600/60)),"0")</f>
        <v>0</v>
      </c>
      <c r="N600" s="187" t="str">
        <f>IFERROR((('Lab Analysis'!V600/18)-('Lab Analysis'!U600/60))/(('Lab Analysis'!T600/44)+('Lab Analysis'!U600/60)),"0")</f>
        <v>0</v>
      </c>
      <c r="O600" s="187" t="str">
        <f>IFERROR(((2*('Lab Analysis'!Y600/60)+('Lab Analysis'!W600/17))/(('Lab Analysis'!X600/44)+('Lab Analysis'!Y600/60))),"0")</f>
        <v>0</v>
      </c>
      <c r="P600" s="187" t="str">
        <f>IFERROR((('Lab Analysis'!Z600/18)-('Lab Analysis'!Y600/60))/(('Lab Analysis'!X600/44)+('Lab Analysis'!Y600/60)),"0")</f>
        <v>0</v>
      </c>
      <c r="Q600" s="191"/>
    </row>
    <row r="601" spans="1:17">
      <c r="A601" s="185">
        <v>46415</v>
      </c>
      <c r="B601" s="186" t="str">
        <f>IFERROR(('Lab Analysis'!E601/('Lab Analysis'!E601+(1.364*'Lab Analysis'!D601))),"0")</f>
        <v>0</v>
      </c>
      <c r="C601" s="186" t="str">
        <f>IFERROR((2*'Lab Analysis'!E601/60)/('Lab Analysis'!C601/17+(2*'Lab Analysis'!E601/60)),"0")</f>
        <v>0</v>
      </c>
      <c r="D601" s="187" t="str">
        <f>IFERROR(((2*('Lab Analysis'!E601/60)+('Lab Analysis'!C601/17))/(('Lab Analysis'!D601/44)+('Lab Analysis'!E601/60))),"0")</f>
        <v>0</v>
      </c>
      <c r="E601" s="187" t="str">
        <f>IFERROR((('Lab Analysis'!F601/18)-('Lab Analysis'!E601/60))/(('Lab Analysis'!D601/44)+('Lab Analysis'!E601/60)),"0")</f>
        <v>0</v>
      </c>
      <c r="F601" s="187" t="str">
        <f>IFERROR((('Lab Analysis'!F601/18)/('Lab Analysis'!E601/60)),"0")</f>
        <v>0</v>
      </c>
      <c r="G601" s="188" t="str">
        <f>IFERROR(('Lab Analysis'!I601/('Lab Analysis'!I601+(1.765*'Lab Analysis'!G601))),"0")</f>
        <v>0</v>
      </c>
      <c r="H601" s="189" t="str">
        <f>IFERROR(((2*('Lab Analysis'!I601/60))+('Lab Analysis'!G601/17))/(('Lab Analysis'!H601/44)+('Lab Analysis'!I601/60)),"0")</f>
        <v>0</v>
      </c>
      <c r="I601" s="189" t="str">
        <f>IFERROR((('Lab Analysis'!J601/18)-('Lab Analysis'!I601/60))/(('Lab Analysis'!H601/44)+('Lab Analysis'!I601/60)),"0")</f>
        <v>0</v>
      </c>
      <c r="J601" s="186" t="str">
        <f>IFERROR(('Lab Analysis'!M601/('Lab Analysis'!M601+(1.765*'Lab Analysis'!K601))),"0")</f>
        <v>0</v>
      </c>
      <c r="K601" s="190" t="str">
        <f>IFERROR(((2*('Lab Analysis'!M601/60))+('Lab Analysis'!K601/17))/(('Lab Analysis'!L601/44)+('Lab Analysis'!M601/60)),"0")</f>
        <v>0</v>
      </c>
      <c r="L601" s="190" t="str">
        <f>IFERROR((('Lab Analysis'!N601/18)-('Lab Analysis'!M601/60))/(('Lab Analysis'!L601/44)+('Lab Analysis'!M601/60)),"0")</f>
        <v>0</v>
      </c>
      <c r="M601" s="187" t="str">
        <f>IFERROR(((2*('Lab Analysis'!U601/60))+('Lab Analysis'!S601/17))/(('Lab Analysis'!T601/44)+('Lab Analysis'!U601/60)),"0")</f>
        <v>0</v>
      </c>
      <c r="N601" s="187" t="str">
        <f>IFERROR((('Lab Analysis'!V601/18)-('Lab Analysis'!U601/60))/(('Lab Analysis'!T601/44)+('Lab Analysis'!U601/60)),"0")</f>
        <v>0</v>
      </c>
      <c r="O601" s="187" t="str">
        <f>IFERROR(((2*('Lab Analysis'!Y601/60)+('Lab Analysis'!W601/17))/(('Lab Analysis'!X601/44)+('Lab Analysis'!Y601/60))),"0")</f>
        <v>0</v>
      </c>
      <c r="P601" s="187" t="str">
        <f>IFERROR((('Lab Analysis'!Z601/18)-('Lab Analysis'!Y601/60))/(('Lab Analysis'!X601/44)+('Lab Analysis'!Y601/60)),"0")</f>
        <v>0</v>
      </c>
      <c r="Q601" s="191"/>
    </row>
    <row r="602" spans="1:17">
      <c r="A602" s="185">
        <v>46416</v>
      </c>
      <c r="B602" s="186" t="str">
        <f>IFERROR(('Lab Analysis'!E602/('Lab Analysis'!E602+(1.364*'Lab Analysis'!D602))),"0")</f>
        <v>0</v>
      </c>
      <c r="C602" s="186" t="str">
        <f>IFERROR((2*'Lab Analysis'!E602/60)/('Lab Analysis'!C602/17+(2*'Lab Analysis'!E602/60)),"0")</f>
        <v>0</v>
      </c>
      <c r="D602" s="187" t="str">
        <f>IFERROR(((2*('Lab Analysis'!E602/60)+('Lab Analysis'!C602/17))/(('Lab Analysis'!D602/44)+('Lab Analysis'!E602/60))),"0")</f>
        <v>0</v>
      </c>
      <c r="E602" s="187" t="str">
        <f>IFERROR((('Lab Analysis'!F602/18)-('Lab Analysis'!E602/60))/(('Lab Analysis'!D602/44)+('Lab Analysis'!E602/60)),"0")</f>
        <v>0</v>
      </c>
      <c r="F602" s="187" t="str">
        <f>IFERROR((('Lab Analysis'!F602/18)/('Lab Analysis'!E602/60)),"0")</f>
        <v>0</v>
      </c>
      <c r="G602" s="188" t="str">
        <f>IFERROR(('Lab Analysis'!I602/('Lab Analysis'!I602+(1.765*'Lab Analysis'!G602))),"0")</f>
        <v>0</v>
      </c>
      <c r="H602" s="189" t="str">
        <f>IFERROR(((2*('Lab Analysis'!I602/60))+('Lab Analysis'!G602/17))/(('Lab Analysis'!H602/44)+('Lab Analysis'!I602/60)),"0")</f>
        <v>0</v>
      </c>
      <c r="I602" s="189" t="str">
        <f>IFERROR((('Lab Analysis'!J602/18)-('Lab Analysis'!I602/60))/(('Lab Analysis'!H602/44)+('Lab Analysis'!I602/60)),"0")</f>
        <v>0</v>
      </c>
      <c r="J602" s="186" t="str">
        <f>IFERROR(('Lab Analysis'!M602/('Lab Analysis'!M602+(1.765*'Lab Analysis'!K602))),"0")</f>
        <v>0</v>
      </c>
      <c r="K602" s="190" t="str">
        <f>IFERROR(((2*('Lab Analysis'!M602/60))+('Lab Analysis'!K602/17))/(('Lab Analysis'!L602/44)+('Lab Analysis'!M602/60)),"0")</f>
        <v>0</v>
      </c>
      <c r="L602" s="190" t="str">
        <f>IFERROR((('Lab Analysis'!N602/18)-('Lab Analysis'!M602/60))/(('Lab Analysis'!L602/44)+('Lab Analysis'!M602/60)),"0")</f>
        <v>0</v>
      </c>
      <c r="M602" s="187" t="str">
        <f>IFERROR(((2*('Lab Analysis'!U602/60))+('Lab Analysis'!S602/17))/(('Lab Analysis'!T602/44)+('Lab Analysis'!U602/60)),"0")</f>
        <v>0</v>
      </c>
      <c r="N602" s="187" t="str">
        <f>IFERROR((('Lab Analysis'!V602/18)-('Lab Analysis'!U602/60))/(('Lab Analysis'!T602/44)+('Lab Analysis'!U602/60)),"0")</f>
        <v>0</v>
      </c>
      <c r="O602" s="187" t="str">
        <f>IFERROR(((2*('Lab Analysis'!Y602/60)+('Lab Analysis'!W602/17))/(('Lab Analysis'!X602/44)+('Lab Analysis'!Y602/60))),"0")</f>
        <v>0</v>
      </c>
      <c r="P602" s="187" t="str">
        <f>IFERROR((('Lab Analysis'!Z602/18)-('Lab Analysis'!Y602/60))/(('Lab Analysis'!X602/44)+('Lab Analysis'!Y602/60)),"0")</f>
        <v>0</v>
      </c>
      <c r="Q602" s="191"/>
    </row>
    <row r="603" spans="1:17">
      <c r="A603" s="185">
        <v>46417</v>
      </c>
      <c r="B603" s="186" t="str">
        <f>IFERROR(('Lab Analysis'!E603/('Lab Analysis'!E603+(1.364*'Lab Analysis'!D603))),"0")</f>
        <v>0</v>
      </c>
      <c r="C603" s="186" t="str">
        <f>IFERROR((2*'Lab Analysis'!E603/60)/('Lab Analysis'!C603/17+(2*'Lab Analysis'!E603/60)),"0")</f>
        <v>0</v>
      </c>
      <c r="D603" s="187" t="str">
        <f>IFERROR(((2*('Lab Analysis'!E603/60)+('Lab Analysis'!C603/17))/(('Lab Analysis'!D603/44)+('Lab Analysis'!E603/60))),"0")</f>
        <v>0</v>
      </c>
      <c r="E603" s="187" t="str">
        <f>IFERROR((('Lab Analysis'!F603/18)-('Lab Analysis'!E603/60))/(('Lab Analysis'!D603/44)+('Lab Analysis'!E603/60)),"0")</f>
        <v>0</v>
      </c>
      <c r="F603" s="187" t="str">
        <f>IFERROR((('Lab Analysis'!F603/18)/('Lab Analysis'!E603/60)),"0")</f>
        <v>0</v>
      </c>
      <c r="G603" s="188" t="str">
        <f>IFERROR(('Lab Analysis'!I603/('Lab Analysis'!I603+(1.765*'Lab Analysis'!G603))),"0")</f>
        <v>0</v>
      </c>
      <c r="H603" s="189" t="str">
        <f>IFERROR(((2*('Lab Analysis'!I603/60))+('Lab Analysis'!G603/17))/(('Lab Analysis'!H603/44)+('Lab Analysis'!I603/60)),"0")</f>
        <v>0</v>
      </c>
      <c r="I603" s="189" t="str">
        <f>IFERROR((('Lab Analysis'!J603/18)-('Lab Analysis'!I603/60))/(('Lab Analysis'!H603/44)+('Lab Analysis'!I603/60)),"0")</f>
        <v>0</v>
      </c>
      <c r="J603" s="186" t="str">
        <f>IFERROR(('Lab Analysis'!M603/('Lab Analysis'!M603+(1.765*'Lab Analysis'!K603))),"0")</f>
        <v>0</v>
      </c>
      <c r="K603" s="190" t="str">
        <f>IFERROR(((2*('Lab Analysis'!M603/60))+('Lab Analysis'!K603/17))/(('Lab Analysis'!L603/44)+('Lab Analysis'!M603/60)),"0")</f>
        <v>0</v>
      </c>
      <c r="L603" s="190" t="str">
        <f>IFERROR((('Lab Analysis'!N603/18)-('Lab Analysis'!M603/60))/(('Lab Analysis'!L603/44)+('Lab Analysis'!M603/60)),"0")</f>
        <v>0</v>
      </c>
      <c r="M603" s="187" t="str">
        <f>IFERROR(((2*('Lab Analysis'!U603/60))+('Lab Analysis'!S603/17))/(('Lab Analysis'!T603/44)+('Lab Analysis'!U603/60)),"0")</f>
        <v>0</v>
      </c>
      <c r="N603" s="187" t="str">
        <f>IFERROR((('Lab Analysis'!V603/18)-('Lab Analysis'!U603/60))/(('Lab Analysis'!T603/44)+('Lab Analysis'!U603/60)),"0")</f>
        <v>0</v>
      </c>
      <c r="O603" s="187" t="str">
        <f>IFERROR(((2*('Lab Analysis'!Y603/60)+('Lab Analysis'!W603/17))/(('Lab Analysis'!X603/44)+('Lab Analysis'!Y603/60))),"0")</f>
        <v>0</v>
      </c>
      <c r="P603" s="187" t="str">
        <f>IFERROR((('Lab Analysis'!Z603/18)-('Lab Analysis'!Y603/60))/(('Lab Analysis'!X603/44)+('Lab Analysis'!Y603/60)),"0")</f>
        <v>0</v>
      </c>
      <c r="Q603" s="191"/>
    </row>
    <row r="604" spans="1:17">
      <c r="A604" s="185">
        <v>46418</v>
      </c>
      <c r="B604" s="186" t="str">
        <f>IFERROR(('Lab Analysis'!E604/('Lab Analysis'!E604+(1.364*'Lab Analysis'!D604))),"0")</f>
        <v>0</v>
      </c>
      <c r="C604" s="186" t="str">
        <f>IFERROR((2*'Lab Analysis'!E604/60)/('Lab Analysis'!C604/17+(2*'Lab Analysis'!E604/60)),"0")</f>
        <v>0</v>
      </c>
      <c r="D604" s="187" t="str">
        <f>IFERROR(((2*('Lab Analysis'!E604/60)+('Lab Analysis'!C604/17))/(('Lab Analysis'!D604/44)+('Lab Analysis'!E604/60))),"0")</f>
        <v>0</v>
      </c>
      <c r="E604" s="187" t="str">
        <f>IFERROR((('Lab Analysis'!F604/18)-('Lab Analysis'!E604/60))/(('Lab Analysis'!D604/44)+('Lab Analysis'!E604/60)),"0")</f>
        <v>0</v>
      </c>
      <c r="F604" s="187" t="str">
        <f>IFERROR((('Lab Analysis'!F604/18)/('Lab Analysis'!E604/60)),"0")</f>
        <v>0</v>
      </c>
      <c r="G604" s="188" t="str">
        <f>IFERROR(('Lab Analysis'!I604/('Lab Analysis'!I604+(1.765*'Lab Analysis'!G604))),"0")</f>
        <v>0</v>
      </c>
      <c r="H604" s="189" t="str">
        <f>IFERROR(((2*('Lab Analysis'!I604/60))+('Lab Analysis'!G604/17))/(('Lab Analysis'!H604/44)+('Lab Analysis'!I604/60)),"0")</f>
        <v>0</v>
      </c>
      <c r="I604" s="189" t="str">
        <f>IFERROR((('Lab Analysis'!J604/18)-('Lab Analysis'!I604/60))/(('Lab Analysis'!H604/44)+('Lab Analysis'!I604/60)),"0")</f>
        <v>0</v>
      </c>
      <c r="J604" s="186" t="str">
        <f>IFERROR(('Lab Analysis'!M604/('Lab Analysis'!M604+(1.765*'Lab Analysis'!K604))),"0")</f>
        <v>0</v>
      </c>
      <c r="K604" s="190" t="str">
        <f>IFERROR(((2*('Lab Analysis'!M604/60))+('Lab Analysis'!K604/17))/(('Lab Analysis'!L604/44)+('Lab Analysis'!M604/60)),"0")</f>
        <v>0</v>
      </c>
      <c r="L604" s="190" t="str">
        <f>IFERROR((('Lab Analysis'!N604/18)-('Lab Analysis'!M604/60))/(('Lab Analysis'!L604/44)+('Lab Analysis'!M604/60)),"0")</f>
        <v>0</v>
      </c>
      <c r="M604" s="187" t="str">
        <f>IFERROR(((2*('Lab Analysis'!U604/60))+('Lab Analysis'!S604/17))/(('Lab Analysis'!T604/44)+('Lab Analysis'!U604/60)),"0")</f>
        <v>0</v>
      </c>
      <c r="N604" s="187" t="str">
        <f>IFERROR((('Lab Analysis'!V604/18)-('Lab Analysis'!U604/60))/(('Lab Analysis'!T604/44)+('Lab Analysis'!U604/60)),"0")</f>
        <v>0</v>
      </c>
      <c r="O604" s="187" t="str">
        <f>IFERROR(((2*('Lab Analysis'!Y604/60)+('Lab Analysis'!W604/17))/(('Lab Analysis'!X604/44)+('Lab Analysis'!Y604/60))),"0")</f>
        <v>0</v>
      </c>
      <c r="P604" s="187" t="str">
        <f>IFERROR((('Lab Analysis'!Z604/18)-('Lab Analysis'!Y604/60))/(('Lab Analysis'!X604/44)+('Lab Analysis'!Y604/60)),"0")</f>
        <v>0</v>
      </c>
      <c r="Q604" s="191"/>
    </row>
    <row r="605" spans="1:17">
      <c r="A605" s="185">
        <v>46419</v>
      </c>
      <c r="B605" s="186" t="str">
        <f>IFERROR(('Lab Analysis'!E605/('Lab Analysis'!E605+(1.364*'Lab Analysis'!D605))),"0")</f>
        <v>0</v>
      </c>
      <c r="C605" s="186" t="str">
        <f>IFERROR((2*'Lab Analysis'!E605/60)/('Lab Analysis'!C605/17+(2*'Lab Analysis'!E605/60)),"0")</f>
        <v>0</v>
      </c>
      <c r="D605" s="187" t="str">
        <f>IFERROR(((2*('Lab Analysis'!E605/60)+('Lab Analysis'!C605/17))/(('Lab Analysis'!D605/44)+('Lab Analysis'!E605/60))),"0")</f>
        <v>0</v>
      </c>
      <c r="E605" s="187" t="str">
        <f>IFERROR((('Lab Analysis'!F605/18)-('Lab Analysis'!E605/60))/(('Lab Analysis'!D605/44)+('Lab Analysis'!E605/60)),"0")</f>
        <v>0</v>
      </c>
      <c r="F605" s="187" t="str">
        <f>IFERROR((('Lab Analysis'!F605/18)/('Lab Analysis'!E605/60)),"0")</f>
        <v>0</v>
      </c>
      <c r="G605" s="188" t="str">
        <f>IFERROR(('Lab Analysis'!I605/('Lab Analysis'!I605+(1.765*'Lab Analysis'!G605))),"0")</f>
        <v>0</v>
      </c>
      <c r="H605" s="189" t="str">
        <f>IFERROR(((2*('Lab Analysis'!I605/60))+('Lab Analysis'!G605/17))/(('Lab Analysis'!H605/44)+('Lab Analysis'!I605/60)),"0")</f>
        <v>0</v>
      </c>
      <c r="I605" s="189" t="str">
        <f>IFERROR((('Lab Analysis'!J605/18)-('Lab Analysis'!I605/60))/(('Lab Analysis'!H605/44)+('Lab Analysis'!I605/60)),"0")</f>
        <v>0</v>
      </c>
      <c r="J605" s="186" t="str">
        <f>IFERROR(('Lab Analysis'!M605/('Lab Analysis'!M605+(1.765*'Lab Analysis'!K605))),"0")</f>
        <v>0</v>
      </c>
      <c r="K605" s="190" t="str">
        <f>IFERROR(((2*('Lab Analysis'!M605/60))+('Lab Analysis'!K605/17))/(('Lab Analysis'!L605/44)+('Lab Analysis'!M605/60)),"0")</f>
        <v>0</v>
      </c>
      <c r="L605" s="190" t="str">
        <f>IFERROR((('Lab Analysis'!N605/18)-('Lab Analysis'!M605/60))/(('Lab Analysis'!L605/44)+('Lab Analysis'!M605/60)),"0")</f>
        <v>0</v>
      </c>
      <c r="M605" s="187" t="str">
        <f>IFERROR(((2*('Lab Analysis'!U605/60))+('Lab Analysis'!S605/17))/(('Lab Analysis'!T605/44)+('Lab Analysis'!U605/60)),"0")</f>
        <v>0</v>
      </c>
      <c r="N605" s="187" t="str">
        <f>IFERROR((('Lab Analysis'!V605/18)-('Lab Analysis'!U605/60))/(('Lab Analysis'!T605/44)+('Lab Analysis'!U605/60)),"0")</f>
        <v>0</v>
      </c>
      <c r="O605" s="187" t="str">
        <f>IFERROR(((2*('Lab Analysis'!Y605/60)+('Lab Analysis'!W605/17))/(('Lab Analysis'!X605/44)+('Lab Analysis'!Y605/60))),"0")</f>
        <v>0</v>
      </c>
      <c r="P605" s="187" t="str">
        <f>IFERROR((('Lab Analysis'!Z605/18)-('Lab Analysis'!Y605/60))/(('Lab Analysis'!X605/44)+('Lab Analysis'!Y605/60)),"0")</f>
        <v>0</v>
      </c>
      <c r="Q605" s="191"/>
    </row>
    <row r="606" spans="1:17">
      <c r="A606" s="185">
        <v>46420</v>
      </c>
      <c r="B606" s="186" t="str">
        <f>IFERROR(('Lab Analysis'!E606/('Lab Analysis'!E606+(1.364*'Lab Analysis'!D606))),"0")</f>
        <v>0</v>
      </c>
      <c r="C606" s="186" t="str">
        <f>IFERROR((2*'Lab Analysis'!E606/60)/('Lab Analysis'!C606/17+(2*'Lab Analysis'!E606/60)),"0")</f>
        <v>0</v>
      </c>
      <c r="D606" s="187" t="str">
        <f>IFERROR(((2*('Lab Analysis'!E606/60)+('Lab Analysis'!C606/17))/(('Lab Analysis'!D606/44)+('Lab Analysis'!E606/60))),"0")</f>
        <v>0</v>
      </c>
      <c r="E606" s="187" t="str">
        <f>IFERROR((('Lab Analysis'!F606/18)-('Lab Analysis'!E606/60))/(('Lab Analysis'!D606/44)+('Lab Analysis'!E606/60)),"0")</f>
        <v>0</v>
      </c>
      <c r="F606" s="187" t="str">
        <f>IFERROR((('Lab Analysis'!F606/18)/('Lab Analysis'!E606/60)),"0")</f>
        <v>0</v>
      </c>
      <c r="G606" s="188" t="str">
        <f>IFERROR(('Lab Analysis'!I606/('Lab Analysis'!I606+(1.765*'Lab Analysis'!G606))),"0")</f>
        <v>0</v>
      </c>
      <c r="H606" s="189" t="str">
        <f>IFERROR(((2*('Lab Analysis'!I606/60))+('Lab Analysis'!G606/17))/(('Lab Analysis'!H606/44)+('Lab Analysis'!I606/60)),"0")</f>
        <v>0</v>
      </c>
      <c r="I606" s="189" t="str">
        <f>IFERROR((('Lab Analysis'!J606/18)-('Lab Analysis'!I606/60))/(('Lab Analysis'!H606/44)+('Lab Analysis'!I606/60)),"0")</f>
        <v>0</v>
      </c>
      <c r="J606" s="186" t="str">
        <f>IFERROR(('Lab Analysis'!M606/('Lab Analysis'!M606+(1.765*'Lab Analysis'!K606))),"0")</f>
        <v>0</v>
      </c>
      <c r="K606" s="190" t="str">
        <f>IFERROR(((2*('Lab Analysis'!M606/60))+('Lab Analysis'!K606/17))/(('Lab Analysis'!L606/44)+('Lab Analysis'!M606/60)),"0")</f>
        <v>0</v>
      </c>
      <c r="L606" s="190" t="str">
        <f>IFERROR((('Lab Analysis'!N606/18)-('Lab Analysis'!M606/60))/(('Lab Analysis'!L606/44)+('Lab Analysis'!M606/60)),"0")</f>
        <v>0</v>
      </c>
      <c r="M606" s="187" t="str">
        <f>IFERROR(((2*('Lab Analysis'!U606/60))+('Lab Analysis'!S606/17))/(('Lab Analysis'!T606/44)+('Lab Analysis'!U606/60)),"0")</f>
        <v>0</v>
      </c>
      <c r="N606" s="187" t="str">
        <f>IFERROR((('Lab Analysis'!V606/18)-('Lab Analysis'!U606/60))/(('Lab Analysis'!T606/44)+('Lab Analysis'!U606/60)),"0")</f>
        <v>0</v>
      </c>
      <c r="O606" s="187" t="str">
        <f>IFERROR(((2*('Lab Analysis'!Y606/60)+('Lab Analysis'!W606/17))/(('Lab Analysis'!X606/44)+('Lab Analysis'!Y606/60))),"0")</f>
        <v>0</v>
      </c>
      <c r="P606" s="187" t="str">
        <f>IFERROR((('Lab Analysis'!Z606/18)-('Lab Analysis'!Y606/60))/(('Lab Analysis'!X606/44)+('Lab Analysis'!Y606/60)),"0")</f>
        <v>0</v>
      </c>
      <c r="Q606" s="191"/>
    </row>
    <row r="607" spans="1:17">
      <c r="A607" s="185">
        <v>46421</v>
      </c>
      <c r="B607" s="186" t="str">
        <f>IFERROR(('Lab Analysis'!E607/('Lab Analysis'!E607+(1.364*'Lab Analysis'!D607))),"0")</f>
        <v>0</v>
      </c>
      <c r="C607" s="186" t="str">
        <f>IFERROR((2*'Lab Analysis'!E607/60)/('Lab Analysis'!C607/17+(2*'Lab Analysis'!E607/60)),"0")</f>
        <v>0</v>
      </c>
      <c r="D607" s="187" t="str">
        <f>IFERROR(((2*('Lab Analysis'!E607/60)+('Lab Analysis'!C607/17))/(('Lab Analysis'!D607/44)+('Lab Analysis'!E607/60))),"0")</f>
        <v>0</v>
      </c>
      <c r="E607" s="187" t="str">
        <f>IFERROR((('Lab Analysis'!F607/18)-('Lab Analysis'!E607/60))/(('Lab Analysis'!D607/44)+('Lab Analysis'!E607/60)),"0")</f>
        <v>0</v>
      </c>
      <c r="F607" s="187" t="str">
        <f>IFERROR((('Lab Analysis'!F607/18)/('Lab Analysis'!E607/60)),"0")</f>
        <v>0</v>
      </c>
      <c r="G607" s="188" t="str">
        <f>IFERROR(('Lab Analysis'!I607/('Lab Analysis'!I607+(1.765*'Lab Analysis'!G607))),"0")</f>
        <v>0</v>
      </c>
      <c r="H607" s="189" t="str">
        <f>IFERROR(((2*('Lab Analysis'!I607/60))+('Lab Analysis'!G607/17))/(('Lab Analysis'!H607/44)+('Lab Analysis'!I607/60)),"0")</f>
        <v>0</v>
      </c>
      <c r="I607" s="189" t="str">
        <f>IFERROR((('Lab Analysis'!J607/18)-('Lab Analysis'!I607/60))/(('Lab Analysis'!H607/44)+('Lab Analysis'!I607/60)),"0")</f>
        <v>0</v>
      </c>
      <c r="J607" s="186" t="str">
        <f>IFERROR(('Lab Analysis'!M607/('Lab Analysis'!M607+(1.765*'Lab Analysis'!K607))),"0")</f>
        <v>0</v>
      </c>
      <c r="K607" s="190" t="str">
        <f>IFERROR(((2*('Lab Analysis'!M607/60))+('Lab Analysis'!K607/17))/(('Lab Analysis'!L607/44)+('Lab Analysis'!M607/60)),"0")</f>
        <v>0</v>
      </c>
      <c r="L607" s="190" t="str">
        <f>IFERROR((('Lab Analysis'!N607/18)-('Lab Analysis'!M607/60))/(('Lab Analysis'!L607/44)+('Lab Analysis'!M607/60)),"0")</f>
        <v>0</v>
      </c>
      <c r="M607" s="187" t="str">
        <f>IFERROR(((2*('Lab Analysis'!U607/60))+('Lab Analysis'!S607/17))/(('Lab Analysis'!T607/44)+('Lab Analysis'!U607/60)),"0")</f>
        <v>0</v>
      </c>
      <c r="N607" s="187" t="str">
        <f>IFERROR((('Lab Analysis'!V607/18)-('Lab Analysis'!U607/60))/(('Lab Analysis'!T607/44)+('Lab Analysis'!U607/60)),"0")</f>
        <v>0</v>
      </c>
      <c r="O607" s="187" t="str">
        <f>IFERROR(((2*('Lab Analysis'!Y607/60)+('Lab Analysis'!W607/17))/(('Lab Analysis'!X607/44)+('Lab Analysis'!Y607/60))),"0")</f>
        <v>0</v>
      </c>
      <c r="P607" s="187" t="str">
        <f>IFERROR((('Lab Analysis'!Z607/18)-('Lab Analysis'!Y607/60))/(('Lab Analysis'!X607/44)+('Lab Analysis'!Y607/60)),"0")</f>
        <v>0</v>
      </c>
      <c r="Q607" s="191"/>
    </row>
    <row r="608" spans="1:17">
      <c r="A608" s="185">
        <v>46422</v>
      </c>
      <c r="B608" s="186" t="str">
        <f>IFERROR(('Lab Analysis'!E608/('Lab Analysis'!E608+(1.364*'Lab Analysis'!D608))),"0")</f>
        <v>0</v>
      </c>
      <c r="C608" s="186" t="str">
        <f>IFERROR((2*'Lab Analysis'!E608/60)/('Lab Analysis'!C608/17+(2*'Lab Analysis'!E608/60)),"0")</f>
        <v>0</v>
      </c>
      <c r="D608" s="187" t="str">
        <f>IFERROR(((2*('Lab Analysis'!E608/60)+('Lab Analysis'!C608/17))/(('Lab Analysis'!D608/44)+('Lab Analysis'!E608/60))),"0")</f>
        <v>0</v>
      </c>
      <c r="E608" s="187" t="str">
        <f>IFERROR((('Lab Analysis'!F608/18)-('Lab Analysis'!E608/60))/(('Lab Analysis'!D608/44)+('Lab Analysis'!E608/60)),"0")</f>
        <v>0</v>
      </c>
      <c r="F608" s="187" t="str">
        <f>IFERROR((('Lab Analysis'!F608/18)/('Lab Analysis'!E608/60)),"0")</f>
        <v>0</v>
      </c>
      <c r="G608" s="188" t="str">
        <f>IFERROR(('Lab Analysis'!I608/('Lab Analysis'!I608+(1.765*'Lab Analysis'!G608))),"0")</f>
        <v>0</v>
      </c>
      <c r="H608" s="189" t="str">
        <f>IFERROR(((2*('Lab Analysis'!I608/60))+('Lab Analysis'!G608/17))/(('Lab Analysis'!H608/44)+('Lab Analysis'!I608/60)),"0")</f>
        <v>0</v>
      </c>
      <c r="I608" s="189" t="str">
        <f>IFERROR((('Lab Analysis'!J608/18)-('Lab Analysis'!I608/60))/(('Lab Analysis'!H608/44)+('Lab Analysis'!I608/60)),"0")</f>
        <v>0</v>
      </c>
      <c r="J608" s="186" t="str">
        <f>IFERROR(('Lab Analysis'!M608/('Lab Analysis'!M608+(1.765*'Lab Analysis'!K608))),"0")</f>
        <v>0</v>
      </c>
      <c r="K608" s="190" t="str">
        <f>IFERROR(((2*('Lab Analysis'!M608/60))+('Lab Analysis'!K608/17))/(('Lab Analysis'!L608/44)+('Lab Analysis'!M608/60)),"0")</f>
        <v>0</v>
      </c>
      <c r="L608" s="190" t="str">
        <f>IFERROR((('Lab Analysis'!N608/18)-('Lab Analysis'!M608/60))/(('Lab Analysis'!L608/44)+('Lab Analysis'!M608/60)),"0")</f>
        <v>0</v>
      </c>
      <c r="M608" s="187" t="str">
        <f>IFERROR(((2*('Lab Analysis'!U608/60))+('Lab Analysis'!S608/17))/(('Lab Analysis'!T608/44)+('Lab Analysis'!U608/60)),"0")</f>
        <v>0</v>
      </c>
      <c r="N608" s="187" t="str">
        <f>IFERROR((('Lab Analysis'!V608/18)-('Lab Analysis'!U608/60))/(('Lab Analysis'!T608/44)+('Lab Analysis'!U608/60)),"0")</f>
        <v>0</v>
      </c>
      <c r="O608" s="187" t="str">
        <f>IFERROR(((2*('Lab Analysis'!Y608/60)+('Lab Analysis'!W608/17))/(('Lab Analysis'!X608/44)+('Lab Analysis'!Y608/60))),"0")</f>
        <v>0</v>
      </c>
      <c r="P608" s="187" t="str">
        <f>IFERROR((('Lab Analysis'!Z608/18)-('Lab Analysis'!Y608/60))/(('Lab Analysis'!X608/44)+('Lab Analysis'!Y608/60)),"0")</f>
        <v>0</v>
      </c>
      <c r="Q608" s="191"/>
    </row>
    <row r="609" spans="1:17">
      <c r="A609" s="185">
        <v>46423</v>
      </c>
      <c r="B609" s="186" t="str">
        <f>IFERROR(('Lab Analysis'!E609/('Lab Analysis'!E609+(1.364*'Lab Analysis'!D609))),"0")</f>
        <v>0</v>
      </c>
      <c r="C609" s="186" t="str">
        <f>IFERROR((2*'Lab Analysis'!E609/60)/('Lab Analysis'!C609/17+(2*'Lab Analysis'!E609/60)),"0")</f>
        <v>0</v>
      </c>
      <c r="D609" s="187" t="str">
        <f>IFERROR(((2*('Lab Analysis'!E609/60)+('Lab Analysis'!C609/17))/(('Lab Analysis'!D609/44)+('Lab Analysis'!E609/60))),"0")</f>
        <v>0</v>
      </c>
      <c r="E609" s="187" t="str">
        <f>IFERROR((('Lab Analysis'!F609/18)-('Lab Analysis'!E609/60))/(('Lab Analysis'!D609/44)+('Lab Analysis'!E609/60)),"0")</f>
        <v>0</v>
      </c>
      <c r="F609" s="187" t="str">
        <f>IFERROR((('Lab Analysis'!F609/18)/('Lab Analysis'!E609/60)),"0")</f>
        <v>0</v>
      </c>
      <c r="G609" s="188" t="str">
        <f>IFERROR(('Lab Analysis'!I609/('Lab Analysis'!I609+(1.765*'Lab Analysis'!G609))),"0")</f>
        <v>0</v>
      </c>
      <c r="H609" s="189" t="str">
        <f>IFERROR(((2*('Lab Analysis'!I609/60))+('Lab Analysis'!G609/17))/(('Lab Analysis'!H609/44)+('Lab Analysis'!I609/60)),"0")</f>
        <v>0</v>
      </c>
      <c r="I609" s="189" t="str">
        <f>IFERROR((('Lab Analysis'!J609/18)-('Lab Analysis'!I609/60))/(('Lab Analysis'!H609/44)+('Lab Analysis'!I609/60)),"0")</f>
        <v>0</v>
      </c>
      <c r="J609" s="186" t="str">
        <f>IFERROR(('Lab Analysis'!M609/('Lab Analysis'!M609+(1.765*'Lab Analysis'!K609))),"0")</f>
        <v>0</v>
      </c>
      <c r="K609" s="190" t="str">
        <f>IFERROR(((2*('Lab Analysis'!M609/60))+('Lab Analysis'!K609/17))/(('Lab Analysis'!L609/44)+('Lab Analysis'!M609/60)),"0")</f>
        <v>0</v>
      </c>
      <c r="L609" s="190" t="str">
        <f>IFERROR((('Lab Analysis'!N609/18)-('Lab Analysis'!M609/60))/(('Lab Analysis'!L609/44)+('Lab Analysis'!M609/60)),"0")</f>
        <v>0</v>
      </c>
      <c r="M609" s="187" t="str">
        <f>IFERROR(((2*('Lab Analysis'!U609/60))+('Lab Analysis'!S609/17))/(('Lab Analysis'!T609/44)+('Lab Analysis'!U609/60)),"0")</f>
        <v>0</v>
      </c>
      <c r="N609" s="187" t="str">
        <f>IFERROR((('Lab Analysis'!V609/18)-('Lab Analysis'!U609/60))/(('Lab Analysis'!T609/44)+('Lab Analysis'!U609/60)),"0")</f>
        <v>0</v>
      </c>
      <c r="O609" s="187" t="str">
        <f>IFERROR(((2*('Lab Analysis'!Y609/60)+('Lab Analysis'!W609/17))/(('Lab Analysis'!X609/44)+('Lab Analysis'!Y609/60))),"0")</f>
        <v>0</v>
      </c>
      <c r="P609" s="187" t="str">
        <f>IFERROR((('Lab Analysis'!Z609/18)-('Lab Analysis'!Y609/60))/(('Lab Analysis'!X609/44)+('Lab Analysis'!Y609/60)),"0")</f>
        <v>0</v>
      </c>
      <c r="Q609" s="191"/>
    </row>
    <row r="610" spans="1:17">
      <c r="A610" s="185">
        <v>46424</v>
      </c>
      <c r="B610" s="186" t="str">
        <f>IFERROR(('Lab Analysis'!E610/('Lab Analysis'!E610+(1.364*'Lab Analysis'!D610))),"0")</f>
        <v>0</v>
      </c>
      <c r="C610" s="186" t="str">
        <f>IFERROR((2*'Lab Analysis'!E610/60)/('Lab Analysis'!C610/17+(2*'Lab Analysis'!E610/60)),"0")</f>
        <v>0</v>
      </c>
      <c r="D610" s="187" t="str">
        <f>IFERROR(((2*('Lab Analysis'!E610/60)+('Lab Analysis'!C610/17))/(('Lab Analysis'!D610/44)+('Lab Analysis'!E610/60))),"0")</f>
        <v>0</v>
      </c>
      <c r="E610" s="187" t="str">
        <f>IFERROR((('Lab Analysis'!F610/18)-('Lab Analysis'!E610/60))/(('Lab Analysis'!D610/44)+('Lab Analysis'!E610/60)),"0")</f>
        <v>0</v>
      </c>
      <c r="F610" s="187" t="str">
        <f>IFERROR((('Lab Analysis'!F610/18)/('Lab Analysis'!E610/60)),"0")</f>
        <v>0</v>
      </c>
      <c r="G610" s="188" t="str">
        <f>IFERROR(('Lab Analysis'!I610/('Lab Analysis'!I610+(1.765*'Lab Analysis'!G610))),"0")</f>
        <v>0</v>
      </c>
      <c r="H610" s="189" t="str">
        <f>IFERROR(((2*('Lab Analysis'!I610/60))+('Lab Analysis'!G610/17))/(('Lab Analysis'!H610/44)+('Lab Analysis'!I610/60)),"0")</f>
        <v>0</v>
      </c>
      <c r="I610" s="189" t="str">
        <f>IFERROR((('Lab Analysis'!J610/18)-('Lab Analysis'!I610/60))/(('Lab Analysis'!H610/44)+('Lab Analysis'!I610/60)),"0")</f>
        <v>0</v>
      </c>
      <c r="J610" s="186" t="str">
        <f>IFERROR(('Lab Analysis'!M610/('Lab Analysis'!M610+(1.765*'Lab Analysis'!K610))),"0")</f>
        <v>0</v>
      </c>
      <c r="K610" s="190" t="str">
        <f>IFERROR(((2*('Lab Analysis'!M610/60))+('Lab Analysis'!K610/17))/(('Lab Analysis'!L610/44)+('Lab Analysis'!M610/60)),"0")</f>
        <v>0</v>
      </c>
      <c r="L610" s="190" t="str">
        <f>IFERROR((('Lab Analysis'!N610/18)-('Lab Analysis'!M610/60))/(('Lab Analysis'!L610/44)+('Lab Analysis'!M610/60)),"0")</f>
        <v>0</v>
      </c>
      <c r="M610" s="187" t="str">
        <f>IFERROR(((2*('Lab Analysis'!U610/60))+('Lab Analysis'!S610/17))/(('Lab Analysis'!T610/44)+('Lab Analysis'!U610/60)),"0")</f>
        <v>0</v>
      </c>
      <c r="N610" s="187" t="str">
        <f>IFERROR((('Lab Analysis'!V610/18)-('Lab Analysis'!U610/60))/(('Lab Analysis'!T610/44)+('Lab Analysis'!U610/60)),"0")</f>
        <v>0</v>
      </c>
      <c r="O610" s="187" t="str">
        <f>IFERROR(((2*('Lab Analysis'!Y610/60)+('Lab Analysis'!W610/17))/(('Lab Analysis'!X610/44)+('Lab Analysis'!Y610/60))),"0")</f>
        <v>0</v>
      </c>
      <c r="P610" s="187" t="str">
        <f>IFERROR((('Lab Analysis'!Z610/18)-('Lab Analysis'!Y610/60))/(('Lab Analysis'!X610/44)+('Lab Analysis'!Y610/60)),"0")</f>
        <v>0</v>
      </c>
      <c r="Q610" s="191"/>
    </row>
    <row r="611" spans="1:17">
      <c r="A611" s="185">
        <v>46425</v>
      </c>
      <c r="B611" s="186" t="str">
        <f>IFERROR(('Lab Analysis'!E611/('Lab Analysis'!E611+(1.364*'Lab Analysis'!D611))),"0")</f>
        <v>0</v>
      </c>
      <c r="C611" s="186" t="str">
        <f>IFERROR((2*'Lab Analysis'!E611/60)/('Lab Analysis'!C611/17+(2*'Lab Analysis'!E611/60)),"0")</f>
        <v>0</v>
      </c>
      <c r="D611" s="187" t="str">
        <f>IFERROR(((2*('Lab Analysis'!E611/60)+('Lab Analysis'!C611/17))/(('Lab Analysis'!D611/44)+('Lab Analysis'!E611/60))),"0")</f>
        <v>0</v>
      </c>
      <c r="E611" s="187" t="str">
        <f>IFERROR((('Lab Analysis'!F611/18)-('Lab Analysis'!E611/60))/(('Lab Analysis'!D611/44)+('Lab Analysis'!E611/60)),"0")</f>
        <v>0</v>
      </c>
      <c r="F611" s="187" t="str">
        <f>IFERROR((('Lab Analysis'!F611/18)/('Lab Analysis'!E611/60)),"0")</f>
        <v>0</v>
      </c>
      <c r="G611" s="188" t="str">
        <f>IFERROR(('Lab Analysis'!I611/('Lab Analysis'!I611+(1.765*'Lab Analysis'!G611))),"0")</f>
        <v>0</v>
      </c>
      <c r="H611" s="189" t="str">
        <f>IFERROR(((2*('Lab Analysis'!I611/60))+('Lab Analysis'!G611/17))/(('Lab Analysis'!H611/44)+('Lab Analysis'!I611/60)),"0")</f>
        <v>0</v>
      </c>
      <c r="I611" s="189" t="str">
        <f>IFERROR((('Lab Analysis'!J611/18)-('Lab Analysis'!I611/60))/(('Lab Analysis'!H611/44)+('Lab Analysis'!I611/60)),"0")</f>
        <v>0</v>
      </c>
      <c r="J611" s="186" t="str">
        <f>IFERROR(('Lab Analysis'!M611/('Lab Analysis'!M611+(1.765*'Lab Analysis'!K611))),"0")</f>
        <v>0</v>
      </c>
      <c r="K611" s="190" t="str">
        <f>IFERROR(((2*('Lab Analysis'!M611/60))+('Lab Analysis'!K611/17))/(('Lab Analysis'!L611/44)+('Lab Analysis'!M611/60)),"0")</f>
        <v>0</v>
      </c>
      <c r="L611" s="190" t="str">
        <f>IFERROR((('Lab Analysis'!N611/18)-('Lab Analysis'!M611/60))/(('Lab Analysis'!L611/44)+('Lab Analysis'!M611/60)),"0")</f>
        <v>0</v>
      </c>
      <c r="M611" s="187" t="str">
        <f>IFERROR(((2*('Lab Analysis'!U611/60))+('Lab Analysis'!S611/17))/(('Lab Analysis'!T611/44)+('Lab Analysis'!U611/60)),"0")</f>
        <v>0</v>
      </c>
      <c r="N611" s="187" t="str">
        <f>IFERROR((('Lab Analysis'!V611/18)-('Lab Analysis'!U611/60))/(('Lab Analysis'!T611/44)+('Lab Analysis'!U611/60)),"0")</f>
        <v>0</v>
      </c>
      <c r="O611" s="187" t="str">
        <f>IFERROR(((2*('Lab Analysis'!Y611/60)+('Lab Analysis'!W611/17))/(('Lab Analysis'!X611/44)+('Lab Analysis'!Y611/60))),"0")</f>
        <v>0</v>
      </c>
      <c r="P611" s="187" t="str">
        <f>IFERROR((('Lab Analysis'!Z611/18)-('Lab Analysis'!Y611/60))/(('Lab Analysis'!X611/44)+('Lab Analysis'!Y611/60)),"0")</f>
        <v>0</v>
      </c>
      <c r="Q611" s="191"/>
    </row>
    <row r="612" spans="1:17">
      <c r="A612" s="185">
        <v>46426</v>
      </c>
      <c r="B612" s="186" t="str">
        <f>IFERROR(('Lab Analysis'!E612/('Lab Analysis'!E612+(1.364*'Lab Analysis'!D612))),"0")</f>
        <v>0</v>
      </c>
      <c r="C612" s="186" t="str">
        <f>IFERROR((2*'Lab Analysis'!E612/60)/('Lab Analysis'!C612/17+(2*'Lab Analysis'!E612/60)),"0")</f>
        <v>0</v>
      </c>
      <c r="D612" s="187" t="str">
        <f>IFERROR(((2*('Lab Analysis'!E612/60)+('Lab Analysis'!C612/17))/(('Lab Analysis'!D612/44)+('Lab Analysis'!E612/60))),"0")</f>
        <v>0</v>
      </c>
      <c r="E612" s="187" t="str">
        <f>IFERROR((('Lab Analysis'!F612/18)-('Lab Analysis'!E612/60))/(('Lab Analysis'!D612/44)+('Lab Analysis'!E612/60)),"0")</f>
        <v>0</v>
      </c>
      <c r="F612" s="187" t="str">
        <f>IFERROR((('Lab Analysis'!F612/18)/('Lab Analysis'!E612/60)),"0")</f>
        <v>0</v>
      </c>
      <c r="G612" s="188" t="str">
        <f>IFERROR(('Lab Analysis'!I612/('Lab Analysis'!I612+(1.765*'Lab Analysis'!G612))),"0")</f>
        <v>0</v>
      </c>
      <c r="H612" s="189" t="str">
        <f>IFERROR(((2*('Lab Analysis'!I612/60))+('Lab Analysis'!G612/17))/(('Lab Analysis'!H612/44)+('Lab Analysis'!I612/60)),"0")</f>
        <v>0</v>
      </c>
      <c r="I612" s="189" t="str">
        <f>IFERROR((('Lab Analysis'!J612/18)-('Lab Analysis'!I612/60))/(('Lab Analysis'!H612/44)+('Lab Analysis'!I612/60)),"0")</f>
        <v>0</v>
      </c>
      <c r="J612" s="186" t="str">
        <f>IFERROR(('Lab Analysis'!M612/('Lab Analysis'!M612+(1.765*'Lab Analysis'!K612))),"0")</f>
        <v>0</v>
      </c>
      <c r="K612" s="190" t="str">
        <f>IFERROR(((2*('Lab Analysis'!M612/60))+('Lab Analysis'!K612/17))/(('Lab Analysis'!L612/44)+('Lab Analysis'!M612/60)),"0")</f>
        <v>0</v>
      </c>
      <c r="L612" s="190" t="str">
        <f>IFERROR((('Lab Analysis'!N612/18)-('Lab Analysis'!M612/60))/(('Lab Analysis'!L612/44)+('Lab Analysis'!M612/60)),"0")</f>
        <v>0</v>
      </c>
      <c r="M612" s="187" t="str">
        <f>IFERROR(((2*('Lab Analysis'!U612/60))+('Lab Analysis'!S612/17))/(('Lab Analysis'!T612/44)+('Lab Analysis'!U612/60)),"0")</f>
        <v>0</v>
      </c>
      <c r="N612" s="187" t="str">
        <f>IFERROR((('Lab Analysis'!V612/18)-('Lab Analysis'!U612/60))/(('Lab Analysis'!T612/44)+('Lab Analysis'!U612/60)),"0")</f>
        <v>0</v>
      </c>
      <c r="O612" s="187" t="str">
        <f>IFERROR(((2*('Lab Analysis'!Y612/60)+('Lab Analysis'!W612/17))/(('Lab Analysis'!X612/44)+('Lab Analysis'!Y612/60))),"0")</f>
        <v>0</v>
      </c>
      <c r="P612" s="187" t="str">
        <f>IFERROR((('Lab Analysis'!Z612/18)-('Lab Analysis'!Y612/60))/(('Lab Analysis'!X612/44)+('Lab Analysis'!Y612/60)),"0")</f>
        <v>0</v>
      </c>
      <c r="Q612" s="191"/>
    </row>
    <row r="613" spans="1:17">
      <c r="A613" s="185">
        <v>46427</v>
      </c>
      <c r="B613" s="186" t="str">
        <f>IFERROR(('Lab Analysis'!E613/('Lab Analysis'!E613+(1.364*'Lab Analysis'!D613))),"0")</f>
        <v>0</v>
      </c>
      <c r="C613" s="186" t="str">
        <f>IFERROR((2*'Lab Analysis'!E613/60)/('Lab Analysis'!C613/17+(2*'Lab Analysis'!E613/60)),"0")</f>
        <v>0</v>
      </c>
      <c r="D613" s="187" t="str">
        <f>IFERROR(((2*('Lab Analysis'!E613/60)+('Lab Analysis'!C613/17))/(('Lab Analysis'!D613/44)+('Lab Analysis'!E613/60))),"0")</f>
        <v>0</v>
      </c>
      <c r="E613" s="187" t="str">
        <f>IFERROR((('Lab Analysis'!F613/18)-('Lab Analysis'!E613/60))/(('Lab Analysis'!D613/44)+('Lab Analysis'!E613/60)),"0")</f>
        <v>0</v>
      </c>
      <c r="F613" s="187" t="str">
        <f>IFERROR((('Lab Analysis'!F613/18)/('Lab Analysis'!E613/60)),"0")</f>
        <v>0</v>
      </c>
      <c r="G613" s="188" t="str">
        <f>IFERROR(('Lab Analysis'!I613/('Lab Analysis'!I613+(1.765*'Lab Analysis'!G613))),"0")</f>
        <v>0</v>
      </c>
      <c r="H613" s="189" t="str">
        <f>IFERROR(((2*('Lab Analysis'!I613/60))+('Lab Analysis'!G613/17))/(('Lab Analysis'!H613/44)+('Lab Analysis'!I613/60)),"0")</f>
        <v>0</v>
      </c>
      <c r="I613" s="189" t="str">
        <f>IFERROR((('Lab Analysis'!J613/18)-('Lab Analysis'!I613/60))/(('Lab Analysis'!H613/44)+('Lab Analysis'!I613/60)),"0")</f>
        <v>0</v>
      </c>
      <c r="J613" s="186" t="str">
        <f>IFERROR(('Lab Analysis'!M613/('Lab Analysis'!M613+(1.765*'Lab Analysis'!K613))),"0")</f>
        <v>0</v>
      </c>
      <c r="K613" s="190" t="str">
        <f>IFERROR(((2*('Lab Analysis'!M613/60))+('Lab Analysis'!K613/17))/(('Lab Analysis'!L613/44)+('Lab Analysis'!M613/60)),"0")</f>
        <v>0</v>
      </c>
      <c r="L613" s="190" t="str">
        <f>IFERROR((('Lab Analysis'!N613/18)-('Lab Analysis'!M613/60))/(('Lab Analysis'!L613/44)+('Lab Analysis'!M613/60)),"0")</f>
        <v>0</v>
      </c>
      <c r="M613" s="187" t="str">
        <f>IFERROR(((2*('Lab Analysis'!U613/60))+('Lab Analysis'!S613/17))/(('Lab Analysis'!T613/44)+('Lab Analysis'!U613/60)),"0")</f>
        <v>0</v>
      </c>
      <c r="N613" s="187" t="str">
        <f>IFERROR((('Lab Analysis'!V613/18)-('Lab Analysis'!U613/60))/(('Lab Analysis'!T613/44)+('Lab Analysis'!U613/60)),"0")</f>
        <v>0</v>
      </c>
      <c r="O613" s="187" t="str">
        <f>IFERROR(((2*('Lab Analysis'!Y613/60)+('Lab Analysis'!W613/17))/(('Lab Analysis'!X613/44)+('Lab Analysis'!Y613/60))),"0")</f>
        <v>0</v>
      </c>
      <c r="P613" s="187" t="str">
        <f>IFERROR((('Lab Analysis'!Z613/18)-('Lab Analysis'!Y613/60))/(('Lab Analysis'!X613/44)+('Lab Analysis'!Y613/60)),"0")</f>
        <v>0</v>
      </c>
      <c r="Q613" s="191"/>
    </row>
    <row r="614" spans="1:17">
      <c r="A614" s="185">
        <v>46428</v>
      </c>
      <c r="B614" s="186" t="str">
        <f>IFERROR(('Lab Analysis'!E614/('Lab Analysis'!E614+(1.364*'Lab Analysis'!D614))),"0")</f>
        <v>0</v>
      </c>
      <c r="C614" s="186" t="str">
        <f>IFERROR((2*'Lab Analysis'!E614/60)/('Lab Analysis'!C614/17+(2*'Lab Analysis'!E614/60)),"0")</f>
        <v>0</v>
      </c>
      <c r="D614" s="187" t="str">
        <f>IFERROR(((2*('Lab Analysis'!E614/60)+('Lab Analysis'!C614/17))/(('Lab Analysis'!D614/44)+('Lab Analysis'!E614/60))),"0")</f>
        <v>0</v>
      </c>
      <c r="E614" s="187" t="str">
        <f>IFERROR((('Lab Analysis'!F614/18)-('Lab Analysis'!E614/60))/(('Lab Analysis'!D614/44)+('Lab Analysis'!E614/60)),"0")</f>
        <v>0</v>
      </c>
      <c r="F614" s="187" t="str">
        <f>IFERROR((('Lab Analysis'!F614/18)/('Lab Analysis'!E614/60)),"0")</f>
        <v>0</v>
      </c>
      <c r="G614" s="188" t="str">
        <f>IFERROR(('Lab Analysis'!I614/('Lab Analysis'!I614+(1.765*'Lab Analysis'!G614))),"0")</f>
        <v>0</v>
      </c>
      <c r="H614" s="189" t="str">
        <f>IFERROR(((2*('Lab Analysis'!I614/60))+('Lab Analysis'!G614/17))/(('Lab Analysis'!H614/44)+('Lab Analysis'!I614/60)),"0")</f>
        <v>0</v>
      </c>
      <c r="I614" s="189" t="str">
        <f>IFERROR((('Lab Analysis'!J614/18)-('Lab Analysis'!I614/60))/(('Lab Analysis'!H614/44)+('Lab Analysis'!I614/60)),"0")</f>
        <v>0</v>
      </c>
      <c r="J614" s="186" t="str">
        <f>IFERROR(('Lab Analysis'!M614/('Lab Analysis'!M614+(1.765*'Lab Analysis'!K614))),"0")</f>
        <v>0</v>
      </c>
      <c r="K614" s="190" t="str">
        <f>IFERROR(((2*('Lab Analysis'!M614/60))+('Lab Analysis'!K614/17))/(('Lab Analysis'!L614/44)+('Lab Analysis'!M614/60)),"0")</f>
        <v>0</v>
      </c>
      <c r="L614" s="190" t="str">
        <f>IFERROR((('Lab Analysis'!N614/18)-('Lab Analysis'!M614/60))/(('Lab Analysis'!L614/44)+('Lab Analysis'!M614/60)),"0")</f>
        <v>0</v>
      </c>
      <c r="M614" s="187" t="str">
        <f>IFERROR(((2*('Lab Analysis'!U614/60))+('Lab Analysis'!S614/17))/(('Lab Analysis'!T614/44)+('Lab Analysis'!U614/60)),"0")</f>
        <v>0</v>
      </c>
      <c r="N614" s="187" t="str">
        <f>IFERROR((('Lab Analysis'!V614/18)-('Lab Analysis'!U614/60))/(('Lab Analysis'!T614/44)+('Lab Analysis'!U614/60)),"0")</f>
        <v>0</v>
      </c>
      <c r="O614" s="187" t="str">
        <f>IFERROR(((2*('Lab Analysis'!Y614/60)+('Lab Analysis'!W614/17))/(('Lab Analysis'!X614/44)+('Lab Analysis'!Y614/60))),"0")</f>
        <v>0</v>
      </c>
      <c r="P614" s="187" t="str">
        <f>IFERROR((('Lab Analysis'!Z614/18)-('Lab Analysis'!Y614/60))/(('Lab Analysis'!X614/44)+('Lab Analysis'!Y614/60)),"0")</f>
        <v>0</v>
      </c>
      <c r="Q614" s="191"/>
    </row>
    <row r="615" spans="1:17">
      <c r="A615" s="185">
        <v>46429</v>
      </c>
      <c r="B615" s="186" t="str">
        <f>IFERROR(('Lab Analysis'!E615/('Lab Analysis'!E615+(1.364*'Lab Analysis'!D615))),"0")</f>
        <v>0</v>
      </c>
      <c r="C615" s="186" t="str">
        <f>IFERROR((2*'Lab Analysis'!E615/60)/('Lab Analysis'!C615/17+(2*'Lab Analysis'!E615/60)),"0")</f>
        <v>0</v>
      </c>
      <c r="D615" s="187" t="str">
        <f>IFERROR(((2*('Lab Analysis'!E615/60)+('Lab Analysis'!C615/17))/(('Lab Analysis'!D615/44)+('Lab Analysis'!E615/60))),"0")</f>
        <v>0</v>
      </c>
      <c r="E615" s="187" t="str">
        <f>IFERROR((('Lab Analysis'!F615/18)-('Lab Analysis'!E615/60))/(('Lab Analysis'!D615/44)+('Lab Analysis'!E615/60)),"0")</f>
        <v>0</v>
      </c>
      <c r="F615" s="187" t="str">
        <f>IFERROR((('Lab Analysis'!F615/18)/('Lab Analysis'!E615/60)),"0")</f>
        <v>0</v>
      </c>
      <c r="G615" s="188" t="str">
        <f>IFERROR(('Lab Analysis'!I615/('Lab Analysis'!I615+(1.765*'Lab Analysis'!G615))),"0")</f>
        <v>0</v>
      </c>
      <c r="H615" s="189" t="str">
        <f>IFERROR(((2*('Lab Analysis'!I615/60))+('Lab Analysis'!G615/17))/(('Lab Analysis'!H615/44)+('Lab Analysis'!I615/60)),"0")</f>
        <v>0</v>
      </c>
      <c r="I615" s="189" t="str">
        <f>IFERROR((('Lab Analysis'!J615/18)-('Lab Analysis'!I615/60))/(('Lab Analysis'!H615/44)+('Lab Analysis'!I615/60)),"0")</f>
        <v>0</v>
      </c>
      <c r="J615" s="186" t="str">
        <f>IFERROR(('Lab Analysis'!M615/('Lab Analysis'!M615+(1.765*'Lab Analysis'!K615))),"0")</f>
        <v>0</v>
      </c>
      <c r="K615" s="190" t="str">
        <f>IFERROR(((2*('Lab Analysis'!M615/60))+('Lab Analysis'!K615/17))/(('Lab Analysis'!L615/44)+('Lab Analysis'!M615/60)),"0")</f>
        <v>0</v>
      </c>
      <c r="L615" s="190" t="str">
        <f>IFERROR((('Lab Analysis'!N615/18)-('Lab Analysis'!M615/60))/(('Lab Analysis'!L615/44)+('Lab Analysis'!M615/60)),"0")</f>
        <v>0</v>
      </c>
      <c r="M615" s="187" t="str">
        <f>IFERROR(((2*('Lab Analysis'!U615/60))+('Lab Analysis'!S615/17))/(('Lab Analysis'!T615/44)+('Lab Analysis'!U615/60)),"0")</f>
        <v>0</v>
      </c>
      <c r="N615" s="187" t="str">
        <f>IFERROR((('Lab Analysis'!V615/18)-('Lab Analysis'!U615/60))/(('Lab Analysis'!T615/44)+('Lab Analysis'!U615/60)),"0")</f>
        <v>0</v>
      </c>
      <c r="O615" s="187" t="str">
        <f>IFERROR(((2*('Lab Analysis'!Y615/60)+('Lab Analysis'!W615/17))/(('Lab Analysis'!X615/44)+('Lab Analysis'!Y615/60))),"0")</f>
        <v>0</v>
      </c>
      <c r="P615" s="187" t="str">
        <f>IFERROR((('Lab Analysis'!Z615/18)-('Lab Analysis'!Y615/60))/(('Lab Analysis'!X615/44)+('Lab Analysis'!Y615/60)),"0")</f>
        <v>0</v>
      </c>
      <c r="Q615" s="191"/>
    </row>
    <row r="616" spans="1:17">
      <c r="A616" s="185">
        <v>46430</v>
      </c>
      <c r="B616" s="186" t="str">
        <f>IFERROR(('Lab Analysis'!E616/('Lab Analysis'!E616+(1.364*'Lab Analysis'!D616))),"0")</f>
        <v>0</v>
      </c>
      <c r="C616" s="186" t="str">
        <f>IFERROR((2*'Lab Analysis'!E616/60)/('Lab Analysis'!C616/17+(2*'Lab Analysis'!E616/60)),"0")</f>
        <v>0</v>
      </c>
      <c r="D616" s="187" t="str">
        <f>IFERROR(((2*('Lab Analysis'!E616/60)+('Lab Analysis'!C616/17))/(('Lab Analysis'!D616/44)+('Lab Analysis'!E616/60))),"0")</f>
        <v>0</v>
      </c>
      <c r="E616" s="187" t="str">
        <f>IFERROR((('Lab Analysis'!F616/18)-('Lab Analysis'!E616/60))/(('Lab Analysis'!D616/44)+('Lab Analysis'!E616/60)),"0")</f>
        <v>0</v>
      </c>
      <c r="F616" s="187" t="str">
        <f>IFERROR((('Lab Analysis'!F616/18)/('Lab Analysis'!E616/60)),"0")</f>
        <v>0</v>
      </c>
      <c r="G616" s="188" t="str">
        <f>IFERROR(('Lab Analysis'!I616/('Lab Analysis'!I616+(1.765*'Lab Analysis'!G616))),"0")</f>
        <v>0</v>
      </c>
      <c r="H616" s="189" t="str">
        <f>IFERROR(((2*('Lab Analysis'!I616/60))+('Lab Analysis'!G616/17))/(('Lab Analysis'!H616/44)+('Lab Analysis'!I616/60)),"0")</f>
        <v>0</v>
      </c>
      <c r="I616" s="189" t="str">
        <f>IFERROR((('Lab Analysis'!J616/18)-('Lab Analysis'!I616/60))/(('Lab Analysis'!H616/44)+('Lab Analysis'!I616/60)),"0")</f>
        <v>0</v>
      </c>
      <c r="J616" s="186" t="str">
        <f>IFERROR(('Lab Analysis'!M616/('Lab Analysis'!M616+(1.765*'Lab Analysis'!K616))),"0")</f>
        <v>0</v>
      </c>
      <c r="K616" s="190" t="str">
        <f>IFERROR(((2*('Lab Analysis'!M616/60))+('Lab Analysis'!K616/17))/(('Lab Analysis'!L616/44)+('Lab Analysis'!M616/60)),"0")</f>
        <v>0</v>
      </c>
      <c r="L616" s="190" t="str">
        <f>IFERROR((('Lab Analysis'!N616/18)-('Lab Analysis'!M616/60))/(('Lab Analysis'!L616/44)+('Lab Analysis'!M616/60)),"0")</f>
        <v>0</v>
      </c>
      <c r="M616" s="187" t="str">
        <f>IFERROR(((2*('Lab Analysis'!U616/60))+('Lab Analysis'!S616/17))/(('Lab Analysis'!T616/44)+('Lab Analysis'!U616/60)),"0")</f>
        <v>0</v>
      </c>
      <c r="N616" s="187" t="str">
        <f>IFERROR((('Lab Analysis'!V616/18)-('Lab Analysis'!U616/60))/(('Lab Analysis'!T616/44)+('Lab Analysis'!U616/60)),"0")</f>
        <v>0</v>
      </c>
      <c r="O616" s="187" t="str">
        <f>IFERROR(((2*('Lab Analysis'!Y616/60)+('Lab Analysis'!W616/17))/(('Lab Analysis'!X616/44)+('Lab Analysis'!Y616/60))),"0")</f>
        <v>0</v>
      </c>
      <c r="P616" s="187" t="str">
        <f>IFERROR((('Lab Analysis'!Z616/18)-('Lab Analysis'!Y616/60))/(('Lab Analysis'!X616/44)+('Lab Analysis'!Y616/60)),"0")</f>
        <v>0</v>
      </c>
      <c r="Q616" s="191"/>
    </row>
    <row r="617" spans="1:17">
      <c r="A617" s="185">
        <v>46431</v>
      </c>
      <c r="B617" s="186" t="str">
        <f>IFERROR(('Lab Analysis'!E617/('Lab Analysis'!E617+(1.364*'Lab Analysis'!D617))),"0")</f>
        <v>0</v>
      </c>
      <c r="C617" s="186" t="str">
        <f>IFERROR((2*'Lab Analysis'!E617/60)/('Lab Analysis'!C617/17+(2*'Lab Analysis'!E617/60)),"0")</f>
        <v>0</v>
      </c>
      <c r="D617" s="187" t="str">
        <f>IFERROR(((2*('Lab Analysis'!E617/60)+('Lab Analysis'!C617/17))/(('Lab Analysis'!D617/44)+('Lab Analysis'!E617/60))),"0")</f>
        <v>0</v>
      </c>
      <c r="E617" s="187" t="str">
        <f>IFERROR((('Lab Analysis'!F617/18)-('Lab Analysis'!E617/60))/(('Lab Analysis'!D617/44)+('Lab Analysis'!E617/60)),"0")</f>
        <v>0</v>
      </c>
      <c r="F617" s="187" t="str">
        <f>IFERROR((('Lab Analysis'!F617/18)/('Lab Analysis'!E617/60)),"0")</f>
        <v>0</v>
      </c>
      <c r="G617" s="188" t="str">
        <f>IFERROR(('Lab Analysis'!I617/('Lab Analysis'!I617+(1.765*'Lab Analysis'!G617))),"0")</f>
        <v>0</v>
      </c>
      <c r="H617" s="189" t="str">
        <f>IFERROR(((2*('Lab Analysis'!I617/60))+('Lab Analysis'!G617/17))/(('Lab Analysis'!H617/44)+('Lab Analysis'!I617/60)),"0")</f>
        <v>0</v>
      </c>
      <c r="I617" s="189" t="str">
        <f>IFERROR((('Lab Analysis'!J617/18)-('Lab Analysis'!I617/60))/(('Lab Analysis'!H617/44)+('Lab Analysis'!I617/60)),"0")</f>
        <v>0</v>
      </c>
      <c r="J617" s="186" t="str">
        <f>IFERROR(('Lab Analysis'!M617/('Lab Analysis'!M617+(1.765*'Lab Analysis'!K617))),"0")</f>
        <v>0</v>
      </c>
      <c r="K617" s="190" t="str">
        <f>IFERROR(((2*('Lab Analysis'!M617/60))+('Lab Analysis'!K617/17))/(('Lab Analysis'!L617/44)+('Lab Analysis'!M617/60)),"0")</f>
        <v>0</v>
      </c>
      <c r="L617" s="190" t="str">
        <f>IFERROR((('Lab Analysis'!N617/18)-('Lab Analysis'!M617/60))/(('Lab Analysis'!L617/44)+('Lab Analysis'!M617/60)),"0")</f>
        <v>0</v>
      </c>
      <c r="M617" s="187" t="str">
        <f>IFERROR(((2*('Lab Analysis'!U617/60))+('Lab Analysis'!S617/17))/(('Lab Analysis'!T617/44)+('Lab Analysis'!U617/60)),"0")</f>
        <v>0</v>
      </c>
      <c r="N617" s="187" t="str">
        <f>IFERROR((('Lab Analysis'!V617/18)-('Lab Analysis'!U617/60))/(('Lab Analysis'!T617/44)+('Lab Analysis'!U617/60)),"0")</f>
        <v>0</v>
      </c>
      <c r="O617" s="187" t="str">
        <f>IFERROR(((2*('Lab Analysis'!Y617/60)+('Lab Analysis'!W617/17))/(('Lab Analysis'!X617/44)+('Lab Analysis'!Y617/60))),"0")</f>
        <v>0</v>
      </c>
      <c r="P617" s="187" t="str">
        <f>IFERROR((('Lab Analysis'!Z617/18)-('Lab Analysis'!Y617/60))/(('Lab Analysis'!X617/44)+('Lab Analysis'!Y617/60)),"0")</f>
        <v>0</v>
      </c>
      <c r="Q617" s="191"/>
    </row>
    <row r="618" spans="1:17">
      <c r="A618" s="185">
        <v>46432</v>
      </c>
      <c r="B618" s="186" t="str">
        <f>IFERROR(('Lab Analysis'!E618/('Lab Analysis'!E618+(1.364*'Lab Analysis'!D618))),"0")</f>
        <v>0</v>
      </c>
      <c r="C618" s="186" t="str">
        <f>IFERROR((2*'Lab Analysis'!E618/60)/('Lab Analysis'!C618/17+(2*'Lab Analysis'!E618/60)),"0")</f>
        <v>0</v>
      </c>
      <c r="D618" s="187" t="str">
        <f>IFERROR(((2*('Lab Analysis'!E618/60)+('Lab Analysis'!C618/17))/(('Lab Analysis'!D618/44)+('Lab Analysis'!E618/60))),"0")</f>
        <v>0</v>
      </c>
      <c r="E618" s="187" t="str">
        <f>IFERROR((('Lab Analysis'!F618/18)-('Lab Analysis'!E618/60))/(('Lab Analysis'!D618/44)+('Lab Analysis'!E618/60)),"0")</f>
        <v>0</v>
      </c>
      <c r="F618" s="187" t="str">
        <f>IFERROR((('Lab Analysis'!F618/18)/('Lab Analysis'!E618/60)),"0")</f>
        <v>0</v>
      </c>
      <c r="G618" s="188" t="str">
        <f>IFERROR(('Lab Analysis'!I618/('Lab Analysis'!I618+(1.765*'Lab Analysis'!G618))),"0")</f>
        <v>0</v>
      </c>
      <c r="H618" s="189" t="str">
        <f>IFERROR(((2*('Lab Analysis'!I618/60))+('Lab Analysis'!G618/17))/(('Lab Analysis'!H618/44)+('Lab Analysis'!I618/60)),"0")</f>
        <v>0</v>
      </c>
      <c r="I618" s="189" t="str">
        <f>IFERROR((('Lab Analysis'!J618/18)-('Lab Analysis'!I618/60))/(('Lab Analysis'!H618/44)+('Lab Analysis'!I618/60)),"0")</f>
        <v>0</v>
      </c>
      <c r="J618" s="186" t="str">
        <f>IFERROR(('Lab Analysis'!M618/('Lab Analysis'!M618+(1.765*'Lab Analysis'!K618))),"0")</f>
        <v>0</v>
      </c>
      <c r="K618" s="190" t="str">
        <f>IFERROR(((2*('Lab Analysis'!M618/60))+('Lab Analysis'!K618/17))/(('Lab Analysis'!L618/44)+('Lab Analysis'!M618/60)),"0")</f>
        <v>0</v>
      </c>
      <c r="L618" s="190" t="str">
        <f>IFERROR((('Lab Analysis'!N618/18)-('Lab Analysis'!M618/60))/(('Lab Analysis'!L618/44)+('Lab Analysis'!M618/60)),"0")</f>
        <v>0</v>
      </c>
      <c r="M618" s="187" t="str">
        <f>IFERROR(((2*('Lab Analysis'!U618/60))+('Lab Analysis'!S618/17))/(('Lab Analysis'!T618/44)+('Lab Analysis'!U618/60)),"0")</f>
        <v>0</v>
      </c>
      <c r="N618" s="187" t="str">
        <f>IFERROR((('Lab Analysis'!V618/18)-('Lab Analysis'!U618/60))/(('Lab Analysis'!T618/44)+('Lab Analysis'!U618/60)),"0")</f>
        <v>0</v>
      </c>
      <c r="O618" s="187" t="str">
        <f>IFERROR(((2*('Lab Analysis'!Y618/60)+('Lab Analysis'!W618/17))/(('Lab Analysis'!X618/44)+('Lab Analysis'!Y618/60))),"0")</f>
        <v>0</v>
      </c>
      <c r="P618" s="187" t="str">
        <f>IFERROR((('Lab Analysis'!Z618/18)-('Lab Analysis'!Y618/60))/(('Lab Analysis'!X618/44)+('Lab Analysis'!Y618/60)),"0")</f>
        <v>0</v>
      </c>
      <c r="Q618" s="191"/>
    </row>
    <row r="619" spans="1:17">
      <c r="A619" s="185">
        <v>46433</v>
      </c>
      <c r="B619" s="186" t="str">
        <f>IFERROR(('Lab Analysis'!E619/('Lab Analysis'!E619+(1.364*'Lab Analysis'!D619))),"0")</f>
        <v>0</v>
      </c>
      <c r="C619" s="186" t="str">
        <f>IFERROR((2*'Lab Analysis'!E619/60)/('Lab Analysis'!C619/17+(2*'Lab Analysis'!E619/60)),"0")</f>
        <v>0</v>
      </c>
      <c r="D619" s="187" t="str">
        <f>IFERROR(((2*('Lab Analysis'!E619/60)+('Lab Analysis'!C619/17))/(('Lab Analysis'!D619/44)+('Lab Analysis'!E619/60))),"0")</f>
        <v>0</v>
      </c>
      <c r="E619" s="187" t="str">
        <f>IFERROR((('Lab Analysis'!F619/18)-('Lab Analysis'!E619/60))/(('Lab Analysis'!D619/44)+('Lab Analysis'!E619/60)),"0")</f>
        <v>0</v>
      </c>
      <c r="F619" s="187" t="str">
        <f>IFERROR((('Lab Analysis'!F619/18)/('Lab Analysis'!E619/60)),"0")</f>
        <v>0</v>
      </c>
      <c r="G619" s="188" t="str">
        <f>IFERROR(('Lab Analysis'!I619/('Lab Analysis'!I619+(1.765*'Lab Analysis'!G619))),"0")</f>
        <v>0</v>
      </c>
      <c r="H619" s="189" t="str">
        <f>IFERROR(((2*('Lab Analysis'!I619/60))+('Lab Analysis'!G619/17))/(('Lab Analysis'!H619/44)+('Lab Analysis'!I619/60)),"0")</f>
        <v>0</v>
      </c>
      <c r="I619" s="189" t="str">
        <f>IFERROR((('Lab Analysis'!J619/18)-('Lab Analysis'!I619/60))/(('Lab Analysis'!H619/44)+('Lab Analysis'!I619/60)),"0")</f>
        <v>0</v>
      </c>
      <c r="J619" s="186" t="str">
        <f>IFERROR(('Lab Analysis'!M619/('Lab Analysis'!M619+(1.765*'Lab Analysis'!K619))),"0")</f>
        <v>0</v>
      </c>
      <c r="K619" s="190" t="str">
        <f>IFERROR(((2*('Lab Analysis'!M619/60))+('Lab Analysis'!K619/17))/(('Lab Analysis'!L619/44)+('Lab Analysis'!M619/60)),"0")</f>
        <v>0</v>
      </c>
      <c r="L619" s="190" t="str">
        <f>IFERROR((('Lab Analysis'!N619/18)-('Lab Analysis'!M619/60))/(('Lab Analysis'!L619/44)+('Lab Analysis'!M619/60)),"0")</f>
        <v>0</v>
      </c>
      <c r="M619" s="187" t="str">
        <f>IFERROR(((2*('Lab Analysis'!U619/60))+('Lab Analysis'!S619/17))/(('Lab Analysis'!T619/44)+('Lab Analysis'!U619/60)),"0")</f>
        <v>0</v>
      </c>
      <c r="N619" s="187" t="str">
        <f>IFERROR((('Lab Analysis'!V619/18)-('Lab Analysis'!U619/60))/(('Lab Analysis'!T619/44)+('Lab Analysis'!U619/60)),"0")</f>
        <v>0</v>
      </c>
      <c r="O619" s="187" t="str">
        <f>IFERROR(((2*('Lab Analysis'!Y619/60)+('Lab Analysis'!W619/17))/(('Lab Analysis'!X619/44)+('Lab Analysis'!Y619/60))),"0")</f>
        <v>0</v>
      </c>
      <c r="P619" s="187" t="str">
        <f>IFERROR((('Lab Analysis'!Z619/18)-('Lab Analysis'!Y619/60))/(('Lab Analysis'!X619/44)+('Lab Analysis'!Y619/60)),"0")</f>
        <v>0</v>
      </c>
      <c r="Q619" s="191"/>
    </row>
    <row r="620" spans="1:17">
      <c r="A620" s="185">
        <v>46434</v>
      </c>
      <c r="B620" s="186" t="str">
        <f>IFERROR(('Lab Analysis'!E620/('Lab Analysis'!E620+(1.364*'Lab Analysis'!D620))),"0")</f>
        <v>0</v>
      </c>
      <c r="C620" s="186" t="str">
        <f>IFERROR((2*'Lab Analysis'!E620/60)/('Lab Analysis'!C620/17+(2*'Lab Analysis'!E620/60)),"0")</f>
        <v>0</v>
      </c>
      <c r="D620" s="187" t="str">
        <f>IFERROR(((2*('Lab Analysis'!E620/60)+('Lab Analysis'!C620/17))/(('Lab Analysis'!D620/44)+('Lab Analysis'!E620/60))),"0")</f>
        <v>0</v>
      </c>
      <c r="E620" s="187" t="str">
        <f>IFERROR((('Lab Analysis'!F620/18)-('Lab Analysis'!E620/60))/(('Lab Analysis'!D620/44)+('Lab Analysis'!E620/60)),"0")</f>
        <v>0</v>
      </c>
      <c r="F620" s="187" t="str">
        <f>IFERROR((('Lab Analysis'!F620/18)/('Lab Analysis'!E620/60)),"0")</f>
        <v>0</v>
      </c>
      <c r="G620" s="188" t="str">
        <f>IFERROR(('Lab Analysis'!I620/('Lab Analysis'!I620+(1.765*'Lab Analysis'!G620))),"0")</f>
        <v>0</v>
      </c>
      <c r="H620" s="189" t="str">
        <f>IFERROR(((2*('Lab Analysis'!I620/60))+('Lab Analysis'!G620/17))/(('Lab Analysis'!H620/44)+('Lab Analysis'!I620/60)),"0")</f>
        <v>0</v>
      </c>
      <c r="I620" s="189" t="str">
        <f>IFERROR((('Lab Analysis'!J620/18)-('Lab Analysis'!I620/60))/(('Lab Analysis'!H620/44)+('Lab Analysis'!I620/60)),"0")</f>
        <v>0</v>
      </c>
      <c r="J620" s="186" t="str">
        <f>IFERROR(('Lab Analysis'!M620/('Lab Analysis'!M620+(1.765*'Lab Analysis'!K620))),"0")</f>
        <v>0</v>
      </c>
      <c r="K620" s="190" t="str">
        <f>IFERROR(((2*('Lab Analysis'!M620/60))+('Lab Analysis'!K620/17))/(('Lab Analysis'!L620/44)+('Lab Analysis'!M620/60)),"0")</f>
        <v>0</v>
      </c>
      <c r="L620" s="190" t="str">
        <f>IFERROR((('Lab Analysis'!N620/18)-('Lab Analysis'!M620/60))/(('Lab Analysis'!L620/44)+('Lab Analysis'!M620/60)),"0")</f>
        <v>0</v>
      </c>
      <c r="M620" s="187" t="str">
        <f>IFERROR(((2*('Lab Analysis'!U620/60))+('Lab Analysis'!S620/17))/(('Lab Analysis'!T620/44)+('Lab Analysis'!U620/60)),"0")</f>
        <v>0</v>
      </c>
      <c r="N620" s="187" t="str">
        <f>IFERROR((('Lab Analysis'!V620/18)-('Lab Analysis'!U620/60))/(('Lab Analysis'!T620/44)+('Lab Analysis'!U620/60)),"0")</f>
        <v>0</v>
      </c>
      <c r="O620" s="187" t="str">
        <f>IFERROR(((2*('Lab Analysis'!Y620/60)+('Lab Analysis'!W620/17))/(('Lab Analysis'!X620/44)+('Lab Analysis'!Y620/60))),"0")</f>
        <v>0</v>
      </c>
      <c r="P620" s="187" t="str">
        <f>IFERROR((('Lab Analysis'!Z620/18)-('Lab Analysis'!Y620/60))/(('Lab Analysis'!X620/44)+('Lab Analysis'!Y620/60)),"0")</f>
        <v>0</v>
      </c>
      <c r="Q620" s="191"/>
    </row>
    <row r="621" spans="1:17">
      <c r="A621" s="185">
        <v>46435</v>
      </c>
      <c r="B621" s="186" t="str">
        <f>IFERROR(('Lab Analysis'!E621/('Lab Analysis'!E621+(1.364*'Lab Analysis'!D621))),"0")</f>
        <v>0</v>
      </c>
      <c r="C621" s="186" t="str">
        <f>IFERROR((2*'Lab Analysis'!E621/60)/('Lab Analysis'!C621/17+(2*'Lab Analysis'!E621/60)),"0")</f>
        <v>0</v>
      </c>
      <c r="D621" s="187" t="str">
        <f>IFERROR(((2*('Lab Analysis'!E621/60)+('Lab Analysis'!C621/17))/(('Lab Analysis'!D621/44)+('Lab Analysis'!E621/60))),"0")</f>
        <v>0</v>
      </c>
      <c r="E621" s="187" t="str">
        <f>IFERROR((('Lab Analysis'!F621/18)-('Lab Analysis'!E621/60))/(('Lab Analysis'!D621/44)+('Lab Analysis'!E621/60)),"0")</f>
        <v>0</v>
      </c>
      <c r="F621" s="187" t="str">
        <f>IFERROR((('Lab Analysis'!F621/18)/('Lab Analysis'!E621/60)),"0")</f>
        <v>0</v>
      </c>
      <c r="G621" s="188" t="str">
        <f>IFERROR(('Lab Analysis'!I621/('Lab Analysis'!I621+(1.765*'Lab Analysis'!G621))),"0")</f>
        <v>0</v>
      </c>
      <c r="H621" s="189" t="str">
        <f>IFERROR(((2*('Lab Analysis'!I621/60))+('Lab Analysis'!G621/17))/(('Lab Analysis'!H621/44)+('Lab Analysis'!I621/60)),"0")</f>
        <v>0</v>
      </c>
      <c r="I621" s="189" t="str">
        <f>IFERROR((('Lab Analysis'!J621/18)-('Lab Analysis'!I621/60))/(('Lab Analysis'!H621/44)+('Lab Analysis'!I621/60)),"0")</f>
        <v>0</v>
      </c>
      <c r="J621" s="186" t="str">
        <f>IFERROR(('Lab Analysis'!M621/('Lab Analysis'!M621+(1.765*'Lab Analysis'!K621))),"0")</f>
        <v>0</v>
      </c>
      <c r="K621" s="190" t="str">
        <f>IFERROR(((2*('Lab Analysis'!M621/60))+('Lab Analysis'!K621/17))/(('Lab Analysis'!L621/44)+('Lab Analysis'!M621/60)),"0")</f>
        <v>0</v>
      </c>
      <c r="L621" s="190" t="str">
        <f>IFERROR((('Lab Analysis'!N621/18)-('Lab Analysis'!M621/60))/(('Lab Analysis'!L621/44)+('Lab Analysis'!M621/60)),"0")</f>
        <v>0</v>
      </c>
      <c r="M621" s="187" t="str">
        <f>IFERROR(((2*('Lab Analysis'!U621/60))+('Lab Analysis'!S621/17))/(('Lab Analysis'!T621/44)+('Lab Analysis'!U621/60)),"0")</f>
        <v>0</v>
      </c>
      <c r="N621" s="187" t="str">
        <f>IFERROR((('Lab Analysis'!V621/18)-('Lab Analysis'!U621/60))/(('Lab Analysis'!T621/44)+('Lab Analysis'!U621/60)),"0")</f>
        <v>0</v>
      </c>
      <c r="O621" s="187" t="str">
        <f>IFERROR(((2*('Lab Analysis'!Y621/60)+('Lab Analysis'!W621/17))/(('Lab Analysis'!X621/44)+('Lab Analysis'!Y621/60))),"0")</f>
        <v>0</v>
      </c>
      <c r="P621" s="187" t="str">
        <f>IFERROR((('Lab Analysis'!Z621/18)-('Lab Analysis'!Y621/60))/(('Lab Analysis'!X621/44)+('Lab Analysis'!Y621/60)),"0")</f>
        <v>0</v>
      </c>
      <c r="Q621" s="191"/>
    </row>
    <row r="622" spans="1:17">
      <c r="A622" s="185">
        <v>46436</v>
      </c>
      <c r="B622" s="186" t="str">
        <f>IFERROR(('Lab Analysis'!E622/('Lab Analysis'!E622+(1.364*'Lab Analysis'!D622))),"0")</f>
        <v>0</v>
      </c>
      <c r="C622" s="186" t="str">
        <f>IFERROR((2*'Lab Analysis'!E622/60)/('Lab Analysis'!C622/17+(2*'Lab Analysis'!E622/60)),"0")</f>
        <v>0</v>
      </c>
      <c r="D622" s="187" t="str">
        <f>IFERROR(((2*('Lab Analysis'!E622/60)+('Lab Analysis'!C622/17))/(('Lab Analysis'!D622/44)+('Lab Analysis'!E622/60))),"0")</f>
        <v>0</v>
      </c>
      <c r="E622" s="187" t="str">
        <f>IFERROR((('Lab Analysis'!F622/18)-('Lab Analysis'!E622/60))/(('Lab Analysis'!D622/44)+('Lab Analysis'!E622/60)),"0")</f>
        <v>0</v>
      </c>
      <c r="F622" s="187" t="str">
        <f>IFERROR((('Lab Analysis'!F622/18)/('Lab Analysis'!E622/60)),"0")</f>
        <v>0</v>
      </c>
      <c r="G622" s="188" t="str">
        <f>IFERROR(('Lab Analysis'!I622/('Lab Analysis'!I622+(1.765*'Lab Analysis'!G622))),"0")</f>
        <v>0</v>
      </c>
      <c r="H622" s="189" t="str">
        <f>IFERROR(((2*('Lab Analysis'!I622/60))+('Lab Analysis'!G622/17))/(('Lab Analysis'!H622/44)+('Lab Analysis'!I622/60)),"0")</f>
        <v>0</v>
      </c>
      <c r="I622" s="189" t="str">
        <f>IFERROR((('Lab Analysis'!J622/18)-('Lab Analysis'!I622/60))/(('Lab Analysis'!H622/44)+('Lab Analysis'!I622/60)),"0")</f>
        <v>0</v>
      </c>
      <c r="J622" s="186" t="str">
        <f>IFERROR(('Lab Analysis'!M622/('Lab Analysis'!M622+(1.765*'Lab Analysis'!K622))),"0")</f>
        <v>0</v>
      </c>
      <c r="K622" s="190" t="str">
        <f>IFERROR(((2*('Lab Analysis'!M622/60))+('Lab Analysis'!K622/17))/(('Lab Analysis'!L622/44)+('Lab Analysis'!M622/60)),"0")</f>
        <v>0</v>
      </c>
      <c r="L622" s="190" t="str">
        <f>IFERROR((('Lab Analysis'!N622/18)-('Lab Analysis'!M622/60))/(('Lab Analysis'!L622/44)+('Lab Analysis'!M622/60)),"0")</f>
        <v>0</v>
      </c>
      <c r="M622" s="187" t="str">
        <f>IFERROR(((2*('Lab Analysis'!U622/60))+('Lab Analysis'!S622/17))/(('Lab Analysis'!T622/44)+('Lab Analysis'!U622/60)),"0")</f>
        <v>0</v>
      </c>
      <c r="N622" s="187" t="str">
        <f>IFERROR((('Lab Analysis'!V622/18)-('Lab Analysis'!U622/60))/(('Lab Analysis'!T622/44)+('Lab Analysis'!U622/60)),"0")</f>
        <v>0</v>
      </c>
      <c r="O622" s="187" t="str">
        <f>IFERROR(((2*('Lab Analysis'!Y622/60)+('Lab Analysis'!W622/17))/(('Lab Analysis'!X622/44)+('Lab Analysis'!Y622/60))),"0")</f>
        <v>0</v>
      </c>
      <c r="P622" s="187" t="str">
        <f>IFERROR((('Lab Analysis'!Z622/18)-('Lab Analysis'!Y622/60))/(('Lab Analysis'!X622/44)+('Lab Analysis'!Y622/60)),"0")</f>
        <v>0</v>
      </c>
      <c r="Q622" s="191"/>
    </row>
    <row r="623" spans="1:17">
      <c r="A623" s="185">
        <v>46437</v>
      </c>
      <c r="B623" s="186" t="str">
        <f>IFERROR(('Lab Analysis'!E623/('Lab Analysis'!E623+(1.364*'Lab Analysis'!D623))),"0")</f>
        <v>0</v>
      </c>
      <c r="C623" s="186" t="str">
        <f>IFERROR((2*'Lab Analysis'!E623/60)/('Lab Analysis'!C623/17+(2*'Lab Analysis'!E623/60)),"0")</f>
        <v>0</v>
      </c>
      <c r="D623" s="187" t="str">
        <f>IFERROR(((2*('Lab Analysis'!E623/60)+('Lab Analysis'!C623/17))/(('Lab Analysis'!D623/44)+('Lab Analysis'!E623/60))),"0")</f>
        <v>0</v>
      </c>
      <c r="E623" s="187" t="str">
        <f>IFERROR((('Lab Analysis'!F623/18)-('Lab Analysis'!E623/60))/(('Lab Analysis'!D623/44)+('Lab Analysis'!E623/60)),"0")</f>
        <v>0</v>
      </c>
      <c r="F623" s="187" t="str">
        <f>IFERROR((('Lab Analysis'!F623/18)/('Lab Analysis'!E623/60)),"0")</f>
        <v>0</v>
      </c>
      <c r="G623" s="188" t="str">
        <f>IFERROR(('Lab Analysis'!I623/('Lab Analysis'!I623+(1.765*'Lab Analysis'!G623))),"0")</f>
        <v>0</v>
      </c>
      <c r="H623" s="189" t="str">
        <f>IFERROR(((2*('Lab Analysis'!I623/60))+('Lab Analysis'!G623/17))/(('Lab Analysis'!H623/44)+('Lab Analysis'!I623/60)),"0")</f>
        <v>0</v>
      </c>
      <c r="I623" s="189" t="str">
        <f>IFERROR((('Lab Analysis'!J623/18)-('Lab Analysis'!I623/60))/(('Lab Analysis'!H623/44)+('Lab Analysis'!I623/60)),"0")</f>
        <v>0</v>
      </c>
      <c r="J623" s="186" t="str">
        <f>IFERROR(('Lab Analysis'!M623/('Lab Analysis'!M623+(1.765*'Lab Analysis'!K623))),"0")</f>
        <v>0</v>
      </c>
      <c r="K623" s="190" t="str">
        <f>IFERROR(((2*('Lab Analysis'!M623/60))+('Lab Analysis'!K623/17))/(('Lab Analysis'!L623/44)+('Lab Analysis'!M623/60)),"0")</f>
        <v>0</v>
      </c>
      <c r="L623" s="190" t="str">
        <f>IFERROR((('Lab Analysis'!N623/18)-('Lab Analysis'!M623/60))/(('Lab Analysis'!L623/44)+('Lab Analysis'!M623/60)),"0")</f>
        <v>0</v>
      </c>
      <c r="M623" s="187" t="str">
        <f>IFERROR(((2*('Lab Analysis'!U623/60))+('Lab Analysis'!S623/17))/(('Lab Analysis'!T623/44)+('Lab Analysis'!U623/60)),"0")</f>
        <v>0</v>
      </c>
      <c r="N623" s="187" t="str">
        <f>IFERROR((('Lab Analysis'!V623/18)-('Lab Analysis'!U623/60))/(('Lab Analysis'!T623/44)+('Lab Analysis'!U623/60)),"0")</f>
        <v>0</v>
      </c>
      <c r="O623" s="187" t="str">
        <f>IFERROR(((2*('Lab Analysis'!Y623/60)+('Lab Analysis'!W623/17))/(('Lab Analysis'!X623/44)+('Lab Analysis'!Y623/60))),"0")</f>
        <v>0</v>
      </c>
      <c r="P623" s="187" t="str">
        <f>IFERROR((('Lab Analysis'!Z623/18)-('Lab Analysis'!Y623/60))/(('Lab Analysis'!X623/44)+('Lab Analysis'!Y623/60)),"0")</f>
        <v>0</v>
      </c>
      <c r="Q623" s="191"/>
    </row>
    <row r="624" spans="1:17">
      <c r="A624" s="185">
        <v>46438</v>
      </c>
      <c r="B624" s="186" t="str">
        <f>IFERROR(('Lab Analysis'!E624/('Lab Analysis'!E624+(1.364*'Lab Analysis'!D624))),"0")</f>
        <v>0</v>
      </c>
      <c r="C624" s="186" t="str">
        <f>IFERROR((2*'Lab Analysis'!E624/60)/('Lab Analysis'!C624/17+(2*'Lab Analysis'!E624/60)),"0")</f>
        <v>0</v>
      </c>
      <c r="D624" s="187" t="str">
        <f>IFERROR(((2*('Lab Analysis'!E624/60)+('Lab Analysis'!C624/17))/(('Lab Analysis'!D624/44)+('Lab Analysis'!E624/60))),"0")</f>
        <v>0</v>
      </c>
      <c r="E624" s="187" t="str">
        <f>IFERROR((('Lab Analysis'!F624/18)-('Lab Analysis'!E624/60))/(('Lab Analysis'!D624/44)+('Lab Analysis'!E624/60)),"0")</f>
        <v>0</v>
      </c>
      <c r="F624" s="187" t="str">
        <f>IFERROR((('Lab Analysis'!F624/18)/('Lab Analysis'!E624/60)),"0")</f>
        <v>0</v>
      </c>
      <c r="G624" s="188" t="str">
        <f>IFERROR(('Lab Analysis'!I624/('Lab Analysis'!I624+(1.765*'Lab Analysis'!G624))),"0")</f>
        <v>0</v>
      </c>
      <c r="H624" s="189" t="str">
        <f>IFERROR(((2*('Lab Analysis'!I624/60))+('Lab Analysis'!G624/17))/(('Lab Analysis'!H624/44)+('Lab Analysis'!I624/60)),"0")</f>
        <v>0</v>
      </c>
      <c r="I624" s="189" t="str">
        <f>IFERROR((('Lab Analysis'!J624/18)-('Lab Analysis'!I624/60))/(('Lab Analysis'!H624/44)+('Lab Analysis'!I624/60)),"0")</f>
        <v>0</v>
      </c>
      <c r="J624" s="186" t="str">
        <f>IFERROR(('Lab Analysis'!M624/('Lab Analysis'!M624+(1.765*'Lab Analysis'!K624))),"0")</f>
        <v>0</v>
      </c>
      <c r="K624" s="190" t="str">
        <f>IFERROR(((2*('Lab Analysis'!M624/60))+('Lab Analysis'!K624/17))/(('Lab Analysis'!L624/44)+('Lab Analysis'!M624/60)),"0")</f>
        <v>0</v>
      </c>
      <c r="L624" s="190" t="str">
        <f>IFERROR((('Lab Analysis'!N624/18)-('Lab Analysis'!M624/60))/(('Lab Analysis'!L624/44)+('Lab Analysis'!M624/60)),"0")</f>
        <v>0</v>
      </c>
      <c r="M624" s="187" t="str">
        <f>IFERROR(((2*('Lab Analysis'!U624/60))+('Lab Analysis'!S624/17))/(('Lab Analysis'!T624/44)+('Lab Analysis'!U624/60)),"0")</f>
        <v>0</v>
      </c>
      <c r="N624" s="187" t="str">
        <f>IFERROR((('Lab Analysis'!V624/18)-('Lab Analysis'!U624/60))/(('Lab Analysis'!T624/44)+('Lab Analysis'!U624/60)),"0")</f>
        <v>0</v>
      </c>
      <c r="O624" s="187" t="str">
        <f>IFERROR(((2*('Lab Analysis'!Y624/60)+('Lab Analysis'!W624/17))/(('Lab Analysis'!X624/44)+('Lab Analysis'!Y624/60))),"0")</f>
        <v>0</v>
      </c>
      <c r="P624" s="187" t="str">
        <f>IFERROR((('Lab Analysis'!Z624/18)-('Lab Analysis'!Y624/60))/(('Lab Analysis'!X624/44)+('Lab Analysis'!Y624/60)),"0")</f>
        <v>0</v>
      </c>
      <c r="Q624" s="191"/>
    </row>
    <row r="625" spans="1:17">
      <c r="A625" s="185">
        <v>46439</v>
      </c>
      <c r="B625" s="186" t="str">
        <f>IFERROR(('Lab Analysis'!E625/('Lab Analysis'!E625+(1.364*'Lab Analysis'!D625))),"0")</f>
        <v>0</v>
      </c>
      <c r="C625" s="186" t="str">
        <f>IFERROR((2*'Lab Analysis'!E625/60)/('Lab Analysis'!C625/17+(2*'Lab Analysis'!E625/60)),"0")</f>
        <v>0</v>
      </c>
      <c r="D625" s="187" t="str">
        <f>IFERROR(((2*('Lab Analysis'!E625/60)+('Lab Analysis'!C625/17))/(('Lab Analysis'!D625/44)+('Lab Analysis'!E625/60))),"0")</f>
        <v>0</v>
      </c>
      <c r="E625" s="187" t="str">
        <f>IFERROR((('Lab Analysis'!F625/18)-('Lab Analysis'!E625/60))/(('Lab Analysis'!D625/44)+('Lab Analysis'!E625/60)),"0")</f>
        <v>0</v>
      </c>
      <c r="F625" s="187" t="str">
        <f>IFERROR((('Lab Analysis'!F625/18)/('Lab Analysis'!E625/60)),"0")</f>
        <v>0</v>
      </c>
      <c r="G625" s="188" t="str">
        <f>IFERROR(('Lab Analysis'!I625/('Lab Analysis'!I625+(1.765*'Lab Analysis'!G625))),"0")</f>
        <v>0</v>
      </c>
      <c r="H625" s="189" t="str">
        <f>IFERROR(((2*('Lab Analysis'!I625/60))+('Lab Analysis'!G625/17))/(('Lab Analysis'!H625/44)+('Lab Analysis'!I625/60)),"0")</f>
        <v>0</v>
      </c>
      <c r="I625" s="189" t="str">
        <f>IFERROR((('Lab Analysis'!J625/18)-('Lab Analysis'!I625/60))/(('Lab Analysis'!H625/44)+('Lab Analysis'!I625/60)),"0")</f>
        <v>0</v>
      </c>
      <c r="J625" s="186" t="str">
        <f>IFERROR(('Lab Analysis'!M625/('Lab Analysis'!M625+(1.765*'Lab Analysis'!K625))),"0")</f>
        <v>0</v>
      </c>
      <c r="K625" s="190" t="str">
        <f>IFERROR(((2*('Lab Analysis'!M625/60))+('Lab Analysis'!K625/17))/(('Lab Analysis'!L625/44)+('Lab Analysis'!M625/60)),"0")</f>
        <v>0</v>
      </c>
      <c r="L625" s="190" t="str">
        <f>IFERROR((('Lab Analysis'!N625/18)-('Lab Analysis'!M625/60))/(('Lab Analysis'!L625/44)+('Lab Analysis'!M625/60)),"0")</f>
        <v>0</v>
      </c>
      <c r="M625" s="187" t="str">
        <f>IFERROR(((2*('Lab Analysis'!U625/60))+('Lab Analysis'!S625/17))/(('Lab Analysis'!T625/44)+('Lab Analysis'!U625/60)),"0")</f>
        <v>0</v>
      </c>
      <c r="N625" s="187" t="str">
        <f>IFERROR((('Lab Analysis'!V625/18)-('Lab Analysis'!U625/60))/(('Lab Analysis'!T625/44)+('Lab Analysis'!U625/60)),"0")</f>
        <v>0</v>
      </c>
      <c r="O625" s="187" t="str">
        <f>IFERROR(((2*('Lab Analysis'!Y625/60)+('Lab Analysis'!W625/17))/(('Lab Analysis'!X625/44)+('Lab Analysis'!Y625/60))),"0")</f>
        <v>0</v>
      </c>
      <c r="P625" s="187" t="str">
        <f>IFERROR((('Lab Analysis'!Z625/18)-('Lab Analysis'!Y625/60))/(('Lab Analysis'!X625/44)+('Lab Analysis'!Y625/60)),"0")</f>
        <v>0</v>
      </c>
      <c r="Q625" s="191"/>
    </row>
    <row r="626" spans="1:17">
      <c r="A626" s="185">
        <v>46440</v>
      </c>
      <c r="B626" s="186" t="str">
        <f>IFERROR(('Lab Analysis'!E626/('Lab Analysis'!E626+(1.364*'Lab Analysis'!D626))),"0")</f>
        <v>0</v>
      </c>
      <c r="C626" s="186" t="str">
        <f>IFERROR((2*'Lab Analysis'!E626/60)/('Lab Analysis'!C626/17+(2*'Lab Analysis'!E626/60)),"0")</f>
        <v>0</v>
      </c>
      <c r="D626" s="187" t="str">
        <f>IFERROR(((2*('Lab Analysis'!E626/60)+('Lab Analysis'!C626/17))/(('Lab Analysis'!D626/44)+('Lab Analysis'!E626/60))),"0")</f>
        <v>0</v>
      </c>
      <c r="E626" s="187" t="str">
        <f>IFERROR((('Lab Analysis'!F626/18)-('Lab Analysis'!E626/60))/(('Lab Analysis'!D626/44)+('Lab Analysis'!E626/60)),"0")</f>
        <v>0</v>
      </c>
      <c r="F626" s="187" t="str">
        <f>IFERROR((('Lab Analysis'!F626/18)/('Lab Analysis'!E626/60)),"0")</f>
        <v>0</v>
      </c>
      <c r="G626" s="188" t="str">
        <f>IFERROR(('Lab Analysis'!I626/('Lab Analysis'!I626+(1.765*'Lab Analysis'!G626))),"0")</f>
        <v>0</v>
      </c>
      <c r="H626" s="189" t="str">
        <f>IFERROR(((2*('Lab Analysis'!I626/60))+('Lab Analysis'!G626/17))/(('Lab Analysis'!H626/44)+('Lab Analysis'!I626/60)),"0")</f>
        <v>0</v>
      </c>
      <c r="I626" s="189" t="str">
        <f>IFERROR((('Lab Analysis'!J626/18)-('Lab Analysis'!I626/60))/(('Lab Analysis'!H626/44)+('Lab Analysis'!I626/60)),"0")</f>
        <v>0</v>
      </c>
      <c r="J626" s="186" t="str">
        <f>IFERROR(('Lab Analysis'!M626/('Lab Analysis'!M626+(1.765*'Lab Analysis'!K626))),"0")</f>
        <v>0</v>
      </c>
      <c r="K626" s="190" t="str">
        <f>IFERROR(((2*('Lab Analysis'!M626/60))+('Lab Analysis'!K626/17))/(('Lab Analysis'!L626/44)+('Lab Analysis'!M626/60)),"0")</f>
        <v>0</v>
      </c>
      <c r="L626" s="190" t="str">
        <f>IFERROR((('Lab Analysis'!N626/18)-('Lab Analysis'!M626/60))/(('Lab Analysis'!L626/44)+('Lab Analysis'!M626/60)),"0")</f>
        <v>0</v>
      </c>
      <c r="M626" s="187" t="str">
        <f>IFERROR(((2*('Lab Analysis'!U626/60))+('Lab Analysis'!S626/17))/(('Lab Analysis'!T626/44)+('Lab Analysis'!U626/60)),"0")</f>
        <v>0</v>
      </c>
      <c r="N626" s="187" t="str">
        <f>IFERROR((('Lab Analysis'!V626/18)-('Lab Analysis'!U626/60))/(('Lab Analysis'!T626/44)+('Lab Analysis'!U626/60)),"0")</f>
        <v>0</v>
      </c>
      <c r="O626" s="187" t="str">
        <f>IFERROR(((2*('Lab Analysis'!Y626/60)+('Lab Analysis'!W626/17))/(('Lab Analysis'!X626/44)+('Lab Analysis'!Y626/60))),"0")</f>
        <v>0</v>
      </c>
      <c r="P626" s="187" t="str">
        <f>IFERROR((('Lab Analysis'!Z626/18)-('Lab Analysis'!Y626/60))/(('Lab Analysis'!X626/44)+('Lab Analysis'!Y626/60)),"0")</f>
        <v>0</v>
      </c>
      <c r="Q626" s="191"/>
    </row>
    <row r="627" spans="1:17">
      <c r="A627" s="185">
        <v>46441</v>
      </c>
      <c r="B627" s="186" t="str">
        <f>IFERROR(('Lab Analysis'!E627/('Lab Analysis'!E627+(1.364*'Lab Analysis'!D627))),"0")</f>
        <v>0</v>
      </c>
      <c r="C627" s="186" t="str">
        <f>IFERROR((2*'Lab Analysis'!E627/60)/('Lab Analysis'!C627/17+(2*'Lab Analysis'!E627/60)),"0")</f>
        <v>0</v>
      </c>
      <c r="D627" s="187" t="str">
        <f>IFERROR(((2*('Lab Analysis'!E627/60)+('Lab Analysis'!C627/17))/(('Lab Analysis'!D627/44)+('Lab Analysis'!E627/60))),"0")</f>
        <v>0</v>
      </c>
      <c r="E627" s="187" t="str">
        <f>IFERROR((('Lab Analysis'!F627/18)-('Lab Analysis'!E627/60))/(('Lab Analysis'!D627/44)+('Lab Analysis'!E627/60)),"0")</f>
        <v>0</v>
      </c>
      <c r="F627" s="187" t="str">
        <f>IFERROR((('Lab Analysis'!F627/18)/('Lab Analysis'!E627/60)),"0")</f>
        <v>0</v>
      </c>
      <c r="G627" s="188" t="str">
        <f>IFERROR(('Lab Analysis'!I627/('Lab Analysis'!I627+(1.765*'Lab Analysis'!G627))),"0")</f>
        <v>0</v>
      </c>
      <c r="H627" s="189" t="str">
        <f>IFERROR(((2*('Lab Analysis'!I627/60))+('Lab Analysis'!G627/17))/(('Lab Analysis'!H627/44)+('Lab Analysis'!I627/60)),"0")</f>
        <v>0</v>
      </c>
      <c r="I627" s="189" t="str">
        <f>IFERROR((('Lab Analysis'!J627/18)-('Lab Analysis'!I627/60))/(('Lab Analysis'!H627/44)+('Lab Analysis'!I627/60)),"0")</f>
        <v>0</v>
      </c>
      <c r="J627" s="186" t="str">
        <f>IFERROR(('Lab Analysis'!M627/('Lab Analysis'!M627+(1.765*'Lab Analysis'!K627))),"0")</f>
        <v>0</v>
      </c>
      <c r="K627" s="190" t="str">
        <f>IFERROR(((2*('Lab Analysis'!M627/60))+('Lab Analysis'!K627/17))/(('Lab Analysis'!L627/44)+('Lab Analysis'!M627/60)),"0")</f>
        <v>0</v>
      </c>
      <c r="L627" s="190" t="str">
        <f>IFERROR((('Lab Analysis'!N627/18)-('Lab Analysis'!M627/60))/(('Lab Analysis'!L627/44)+('Lab Analysis'!M627/60)),"0")</f>
        <v>0</v>
      </c>
      <c r="M627" s="187" t="str">
        <f>IFERROR(((2*('Lab Analysis'!U627/60))+('Lab Analysis'!S627/17))/(('Lab Analysis'!T627/44)+('Lab Analysis'!U627/60)),"0")</f>
        <v>0</v>
      </c>
      <c r="N627" s="187" t="str">
        <f>IFERROR((('Lab Analysis'!V627/18)-('Lab Analysis'!U627/60))/(('Lab Analysis'!T627/44)+('Lab Analysis'!U627/60)),"0")</f>
        <v>0</v>
      </c>
      <c r="O627" s="187" t="str">
        <f>IFERROR(((2*('Lab Analysis'!Y627/60)+('Lab Analysis'!W627/17))/(('Lab Analysis'!X627/44)+('Lab Analysis'!Y627/60))),"0")</f>
        <v>0</v>
      </c>
      <c r="P627" s="187" t="str">
        <f>IFERROR((('Lab Analysis'!Z627/18)-('Lab Analysis'!Y627/60))/(('Lab Analysis'!X627/44)+('Lab Analysis'!Y627/60)),"0")</f>
        <v>0</v>
      </c>
      <c r="Q627" s="191"/>
    </row>
    <row r="628" spans="1:17">
      <c r="A628" s="185">
        <v>46442</v>
      </c>
      <c r="B628" s="186" t="str">
        <f>IFERROR(('Lab Analysis'!E628/('Lab Analysis'!E628+(1.364*'Lab Analysis'!D628))),"0")</f>
        <v>0</v>
      </c>
      <c r="C628" s="186" t="str">
        <f>IFERROR((2*'Lab Analysis'!E628/60)/('Lab Analysis'!C628/17+(2*'Lab Analysis'!E628/60)),"0")</f>
        <v>0</v>
      </c>
      <c r="D628" s="187" t="str">
        <f>IFERROR(((2*('Lab Analysis'!E628/60)+('Lab Analysis'!C628/17))/(('Lab Analysis'!D628/44)+('Lab Analysis'!E628/60))),"0")</f>
        <v>0</v>
      </c>
      <c r="E628" s="187" t="str">
        <f>IFERROR((('Lab Analysis'!F628/18)-('Lab Analysis'!E628/60))/(('Lab Analysis'!D628/44)+('Lab Analysis'!E628/60)),"0")</f>
        <v>0</v>
      </c>
      <c r="F628" s="187" t="str">
        <f>IFERROR((('Lab Analysis'!F628/18)/('Lab Analysis'!E628/60)),"0")</f>
        <v>0</v>
      </c>
      <c r="G628" s="188" t="str">
        <f>IFERROR(('Lab Analysis'!I628/('Lab Analysis'!I628+(1.765*'Lab Analysis'!G628))),"0")</f>
        <v>0</v>
      </c>
      <c r="H628" s="189" t="str">
        <f>IFERROR(((2*('Lab Analysis'!I628/60))+('Lab Analysis'!G628/17))/(('Lab Analysis'!H628/44)+('Lab Analysis'!I628/60)),"0")</f>
        <v>0</v>
      </c>
      <c r="I628" s="189" t="str">
        <f>IFERROR((('Lab Analysis'!J628/18)-('Lab Analysis'!I628/60))/(('Lab Analysis'!H628/44)+('Lab Analysis'!I628/60)),"0")</f>
        <v>0</v>
      </c>
      <c r="J628" s="186" t="str">
        <f>IFERROR(('Lab Analysis'!M628/('Lab Analysis'!M628+(1.765*'Lab Analysis'!K628))),"0")</f>
        <v>0</v>
      </c>
      <c r="K628" s="190" t="str">
        <f>IFERROR(((2*('Lab Analysis'!M628/60))+('Lab Analysis'!K628/17))/(('Lab Analysis'!L628/44)+('Lab Analysis'!M628/60)),"0")</f>
        <v>0</v>
      </c>
      <c r="L628" s="190" t="str">
        <f>IFERROR((('Lab Analysis'!N628/18)-('Lab Analysis'!M628/60))/(('Lab Analysis'!L628/44)+('Lab Analysis'!M628/60)),"0")</f>
        <v>0</v>
      </c>
      <c r="M628" s="187" t="str">
        <f>IFERROR(((2*('Lab Analysis'!U628/60))+('Lab Analysis'!S628/17))/(('Lab Analysis'!T628/44)+('Lab Analysis'!U628/60)),"0")</f>
        <v>0</v>
      </c>
      <c r="N628" s="187" t="str">
        <f>IFERROR((('Lab Analysis'!V628/18)-('Lab Analysis'!U628/60))/(('Lab Analysis'!T628/44)+('Lab Analysis'!U628/60)),"0")</f>
        <v>0</v>
      </c>
      <c r="O628" s="187" t="str">
        <f>IFERROR(((2*('Lab Analysis'!Y628/60)+('Lab Analysis'!W628/17))/(('Lab Analysis'!X628/44)+('Lab Analysis'!Y628/60))),"0")</f>
        <v>0</v>
      </c>
      <c r="P628" s="187" t="str">
        <f>IFERROR((('Lab Analysis'!Z628/18)-('Lab Analysis'!Y628/60))/(('Lab Analysis'!X628/44)+('Lab Analysis'!Y628/60)),"0")</f>
        <v>0</v>
      </c>
      <c r="Q628" s="191"/>
    </row>
    <row r="629" spans="1:17">
      <c r="A629" s="185">
        <v>46443</v>
      </c>
      <c r="B629" s="186" t="str">
        <f>IFERROR(('Lab Analysis'!E629/('Lab Analysis'!E629+(1.364*'Lab Analysis'!D629))),"0")</f>
        <v>0</v>
      </c>
      <c r="C629" s="186" t="str">
        <f>IFERROR((2*'Lab Analysis'!E629/60)/('Lab Analysis'!C629/17+(2*'Lab Analysis'!E629/60)),"0")</f>
        <v>0</v>
      </c>
      <c r="D629" s="187" t="str">
        <f>IFERROR(((2*('Lab Analysis'!E629/60)+('Lab Analysis'!C629/17))/(('Lab Analysis'!D629/44)+('Lab Analysis'!E629/60))),"0")</f>
        <v>0</v>
      </c>
      <c r="E629" s="187" t="str">
        <f>IFERROR((('Lab Analysis'!F629/18)-('Lab Analysis'!E629/60))/(('Lab Analysis'!D629/44)+('Lab Analysis'!E629/60)),"0")</f>
        <v>0</v>
      </c>
      <c r="F629" s="187" t="str">
        <f>IFERROR((('Lab Analysis'!F629/18)/('Lab Analysis'!E629/60)),"0")</f>
        <v>0</v>
      </c>
      <c r="G629" s="188" t="str">
        <f>IFERROR(('Lab Analysis'!I629/('Lab Analysis'!I629+(1.765*'Lab Analysis'!G629))),"0")</f>
        <v>0</v>
      </c>
      <c r="H629" s="189" t="str">
        <f>IFERROR(((2*('Lab Analysis'!I629/60))+('Lab Analysis'!G629/17))/(('Lab Analysis'!H629/44)+('Lab Analysis'!I629/60)),"0")</f>
        <v>0</v>
      </c>
      <c r="I629" s="189" t="str">
        <f>IFERROR((('Lab Analysis'!J629/18)-('Lab Analysis'!I629/60))/(('Lab Analysis'!H629/44)+('Lab Analysis'!I629/60)),"0")</f>
        <v>0</v>
      </c>
      <c r="J629" s="186" t="str">
        <f>IFERROR(('Lab Analysis'!M629/('Lab Analysis'!M629+(1.765*'Lab Analysis'!K629))),"0")</f>
        <v>0</v>
      </c>
      <c r="K629" s="190" t="str">
        <f>IFERROR(((2*('Lab Analysis'!M629/60))+('Lab Analysis'!K629/17))/(('Lab Analysis'!L629/44)+('Lab Analysis'!M629/60)),"0")</f>
        <v>0</v>
      </c>
      <c r="L629" s="190" t="str">
        <f>IFERROR((('Lab Analysis'!N629/18)-('Lab Analysis'!M629/60))/(('Lab Analysis'!L629/44)+('Lab Analysis'!M629/60)),"0")</f>
        <v>0</v>
      </c>
      <c r="M629" s="187" t="str">
        <f>IFERROR(((2*('Lab Analysis'!U629/60))+('Lab Analysis'!S629/17))/(('Lab Analysis'!T629/44)+('Lab Analysis'!U629/60)),"0")</f>
        <v>0</v>
      </c>
      <c r="N629" s="187" t="str">
        <f>IFERROR((('Lab Analysis'!V629/18)-('Lab Analysis'!U629/60))/(('Lab Analysis'!T629/44)+('Lab Analysis'!U629/60)),"0")</f>
        <v>0</v>
      </c>
      <c r="O629" s="187" t="str">
        <f>IFERROR(((2*('Lab Analysis'!Y629/60)+('Lab Analysis'!W629/17))/(('Lab Analysis'!X629/44)+('Lab Analysis'!Y629/60))),"0")</f>
        <v>0</v>
      </c>
      <c r="P629" s="187" t="str">
        <f>IFERROR((('Lab Analysis'!Z629/18)-('Lab Analysis'!Y629/60))/(('Lab Analysis'!X629/44)+('Lab Analysis'!Y629/60)),"0")</f>
        <v>0</v>
      </c>
      <c r="Q629" s="191"/>
    </row>
    <row r="630" spans="1:17">
      <c r="A630" s="185">
        <v>46444</v>
      </c>
      <c r="B630" s="186" t="str">
        <f>IFERROR(('Lab Analysis'!E630/('Lab Analysis'!E630+(1.364*'Lab Analysis'!D630))),"0")</f>
        <v>0</v>
      </c>
      <c r="C630" s="186" t="str">
        <f>IFERROR((2*'Lab Analysis'!E630/60)/('Lab Analysis'!C630/17+(2*'Lab Analysis'!E630/60)),"0")</f>
        <v>0</v>
      </c>
      <c r="D630" s="187" t="str">
        <f>IFERROR(((2*('Lab Analysis'!E630/60)+('Lab Analysis'!C630/17))/(('Lab Analysis'!D630/44)+('Lab Analysis'!E630/60))),"0")</f>
        <v>0</v>
      </c>
      <c r="E630" s="187" t="str">
        <f>IFERROR((('Lab Analysis'!F630/18)-('Lab Analysis'!E630/60))/(('Lab Analysis'!D630/44)+('Lab Analysis'!E630/60)),"0")</f>
        <v>0</v>
      </c>
      <c r="F630" s="187" t="str">
        <f>IFERROR((('Lab Analysis'!F630/18)/('Lab Analysis'!E630/60)),"0")</f>
        <v>0</v>
      </c>
      <c r="G630" s="188" t="str">
        <f>IFERROR(('Lab Analysis'!I630/('Lab Analysis'!I630+(1.765*'Lab Analysis'!G630))),"0")</f>
        <v>0</v>
      </c>
      <c r="H630" s="189" t="str">
        <f>IFERROR(((2*('Lab Analysis'!I630/60))+('Lab Analysis'!G630/17))/(('Lab Analysis'!H630/44)+('Lab Analysis'!I630/60)),"0")</f>
        <v>0</v>
      </c>
      <c r="I630" s="189" t="str">
        <f>IFERROR((('Lab Analysis'!J630/18)-('Lab Analysis'!I630/60))/(('Lab Analysis'!H630/44)+('Lab Analysis'!I630/60)),"0")</f>
        <v>0</v>
      </c>
      <c r="J630" s="186" t="str">
        <f>IFERROR(('Lab Analysis'!M630/('Lab Analysis'!M630+(1.765*'Lab Analysis'!K630))),"0")</f>
        <v>0</v>
      </c>
      <c r="K630" s="190" t="str">
        <f>IFERROR(((2*('Lab Analysis'!M630/60))+('Lab Analysis'!K630/17))/(('Lab Analysis'!L630/44)+('Lab Analysis'!M630/60)),"0")</f>
        <v>0</v>
      </c>
      <c r="L630" s="190" t="str">
        <f>IFERROR((('Lab Analysis'!N630/18)-('Lab Analysis'!M630/60))/(('Lab Analysis'!L630/44)+('Lab Analysis'!M630/60)),"0")</f>
        <v>0</v>
      </c>
      <c r="M630" s="187" t="str">
        <f>IFERROR(((2*('Lab Analysis'!U630/60))+('Lab Analysis'!S630/17))/(('Lab Analysis'!T630/44)+('Lab Analysis'!U630/60)),"0")</f>
        <v>0</v>
      </c>
      <c r="N630" s="187" t="str">
        <f>IFERROR((('Lab Analysis'!V630/18)-('Lab Analysis'!U630/60))/(('Lab Analysis'!T630/44)+('Lab Analysis'!U630/60)),"0")</f>
        <v>0</v>
      </c>
      <c r="O630" s="187" t="str">
        <f>IFERROR(((2*('Lab Analysis'!Y630/60)+('Lab Analysis'!W630/17))/(('Lab Analysis'!X630/44)+('Lab Analysis'!Y630/60))),"0")</f>
        <v>0</v>
      </c>
      <c r="P630" s="187" t="str">
        <f>IFERROR((('Lab Analysis'!Z630/18)-('Lab Analysis'!Y630/60))/(('Lab Analysis'!X630/44)+('Lab Analysis'!Y630/60)),"0")</f>
        <v>0</v>
      </c>
      <c r="Q630" s="191"/>
    </row>
    <row r="631" spans="1:17">
      <c r="A631" s="185">
        <v>46445</v>
      </c>
      <c r="B631" s="186" t="str">
        <f>IFERROR(('Lab Analysis'!E631/('Lab Analysis'!E631+(1.364*'Lab Analysis'!D631))),"0")</f>
        <v>0</v>
      </c>
      <c r="C631" s="186" t="str">
        <f>IFERROR((2*'Lab Analysis'!E631/60)/('Lab Analysis'!C631/17+(2*'Lab Analysis'!E631/60)),"0")</f>
        <v>0</v>
      </c>
      <c r="D631" s="187" t="str">
        <f>IFERROR(((2*('Lab Analysis'!E631/60)+('Lab Analysis'!C631/17))/(('Lab Analysis'!D631/44)+('Lab Analysis'!E631/60))),"0")</f>
        <v>0</v>
      </c>
      <c r="E631" s="187" t="str">
        <f>IFERROR((('Lab Analysis'!F631/18)-('Lab Analysis'!E631/60))/(('Lab Analysis'!D631/44)+('Lab Analysis'!E631/60)),"0")</f>
        <v>0</v>
      </c>
      <c r="F631" s="187" t="str">
        <f>IFERROR((('Lab Analysis'!F631/18)/('Lab Analysis'!E631/60)),"0")</f>
        <v>0</v>
      </c>
      <c r="G631" s="188" t="str">
        <f>IFERROR(('Lab Analysis'!I631/('Lab Analysis'!I631+(1.765*'Lab Analysis'!G631))),"0")</f>
        <v>0</v>
      </c>
      <c r="H631" s="189" t="str">
        <f>IFERROR(((2*('Lab Analysis'!I631/60))+('Lab Analysis'!G631/17))/(('Lab Analysis'!H631/44)+('Lab Analysis'!I631/60)),"0")</f>
        <v>0</v>
      </c>
      <c r="I631" s="189" t="str">
        <f>IFERROR((('Lab Analysis'!J631/18)-('Lab Analysis'!I631/60))/(('Lab Analysis'!H631/44)+('Lab Analysis'!I631/60)),"0")</f>
        <v>0</v>
      </c>
      <c r="J631" s="186" t="str">
        <f>IFERROR(('Lab Analysis'!M631/('Lab Analysis'!M631+(1.765*'Lab Analysis'!K631))),"0")</f>
        <v>0</v>
      </c>
      <c r="K631" s="190" t="str">
        <f>IFERROR(((2*('Lab Analysis'!M631/60))+('Lab Analysis'!K631/17))/(('Lab Analysis'!L631/44)+('Lab Analysis'!M631/60)),"0")</f>
        <v>0</v>
      </c>
      <c r="L631" s="190" t="str">
        <f>IFERROR((('Lab Analysis'!N631/18)-('Lab Analysis'!M631/60))/(('Lab Analysis'!L631/44)+('Lab Analysis'!M631/60)),"0")</f>
        <v>0</v>
      </c>
      <c r="M631" s="187" t="str">
        <f>IFERROR(((2*('Lab Analysis'!U631/60))+('Lab Analysis'!S631/17))/(('Lab Analysis'!T631/44)+('Lab Analysis'!U631/60)),"0")</f>
        <v>0</v>
      </c>
      <c r="N631" s="187" t="str">
        <f>IFERROR((('Lab Analysis'!V631/18)-('Lab Analysis'!U631/60))/(('Lab Analysis'!T631/44)+('Lab Analysis'!U631/60)),"0")</f>
        <v>0</v>
      </c>
      <c r="O631" s="187" t="str">
        <f>IFERROR(((2*('Lab Analysis'!Y631/60)+('Lab Analysis'!W631/17))/(('Lab Analysis'!X631/44)+('Lab Analysis'!Y631/60))),"0")</f>
        <v>0</v>
      </c>
      <c r="P631" s="187" t="str">
        <f>IFERROR((('Lab Analysis'!Z631/18)-('Lab Analysis'!Y631/60))/(('Lab Analysis'!X631/44)+('Lab Analysis'!Y631/60)),"0")</f>
        <v>0</v>
      </c>
      <c r="Q631" s="191"/>
    </row>
    <row r="632" spans="1:17">
      <c r="A632" s="185">
        <v>46446</v>
      </c>
      <c r="B632" s="186" t="str">
        <f>IFERROR(('Lab Analysis'!E632/('Lab Analysis'!E632+(1.364*'Lab Analysis'!D632))),"0")</f>
        <v>0</v>
      </c>
      <c r="C632" s="186" t="str">
        <f>IFERROR((2*'Lab Analysis'!E632/60)/('Lab Analysis'!C632/17+(2*'Lab Analysis'!E632/60)),"0")</f>
        <v>0</v>
      </c>
      <c r="D632" s="187" t="str">
        <f>IFERROR(((2*('Lab Analysis'!E632/60)+('Lab Analysis'!C632/17))/(('Lab Analysis'!D632/44)+('Lab Analysis'!E632/60))),"0")</f>
        <v>0</v>
      </c>
      <c r="E632" s="187" t="str">
        <f>IFERROR((('Lab Analysis'!F632/18)-('Lab Analysis'!E632/60))/(('Lab Analysis'!D632/44)+('Lab Analysis'!E632/60)),"0")</f>
        <v>0</v>
      </c>
      <c r="F632" s="187" t="str">
        <f>IFERROR((('Lab Analysis'!F632/18)/('Lab Analysis'!E632/60)),"0")</f>
        <v>0</v>
      </c>
      <c r="G632" s="188" t="str">
        <f>IFERROR(('Lab Analysis'!I632/('Lab Analysis'!I632+(1.765*'Lab Analysis'!G632))),"0")</f>
        <v>0</v>
      </c>
      <c r="H632" s="189" t="str">
        <f>IFERROR(((2*('Lab Analysis'!I632/60))+('Lab Analysis'!G632/17))/(('Lab Analysis'!H632/44)+('Lab Analysis'!I632/60)),"0")</f>
        <v>0</v>
      </c>
      <c r="I632" s="189" t="str">
        <f>IFERROR((('Lab Analysis'!J632/18)-('Lab Analysis'!I632/60))/(('Lab Analysis'!H632/44)+('Lab Analysis'!I632/60)),"0")</f>
        <v>0</v>
      </c>
      <c r="J632" s="186" t="str">
        <f>IFERROR(('Lab Analysis'!M632/('Lab Analysis'!M632+(1.765*'Lab Analysis'!K632))),"0")</f>
        <v>0</v>
      </c>
      <c r="K632" s="190" t="str">
        <f>IFERROR(((2*('Lab Analysis'!M632/60))+('Lab Analysis'!K632/17))/(('Lab Analysis'!L632/44)+('Lab Analysis'!M632/60)),"0")</f>
        <v>0</v>
      </c>
      <c r="L632" s="190" t="str">
        <f>IFERROR((('Lab Analysis'!N632/18)-('Lab Analysis'!M632/60))/(('Lab Analysis'!L632/44)+('Lab Analysis'!M632/60)),"0")</f>
        <v>0</v>
      </c>
      <c r="M632" s="187" t="str">
        <f>IFERROR(((2*('Lab Analysis'!U632/60))+('Lab Analysis'!S632/17))/(('Lab Analysis'!T632/44)+('Lab Analysis'!U632/60)),"0")</f>
        <v>0</v>
      </c>
      <c r="N632" s="187" t="str">
        <f>IFERROR((('Lab Analysis'!V632/18)-('Lab Analysis'!U632/60))/(('Lab Analysis'!T632/44)+('Lab Analysis'!U632/60)),"0")</f>
        <v>0</v>
      </c>
      <c r="O632" s="187" t="str">
        <f>IFERROR(((2*('Lab Analysis'!Y632/60)+('Lab Analysis'!W632/17))/(('Lab Analysis'!X632/44)+('Lab Analysis'!Y632/60))),"0")</f>
        <v>0</v>
      </c>
      <c r="P632" s="187" t="str">
        <f>IFERROR((('Lab Analysis'!Z632/18)-('Lab Analysis'!Y632/60))/(('Lab Analysis'!X632/44)+('Lab Analysis'!Y632/60)),"0")</f>
        <v>0</v>
      </c>
      <c r="Q632" s="191"/>
    </row>
    <row r="633" spans="1:17">
      <c r="A633" s="185">
        <v>46447</v>
      </c>
      <c r="B633" s="186" t="str">
        <f>IFERROR(('Lab Analysis'!E633/('Lab Analysis'!E633+(1.364*'Lab Analysis'!D633))),"0")</f>
        <v>0</v>
      </c>
      <c r="C633" s="186" t="str">
        <f>IFERROR((2*'Lab Analysis'!E633/60)/('Lab Analysis'!C633/17+(2*'Lab Analysis'!E633/60)),"0")</f>
        <v>0</v>
      </c>
      <c r="D633" s="187" t="str">
        <f>IFERROR(((2*('Lab Analysis'!E633/60)+('Lab Analysis'!C633/17))/(('Lab Analysis'!D633/44)+('Lab Analysis'!E633/60))),"0")</f>
        <v>0</v>
      </c>
      <c r="E633" s="187" t="str">
        <f>IFERROR((('Lab Analysis'!F633/18)-('Lab Analysis'!E633/60))/(('Lab Analysis'!D633/44)+('Lab Analysis'!E633/60)),"0")</f>
        <v>0</v>
      </c>
      <c r="F633" s="187" t="str">
        <f>IFERROR((('Lab Analysis'!F633/18)/('Lab Analysis'!E633/60)),"0")</f>
        <v>0</v>
      </c>
      <c r="G633" s="188" t="str">
        <f>IFERROR(('Lab Analysis'!I633/('Lab Analysis'!I633+(1.765*'Lab Analysis'!G633))),"0")</f>
        <v>0</v>
      </c>
      <c r="H633" s="189" t="str">
        <f>IFERROR(((2*('Lab Analysis'!I633/60))+('Lab Analysis'!G633/17))/(('Lab Analysis'!H633/44)+('Lab Analysis'!I633/60)),"0")</f>
        <v>0</v>
      </c>
      <c r="I633" s="189" t="str">
        <f>IFERROR((('Lab Analysis'!J633/18)-('Lab Analysis'!I633/60))/(('Lab Analysis'!H633/44)+('Lab Analysis'!I633/60)),"0")</f>
        <v>0</v>
      </c>
      <c r="J633" s="186" t="str">
        <f>IFERROR(('Lab Analysis'!M633/('Lab Analysis'!M633+(1.765*'Lab Analysis'!K633))),"0")</f>
        <v>0</v>
      </c>
      <c r="K633" s="190" t="str">
        <f>IFERROR(((2*('Lab Analysis'!M633/60))+('Lab Analysis'!K633/17))/(('Lab Analysis'!L633/44)+('Lab Analysis'!M633/60)),"0")</f>
        <v>0</v>
      </c>
      <c r="L633" s="190" t="str">
        <f>IFERROR((('Lab Analysis'!N633/18)-('Lab Analysis'!M633/60))/(('Lab Analysis'!L633/44)+('Lab Analysis'!M633/60)),"0")</f>
        <v>0</v>
      </c>
      <c r="M633" s="187" t="str">
        <f>IFERROR(((2*('Lab Analysis'!U633/60))+('Lab Analysis'!S633/17))/(('Lab Analysis'!T633/44)+('Lab Analysis'!U633/60)),"0")</f>
        <v>0</v>
      </c>
      <c r="N633" s="187" t="str">
        <f>IFERROR((('Lab Analysis'!V633/18)-('Lab Analysis'!U633/60))/(('Lab Analysis'!T633/44)+('Lab Analysis'!U633/60)),"0")</f>
        <v>0</v>
      </c>
      <c r="O633" s="187" t="str">
        <f>IFERROR(((2*('Lab Analysis'!Y633/60)+('Lab Analysis'!W633/17))/(('Lab Analysis'!X633/44)+('Lab Analysis'!Y633/60))),"0")</f>
        <v>0</v>
      </c>
      <c r="P633" s="187" t="str">
        <f>IFERROR((('Lab Analysis'!Z633/18)-('Lab Analysis'!Y633/60))/(('Lab Analysis'!X633/44)+('Lab Analysis'!Y633/60)),"0")</f>
        <v>0</v>
      </c>
      <c r="Q633" s="191"/>
    </row>
    <row r="634" spans="1:17">
      <c r="A634" s="185">
        <v>46448</v>
      </c>
      <c r="B634" s="186" t="str">
        <f>IFERROR(('Lab Analysis'!E634/('Lab Analysis'!E634+(1.364*'Lab Analysis'!D634))),"0")</f>
        <v>0</v>
      </c>
      <c r="C634" s="186" t="str">
        <f>IFERROR((2*'Lab Analysis'!E634/60)/('Lab Analysis'!C634/17+(2*'Lab Analysis'!E634/60)),"0")</f>
        <v>0</v>
      </c>
      <c r="D634" s="187" t="str">
        <f>IFERROR(((2*('Lab Analysis'!E634/60)+('Lab Analysis'!C634/17))/(('Lab Analysis'!D634/44)+('Lab Analysis'!E634/60))),"0")</f>
        <v>0</v>
      </c>
      <c r="E634" s="187" t="str">
        <f>IFERROR((('Lab Analysis'!F634/18)-('Lab Analysis'!E634/60))/(('Lab Analysis'!D634/44)+('Lab Analysis'!E634/60)),"0")</f>
        <v>0</v>
      </c>
      <c r="F634" s="187" t="str">
        <f>IFERROR((('Lab Analysis'!F634/18)/('Lab Analysis'!E634/60)),"0")</f>
        <v>0</v>
      </c>
      <c r="G634" s="188" t="str">
        <f>IFERROR(('Lab Analysis'!I634/('Lab Analysis'!I634+(1.765*'Lab Analysis'!G634))),"0")</f>
        <v>0</v>
      </c>
      <c r="H634" s="189" t="str">
        <f>IFERROR(((2*('Lab Analysis'!I634/60))+('Lab Analysis'!G634/17))/(('Lab Analysis'!H634/44)+('Lab Analysis'!I634/60)),"0")</f>
        <v>0</v>
      </c>
      <c r="I634" s="189" t="str">
        <f>IFERROR((('Lab Analysis'!J634/18)-('Lab Analysis'!I634/60))/(('Lab Analysis'!H634/44)+('Lab Analysis'!I634/60)),"0")</f>
        <v>0</v>
      </c>
      <c r="J634" s="186" t="str">
        <f>IFERROR(('Lab Analysis'!M634/('Lab Analysis'!M634+(1.765*'Lab Analysis'!K634))),"0")</f>
        <v>0</v>
      </c>
      <c r="K634" s="190" t="str">
        <f>IFERROR(((2*('Lab Analysis'!M634/60))+('Lab Analysis'!K634/17))/(('Lab Analysis'!L634/44)+('Lab Analysis'!M634/60)),"0")</f>
        <v>0</v>
      </c>
      <c r="L634" s="190" t="str">
        <f>IFERROR((('Lab Analysis'!N634/18)-('Lab Analysis'!M634/60))/(('Lab Analysis'!L634/44)+('Lab Analysis'!M634/60)),"0")</f>
        <v>0</v>
      </c>
      <c r="M634" s="187" t="str">
        <f>IFERROR(((2*('Lab Analysis'!U634/60))+('Lab Analysis'!S634/17))/(('Lab Analysis'!T634/44)+('Lab Analysis'!U634/60)),"0")</f>
        <v>0</v>
      </c>
      <c r="N634" s="187" t="str">
        <f>IFERROR((('Lab Analysis'!V634/18)-('Lab Analysis'!U634/60))/(('Lab Analysis'!T634/44)+('Lab Analysis'!U634/60)),"0")</f>
        <v>0</v>
      </c>
      <c r="O634" s="187" t="str">
        <f>IFERROR(((2*('Lab Analysis'!Y634/60)+('Lab Analysis'!W634/17))/(('Lab Analysis'!X634/44)+('Lab Analysis'!Y634/60))),"0")</f>
        <v>0</v>
      </c>
      <c r="P634" s="187" t="str">
        <f>IFERROR((('Lab Analysis'!Z634/18)-('Lab Analysis'!Y634/60))/(('Lab Analysis'!X634/44)+('Lab Analysis'!Y634/60)),"0")</f>
        <v>0</v>
      </c>
      <c r="Q634" s="191"/>
    </row>
    <row r="635" spans="1:17">
      <c r="A635" s="185">
        <v>46449</v>
      </c>
      <c r="B635" s="186" t="str">
        <f>IFERROR(('Lab Analysis'!E635/('Lab Analysis'!E635+(1.364*'Lab Analysis'!D635))),"0")</f>
        <v>0</v>
      </c>
      <c r="C635" s="186" t="str">
        <f>IFERROR((2*'Lab Analysis'!E635/60)/('Lab Analysis'!C635/17+(2*'Lab Analysis'!E635/60)),"0")</f>
        <v>0</v>
      </c>
      <c r="D635" s="187" t="str">
        <f>IFERROR(((2*('Lab Analysis'!E635/60)+('Lab Analysis'!C635/17))/(('Lab Analysis'!D635/44)+('Lab Analysis'!E635/60))),"0")</f>
        <v>0</v>
      </c>
      <c r="E635" s="187" t="str">
        <f>IFERROR((('Lab Analysis'!F635/18)-('Lab Analysis'!E635/60))/(('Lab Analysis'!D635/44)+('Lab Analysis'!E635/60)),"0")</f>
        <v>0</v>
      </c>
      <c r="F635" s="187" t="str">
        <f>IFERROR((('Lab Analysis'!F635/18)/('Lab Analysis'!E635/60)),"0")</f>
        <v>0</v>
      </c>
      <c r="G635" s="188" t="str">
        <f>IFERROR(('Lab Analysis'!I635/('Lab Analysis'!I635+(1.765*'Lab Analysis'!G635))),"0")</f>
        <v>0</v>
      </c>
      <c r="H635" s="189" t="str">
        <f>IFERROR(((2*('Lab Analysis'!I635/60))+('Lab Analysis'!G635/17))/(('Lab Analysis'!H635/44)+('Lab Analysis'!I635/60)),"0")</f>
        <v>0</v>
      </c>
      <c r="I635" s="189" t="str">
        <f>IFERROR((('Lab Analysis'!J635/18)-('Lab Analysis'!I635/60))/(('Lab Analysis'!H635/44)+('Lab Analysis'!I635/60)),"0")</f>
        <v>0</v>
      </c>
      <c r="J635" s="186" t="str">
        <f>IFERROR(('Lab Analysis'!M635/('Lab Analysis'!M635+(1.765*'Lab Analysis'!K635))),"0")</f>
        <v>0</v>
      </c>
      <c r="K635" s="190" t="str">
        <f>IFERROR(((2*('Lab Analysis'!M635/60))+('Lab Analysis'!K635/17))/(('Lab Analysis'!L635/44)+('Lab Analysis'!M635/60)),"0")</f>
        <v>0</v>
      </c>
      <c r="L635" s="190" t="str">
        <f>IFERROR((('Lab Analysis'!N635/18)-('Lab Analysis'!M635/60))/(('Lab Analysis'!L635/44)+('Lab Analysis'!M635/60)),"0")</f>
        <v>0</v>
      </c>
      <c r="M635" s="187" t="str">
        <f>IFERROR(((2*('Lab Analysis'!U635/60))+('Lab Analysis'!S635/17))/(('Lab Analysis'!T635/44)+('Lab Analysis'!U635/60)),"0")</f>
        <v>0</v>
      </c>
      <c r="N635" s="187" t="str">
        <f>IFERROR((('Lab Analysis'!V635/18)-('Lab Analysis'!U635/60))/(('Lab Analysis'!T635/44)+('Lab Analysis'!U635/60)),"0")</f>
        <v>0</v>
      </c>
      <c r="O635" s="187" t="str">
        <f>IFERROR(((2*('Lab Analysis'!Y635/60)+('Lab Analysis'!W635/17))/(('Lab Analysis'!X635/44)+('Lab Analysis'!Y635/60))),"0")</f>
        <v>0</v>
      </c>
      <c r="P635" s="187" t="str">
        <f>IFERROR((('Lab Analysis'!Z635/18)-('Lab Analysis'!Y635/60))/(('Lab Analysis'!X635/44)+('Lab Analysis'!Y635/60)),"0")</f>
        <v>0</v>
      </c>
      <c r="Q635" s="191"/>
    </row>
    <row r="636" spans="1:17">
      <c r="A636" s="185">
        <v>46450</v>
      </c>
      <c r="B636" s="186" t="str">
        <f>IFERROR(('Lab Analysis'!E636/('Lab Analysis'!E636+(1.364*'Lab Analysis'!D636))),"0")</f>
        <v>0</v>
      </c>
      <c r="C636" s="186" t="str">
        <f>IFERROR((2*'Lab Analysis'!E636/60)/('Lab Analysis'!C636/17+(2*'Lab Analysis'!E636/60)),"0")</f>
        <v>0</v>
      </c>
      <c r="D636" s="187" t="str">
        <f>IFERROR(((2*('Lab Analysis'!E636/60)+('Lab Analysis'!C636/17))/(('Lab Analysis'!D636/44)+('Lab Analysis'!E636/60))),"0")</f>
        <v>0</v>
      </c>
      <c r="E636" s="187" t="str">
        <f>IFERROR((('Lab Analysis'!F636/18)-('Lab Analysis'!E636/60))/(('Lab Analysis'!D636/44)+('Lab Analysis'!E636/60)),"0")</f>
        <v>0</v>
      </c>
      <c r="F636" s="187" t="str">
        <f>IFERROR((('Lab Analysis'!F636/18)/('Lab Analysis'!E636/60)),"0")</f>
        <v>0</v>
      </c>
      <c r="G636" s="188" t="str">
        <f>IFERROR(('Lab Analysis'!I636/('Lab Analysis'!I636+(1.765*'Lab Analysis'!G636))),"0")</f>
        <v>0</v>
      </c>
      <c r="H636" s="189" t="str">
        <f>IFERROR(((2*('Lab Analysis'!I636/60))+('Lab Analysis'!G636/17))/(('Lab Analysis'!H636/44)+('Lab Analysis'!I636/60)),"0")</f>
        <v>0</v>
      </c>
      <c r="I636" s="189" t="str">
        <f>IFERROR((('Lab Analysis'!J636/18)-('Lab Analysis'!I636/60))/(('Lab Analysis'!H636/44)+('Lab Analysis'!I636/60)),"0")</f>
        <v>0</v>
      </c>
      <c r="J636" s="186" t="str">
        <f>IFERROR(('Lab Analysis'!M636/('Lab Analysis'!M636+(1.765*'Lab Analysis'!K636))),"0")</f>
        <v>0</v>
      </c>
      <c r="K636" s="190" t="str">
        <f>IFERROR(((2*('Lab Analysis'!M636/60))+('Lab Analysis'!K636/17))/(('Lab Analysis'!L636/44)+('Lab Analysis'!M636/60)),"0")</f>
        <v>0</v>
      </c>
      <c r="L636" s="190" t="str">
        <f>IFERROR((('Lab Analysis'!N636/18)-('Lab Analysis'!M636/60))/(('Lab Analysis'!L636/44)+('Lab Analysis'!M636/60)),"0")</f>
        <v>0</v>
      </c>
      <c r="M636" s="187" t="str">
        <f>IFERROR(((2*('Lab Analysis'!U636/60))+('Lab Analysis'!S636/17))/(('Lab Analysis'!T636/44)+('Lab Analysis'!U636/60)),"0")</f>
        <v>0</v>
      </c>
      <c r="N636" s="187" t="str">
        <f>IFERROR((('Lab Analysis'!V636/18)-('Lab Analysis'!U636/60))/(('Lab Analysis'!T636/44)+('Lab Analysis'!U636/60)),"0")</f>
        <v>0</v>
      </c>
      <c r="O636" s="187" t="str">
        <f>IFERROR(((2*('Lab Analysis'!Y636/60)+('Lab Analysis'!W636/17))/(('Lab Analysis'!X636/44)+('Lab Analysis'!Y636/60))),"0")</f>
        <v>0</v>
      </c>
      <c r="P636" s="187" t="str">
        <f>IFERROR((('Lab Analysis'!Z636/18)-('Lab Analysis'!Y636/60))/(('Lab Analysis'!X636/44)+('Lab Analysis'!Y636/60)),"0")</f>
        <v>0</v>
      </c>
      <c r="Q636" s="191"/>
    </row>
    <row r="637" spans="1:17">
      <c r="A637" s="185">
        <v>46451</v>
      </c>
      <c r="B637" s="186" t="str">
        <f>IFERROR(('Lab Analysis'!E637/('Lab Analysis'!E637+(1.364*'Lab Analysis'!D637))),"0")</f>
        <v>0</v>
      </c>
      <c r="C637" s="186" t="str">
        <f>IFERROR((2*'Lab Analysis'!E637/60)/('Lab Analysis'!C637/17+(2*'Lab Analysis'!E637/60)),"0")</f>
        <v>0</v>
      </c>
      <c r="D637" s="187" t="str">
        <f>IFERROR(((2*('Lab Analysis'!E637/60)+('Lab Analysis'!C637/17))/(('Lab Analysis'!D637/44)+('Lab Analysis'!E637/60))),"0")</f>
        <v>0</v>
      </c>
      <c r="E637" s="187" t="str">
        <f>IFERROR((('Lab Analysis'!F637/18)-('Lab Analysis'!E637/60))/(('Lab Analysis'!D637/44)+('Lab Analysis'!E637/60)),"0")</f>
        <v>0</v>
      </c>
      <c r="F637" s="187" t="str">
        <f>IFERROR((('Lab Analysis'!F637/18)/('Lab Analysis'!E637/60)),"0")</f>
        <v>0</v>
      </c>
      <c r="G637" s="188" t="str">
        <f>IFERROR(('Lab Analysis'!I637/('Lab Analysis'!I637+(1.765*'Lab Analysis'!G637))),"0")</f>
        <v>0</v>
      </c>
      <c r="H637" s="189" t="str">
        <f>IFERROR(((2*('Lab Analysis'!I637/60))+('Lab Analysis'!G637/17))/(('Lab Analysis'!H637/44)+('Lab Analysis'!I637/60)),"0")</f>
        <v>0</v>
      </c>
      <c r="I637" s="189" t="str">
        <f>IFERROR((('Lab Analysis'!J637/18)-('Lab Analysis'!I637/60))/(('Lab Analysis'!H637/44)+('Lab Analysis'!I637/60)),"0")</f>
        <v>0</v>
      </c>
      <c r="J637" s="186" t="str">
        <f>IFERROR(('Lab Analysis'!M637/('Lab Analysis'!M637+(1.765*'Lab Analysis'!K637))),"0")</f>
        <v>0</v>
      </c>
      <c r="K637" s="190" t="str">
        <f>IFERROR(((2*('Lab Analysis'!M637/60))+('Lab Analysis'!K637/17))/(('Lab Analysis'!L637/44)+('Lab Analysis'!M637/60)),"0")</f>
        <v>0</v>
      </c>
      <c r="L637" s="190" t="str">
        <f>IFERROR((('Lab Analysis'!N637/18)-('Lab Analysis'!M637/60))/(('Lab Analysis'!L637/44)+('Lab Analysis'!M637/60)),"0")</f>
        <v>0</v>
      </c>
      <c r="M637" s="187" t="str">
        <f>IFERROR(((2*('Lab Analysis'!U637/60))+('Lab Analysis'!S637/17))/(('Lab Analysis'!T637/44)+('Lab Analysis'!U637/60)),"0")</f>
        <v>0</v>
      </c>
      <c r="N637" s="187" t="str">
        <f>IFERROR((('Lab Analysis'!V637/18)-('Lab Analysis'!U637/60))/(('Lab Analysis'!T637/44)+('Lab Analysis'!U637/60)),"0")</f>
        <v>0</v>
      </c>
      <c r="O637" s="187" t="str">
        <f>IFERROR(((2*('Lab Analysis'!Y637/60)+('Lab Analysis'!W637/17))/(('Lab Analysis'!X637/44)+('Lab Analysis'!Y637/60))),"0")</f>
        <v>0</v>
      </c>
      <c r="P637" s="187" t="str">
        <f>IFERROR((('Lab Analysis'!Z637/18)-('Lab Analysis'!Y637/60))/(('Lab Analysis'!X637/44)+('Lab Analysis'!Y637/60)),"0")</f>
        <v>0</v>
      </c>
      <c r="Q637" s="191"/>
    </row>
    <row r="638" spans="1:17">
      <c r="A638" s="185">
        <v>46452</v>
      </c>
      <c r="B638" s="186" t="str">
        <f>IFERROR(('Lab Analysis'!E638/('Lab Analysis'!E638+(1.364*'Lab Analysis'!D638))),"0")</f>
        <v>0</v>
      </c>
      <c r="C638" s="186" t="str">
        <f>IFERROR((2*'Lab Analysis'!E638/60)/('Lab Analysis'!C638/17+(2*'Lab Analysis'!E638/60)),"0")</f>
        <v>0</v>
      </c>
      <c r="D638" s="187" t="str">
        <f>IFERROR(((2*('Lab Analysis'!E638/60)+('Lab Analysis'!C638/17))/(('Lab Analysis'!D638/44)+('Lab Analysis'!E638/60))),"0")</f>
        <v>0</v>
      </c>
      <c r="E638" s="187" t="str">
        <f>IFERROR((('Lab Analysis'!F638/18)-('Lab Analysis'!E638/60))/(('Lab Analysis'!D638/44)+('Lab Analysis'!E638/60)),"0")</f>
        <v>0</v>
      </c>
      <c r="F638" s="187" t="str">
        <f>IFERROR((('Lab Analysis'!F638/18)/('Lab Analysis'!E638/60)),"0")</f>
        <v>0</v>
      </c>
      <c r="G638" s="188" t="str">
        <f>IFERROR(('Lab Analysis'!I638/('Lab Analysis'!I638+(1.765*'Lab Analysis'!G638))),"0")</f>
        <v>0</v>
      </c>
      <c r="H638" s="189" t="str">
        <f>IFERROR(((2*('Lab Analysis'!I638/60))+('Lab Analysis'!G638/17))/(('Lab Analysis'!H638/44)+('Lab Analysis'!I638/60)),"0")</f>
        <v>0</v>
      </c>
      <c r="I638" s="189" t="str">
        <f>IFERROR((('Lab Analysis'!J638/18)-('Lab Analysis'!I638/60))/(('Lab Analysis'!H638/44)+('Lab Analysis'!I638/60)),"0")</f>
        <v>0</v>
      </c>
      <c r="J638" s="186" t="str">
        <f>IFERROR(('Lab Analysis'!M638/('Lab Analysis'!M638+(1.765*'Lab Analysis'!K638))),"0")</f>
        <v>0</v>
      </c>
      <c r="K638" s="190" t="str">
        <f>IFERROR(((2*('Lab Analysis'!M638/60))+('Lab Analysis'!K638/17))/(('Lab Analysis'!L638/44)+('Lab Analysis'!M638/60)),"0")</f>
        <v>0</v>
      </c>
      <c r="L638" s="190" t="str">
        <f>IFERROR((('Lab Analysis'!N638/18)-('Lab Analysis'!M638/60))/(('Lab Analysis'!L638/44)+('Lab Analysis'!M638/60)),"0")</f>
        <v>0</v>
      </c>
      <c r="M638" s="187" t="str">
        <f>IFERROR(((2*('Lab Analysis'!U638/60))+('Lab Analysis'!S638/17))/(('Lab Analysis'!T638/44)+('Lab Analysis'!U638/60)),"0")</f>
        <v>0</v>
      </c>
      <c r="N638" s="187" t="str">
        <f>IFERROR((('Lab Analysis'!V638/18)-('Lab Analysis'!U638/60))/(('Lab Analysis'!T638/44)+('Lab Analysis'!U638/60)),"0")</f>
        <v>0</v>
      </c>
      <c r="O638" s="187" t="str">
        <f>IFERROR(((2*('Lab Analysis'!Y638/60)+('Lab Analysis'!W638/17))/(('Lab Analysis'!X638/44)+('Lab Analysis'!Y638/60))),"0")</f>
        <v>0</v>
      </c>
      <c r="P638" s="187" t="str">
        <f>IFERROR((('Lab Analysis'!Z638/18)-('Lab Analysis'!Y638/60))/(('Lab Analysis'!X638/44)+('Lab Analysis'!Y638/60)),"0")</f>
        <v>0</v>
      </c>
      <c r="Q638" s="191"/>
    </row>
    <row r="639" spans="1:17">
      <c r="A639" s="185">
        <v>46453</v>
      </c>
      <c r="B639" s="186" t="str">
        <f>IFERROR(('Lab Analysis'!E639/('Lab Analysis'!E639+(1.364*'Lab Analysis'!D639))),"0")</f>
        <v>0</v>
      </c>
      <c r="C639" s="186" t="str">
        <f>IFERROR((2*'Lab Analysis'!E639/60)/('Lab Analysis'!C639/17+(2*'Lab Analysis'!E639/60)),"0")</f>
        <v>0</v>
      </c>
      <c r="D639" s="187" t="str">
        <f>IFERROR(((2*('Lab Analysis'!E639/60)+('Lab Analysis'!C639/17))/(('Lab Analysis'!D639/44)+('Lab Analysis'!E639/60))),"0")</f>
        <v>0</v>
      </c>
      <c r="E639" s="187" t="str">
        <f>IFERROR((('Lab Analysis'!F639/18)-('Lab Analysis'!E639/60))/(('Lab Analysis'!D639/44)+('Lab Analysis'!E639/60)),"0")</f>
        <v>0</v>
      </c>
      <c r="F639" s="187" t="str">
        <f>IFERROR((('Lab Analysis'!F639/18)/('Lab Analysis'!E639/60)),"0")</f>
        <v>0</v>
      </c>
      <c r="G639" s="188" t="str">
        <f>IFERROR(('Lab Analysis'!I639/('Lab Analysis'!I639+(1.765*'Lab Analysis'!G639))),"0")</f>
        <v>0</v>
      </c>
      <c r="H639" s="189" t="str">
        <f>IFERROR(((2*('Lab Analysis'!I639/60))+('Lab Analysis'!G639/17))/(('Lab Analysis'!H639/44)+('Lab Analysis'!I639/60)),"0")</f>
        <v>0</v>
      </c>
      <c r="I639" s="189" t="str">
        <f>IFERROR((('Lab Analysis'!J639/18)-('Lab Analysis'!I639/60))/(('Lab Analysis'!H639/44)+('Lab Analysis'!I639/60)),"0")</f>
        <v>0</v>
      </c>
      <c r="J639" s="186" t="str">
        <f>IFERROR(('Lab Analysis'!M639/('Lab Analysis'!M639+(1.765*'Lab Analysis'!K639))),"0")</f>
        <v>0</v>
      </c>
      <c r="K639" s="190" t="str">
        <f>IFERROR(((2*('Lab Analysis'!M639/60))+('Lab Analysis'!K639/17))/(('Lab Analysis'!L639/44)+('Lab Analysis'!M639/60)),"0")</f>
        <v>0</v>
      </c>
      <c r="L639" s="190" t="str">
        <f>IFERROR((('Lab Analysis'!N639/18)-('Lab Analysis'!M639/60))/(('Lab Analysis'!L639/44)+('Lab Analysis'!M639/60)),"0")</f>
        <v>0</v>
      </c>
      <c r="M639" s="187" t="str">
        <f>IFERROR(((2*('Lab Analysis'!U639/60))+('Lab Analysis'!S639/17))/(('Lab Analysis'!T639/44)+('Lab Analysis'!U639/60)),"0")</f>
        <v>0</v>
      </c>
      <c r="N639" s="187" t="str">
        <f>IFERROR((('Lab Analysis'!V639/18)-('Lab Analysis'!U639/60))/(('Lab Analysis'!T639/44)+('Lab Analysis'!U639/60)),"0")</f>
        <v>0</v>
      </c>
      <c r="O639" s="187" t="str">
        <f>IFERROR(((2*('Lab Analysis'!Y639/60)+('Lab Analysis'!W639/17))/(('Lab Analysis'!X639/44)+('Lab Analysis'!Y639/60))),"0")</f>
        <v>0</v>
      </c>
      <c r="P639" s="187" t="str">
        <f>IFERROR((('Lab Analysis'!Z639/18)-('Lab Analysis'!Y639/60))/(('Lab Analysis'!X639/44)+('Lab Analysis'!Y639/60)),"0")</f>
        <v>0</v>
      </c>
      <c r="Q639" s="191"/>
    </row>
    <row r="640" spans="1:17">
      <c r="A640" s="185">
        <v>46454</v>
      </c>
      <c r="B640" s="186" t="str">
        <f>IFERROR(('Lab Analysis'!E640/('Lab Analysis'!E640+(1.364*'Lab Analysis'!D640))),"0")</f>
        <v>0</v>
      </c>
      <c r="C640" s="186" t="str">
        <f>IFERROR((2*'Lab Analysis'!E640/60)/('Lab Analysis'!C640/17+(2*'Lab Analysis'!E640/60)),"0")</f>
        <v>0</v>
      </c>
      <c r="D640" s="187" t="str">
        <f>IFERROR(((2*('Lab Analysis'!E640/60)+('Lab Analysis'!C640/17))/(('Lab Analysis'!D640/44)+('Lab Analysis'!E640/60))),"0")</f>
        <v>0</v>
      </c>
      <c r="E640" s="187" t="str">
        <f>IFERROR((('Lab Analysis'!F640/18)-('Lab Analysis'!E640/60))/(('Lab Analysis'!D640/44)+('Lab Analysis'!E640/60)),"0")</f>
        <v>0</v>
      </c>
      <c r="F640" s="187" t="str">
        <f>IFERROR((('Lab Analysis'!F640/18)/('Lab Analysis'!E640/60)),"0")</f>
        <v>0</v>
      </c>
      <c r="G640" s="188" t="str">
        <f>IFERROR(('Lab Analysis'!I640/('Lab Analysis'!I640+(1.765*'Lab Analysis'!G640))),"0")</f>
        <v>0</v>
      </c>
      <c r="H640" s="189" t="str">
        <f>IFERROR(((2*('Lab Analysis'!I640/60))+('Lab Analysis'!G640/17))/(('Lab Analysis'!H640/44)+('Lab Analysis'!I640/60)),"0")</f>
        <v>0</v>
      </c>
      <c r="I640" s="189" t="str">
        <f>IFERROR((('Lab Analysis'!J640/18)-('Lab Analysis'!I640/60))/(('Lab Analysis'!H640/44)+('Lab Analysis'!I640/60)),"0")</f>
        <v>0</v>
      </c>
      <c r="J640" s="186" t="str">
        <f>IFERROR(('Lab Analysis'!M640/('Lab Analysis'!M640+(1.765*'Lab Analysis'!K640))),"0")</f>
        <v>0</v>
      </c>
      <c r="K640" s="190" t="str">
        <f>IFERROR(((2*('Lab Analysis'!M640/60))+('Lab Analysis'!K640/17))/(('Lab Analysis'!L640/44)+('Lab Analysis'!M640/60)),"0")</f>
        <v>0</v>
      </c>
      <c r="L640" s="190" t="str">
        <f>IFERROR((('Lab Analysis'!N640/18)-('Lab Analysis'!M640/60))/(('Lab Analysis'!L640/44)+('Lab Analysis'!M640/60)),"0")</f>
        <v>0</v>
      </c>
      <c r="M640" s="187" t="str">
        <f>IFERROR(((2*('Lab Analysis'!U640/60))+('Lab Analysis'!S640/17))/(('Lab Analysis'!T640/44)+('Lab Analysis'!U640/60)),"0")</f>
        <v>0</v>
      </c>
      <c r="N640" s="187" t="str">
        <f>IFERROR((('Lab Analysis'!V640/18)-('Lab Analysis'!U640/60))/(('Lab Analysis'!T640/44)+('Lab Analysis'!U640/60)),"0")</f>
        <v>0</v>
      </c>
      <c r="O640" s="187" t="str">
        <f>IFERROR(((2*('Lab Analysis'!Y640/60)+('Lab Analysis'!W640/17))/(('Lab Analysis'!X640/44)+('Lab Analysis'!Y640/60))),"0")</f>
        <v>0</v>
      </c>
      <c r="P640" s="187" t="str">
        <f>IFERROR((('Lab Analysis'!Z640/18)-('Lab Analysis'!Y640/60))/(('Lab Analysis'!X640/44)+('Lab Analysis'!Y640/60)),"0")</f>
        <v>0</v>
      </c>
      <c r="Q640" s="191"/>
    </row>
    <row r="641" spans="1:17">
      <c r="A641" s="185">
        <v>46455</v>
      </c>
      <c r="B641" s="186" t="str">
        <f>IFERROR(('Lab Analysis'!E641/('Lab Analysis'!E641+(1.364*'Lab Analysis'!D641))),"0")</f>
        <v>0</v>
      </c>
      <c r="C641" s="186" t="str">
        <f>IFERROR((2*'Lab Analysis'!E641/60)/('Lab Analysis'!C641/17+(2*'Lab Analysis'!E641/60)),"0")</f>
        <v>0</v>
      </c>
      <c r="D641" s="187" t="str">
        <f>IFERROR(((2*('Lab Analysis'!E641/60)+('Lab Analysis'!C641/17))/(('Lab Analysis'!D641/44)+('Lab Analysis'!E641/60))),"0")</f>
        <v>0</v>
      </c>
      <c r="E641" s="187" t="str">
        <f>IFERROR((('Lab Analysis'!F641/18)-('Lab Analysis'!E641/60))/(('Lab Analysis'!D641/44)+('Lab Analysis'!E641/60)),"0")</f>
        <v>0</v>
      </c>
      <c r="F641" s="187" t="str">
        <f>IFERROR((('Lab Analysis'!F641/18)/('Lab Analysis'!E641/60)),"0")</f>
        <v>0</v>
      </c>
      <c r="G641" s="188" t="str">
        <f>IFERROR(('Lab Analysis'!I641/('Lab Analysis'!I641+(1.765*'Lab Analysis'!G641))),"0")</f>
        <v>0</v>
      </c>
      <c r="H641" s="189" t="str">
        <f>IFERROR(((2*('Lab Analysis'!I641/60))+('Lab Analysis'!G641/17))/(('Lab Analysis'!H641/44)+('Lab Analysis'!I641/60)),"0")</f>
        <v>0</v>
      </c>
      <c r="I641" s="189" t="str">
        <f>IFERROR((('Lab Analysis'!J641/18)-('Lab Analysis'!I641/60))/(('Lab Analysis'!H641/44)+('Lab Analysis'!I641/60)),"0")</f>
        <v>0</v>
      </c>
      <c r="J641" s="186" t="str">
        <f>IFERROR(('Lab Analysis'!M641/('Lab Analysis'!M641+(1.765*'Lab Analysis'!K641))),"0")</f>
        <v>0</v>
      </c>
      <c r="K641" s="190" t="str">
        <f>IFERROR(((2*('Lab Analysis'!M641/60))+('Lab Analysis'!K641/17))/(('Lab Analysis'!L641/44)+('Lab Analysis'!M641/60)),"0")</f>
        <v>0</v>
      </c>
      <c r="L641" s="190" t="str">
        <f>IFERROR((('Lab Analysis'!N641/18)-('Lab Analysis'!M641/60))/(('Lab Analysis'!L641/44)+('Lab Analysis'!M641/60)),"0")</f>
        <v>0</v>
      </c>
      <c r="M641" s="187" t="str">
        <f>IFERROR(((2*('Lab Analysis'!U641/60))+('Lab Analysis'!S641/17))/(('Lab Analysis'!T641/44)+('Lab Analysis'!U641/60)),"0")</f>
        <v>0</v>
      </c>
      <c r="N641" s="187" t="str">
        <f>IFERROR((('Lab Analysis'!V641/18)-('Lab Analysis'!U641/60))/(('Lab Analysis'!T641/44)+('Lab Analysis'!U641/60)),"0")</f>
        <v>0</v>
      </c>
      <c r="O641" s="187" t="str">
        <f>IFERROR(((2*('Lab Analysis'!Y641/60)+('Lab Analysis'!W641/17))/(('Lab Analysis'!X641/44)+('Lab Analysis'!Y641/60))),"0")</f>
        <v>0</v>
      </c>
      <c r="P641" s="187" t="str">
        <f>IFERROR((('Lab Analysis'!Z641/18)-('Lab Analysis'!Y641/60))/(('Lab Analysis'!X641/44)+('Lab Analysis'!Y641/60)),"0")</f>
        <v>0</v>
      </c>
      <c r="Q641" s="191"/>
    </row>
    <row r="642" spans="1:17">
      <c r="A642" s="185">
        <v>46456</v>
      </c>
      <c r="B642" s="186" t="str">
        <f>IFERROR(('Lab Analysis'!E642/('Lab Analysis'!E642+(1.364*'Lab Analysis'!D642))),"0")</f>
        <v>0</v>
      </c>
      <c r="C642" s="186" t="str">
        <f>IFERROR((2*'Lab Analysis'!E642/60)/('Lab Analysis'!C642/17+(2*'Lab Analysis'!E642/60)),"0")</f>
        <v>0</v>
      </c>
      <c r="D642" s="187" t="str">
        <f>IFERROR(((2*('Lab Analysis'!E642/60)+('Lab Analysis'!C642/17))/(('Lab Analysis'!D642/44)+('Lab Analysis'!E642/60))),"0")</f>
        <v>0</v>
      </c>
      <c r="E642" s="187" t="str">
        <f>IFERROR((('Lab Analysis'!F642/18)-('Lab Analysis'!E642/60))/(('Lab Analysis'!D642/44)+('Lab Analysis'!E642/60)),"0")</f>
        <v>0</v>
      </c>
      <c r="F642" s="187" t="str">
        <f>IFERROR((('Lab Analysis'!F642/18)/('Lab Analysis'!E642/60)),"0")</f>
        <v>0</v>
      </c>
      <c r="G642" s="188" t="str">
        <f>IFERROR(('Lab Analysis'!I642/('Lab Analysis'!I642+(1.765*'Lab Analysis'!G642))),"0")</f>
        <v>0</v>
      </c>
      <c r="H642" s="189" t="str">
        <f>IFERROR(((2*('Lab Analysis'!I642/60))+('Lab Analysis'!G642/17))/(('Lab Analysis'!H642/44)+('Lab Analysis'!I642/60)),"0")</f>
        <v>0</v>
      </c>
      <c r="I642" s="189" t="str">
        <f>IFERROR((('Lab Analysis'!J642/18)-('Lab Analysis'!I642/60))/(('Lab Analysis'!H642/44)+('Lab Analysis'!I642/60)),"0")</f>
        <v>0</v>
      </c>
      <c r="J642" s="186" t="str">
        <f>IFERROR(('Lab Analysis'!M642/('Lab Analysis'!M642+(1.765*'Lab Analysis'!K642))),"0")</f>
        <v>0</v>
      </c>
      <c r="K642" s="190" t="str">
        <f>IFERROR(((2*('Lab Analysis'!M642/60))+('Lab Analysis'!K642/17))/(('Lab Analysis'!L642/44)+('Lab Analysis'!M642/60)),"0")</f>
        <v>0</v>
      </c>
      <c r="L642" s="190" t="str">
        <f>IFERROR((('Lab Analysis'!N642/18)-('Lab Analysis'!M642/60))/(('Lab Analysis'!L642/44)+('Lab Analysis'!M642/60)),"0")</f>
        <v>0</v>
      </c>
      <c r="M642" s="187" t="str">
        <f>IFERROR(((2*('Lab Analysis'!U642/60))+('Lab Analysis'!S642/17))/(('Lab Analysis'!T642/44)+('Lab Analysis'!U642/60)),"0")</f>
        <v>0</v>
      </c>
      <c r="N642" s="187" t="str">
        <f>IFERROR((('Lab Analysis'!V642/18)-('Lab Analysis'!U642/60))/(('Lab Analysis'!T642/44)+('Lab Analysis'!U642/60)),"0")</f>
        <v>0</v>
      </c>
      <c r="O642" s="187" t="str">
        <f>IFERROR(((2*('Lab Analysis'!Y642/60)+('Lab Analysis'!W642/17))/(('Lab Analysis'!X642/44)+('Lab Analysis'!Y642/60))),"0")</f>
        <v>0</v>
      </c>
      <c r="P642" s="187" t="str">
        <f>IFERROR((('Lab Analysis'!Z642/18)-('Lab Analysis'!Y642/60))/(('Lab Analysis'!X642/44)+('Lab Analysis'!Y642/60)),"0")</f>
        <v>0</v>
      </c>
      <c r="Q642" s="191"/>
    </row>
    <row r="643" spans="1:17">
      <c r="A643" s="185">
        <v>46457</v>
      </c>
      <c r="B643" s="186" t="str">
        <f>IFERROR(('Lab Analysis'!E643/('Lab Analysis'!E643+(1.364*'Lab Analysis'!D643))),"0")</f>
        <v>0</v>
      </c>
      <c r="C643" s="186" t="str">
        <f>IFERROR((2*'Lab Analysis'!E643/60)/('Lab Analysis'!C643/17+(2*'Lab Analysis'!E643/60)),"0")</f>
        <v>0</v>
      </c>
      <c r="D643" s="187" t="str">
        <f>IFERROR(((2*('Lab Analysis'!E643/60)+('Lab Analysis'!C643/17))/(('Lab Analysis'!D643/44)+('Lab Analysis'!E643/60))),"0")</f>
        <v>0</v>
      </c>
      <c r="E643" s="187" t="str">
        <f>IFERROR((('Lab Analysis'!F643/18)-('Lab Analysis'!E643/60))/(('Lab Analysis'!D643/44)+('Lab Analysis'!E643/60)),"0")</f>
        <v>0</v>
      </c>
      <c r="F643" s="187" t="str">
        <f>IFERROR((('Lab Analysis'!F643/18)/('Lab Analysis'!E643/60)),"0")</f>
        <v>0</v>
      </c>
      <c r="G643" s="188" t="str">
        <f>IFERROR(('Lab Analysis'!I643/('Lab Analysis'!I643+(1.765*'Lab Analysis'!G643))),"0")</f>
        <v>0</v>
      </c>
      <c r="H643" s="189" t="str">
        <f>IFERROR(((2*('Lab Analysis'!I643/60))+('Lab Analysis'!G643/17))/(('Lab Analysis'!H643/44)+('Lab Analysis'!I643/60)),"0")</f>
        <v>0</v>
      </c>
      <c r="I643" s="189" t="str">
        <f>IFERROR((('Lab Analysis'!J643/18)-('Lab Analysis'!I643/60))/(('Lab Analysis'!H643/44)+('Lab Analysis'!I643/60)),"0")</f>
        <v>0</v>
      </c>
      <c r="J643" s="186" t="str">
        <f>IFERROR(('Lab Analysis'!M643/('Lab Analysis'!M643+(1.765*'Lab Analysis'!K643))),"0")</f>
        <v>0</v>
      </c>
      <c r="K643" s="190" t="str">
        <f>IFERROR(((2*('Lab Analysis'!M643/60))+('Lab Analysis'!K643/17))/(('Lab Analysis'!L643/44)+('Lab Analysis'!M643/60)),"0")</f>
        <v>0</v>
      </c>
      <c r="L643" s="190" t="str">
        <f>IFERROR((('Lab Analysis'!N643/18)-('Lab Analysis'!M643/60))/(('Lab Analysis'!L643/44)+('Lab Analysis'!M643/60)),"0")</f>
        <v>0</v>
      </c>
      <c r="M643" s="187" t="str">
        <f>IFERROR(((2*('Lab Analysis'!U643/60))+('Lab Analysis'!S643/17))/(('Lab Analysis'!T643/44)+('Lab Analysis'!U643/60)),"0")</f>
        <v>0</v>
      </c>
      <c r="N643" s="187" t="str">
        <f>IFERROR((('Lab Analysis'!V643/18)-('Lab Analysis'!U643/60))/(('Lab Analysis'!T643/44)+('Lab Analysis'!U643/60)),"0")</f>
        <v>0</v>
      </c>
      <c r="O643" s="187" t="str">
        <f>IFERROR(((2*('Lab Analysis'!Y643/60)+('Lab Analysis'!W643/17))/(('Lab Analysis'!X643/44)+('Lab Analysis'!Y643/60))),"0")</f>
        <v>0</v>
      </c>
      <c r="P643" s="187" t="str">
        <f>IFERROR((('Lab Analysis'!Z643/18)-('Lab Analysis'!Y643/60))/(('Lab Analysis'!X643/44)+('Lab Analysis'!Y643/60)),"0")</f>
        <v>0</v>
      </c>
      <c r="Q643" s="191"/>
    </row>
    <row r="644" spans="1:17">
      <c r="A644" s="185">
        <v>46458</v>
      </c>
      <c r="B644" s="186" t="str">
        <f>IFERROR(('Lab Analysis'!E644/('Lab Analysis'!E644+(1.364*'Lab Analysis'!D644))),"0")</f>
        <v>0</v>
      </c>
      <c r="C644" s="186" t="str">
        <f>IFERROR((2*'Lab Analysis'!E644/60)/('Lab Analysis'!C644/17+(2*'Lab Analysis'!E644/60)),"0")</f>
        <v>0</v>
      </c>
      <c r="D644" s="187" t="str">
        <f>IFERROR(((2*('Lab Analysis'!E644/60)+('Lab Analysis'!C644/17))/(('Lab Analysis'!D644/44)+('Lab Analysis'!E644/60))),"0")</f>
        <v>0</v>
      </c>
      <c r="E644" s="187" t="str">
        <f>IFERROR((('Lab Analysis'!F644/18)-('Lab Analysis'!E644/60))/(('Lab Analysis'!D644/44)+('Lab Analysis'!E644/60)),"0")</f>
        <v>0</v>
      </c>
      <c r="F644" s="187" t="str">
        <f>IFERROR((('Lab Analysis'!F644/18)/('Lab Analysis'!E644/60)),"0")</f>
        <v>0</v>
      </c>
      <c r="G644" s="188" t="str">
        <f>IFERROR(('Lab Analysis'!I644/('Lab Analysis'!I644+(1.765*'Lab Analysis'!G644))),"0")</f>
        <v>0</v>
      </c>
      <c r="H644" s="189" t="str">
        <f>IFERROR(((2*('Lab Analysis'!I644/60))+('Lab Analysis'!G644/17))/(('Lab Analysis'!H644/44)+('Lab Analysis'!I644/60)),"0")</f>
        <v>0</v>
      </c>
      <c r="I644" s="189" t="str">
        <f>IFERROR((('Lab Analysis'!J644/18)-('Lab Analysis'!I644/60))/(('Lab Analysis'!H644/44)+('Lab Analysis'!I644/60)),"0")</f>
        <v>0</v>
      </c>
      <c r="J644" s="186" t="str">
        <f>IFERROR(('Lab Analysis'!M644/('Lab Analysis'!M644+(1.765*'Lab Analysis'!K644))),"0")</f>
        <v>0</v>
      </c>
      <c r="K644" s="190" t="str">
        <f>IFERROR(((2*('Lab Analysis'!M644/60))+('Lab Analysis'!K644/17))/(('Lab Analysis'!L644/44)+('Lab Analysis'!M644/60)),"0")</f>
        <v>0</v>
      </c>
      <c r="L644" s="190" t="str">
        <f>IFERROR((('Lab Analysis'!N644/18)-('Lab Analysis'!M644/60))/(('Lab Analysis'!L644/44)+('Lab Analysis'!M644/60)),"0")</f>
        <v>0</v>
      </c>
      <c r="M644" s="187" t="str">
        <f>IFERROR(((2*('Lab Analysis'!U644/60))+('Lab Analysis'!S644/17))/(('Lab Analysis'!T644/44)+('Lab Analysis'!U644/60)),"0")</f>
        <v>0</v>
      </c>
      <c r="N644" s="187" t="str">
        <f>IFERROR((('Lab Analysis'!V644/18)-('Lab Analysis'!U644/60))/(('Lab Analysis'!T644/44)+('Lab Analysis'!U644/60)),"0")</f>
        <v>0</v>
      </c>
      <c r="O644" s="187" t="str">
        <f>IFERROR(((2*('Lab Analysis'!Y644/60)+('Lab Analysis'!W644/17))/(('Lab Analysis'!X644/44)+('Lab Analysis'!Y644/60))),"0")</f>
        <v>0</v>
      </c>
      <c r="P644" s="187" t="str">
        <f>IFERROR((('Lab Analysis'!Z644/18)-('Lab Analysis'!Y644/60))/(('Lab Analysis'!X644/44)+('Lab Analysis'!Y644/60)),"0")</f>
        <v>0</v>
      </c>
      <c r="Q644" s="191"/>
    </row>
    <row r="645" spans="1:17">
      <c r="A645" s="185">
        <v>46459</v>
      </c>
      <c r="B645" s="186" t="str">
        <f>IFERROR(('Lab Analysis'!E645/('Lab Analysis'!E645+(1.364*'Lab Analysis'!D645))),"0")</f>
        <v>0</v>
      </c>
      <c r="C645" s="186" t="str">
        <f>IFERROR((2*'Lab Analysis'!E645/60)/('Lab Analysis'!C645/17+(2*'Lab Analysis'!E645/60)),"0")</f>
        <v>0</v>
      </c>
      <c r="D645" s="187" t="str">
        <f>IFERROR(((2*('Lab Analysis'!E645/60)+('Lab Analysis'!C645/17))/(('Lab Analysis'!D645/44)+('Lab Analysis'!E645/60))),"0")</f>
        <v>0</v>
      </c>
      <c r="E645" s="187" t="str">
        <f>IFERROR((('Lab Analysis'!F645/18)-('Lab Analysis'!E645/60))/(('Lab Analysis'!D645/44)+('Lab Analysis'!E645/60)),"0")</f>
        <v>0</v>
      </c>
      <c r="F645" s="187" t="str">
        <f>IFERROR((('Lab Analysis'!F645/18)/('Lab Analysis'!E645/60)),"0")</f>
        <v>0</v>
      </c>
      <c r="G645" s="188" t="str">
        <f>IFERROR(('Lab Analysis'!I645/('Lab Analysis'!I645+(1.765*'Lab Analysis'!G645))),"0")</f>
        <v>0</v>
      </c>
      <c r="H645" s="189" t="str">
        <f>IFERROR(((2*('Lab Analysis'!I645/60))+('Lab Analysis'!G645/17))/(('Lab Analysis'!H645/44)+('Lab Analysis'!I645/60)),"0")</f>
        <v>0</v>
      </c>
      <c r="I645" s="189" t="str">
        <f>IFERROR((('Lab Analysis'!J645/18)-('Lab Analysis'!I645/60))/(('Lab Analysis'!H645/44)+('Lab Analysis'!I645/60)),"0")</f>
        <v>0</v>
      </c>
      <c r="J645" s="186" t="str">
        <f>IFERROR(('Lab Analysis'!M645/('Lab Analysis'!M645+(1.765*'Lab Analysis'!K645))),"0")</f>
        <v>0</v>
      </c>
      <c r="K645" s="190" t="str">
        <f>IFERROR(((2*('Lab Analysis'!M645/60))+('Lab Analysis'!K645/17))/(('Lab Analysis'!L645/44)+('Lab Analysis'!M645/60)),"0")</f>
        <v>0</v>
      </c>
      <c r="L645" s="190" t="str">
        <f>IFERROR((('Lab Analysis'!N645/18)-('Lab Analysis'!M645/60))/(('Lab Analysis'!L645/44)+('Lab Analysis'!M645/60)),"0")</f>
        <v>0</v>
      </c>
      <c r="M645" s="187" t="str">
        <f>IFERROR(((2*('Lab Analysis'!U645/60))+('Lab Analysis'!S645/17))/(('Lab Analysis'!T645/44)+('Lab Analysis'!U645/60)),"0")</f>
        <v>0</v>
      </c>
      <c r="N645" s="187" t="str">
        <f>IFERROR((('Lab Analysis'!V645/18)-('Lab Analysis'!U645/60))/(('Lab Analysis'!T645/44)+('Lab Analysis'!U645/60)),"0")</f>
        <v>0</v>
      </c>
      <c r="O645" s="187" t="str">
        <f>IFERROR(((2*('Lab Analysis'!Y645/60)+('Lab Analysis'!W645/17))/(('Lab Analysis'!X645/44)+('Lab Analysis'!Y645/60))),"0")</f>
        <v>0</v>
      </c>
      <c r="P645" s="187" t="str">
        <f>IFERROR((('Lab Analysis'!Z645/18)-('Lab Analysis'!Y645/60))/(('Lab Analysis'!X645/44)+('Lab Analysis'!Y645/60)),"0")</f>
        <v>0</v>
      </c>
      <c r="Q645" s="191"/>
    </row>
    <row r="646" spans="1:17">
      <c r="A646" s="185">
        <v>46460</v>
      </c>
      <c r="B646" s="186" t="str">
        <f>IFERROR(('Lab Analysis'!E646/('Lab Analysis'!E646+(1.364*'Lab Analysis'!D646))),"0")</f>
        <v>0</v>
      </c>
      <c r="C646" s="186" t="str">
        <f>IFERROR((2*'Lab Analysis'!E646/60)/('Lab Analysis'!C646/17+(2*'Lab Analysis'!E646/60)),"0")</f>
        <v>0</v>
      </c>
      <c r="D646" s="187" t="str">
        <f>IFERROR(((2*('Lab Analysis'!E646/60)+('Lab Analysis'!C646/17))/(('Lab Analysis'!D646/44)+('Lab Analysis'!E646/60))),"0")</f>
        <v>0</v>
      </c>
      <c r="E646" s="187" t="str">
        <f>IFERROR((('Lab Analysis'!F646/18)-('Lab Analysis'!E646/60))/(('Lab Analysis'!D646/44)+('Lab Analysis'!E646/60)),"0")</f>
        <v>0</v>
      </c>
      <c r="F646" s="187" t="str">
        <f>IFERROR((('Lab Analysis'!F646/18)/('Lab Analysis'!E646/60)),"0")</f>
        <v>0</v>
      </c>
      <c r="G646" s="188" t="str">
        <f>IFERROR(('Lab Analysis'!I646/('Lab Analysis'!I646+(1.765*'Lab Analysis'!G646))),"0")</f>
        <v>0</v>
      </c>
      <c r="H646" s="189" t="str">
        <f>IFERROR(((2*('Lab Analysis'!I646/60))+('Lab Analysis'!G646/17))/(('Lab Analysis'!H646/44)+('Lab Analysis'!I646/60)),"0")</f>
        <v>0</v>
      </c>
      <c r="I646" s="189" t="str">
        <f>IFERROR((('Lab Analysis'!J646/18)-('Lab Analysis'!I646/60))/(('Lab Analysis'!H646/44)+('Lab Analysis'!I646/60)),"0")</f>
        <v>0</v>
      </c>
      <c r="J646" s="186" t="str">
        <f>IFERROR(('Lab Analysis'!M646/('Lab Analysis'!M646+(1.765*'Lab Analysis'!K646))),"0")</f>
        <v>0</v>
      </c>
      <c r="K646" s="190" t="str">
        <f>IFERROR(((2*('Lab Analysis'!M646/60))+('Lab Analysis'!K646/17))/(('Lab Analysis'!L646/44)+('Lab Analysis'!M646/60)),"0")</f>
        <v>0</v>
      </c>
      <c r="L646" s="190" t="str">
        <f>IFERROR((('Lab Analysis'!N646/18)-('Lab Analysis'!M646/60))/(('Lab Analysis'!L646/44)+('Lab Analysis'!M646/60)),"0")</f>
        <v>0</v>
      </c>
      <c r="M646" s="187" t="str">
        <f>IFERROR(((2*('Lab Analysis'!U646/60))+('Lab Analysis'!S646/17))/(('Lab Analysis'!T646/44)+('Lab Analysis'!U646/60)),"0")</f>
        <v>0</v>
      </c>
      <c r="N646" s="187" t="str">
        <f>IFERROR((('Lab Analysis'!V646/18)-('Lab Analysis'!U646/60))/(('Lab Analysis'!T646/44)+('Lab Analysis'!U646/60)),"0")</f>
        <v>0</v>
      </c>
      <c r="O646" s="187" t="str">
        <f>IFERROR(((2*('Lab Analysis'!Y646/60)+('Lab Analysis'!W646/17))/(('Lab Analysis'!X646/44)+('Lab Analysis'!Y646/60))),"0")</f>
        <v>0</v>
      </c>
      <c r="P646" s="187" t="str">
        <f>IFERROR((('Lab Analysis'!Z646/18)-('Lab Analysis'!Y646/60))/(('Lab Analysis'!X646/44)+('Lab Analysis'!Y646/60)),"0")</f>
        <v>0</v>
      </c>
      <c r="Q646" s="191"/>
    </row>
    <row r="647" spans="1:17">
      <c r="A647" s="185">
        <v>46461</v>
      </c>
      <c r="B647" s="186" t="str">
        <f>IFERROR(('Lab Analysis'!E647/('Lab Analysis'!E647+(1.364*'Lab Analysis'!D647))),"0")</f>
        <v>0</v>
      </c>
      <c r="C647" s="186" t="str">
        <f>IFERROR((2*'Lab Analysis'!E647/60)/('Lab Analysis'!C647/17+(2*'Lab Analysis'!E647/60)),"0")</f>
        <v>0</v>
      </c>
      <c r="D647" s="187" t="str">
        <f>IFERROR(((2*('Lab Analysis'!E647/60)+('Lab Analysis'!C647/17))/(('Lab Analysis'!D647/44)+('Lab Analysis'!E647/60))),"0")</f>
        <v>0</v>
      </c>
      <c r="E647" s="187" t="str">
        <f>IFERROR((('Lab Analysis'!F647/18)-('Lab Analysis'!E647/60))/(('Lab Analysis'!D647/44)+('Lab Analysis'!E647/60)),"0")</f>
        <v>0</v>
      </c>
      <c r="F647" s="187" t="str">
        <f>IFERROR((('Lab Analysis'!F647/18)/('Lab Analysis'!E647/60)),"0")</f>
        <v>0</v>
      </c>
      <c r="G647" s="188" t="str">
        <f>IFERROR(('Lab Analysis'!I647/('Lab Analysis'!I647+(1.765*'Lab Analysis'!G647))),"0")</f>
        <v>0</v>
      </c>
      <c r="H647" s="189" t="str">
        <f>IFERROR(((2*('Lab Analysis'!I647/60))+('Lab Analysis'!G647/17))/(('Lab Analysis'!H647/44)+('Lab Analysis'!I647/60)),"0")</f>
        <v>0</v>
      </c>
      <c r="I647" s="189" t="str">
        <f>IFERROR((('Lab Analysis'!J647/18)-('Lab Analysis'!I647/60))/(('Lab Analysis'!H647/44)+('Lab Analysis'!I647/60)),"0")</f>
        <v>0</v>
      </c>
      <c r="J647" s="186" t="str">
        <f>IFERROR(('Lab Analysis'!M647/('Lab Analysis'!M647+(1.765*'Lab Analysis'!K647))),"0")</f>
        <v>0</v>
      </c>
      <c r="K647" s="190" t="str">
        <f>IFERROR(((2*('Lab Analysis'!M647/60))+('Lab Analysis'!K647/17))/(('Lab Analysis'!L647/44)+('Lab Analysis'!M647/60)),"0")</f>
        <v>0</v>
      </c>
      <c r="L647" s="190" t="str">
        <f>IFERROR((('Lab Analysis'!N647/18)-('Lab Analysis'!M647/60))/(('Lab Analysis'!L647/44)+('Lab Analysis'!M647/60)),"0")</f>
        <v>0</v>
      </c>
      <c r="M647" s="187" t="str">
        <f>IFERROR(((2*('Lab Analysis'!U647/60))+('Lab Analysis'!S647/17))/(('Lab Analysis'!T647/44)+('Lab Analysis'!U647/60)),"0")</f>
        <v>0</v>
      </c>
      <c r="N647" s="187" t="str">
        <f>IFERROR((('Lab Analysis'!V647/18)-('Lab Analysis'!U647/60))/(('Lab Analysis'!T647/44)+('Lab Analysis'!U647/60)),"0")</f>
        <v>0</v>
      </c>
      <c r="O647" s="187" t="str">
        <f>IFERROR(((2*('Lab Analysis'!Y647/60)+('Lab Analysis'!W647/17))/(('Lab Analysis'!X647/44)+('Lab Analysis'!Y647/60))),"0")</f>
        <v>0</v>
      </c>
      <c r="P647" s="187" t="str">
        <f>IFERROR((('Lab Analysis'!Z647/18)-('Lab Analysis'!Y647/60))/(('Lab Analysis'!X647/44)+('Lab Analysis'!Y647/60)),"0")</f>
        <v>0</v>
      </c>
      <c r="Q647" s="191"/>
    </row>
    <row r="648" spans="1:17">
      <c r="A648" s="185">
        <v>46462</v>
      </c>
      <c r="B648" s="186" t="str">
        <f>IFERROR(('Lab Analysis'!E648/('Lab Analysis'!E648+(1.364*'Lab Analysis'!D648))),"0")</f>
        <v>0</v>
      </c>
      <c r="C648" s="186" t="str">
        <f>IFERROR((2*'Lab Analysis'!E648/60)/('Lab Analysis'!C648/17+(2*'Lab Analysis'!E648/60)),"0")</f>
        <v>0</v>
      </c>
      <c r="D648" s="187" t="str">
        <f>IFERROR(((2*('Lab Analysis'!E648/60)+('Lab Analysis'!C648/17))/(('Lab Analysis'!D648/44)+('Lab Analysis'!E648/60))),"0")</f>
        <v>0</v>
      </c>
      <c r="E648" s="187" t="str">
        <f>IFERROR((('Lab Analysis'!F648/18)-('Lab Analysis'!E648/60))/(('Lab Analysis'!D648/44)+('Lab Analysis'!E648/60)),"0")</f>
        <v>0</v>
      </c>
      <c r="F648" s="187" t="str">
        <f>IFERROR((('Lab Analysis'!F648/18)/('Lab Analysis'!E648/60)),"0")</f>
        <v>0</v>
      </c>
      <c r="G648" s="188" t="str">
        <f>IFERROR(('Lab Analysis'!I648/('Lab Analysis'!I648+(1.765*'Lab Analysis'!G648))),"0")</f>
        <v>0</v>
      </c>
      <c r="H648" s="189" t="str">
        <f>IFERROR(((2*('Lab Analysis'!I648/60))+('Lab Analysis'!G648/17))/(('Lab Analysis'!H648/44)+('Lab Analysis'!I648/60)),"0")</f>
        <v>0</v>
      </c>
      <c r="I648" s="189" t="str">
        <f>IFERROR((('Lab Analysis'!J648/18)-('Lab Analysis'!I648/60))/(('Lab Analysis'!H648/44)+('Lab Analysis'!I648/60)),"0")</f>
        <v>0</v>
      </c>
      <c r="J648" s="186" t="str">
        <f>IFERROR(('Lab Analysis'!M648/('Lab Analysis'!M648+(1.765*'Lab Analysis'!K648))),"0")</f>
        <v>0</v>
      </c>
      <c r="K648" s="190" t="str">
        <f>IFERROR(((2*('Lab Analysis'!M648/60))+('Lab Analysis'!K648/17))/(('Lab Analysis'!L648/44)+('Lab Analysis'!M648/60)),"0")</f>
        <v>0</v>
      </c>
      <c r="L648" s="190" t="str">
        <f>IFERROR((('Lab Analysis'!N648/18)-('Lab Analysis'!M648/60))/(('Lab Analysis'!L648/44)+('Lab Analysis'!M648/60)),"0")</f>
        <v>0</v>
      </c>
      <c r="M648" s="187" t="str">
        <f>IFERROR(((2*('Lab Analysis'!U648/60))+('Lab Analysis'!S648/17))/(('Lab Analysis'!T648/44)+('Lab Analysis'!U648/60)),"0")</f>
        <v>0</v>
      </c>
      <c r="N648" s="187" t="str">
        <f>IFERROR((('Lab Analysis'!V648/18)-('Lab Analysis'!U648/60))/(('Lab Analysis'!T648/44)+('Lab Analysis'!U648/60)),"0")</f>
        <v>0</v>
      </c>
      <c r="O648" s="187" t="str">
        <f>IFERROR(((2*('Lab Analysis'!Y648/60)+('Lab Analysis'!W648/17))/(('Lab Analysis'!X648/44)+('Lab Analysis'!Y648/60))),"0")</f>
        <v>0</v>
      </c>
      <c r="P648" s="187" t="str">
        <f>IFERROR((('Lab Analysis'!Z648/18)-('Lab Analysis'!Y648/60))/(('Lab Analysis'!X648/44)+('Lab Analysis'!Y648/60)),"0")</f>
        <v>0</v>
      </c>
      <c r="Q648" s="191"/>
    </row>
    <row r="649" spans="1:17">
      <c r="A649" s="185">
        <v>46463</v>
      </c>
      <c r="B649" s="186" t="str">
        <f>IFERROR(('Lab Analysis'!E649/('Lab Analysis'!E649+(1.364*'Lab Analysis'!D649))),"0")</f>
        <v>0</v>
      </c>
      <c r="C649" s="186" t="str">
        <f>IFERROR((2*'Lab Analysis'!E649/60)/('Lab Analysis'!C649/17+(2*'Lab Analysis'!E649/60)),"0")</f>
        <v>0</v>
      </c>
      <c r="D649" s="187" t="str">
        <f>IFERROR(((2*('Lab Analysis'!E649/60)+('Lab Analysis'!C649/17))/(('Lab Analysis'!D649/44)+('Lab Analysis'!E649/60))),"0")</f>
        <v>0</v>
      </c>
      <c r="E649" s="187" t="str">
        <f>IFERROR((('Lab Analysis'!F649/18)-('Lab Analysis'!E649/60))/(('Lab Analysis'!D649/44)+('Lab Analysis'!E649/60)),"0")</f>
        <v>0</v>
      </c>
      <c r="F649" s="187" t="str">
        <f>IFERROR((('Lab Analysis'!F649/18)/('Lab Analysis'!E649/60)),"0")</f>
        <v>0</v>
      </c>
      <c r="G649" s="188" t="str">
        <f>IFERROR(('Lab Analysis'!I649/('Lab Analysis'!I649+(1.765*'Lab Analysis'!G649))),"0")</f>
        <v>0</v>
      </c>
      <c r="H649" s="189" t="str">
        <f>IFERROR(((2*('Lab Analysis'!I649/60))+('Lab Analysis'!G649/17))/(('Lab Analysis'!H649/44)+('Lab Analysis'!I649/60)),"0")</f>
        <v>0</v>
      </c>
      <c r="I649" s="189" t="str">
        <f>IFERROR((('Lab Analysis'!J649/18)-('Lab Analysis'!I649/60))/(('Lab Analysis'!H649/44)+('Lab Analysis'!I649/60)),"0")</f>
        <v>0</v>
      </c>
      <c r="J649" s="186" t="str">
        <f>IFERROR(('Lab Analysis'!M649/('Lab Analysis'!M649+(1.765*'Lab Analysis'!K649))),"0")</f>
        <v>0</v>
      </c>
      <c r="K649" s="190" t="str">
        <f>IFERROR(((2*('Lab Analysis'!M649/60))+('Lab Analysis'!K649/17))/(('Lab Analysis'!L649/44)+('Lab Analysis'!M649/60)),"0")</f>
        <v>0</v>
      </c>
      <c r="L649" s="190" t="str">
        <f>IFERROR((('Lab Analysis'!N649/18)-('Lab Analysis'!M649/60))/(('Lab Analysis'!L649/44)+('Lab Analysis'!M649/60)),"0")</f>
        <v>0</v>
      </c>
      <c r="M649" s="187" t="str">
        <f>IFERROR(((2*('Lab Analysis'!U649/60))+('Lab Analysis'!S649/17))/(('Lab Analysis'!T649/44)+('Lab Analysis'!U649/60)),"0")</f>
        <v>0</v>
      </c>
      <c r="N649" s="187" t="str">
        <f>IFERROR((('Lab Analysis'!V649/18)-('Lab Analysis'!U649/60))/(('Lab Analysis'!T649/44)+('Lab Analysis'!U649/60)),"0")</f>
        <v>0</v>
      </c>
      <c r="O649" s="187" t="str">
        <f>IFERROR(((2*('Lab Analysis'!Y649/60)+('Lab Analysis'!W649/17))/(('Lab Analysis'!X649/44)+('Lab Analysis'!Y649/60))),"0")</f>
        <v>0</v>
      </c>
      <c r="P649" s="187" t="str">
        <f>IFERROR((('Lab Analysis'!Z649/18)-('Lab Analysis'!Y649/60))/(('Lab Analysis'!X649/44)+('Lab Analysis'!Y649/60)),"0")</f>
        <v>0</v>
      </c>
      <c r="Q649" s="191"/>
    </row>
    <row r="650" spans="1:17">
      <c r="A650" s="185">
        <v>46464</v>
      </c>
      <c r="B650" s="186" t="str">
        <f>IFERROR(('Lab Analysis'!E650/('Lab Analysis'!E650+(1.364*'Lab Analysis'!D650))),"0")</f>
        <v>0</v>
      </c>
      <c r="C650" s="186" t="str">
        <f>IFERROR((2*'Lab Analysis'!E650/60)/('Lab Analysis'!C650/17+(2*'Lab Analysis'!E650/60)),"0")</f>
        <v>0</v>
      </c>
      <c r="D650" s="187" t="str">
        <f>IFERROR(((2*('Lab Analysis'!E650/60)+('Lab Analysis'!C650/17))/(('Lab Analysis'!D650/44)+('Lab Analysis'!E650/60))),"0")</f>
        <v>0</v>
      </c>
      <c r="E650" s="187" t="str">
        <f>IFERROR((('Lab Analysis'!F650/18)-('Lab Analysis'!E650/60))/(('Lab Analysis'!D650/44)+('Lab Analysis'!E650/60)),"0")</f>
        <v>0</v>
      </c>
      <c r="F650" s="187" t="str">
        <f>IFERROR((('Lab Analysis'!F650/18)/('Lab Analysis'!E650/60)),"0")</f>
        <v>0</v>
      </c>
      <c r="G650" s="188" t="str">
        <f>IFERROR(('Lab Analysis'!I650/('Lab Analysis'!I650+(1.765*'Lab Analysis'!G650))),"0")</f>
        <v>0</v>
      </c>
      <c r="H650" s="189" t="str">
        <f>IFERROR(((2*('Lab Analysis'!I650/60))+('Lab Analysis'!G650/17))/(('Lab Analysis'!H650/44)+('Lab Analysis'!I650/60)),"0")</f>
        <v>0</v>
      </c>
      <c r="I650" s="189" t="str">
        <f>IFERROR((('Lab Analysis'!J650/18)-('Lab Analysis'!I650/60))/(('Lab Analysis'!H650/44)+('Lab Analysis'!I650/60)),"0")</f>
        <v>0</v>
      </c>
      <c r="J650" s="186" t="str">
        <f>IFERROR(('Lab Analysis'!M650/('Lab Analysis'!M650+(1.765*'Lab Analysis'!K650))),"0")</f>
        <v>0</v>
      </c>
      <c r="K650" s="190" t="str">
        <f>IFERROR(((2*('Lab Analysis'!M650/60))+('Lab Analysis'!K650/17))/(('Lab Analysis'!L650/44)+('Lab Analysis'!M650/60)),"0")</f>
        <v>0</v>
      </c>
      <c r="L650" s="190" t="str">
        <f>IFERROR((('Lab Analysis'!N650/18)-('Lab Analysis'!M650/60))/(('Lab Analysis'!L650/44)+('Lab Analysis'!M650/60)),"0")</f>
        <v>0</v>
      </c>
      <c r="M650" s="187" t="str">
        <f>IFERROR(((2*('Lab Analysis'!U650/60))+('Lab Analysis'!S650/17))/(('Lab Analysis'!T650/44)+('Lab Analysis'!U650/60)),"0")</f>
        <v>0</v>
      </c>
      <c r="N650" s="187" t="str">
        <f>IFERROR((('Lab Analysis'!V650/18)-('Lab Analysis'!U650/60))/(('Lab Analysis'!T650/44)+('Lab Analysis'!U650/60)),"0")</f>
        <v>0</v>
      </c>
      <c r="O650" s="187" t="str">
        <f>IFERROR(((2*('Lab Analysis'!Y650/60)+('Lab Analysis'!W650/17))/(('Lab Analysis'!X650/44)+('Lab Analysis'!Y650/60))),"0")</f>
        <v>0</v>
      </c>
      <c r="P650" s="187" t="str">
        <f>IFERROR((('Lab Analysis'!Z650/18)-('Lab Analysis'!Y650/60))/(('Lab Analysis'!X650/44)+('Lab Analysis'!Y650/60)),"0")</f>
        <v>0</v>
      </c>
      <c r="Q650" s="191"/>
    </row>
    <row r="651" spans="1:17">
      <c r="A651" s="185">
        <v>46465</v>
      </c>
      <c r="B651" s="186" t="str">
        <f>IFERROR(('Lab Analysis'!E651/('Lab Analysis'!E651+(1.364*'Lab Analysis'!D651))),"0")</f>
        <v>0</v>
      </c>
      <c r="C651" s="186" t="str">
        <f>IFERROR((2*'Lab Analysis'!E651/60)/('Lab Analysis'!C651/17+(2*'Lab Analysis'!E651/60)),"0")</f>
        <v>0</v>
      </c>
      <c r="D651" s="187" t="str">
        <f>IFERROR(((2*('Lab Analysis'!E651/60)+('Lab Analysis'!C651/17))/(('Lab Analysis'!D651/44)+('Lab Analysis'!E651/60))),"0")</f>
        <v>0</v>
      </c>
      <c r="E651" s="187" t="str">
        <f>IFERROR((('Lab Analysis'!F651/18)-('Lab Analysis'!E651/60))/(('Lab Analysis'!D651/44)+('Lab Analysis'!E651/60)),"0")</f>
        <v>0</v>
      </c>
      <c r="F651" s="187" t="str">
        <f>IFERROR((('Lab Analysis'!F651/18)/('Lab Analysis'!E651/60)),"0")</f>
        <v>0</v>
      </c>
      <c r="G651" s="188" t="str">
        <f>IFERROR(('Lab Analysis'!I651/('Lab Analysis'!I651+(1.765*'Lab Analysis'!G651))),"0")</f>
        <v>0</v>
      </c>
      <c r="H651" s="189" t="str">
        <f>IFERROR(((2*('Lab Analysis'!I651/60))+('Lab Analysis'!G651/17))/(('Lab Analysis'!H651/44)+('Lab Analysis'!I651/60)),"0")</f>
        <v>0</v>
      </c>
      <c r="I651" s="189" t="str">
        <f>IFERROR((('Lab Analysis'!J651/18)-('Lab Analysis'!I651/60))/(('Lab Analysis'!H651/44)+('Lab Analysis'!I651/60)),"0")</f>
        <v>0</v>
      </c>
      <c r="J651" s="186" t="str">
        <f>IFERROR(('Lab Analysis'!M651/('Lab Analysis'!M651+(1.765*'Lab Analysis'!K651))),"0")</f>
        <v>0</v>
      </c>
      <c r="K651" s="190" t="str">
        <f>IFERROR(((2*('Lab Analysis'!M651/60))+('Lab Analysis'!K651/17))/(('Lab Analysis'!L651/44)+('Lab Analysis'!M651/60)),"0")</f>
        <v>0</v>
      </c>
      <c r="L651" s="190" t="str">
        <f>IFERROR((('Lab Analysis'!N651/18)-('Lab Analysis'!M651/60))/(('Lab Analysis'!L651/44)+('Lab Analysis'!M651/60)),"0")</f>
        <v>0</v>
      </c>
      <c r="M651" s="187" t="str">
        <f>IFERROR(((2*('Lab Analysis'!U651/60))+('Lab Analysis'!S651/17))/(('Lab Analysis'!T651/44)+('Lab Analysis'!U651/60)),"0")</f>
        <v>0</v>
      </c>
      <c r="N651" s="187" t="str">
        <f>IFERROR((('Lab Analysis'!V651/18)-('Lab Analysis'!U651/60))/(('Lab Analysis'!T651/44)+('Lab Analysis'!U651/60)),"0")</f>
        <v>0</v>
      </c>
      <c r="O651" s="187" t="str">
        <f>IFERROR(((2*('Lab Analysis'!Y651/60)+('Lab Analysis'!W651/17))/(('Lab Analysis'!X651/44)+('Lab Analysis'!Y651/60))),"0")</f>
        <v>0</v>
      </c>
      <c r="P651" s="187" t="str">
        <f>IFERROR((('Lab Analysis'!Z651/18)-('Lab Analysis'!Y651/60))/(('Lab Analysis'!X651/44)+('Lab Analysis'!Y651/60)),"0")</f>
        <v>0</v>
      </c>
      <c r="Q651" s="191"/>
    </row>
    <row r="652" spans="1:17">
      <c r="A652" s="185">
        <v>46466</v>
      </c>
      <c r="B652" s="186" t="str">
        <f>IFERROR(('Lab Analysis'!E652/('Lab Analysis'!E652+(1.364*'Lab Analysis'!D652))),"0")</f>
        <v>0</v>
      </c>
      <c r="C652" s="186" t="str">
        <f>IFERROR((2*'Lab Analysis'!E652/60)/('Lab Analysis'!C652/17+(2*'Lab Analysis'!E652/60)),"0")</f>
        <v>0</v>
      </c>
      <c r="D652" s="187" t="str">
        <f>IFERROR(((2*('Lab Analysis'!E652/60)+('Lab Analysis'!C652/17))/(('Lab Analysis'!D652/44)+('Lab Analysis'!E652/60))),"0")</f>
        <v>0</v>
      </c>
      <c r="E652" s="187" t="str">
        <f>IFERROR((('Lab Analysis'!F652/18)-('Lab Analysis'!E652/60))/(('Lab Analysis'!D652/44)+('Lab Analysis'!E652/60)),"0")</f>
        <v>0</v>
      </c>
      <c r="F652" s="187" t="str">
        <f>IFERROR((('Lab Analysis'!F652/18)/('Lab Analysis'!E652/60)),"0")</f>
        <v>0</v>
      </c>
      <c r="G652" s="188" t="str">
        <f>IFERROR(('Lab Analysis'!I652/('Lab Analysis'!I652+(1.765*'Lab Analysis'!G652))),"0")</f>
        <v>0</v>
      </c>
      <c r="H652" s="189" t="str">
        <f>IFERROR(((2*('Lab Analysis'!I652/60))+('Lab Analysis'!G652/17))/(('Lab Analysis'!H652/44)+('Lab Analysis'!I652/60)),"0")</f>
        <v>0</v>
      </c>
      <c r="I652" s="189" t="str">
        <f>IFERROR((('Lab Analysis'!J652/18)-('Lab Analysis'!I652/60))/(('Lab Analysis'!H652/44)+('Lab Analysis'!I652/60)),"0")</f>
        <v>0</v>
      </c>
      <c r="J652" s="186" t="str">
        <f>IFERROR(('Lab Analysis'!M652/('Lab Analysis'!M652+(1.765*'Lab Analysis'!K652))),"0")</f>
        <v>0</v>
      </c>
      <c r="K652" s="190" t="str">
        <f>IFERROR(((2*('Lab Analysis'!M652/60))+('Lab Analysis'!K652/17))/(('Lab Analysis'!L652/44)+('Lab Analysis'!M652/60)),"0")</f>
        <v>0</v>
      </c>
      <c r="L652" s="190" t="str">
        <f>IFERROR((('Lab Analysis'!N652/18)-('Lab Analysis'!M652/60))/(('Lab Analysis'!L652/44)+('Lab Analysis'!M652/60)),"0")</f>
        <v>0</v>
      </c>
      <c r="M652" s="187" t="str">
        <f>IFERROR(((2*('Lab Analysis'!U652/60))+('Lab Analysis'!S652/17))/(('Lab Analysis'!T652/44)+('Lab Analysis'!U652/60)),"0")</f>
        <v>0</v>
      </c>
      <c r="N652" s="187" t="str">
        <f>IFERROR((('Lab Analysis'!V652/18)-('Lab Analysis'!U652/60))/(('Lab Analysis'!T652/44)+('Lab Analysis'!U652/60)),"0")</f>
        <v>0</v>
      </c>
      <c r="O652" s="187" t="str">
        <f>IFERROR(((2*('Lab Analysis'!Y652/60)+('Lab Analysis'!W652/17))/(('Lab Analysis'!X652/44)+('Lab Analysis'!Y652/60))),"0")</f>
        <v>0</v>
      </c>
      <c r="P652" s="187" t="str">
        <f>IFERROR((('Lab Analysis'!Z652/18)-('Lab Analysis'!Y652/60))/(('Lab Analysis'!X652/44)+('Lab Analysis'!Y652/60)),"0")</f>
        <v>0</v>
      </c>
      <c r="Q652" s="191"/>
    </row>
    <row r="653" spans="1:17">
      <c r="A653" s="185">
        <v>46467</v>
      </c>
      <c r="B653" s="186" t="str">
        <f>IFERROR(('Lab Analysis'!E653/('Lab Analysis'!E653+(1.364*'Lab Analysis'!D653))),"0")</f>
        <v>0</v>
      </c>
      <c r="C653" s="186" t="str">
        <f>IFERROR((2*'Lab Analysis'!E653/60)/('Lab Analysis'!C653/17+(2*'Lab Analysis'!E653/60)),"0")</f>
        <v>0</v>
      </c>
      <c r="D653" s="187" t="str">
        <f>IFERROR(((2*('Lab Analysis'!E653/60)+('Lab Analysis'!C653/17))/(('Lab Analysis'!D653/44)+('Lab Analysis'!E653/60))),"0")</f>
        <v>0</v>
      </c>
      <c r="E653" s="187" t="str">
        <f>IFERROR((('Lab Analysis'!F653/18)-('Lab Analysis'!E653/60))/(('Lab Analysis'!D653/44)+('Lab Analysis'!E653/60)),"0")</f>
        <v>0</v>
      </c>
      <c r="F653" s="187" t="str">
        <f>IFERROR((('Lab Analysis'!F653/18)/('Lab Analysis'!E653/60)),"0")</f>
        <v>0</v>
      </c>
      <c r="G653" s="188" t="str">
        <f>IFERROR(('Lab Analysis'!I653/('Lab Analysis'!I653+(1.765*'Lab Analysis'!G653))),"0")</f>
        <v>0</v>
      </c>
      <c r="H653" s="189" t="str">
        <f>IFERROR(((2*('Lab Analysis'!I653/60))+('Lab Analysis'!G653/17))/(('Lab Analysis'!H653/44)+('Lab Analysis'!I653/60)),"0")</f>
        <v>0</v>
      </c>
      <c r="I653" s="189" t="str">
        <f>IFERROR((('Lab Analysis'!J653/18)-('Lab Analysis'!I653/60))/(('Lab Analysis'!H653/44)+('Lab Analysis'!I653/60)),"0")</f>
        <v>0</v>
      </c>
      <c r="J653" s="186" t="str">
        <f>IFERROR(('Lab Analysis'!M653/('Lab Analysis'!M653+(1.765*'Lab Analysis'!K653))),"0")</f>
        <v>0</v>
      </c>
      <c r="K653" s="190" t="str">
        <f>IFERROR(((2*('Lab Analysis'!M653/60))+('Lab Analysis'!K653/17))/(('Lab Analysis'!L653/44)+('Lab Analysis'!M653/60)),"0")</f>
        <v>0</v>
      </c>
      <c r="L653" s="190" t="str">
        <f>IFERROR((('Lab Analysis'!N653/18)-('Lab Analysis'!M653/60))/(('Lab Analysis'!L653/44)+('Lab Analysis'!M653/60)),"0")</f>
        <v>0</v>
      </c>
      <c r="M653" s="187" t="str">
        <f>IFERROR(((2*('Lab Analysis'!U653/60))+('Lab Analysis'!S653/17))/(('Lab Analysis'!T653/44)+('Lab Analysis'!U653/60)),"0")</f>
        <v>0</v>
      </c>
      <c r="N653" s="187" t="str">
        <f>IFERROR((('Lab Analysis'!V653/18)-('Lab Analysis'!U653/60))/(('Lab Analysis'!T653/44)+('Lab Analysis'!U653/60)),"0")</f>
        <v>0</v>
      </c>
      <c r="O653" s="187" t="str">
        <f>IFERROR(((2*('Lab Analysis'!Y653/60)+('Lab Analysis'!W653/17))/(('Lab Analysis'!X653/44)+('Lab Analysis'!Y653/60))),"0")</f>
        <v>0</v>
      </c>
      <c r="P653" s="187" t="str">
        <f>IFERROR((('Lab Analysis'!Z653/18)-('Lab Analysis'!Y653/60))/(('Lab Analysis'!X653/44)+('Lab Analysis'!Y653/60)),"0")</f>
        <v>0</v>
      </c>
      <c r="Q653" s="191"/>
    </row>
    <row r="654" spans="1:17">
      <c r="A654" s="185">
        <v>46468</v>
      </c>
      <c r="B654" s="186" t="str">
        <f>IFERROR(('Lab Analysis'!E654/('Lab Analysis'!E654+(1.364*'Lab Analysis'!D654))),"0")</f>
        <v>0</v>
      </c>
      <c r="C654" s="186" t="str">
        <f>IFERROR((2*'Lab Analysis'!E654/60)/('Lab Analysis'!C654/17+(2*'Lab Analysis'!E654/60)),"0")</f>
        <v>0</v>
      </c>
      <c r="D654" s="187" t="str">
        <f>IFERROR(((2*('Lab Analysis'!E654/60)+('Lab Analysis'!C654/17))/(('Lab Analysis'!D654/44)+('Lab Analysis'!E654/60))),"0")</f>
        <v>0</v>
      </c>
      <c r="E654" s="187" t="str">
        <f>IFERROR((('Lab Analysis'!F654/18)-('Lab Analysis'!E654/60))/(('Lab Analysis'!D654/44)+('Lab Analysis'!E654/60)),"0")</f>
        <v>0</v>
      </c>
      <c r="F654" s="187" t="str">
        <f>IFERROR((('Lab Analysis'!F654/18)/('Lab Analysis'!E654/60)),"0")</f>
        <v>0</v>
      </c>
      <c r="G654" s="188" t="str">
        <f>IFERROR(('Lab Analysis'!I654/('Lab Analysis'!I654+(1.765*'Lab Analysis'!G654))),"0")</f>
        <v>0</v>
      </c>
      <c r="H654" s="189" t="str">
        <f>IFERROR(((2*('Lab Analysis'!I654/60))+('Lab Analysis'!G654/17))/(('Lab Analysis'!H654/44)+('Lab Analysis'!I654/60)),"0")</f>
        <v>0</v>
      </c>
      <c r="I654" s="189" t="str">
        <f>IFERROR((('Lab Analysis'!J654/18)-('Lab Analysis'!I654/60))/(('Lab Analysis'!H654/44)+('Lab Analysis'!I654/60)),"0")</f>
        <v>0</v>
      </c>
      <c r="J654" s="186" t="str">
        <f>IFERROR(('Lab Analysis'!M654/('Lab Analysis'!M654+(1.765*'Lab Analysis'!K654))),"0")</f>
        <v>0</v>
      </c>
      <c r="K654" s="190" t="str">
        <f>IFERROR(((2*('Lab Analysis'!M654/60))+('Lab Analysis'!K654/17))/(('Lab Analysis'!L654/44)+('Lab Analysis'!M654/60)),"0")</f>
        <v>0</v>
      </c>
      <c r="L654" s="190" t="str">
        <f>IFERROR((('Lab Analysis'!N654/18)-('Lab Analysis'!M654/60))/(('Lab Analysis'!L654/44)+('Lab Analysis'!M654/60)),"0")</f>
        <v>0</v>
      </c>
      <c r="M654" s="187" t="str">
        <f>IFERROR(((2*('Lab Analysis'!U654/60))+('Lab Analysis'!S654/17))/(('Lab Analysis'!T654/44)+('Lab Analysis'!U654/60)),"0")</f>
        <v>0</v>
      </c>
      <c r="N654" s="187" t="str">
        <f>IFERROR((('Lab Analysis'!V654/18)-('Lab Analysis'!U654/60))/(('Lab Analysis'!T654/44)+('Lab Analysis'!U654/60)),"0")</f>
        <v>0</v>
      </c>
      <c r="O654" s="187" t="str">
        <f>IFERROR(((2*('Lab Analysis'!Y654/60)+('Lab Analysis'!W654/17))/(('Lab Analysis'!X654/44)+('Lab Analysis'!Y654/60))),"0")</f>
        <v>0</v>
      </c>
      <c r="P654" s="187" t="str">
        <f>IFERROR((('Lab Analysis'!Z654/18)-('Lab Analysis'!Y654/60))/(('Lab Analysis'!X654/44)+('Lab Analysis'!Y654/60)),"0")</f>
        <v>0</v>
      </c>
      <c r="Q654" s="191"/>
    </row>
    <row r="655" spans="1:17">
      <c r="A655" s="185">
        <v>46469</v>
      </c>
      <c r="B655" s="186" t="str">
        <f>IFERROR(('Lab Analysis'!E655/('Lab Analysis'!E655+(1.364*'Lab Analysis'!D655))),"0")</f>
        <v>0</v>
      </c>
      <c r="C655" s="186" t="str">
        <f>IFERROR((2*'Lab Analysis'!E655/60)/('Lab Analysis'!C655/17+(2*'Lab Analysis'!E655/60)),"0")</f>
        <v>0</v>
      </c>
      <c r="D655" s="187" t="str">
        <f>IFERROR(((2*('Lab Analysis'!E655/60)+('Lab Analysis'!C655/17))/(('Lab Analysis'!D655/44)+('Lab Analysis'!E655/60))),"0")</f>
        <v>0</v>
      </c>
      <c r="E655" s="187" t="str">
        <f>IFERROR((('Lab Analysis'!F655/18)-('Lab Analysis'!E655/60))/(('Lab Analysis'!D655/44)+('Lab Analysis'!E655/60)),"0")</f>
        <v>0</v>
      </c>
      <c r="F655" s="187" t="str">
        <f>IFERROR((('Lab Analysis'!F655/18)/('Lab Analysis'!E655/60)),"0")</f>
        <v>0</v>
      </c>
      <c r="G655" s="188" t="str">
        <f>IFERROR(('Lab Analysis'!I655/('Lab Analysis'!I655+(1.765*'Lab Analysis'!G655))),"0")</f>
        <v>0</v>
      </c>
      <c r="H655" s="189" t="str">
        <f>IFERROR(((2*('Lab Analysis'!I655/60))+('Lab Analysis'!G655/17))/(('Lab Analysis'!H655/44)+('Lab Analysis'!I655/60)),"0")</f>
        <v>0</v>
      </c>
      <c r="I655" s="189" t="str">
        <f>IFERROR((('Lab Analysis'!J655/18)-('Lab Analysis'!I655/60))/(('Lab Analysis'!H655/44)+('Lab Analysis'!I655/60)),"0")</f>
        <v>0</v>
      </c>
      <c r="J655" s="186" t="str">
        <f>IFERROR(('Lab Analysis'!M655/('Lab Analysis'!M655+(1.765*'Lab Analysis'!K655))),"0")</f>
        <v>0</v>
      </c>
      <c r="K655" s="190" t="str">
        <f>IFERROR(((2*('Lab Analysis'!M655/60))+('Lab Analysis'!K655/17))/(('Lab Analysis'!L655/44)+('Lab Analysis'!M655/60)),"0")</f>
        <v>0</v>
      </c>
      <c r="L655" s="190" t="str">
        <f>IFERROR((('Lab Analysis'!N655/18)-('Lab Analysis'!M655/60))/(('Lab Analysis'!L655/44)+('Lab Analysis'!M655/60)),"0")</f>
        <v>0</v>
      </c>
      <c r="M655" s="187" t="str">
        <f>IFERROR(((2*('Lab Analysis'!U655/60))+('Lab Analysis'!S655/17))/(('Lab Analysis'!T655/44)+('Lab Analysis'!U655/60)),"0")</f>
        <v>0</v>
      </c>
      <c r="N655" s="187" t="str">
        <f>IFERROR((('Lab Analysis'!V655/18)-('Lab Analysis'!U655/60))/(('Lab Analysis'!T655/44)+('Lab Analysis'!U655/60)),"0")</f>
        <v>0</v>
      </c>
      <c r="O655" s="187" t="str">
        <f>IFERROR(((2*('Lab Analysis'!Y655/60)+('Lab Analysis'!W655/17))/(('Lab Analysis'!X655/44)+('Lab Analysis'!Y655/60))),"0")</f>
        <v>0</v>
      </c>
      <c r="P655" s="187" t="str">
        <f>IFERROR((('Lab Analysis'!Z655/18)-('Lab Analysis'!Y655/60))/(('Lab Analysis'!X655/44)+('Lab Analysis'!Y655/60)),"0")</f>
        <v>0</v>
      </c>
      <c r="Q655" s="191"/>
    </row>
    <row r="656" spans="1:17">
      <c r="A656" s="185">
        <v>46470</v>
      </c>
      <c r="B656" s="186" t="str">
        <f>IFERROR(('Lab Analysis'!E656/('Lab Analysis'!E656+(1.364*'Lab Analysis'!D656))),"0")</f>
        <v>0</v>
      </c>
      <c r="C656" s="186" t="str">
        <f>IFERROR((2*'Lab Analysis'!E656/60)/('Lab Analysis'!C656/17+(2*'Lab Analysis'!E656/60)),"0")</f>
        <v>0</v>
      </c>
      <c r="D656" s="187" t="str">
        <f>IFERROR(((2*('Lab Analysis'!E656/60)+('Lab Analysis'!C656/17))/(('Lab Analysis'!D656/44)+('Lab Analysis'!E656/60))),"0")</f>
        <v>0</v>
      </c>
      <c r="E656" s="187" t="str">
        <f>IFERROR((('Lab Analysis'!F656/18)-('Lab Analysis'!E656/60))/(('Lab Analysis'!D656/44)+('Lab Analysis'!E656/60)),"0")</f>
        <v>0</v>
      </c>
      <c r="F656" s="187" t="str">
        <f>IFERROR((('Lab Analysis'!F656/18)/('Lab Analysis'!E656/60)),"0")</f>
        <v>0</v>
      </c>
      <c r="G656" s="188" t="str">
        <f>IFERROR(('Lab Analysis'!I656/('Lab Analysis'!I656+(1.765*'Lab Analysis'!G656))),"0")</f>
        <v>0</v>
      </c>
      <c r="H656" s="189" t="str">
        <f>IFERROR(((2*('Lab Analysis'!I656/60))+('Lab Analysis'!G656/17))/(('Lab Analysis'!H656/44)+('Lab Analysis'!I656/60)),"0")</f>
        <v>0</v>
      </c>
      <c r="I656" s="189" t="str">
        <f>IFERROR((('Lab Analysis'!J656/18)-('Lab Analysis'!I656/60))/(('Lab Analysis'!H656/44)+('Lab Analysis'!I656/60)),"0")</f>
        <v>0</v>
      </c>
      <c r="J656" s="186" t="str">
        <f>IFERROR(('Lab Analysis'!M656/('Lab Analysis'!M656+(1.765*'Lab Analysis'!K656))),"0")</f>
        <v>0</v>
      </c>
      <c r="K656" s="190" t="str">
        <f>IFERROR(((2*('Lab Analysis'!M656/60))+('Lab Analysis'!K656/17))/(('Lab Analysis'!L656/44)+('Lab Analysis'!M656/60)),"0")</f>
        <v>0</v>
      </c>
      <c r="L656" s="190" t="str">
        <f>IFERROR((('Lab Analysis'!N656/18)-('Lab Analysis'!M656/60))/(('Lab Analysis'!L656/44)+('Lab Analysis'!M656/60)),"0")</f>
        <v>0</v>
      </c>
      <c r="M656" s="187" t="str">
        <f>IFERROR(((2*('Lab Analysis'!U656/60))+('Lab Analysis'!S656/17))/(('Lab Analysis'!T656/44)+('Lab Analysis'!U656/60)),"0")</f>
        <v>0</v>
      </c>
      <c r="N656" s="187" t="str">
        <f>IFERROR((('Lab Analysis'!V656/18)-('Lab Analysis'!U656/60))/(('Lab Analysis'!T656/44)+('Lab Analysis'!U656/60)),"0")</f>
        <v>0</v>
      </c>
      <c r="O656" s="187" t="str">
        <f>IFERROR(((2*('Lab Analysis'!Y656/60)+('Lab Analysis'!W656/17))/(('Lab Analysis'!X656/44)+('Lab Analysis'!Y656/60))),"0")</f>
        <v>0</v>
      </c>
      <c r="P656" s="187" t="str">
        <f>IFERROR((('Lab Analysis'!Z656/18)-('Lab Analysis'!Y656/60))/(('Lab Analysis'!X656/44)+('Lab Analysis'!Y656/60)),"0")</f>
        <v>0</v>
      </c>
      <c r="Q656" s="191"/>
    </row>
    <row r="657" spans="1:17">
      <c r="A657" s="185">
        <v>46471</v>
      </c>
      <c r="B657" s="186" t="str">
        <f>IFERROR(('Lab Analysis'!E657/('Lab Analysis'!E657+(1.364*'Lab Analysis'!D657))),"0")</f>
        <v>0</v>
      </c>
      <c r="C657" s="186" t="str">
        <f>IFERROR((2*'Lab Analysis'!E657/60)/('Lab Analysis'!C657/17+(2*'Lab Analysis'!E657/60)),"0")</f>
        <v>0</v>
      </c>
      <c r="D657" s="187" t="str">
        <f>IFERROR(((2*('Lab Analysis'!E657/60)+('Lab Analysis'!C657/17))/(('Lab Analysis'!D657/44)+('Lab Analysis'!E657/60))),"0")</f>
        <v>0</v>
      </c>
      <c r="E657" s="187" t="str">
        <f>IFERROR((('Lab Analysis'!F657/18)-('Lab Analysis'!E657/60))/(('Lab Analysis'!D657/44)+('Lab Analysis'!E657/60)),"0")</f>
        <v>0</v>
      </c>
      <c r="F657" s="187" t="str">
        <f>IFERROR((('Lab Analysis'!F657/18)/('Lab Analysis'!E657/60)),"0")</f>
        <v>0</v>
      </c>
      <c r="G657" s="188" t="str">
        <f>IFERROR(('Lab Analysis'!I657/('Lab Analysis'!I657+(1.765*'Lab Analysis'!G657))),"0")</f>
        <v>0</v>
      </c>
      <c r="H657" s="189" t="str">
        <f>IFERROR(((2*('Lab Analysis'!I657/60))+('Lab Analysis'!G657/17))/(('Lab Analysis'!H657/44)+('Lab Analysis'!I657/60)),"0")</f>
        <v>0</v>
      </c>
      <c r="I657" s="189" t="str">
        <f>IFERROR((('Lab Analysis'!J657/18)-('Lab Analysis'!I657/60))/(('Lab Analysis'!H657/44)+('Lab Analysis'!I657/60)),"0")</f>
        <v>0</v>
      </c>
      <c r="J657" s="186" t="str">
        <f>IFERROR(('Lab Analysis'!M657/('Lab Analysis'!M657+(1.765*'Lab Analysis'!K657))),"0")</f>
        <v>0</v>
      </c>
      <c r="K657" s="190" t="str">
        <f>IFERROR(((2*('Lab Analysis'!M657/60))+('Lab Analysis'!K657/17))/(('Lab Analysis'!L657/44)+('Lab Analysis'!M657/60)),"0")</f>
        <v>0</v>
      </c>
      <c r="L657" s="190" t="str">
        <f>IFERROR((('Lab Analysis'!N657/18)-('Lab Analysis'!M657/60))/(('Lab Analysis'!L657/44)+('Lab Analysis'!M657/60)),"0")</f>
        <v>0</v>
      </c>
      <c r="M657" s="187" t="str">
        <f>IFERROR(((2*('Lab Analysis'!U657/60))+('Lab Analysis'!S657/17))/(('Lab Analysis'!T657/44)+('Lab Analysis'!U657/60)),"0")</f>
        <v>0</v>
      </c>
      <c r="N657" s="187" t="str">
        <f>IFERROR((('Lab Analysis'!V657/18)-('Lab Analysis'!U657/60))/(('Lab Analysis'!T657/44)+('Lab Analysis'!U657/60)),"0")</f>
        <v>0</v>
      </c>
      <c r="O657" s="187" t="str">
        <f>IFERROR(((2*('Lab Analysis'!Y657/60)+('Lab Analysis'!W657/17))/(('Lab Analysis'!X657/44)+('Lab Analysis'!Y657/60))),"0")</f>
        <v>0</v>
      </c>
      <c r="P657" s="187" t="str">
        <f>IFERROR((('Lab Analysis'!Z657/18)-('Lab Analysis'!Y657/60))/(('Lab Analysis'!X657/44)+('Lab Analysis'!Y657/60)),"0")</f>
        <v>0</v>
      </c>
      <c r="Q657" s="191"/>
    </row>
    <row r="658" spans="1:17">
      <c r="A658" s="185">
        <v>46472</v>
      </c>
      <c r="B658" s="186" t="str">
        <f>IFERROR(('Lab Analysis'!E658/('Lab Analysis'!E658+(1.364*'Lab Analysis'!D658))),"0")</f>
        <v>0</v>
      </c>
      <c r="C658" s="186" t="str">
        <f>IFERROR((2*'Lab Analysis'!E658/60)/('Lab Analysis'!C658/17+(2*'Lab Analysis'!E658/60)),"0")</f>
        <v>0</v>
      </c>
      <c r="D658" s="187" t="str">
        <f>IFERROR(((2*('Lab Analysis'!E658/60)+('Lab Analysis'!C658/17))/(('Lab Analysis'!D658/44)+('Lab Analysis'!E658/60))),"0")</f>
        <v>0</v>
      </c>
      <c r="E658" s="187" t="str">
        <f>IFERROR((('Lab Analysis'!F658/18)-('Lab Analysis'!E658/60))/(('Lab Analysis'!D658/44)+('Lab Analysis'!E658/60)),"0")</f>
        <v>0</v>
      </c>
      <c r="F658" s="187" t="str">
        <f>IFERROR((('Lab Analysis'!F658/18)/('Lab Analysis'!E658/60)),"0")</f>
        <v>0</v>
      </c>
      <c r="G658" s="188" t="str">
        <f>IFERROR(('Lab Analysis'!I658/('Lab Analysis'!I658+(1.765*'Lab Analysis'!G658))),"0")</f>
        <v>0</v>
      </c>
      <c r="H658" s="189" t="str">
        <f>IFERROR(((2*('Lab Analysis'!I658/60))+('Lab Analysis'!G658/17))/(('Lab Analysis'!H658/44)+('Lab Analysis'!I658/60)),"0")</f>
        <v>0</v>
      </c>
      <c r="I658" s="189" t="str">
        <f>IFERROR((('Lab Analysis'!J658/18)-('Lab Analysis'!I658/60))/(('Lab Analysis'!H658/44)+('Lab Analysis'!I658/60)),"0")</f>
        <v>0</v>
      </c>
      <c r="J658" s="186" t="str">
        <f>IFERROR(('Lab Analysis'!M658/('Lab Analysis'!M658+(1.765*'Lab Analysis'!K658))),"0")</f>
        <v>0</v>
      </c>
      <c r="K658" s="190" t="str">
        <f>IFERROR(((2*('Lab Analysis'!M658/60))+('Lab Analysis'!K658/17))/(('Lab Analysis'!L658/44)+('Lab Analysis'!M658/60)),"0")</f>
        <v>0</v>
      </c>
      <c r="L658" s="190" t="str">
        <f>IFERROR((('Lab Analysis'!N658/18)-('Lab Analysis'!M658/60))/(('Lab Analysis'!L658/44)+('Lab Analysis'!M658/60)),"0")</f>
        <v>0</v>
      </c>
      <c r="M658" s="187" t="str">
        <f>IFERROR(((2*('Lab Analysis'!U658/60))+('Lab Analysis'!S658/17))/(('Lab Analysis'!T658/44)+('Lab Analysis'!U658/60)),"0")</f>
        <v>0</v>
      </c>
      <c r="N658" s="187" t="str">
        <f>IFERROR((('Lab Analysis'!V658/18)-('Lab Analysis'!U658/60))/(('Lab Analysis'!T658/44)+('Lab Analysis'!U658/60)),"0")</f>
        <v>0</v>
      </c>
      <c r="O658" s="187" t="str">
        <f>IFERROR(((2*('Lab Analysis'!Y658/60)+('Lab Analysis'!W658/17))/(('Lab Analysis'!X658/44)+('Lab Analysis'!Y658/60))),"0")</f>
        <v>0</v>
      </c>
      <c r="P658" s="187" t="str">
        <f>IFERROR((('Lab Analysis'!Z658/18)-('Lab Analysis'!Y658/60))/(('Lab Analysis'!X658/44)+('Lab Analysis'!Y658/60)),"0")</f>
        <v>0</v>
      </c>
      <c r="Q658" s="191"/>
    </row>
    <row r="659" spans="1:17">
      <c r="A659" s="185">
        <v>46473</v>
      </c>
      <c r="B659" s="186" t="str">
        <f>IFERROR(('Lab Analysis'!E659/('Lab Analysis'!E659+(1.364*'Lab Analysis'!D659))),"0")</f>
        <v>0</v>
      </c>
      <c r="C659" s="186" t="str">
        <f>IFERROR((2*'Lab Analysis'!E659/60)/('Lab Analysis'!C659/17+(2*'Lab Analysis'!E659/60)),"0")</f>
        <v>0</v>
      </c>
      <c r="D659" s="187" t="str">
        <f>IFERROR(((2*('Lab Analysis'!E659/60)+('Lab Analysis'!C659/17))/(('Lab Analysis'!D659/44)+('Lab Analysis'!E659/60))),"0")</f>
        <v>0</v>
      </c>
      <c r="E659" s="187" t="str">
        <f>IFERROR((('Lab Analysis'!F659/18)-('Lab Analysis'!E659/60))/(('Lab Analysis'!D659/44)+('Lab Analysis'!E659/60)),"0")</f>
        <v>0</v>
      </c>
      <c r="F659" s="187" t="str">
        <f>IFERROR((('Lab Analysis'!F659/18)/('Lab Analysis'!E659/60)),"0")</f>
        <v>0</v>
      </c>
      <c r="G659" s="188" t="str">
        <f>IFERROR(('Lab Analysis'!I659/('Lab Analysis'!I659+(1.765*'Lab Analysis'!G659))),"0")</f>
        <v>0</v>
      </c>
      <c r="H659" s="189" t="str">
        <f>IFERROR(((2*('Lab Analysis'!I659/60))+('Lab Analysis'!G659/17))/(('Lab Analysis'!H659/44)+('Lab Analysis'!I659/60)),"0")</f>
        <v>0</v>
      </c>
      <c r="I659" s="189" t="str">
        <f>IFERROR((('Lab Analysis'!J659/18)-('Lab Analysis'!I659/60))/(('Lab Analysis'!H659/44)+('Lab Analysis'!I659/60)),"0")</f>
        <v>0</v>
      </c>
      <c r="J659" s="186" t="str">
        <f>IFERROR(('Lab Analysis'!M659/('Lab Analysis'!M659+(1.765*'Lab Analysis'!K659))),"0")</f>
        <v>0</v>
      </c>
      <c r="K659" s="190" t="str">
        <f>IFERROR(((2*('Lab Analysis'!M659/60))+('Lab Analysis'!K659/17))/(('Lab Analysis'!L659/44)+('Lab Analysis'!M659/60)),"0")</f>
        <v>0</v>
      </c>
      <c r="L659" s="190" t="str">
        <f>IFERROR((('Lab Analysis'!N659/18)-('Lab Analysis'!M659/60))/(('Lab Analysis'!L659/44)+('Lab Analysis'!M659/60)),"0")</f>
        <v>0</v>
      </c>
      <c r="M659" s="187" t="str">
        <f>IFERROR(((2*('Lab Analysis'!U659/60))+('Lab Analysis'!S659/17))/(('Lab Analysis'!T659/44)+('Lab Analysis'!U659/60)),"0")</f>
        <v>0</v>
      </c>
      <c r="N659" s="187" t="str">
        <f>IFERROR((('Lab Analysis'!V659/18)-('Lab Analysis'!U659/60))/(('Lab Analysis'!T659/44)+('Lab Analysis'!U659/60)),"0")</f>
        <v>0</v>
      </c>
      <c r="O659" s="187" t="str">
        <f>IFERROR(((2*('Lab Analysis'!Y659/60)+('Lab Analysis'!W659/17))/(('Lab Analysis'!X659/44)+('Lab Analysis'!Y659/60))),"0")</f>
        <v>0</v>
      </c>
      <c r="P659" s="187" t="str">
        <f>IFERROR((('Lab Analysis'!Z659/18)-('Lab Analysis'!Y659/60))/(('Lab Analysis'!X659/44)+('Lab Analysis'!Y659/60)),"0")</f>
        <v>0</v>
      </c>
      <c r="Q659" s="191"/>
    </row>
    <row r="660" spans="1:17">
      <c r="A660" s="185">
        <v>46474</v>
      </c>
      <c r="B660" s="186" t="str">
        <f>IFERROR(('Lab Analysis'!E660/('Lab Analysis'!E660+(1.364*'Lab Analysis'!D660))),"0")</f>
        <v>0</v>
      </c>
      <c r="C660" s="186" t="str">
        <f>IFERROR((2*'Lab Analysis'!E660/60)/('Lab Analysis'!C660/17+(2*'Lab Analysis'!E660/60)),"0")</f>
        <v>0</v>
      </c>
      <c r="D660" s="187" t="str">
        <f>IFERROR(((2*('Lab Analysis'!E660/60)+('Lab Analysis'!C660/17))/(('Lab Analysis'!D660/44)+('Lab Analysis'!E660/60))),"0")</f>
        <v>0</v>
      </c>
      <c r="E660" s="187" t="str">
        <f>IFERROR((('Lab Analysis'!F660/18)-('Lab Analysis'!E660/60))/(('Lab Analysis'!D660/44)+('Lab Analysis'!E660/60)),"0")</f>
        <v>0</v>
      </c>
      <c r="F660" s="187" t="str">
        <f>IFERROR((('Lab Analysis'!F660/18)/('Lab Analysis'!E660/60)),"0")</f>
        <v>0</v>
      </c>
      <c r="G660" s="188" t="str">
        <f>IFERROR(('Lab Analysis'!I660/('Lab Analysis'!I660+(1.765*'Lab Analysis'!G660))),"0")</f>
        <v>0</v>
      </c>
      <c r="H660" s="189" t="str">
        <f>IFERROR(((2*('Lab Analysis'!I660/60))+('Lab Analysis'!G660/17))/(('Lab Analysis'!H660/44)+('Lab Analysis'!I660/60)),"0")</f>
        <v>0</v>
      </c>
      <c r="I660" s="189" t="str">
        <f>IFERROR((('Lab Analysis'!J660/18)-('Lab Analysis'!I660/60))/(('Lab Analysis'!H660/44)+('Lab Analysis'!I660/60)),"0")</f>
        <v>0</v>
      </c>
      <c r="J660" s="186" t="str">
        <f>IFERROR(('Lab Analysis'!M660/('Lab Analysis'!M660+(1.765*'Lab Analysis'!K660))),"0")</f>
        <v>0</v>
      </c>
      <c r="K660" s="190" t="str">
        <f>IFERROR(((2*('Lab Analysis'!M660/60))+('Lab Analysis'!K660/17))/(('Lab Analysis'!L660/44)+('Lab Analysis'!M660/60)),"0")</f>
        <v>0</v>
      </c>
      <c r="L660" s="190" t="str">
        <f>IFERROR((('Lab Analysis'!N660/18)-('Lab Analysis'!M660/60))/(('Lab Analysis'!L660/44)+('Lab Analysis'!M660/60)),"0")</f>
        <v>0</v>
      </c>
      <c r="M660" s="187" t="str">
        <f>IFERROR(((2*('Lab Analysis'!U660/60))+('Lab Analysis'!S660/17))/(('Lab Analysis'!T660/44)+('Lab Analysis'!U660/60)),"0")</f>
        <v>0</v>
      </c>
      <c r="N660" s="187" t="str">
        <f>IFERROR((('Lab Analysis'!V660/18)-('Lab Analysis'!U660/60))/(('Lab Analysis'!T660/44)+('Lab Analysis'!U660/60)),"0")</f>
        <v>0</v>
      </c>
      <c r="O660" s="187" t="str">
        <f>IFERROR(((2*('Lab Analysis'!Y660/60)+('Lab Analysis'!W660/17))/(('Lab Analysis'!X660/44)+('Lab Analysis'!Y660/60))),"0")</f>
        <v>0</v>
      </c>
      <c r="P660" s="187" t="str">
        <f>IFERROR((('Lab Analysis'!Z660/18)-('Lab Analysis'!Y660/60))/(('Lab Analysis'!X660/44)+('Lab Analysis'!Y660/60)),"0")</f>
        <v>0</v>
      </c>
      <c r="Q660" s="191"/>
    </row>
    <row r="661" spans="1:17">
      <c r="A661" s="185">
        <v>46475</v>
      </c>
      <c r="B661" s="186" t="str">
        <f>IFERROR(('Lab Analysis'!E661/('Lab Analysis'!E661+(1.364*'Lab Analysis'!D661))),"0")</f>
        <v>0</v>
      </c>
      <c r="C661" s="186" t="str">
        <f>IFERROR((2*'Lab Analysis'!E661/60)/('Lab Analysis'!C661/17+(2*'Lab Analysis'!E661/60)),"0")</f>
        <v>0</v>
      </c>
      <c r="D661" s="187" t="str">
        <f>IFERROR(((2*('Lab Analysis'!E661/60)+('Lab Analysis'!C661/17))/(('Lab Analysis'!D661/44)+('Lab Analysis'!E661/60))),"0")</f>
        <v>0</v>
      </c>
      <c r="E661" s="187" t="str">
        <f>IFERROR((('Lab Analysis'!F661/18)-('Lab Analysis'!E661/60))/(('Lab Analysis'!D661/44)+('Lab Analysis'!E661/60)),"0")</f>
        <v>0</v>
      </c>
      <c r="F661" s="187" t="str">
        <f>IFERROR((('Lab Analysis'!F661/18)/('Lab Analysis'!E661/60)),"0")</f>
        <v>0</v>
      </c>
      <c r="G661" s="188" t="str">
        <f>IFERROR(('Lab Analysis'!I661/('Lab Analysis'!I661+(1.765*'Lab Analysis'!G661))),"0")</f>
        <v>0</v>
      </c>
      <c r="H661" s="189" t="str">
        <f>IFERROR(((2*('Lab Analysis'!I661/60))+('Lab Analysis'!G661/17))/(('Lab Analysis'!H661/44)+('Lab Analysis'!I661/60)),"0")</f>
        <v>0</v>
      </c>
      <c r="I661" s="189" t="str">
        <f>IFERROR((('Lab Analysis'!J661/18)-('Lab Analysis'!I661/60))/(('Lab Analysis'!H661/44)+('Lab Analysis'!I661/60)),"0")</f>
        <v>0</v>
      </c>
      <c r="J661" s="186" t="str">
        <f>IFERROR(('Lab Analysis'!M661/('Lab Analysis'!M661+(1.765*'Lab Analysis'!K661))),"0")</f>
        <v>0</v>
      </c>
      <c r="K661" s="190" t="str">
        <f>IFERROR(((2*('Lab Analysis'!M661/60))+('Lab Analysis'!K661/17))/(('Lab Analysis'!L661/44)+('Lab Analysis'!M661/60)),"0")</f>
        <v>0</v>
      </c>
      <c r="L661" s="190" t="str">
        <f>IFERROR((('Lab Analysis'!N661/18)-('Lab Analysis'!M661/60))/(('Lab Analysis'!L661/44)+('Lab Analysis'!M661/60)),"0")</f>
        <v>0</v>
      </c>
      <c r="M661" s="187" t="str">
        <f>IFERROR(((2*('Lab Analysis'!U661/60))+('Lab Analysis'!S661/17))/(('Lab Analysis'!T661/44)+('Lab Analysis'!U661/60)),"0")</f>
        <v>0</v>
      </c>
      <c r="N661" s="187" t="str">
        <f>IFERROR((('Lab Analysis'!V661/18)-('Lab Analysis'!U661/60))/(('Lab Analysis'!T661/44)+('Lab Analysis'!U661/60)),"0")</f>
        <v>0</v>
      </c>
      <c r="O661" s="187" t="str">
        <f>IFERROR(((2*('Lab Analysis'!Y661/60)+('Lab Analysis'!W661/17))/(('Lab Analysis'!X661/44)+('Lab Analysis'!Y661/60))),"0")</f>
        <v>0</v>
      </c>
      <c r="P661" s="187" t="str">
        <f>IFERROR((('Lab Analysis'!Z661/18)-('Lab Analysis'!Y661/60))/(('Lab Analysis'!X661/44)+('Lab Analysis'!Y661/60)),"0")</f>
        <v>0</v>
      </c>
      <c r="Q661" s="191"/>
    </row>
    <row r="662" spans="1:17">
      <c r="A662" s="185">
        <v>46476</v>
      </c>
      <c r="B662" s="186" t="str">
        <f>IFERROR(('Lab Analysis'!E662/('Lab Analysis'!E662+(1.364*'Lab Analysis'!D662))),"0")</f>
        <v>0</v>
      </c>
      <c r="C662" s="186" t="str">
        <f>IFERROR((2*'Lab Analysis'!E662/60)/('Lab Analysis'!C662/17+(2*'Lab Analysis'!E662/60)),"0")</f>
        <v>0</v>
      </c>
      <c r="D662" s="187" t="str">
        <f>IFERROR(((2*('Lab Analysis'!E662/60)+('Lab Analysis'!C662/17))/(('Lab Analysis'!D662/44)+('Lab Analysis'!E662/60))),"0")</f>
        <v>0</v>
      </c>
      <c r="E662" s="187" t="str">
        <f>IFERROR((('Lab Analysis'!F662/18)-('Lab Analysis'!E662/60))/(('Lab Analysis'!D662/44)+('Lab Analysis'!E662/60)),"0")</f>
        <v>0</v>
      </c>
      <c r="F662" s="187" t="str">
        <f>IFERROR((('Lab Analysis'!F662/18)/('Lab Analysis'!E662/60)),"0")</f>
        <v>0</v>
      </c>
      <c r="G662" s="188" t="str">
        <f>IFERROR(('Lab Analysis'!I662/('Lab Analysis'!I662+(1.765*'Lab Analysis'!G662))),"0")</f>
        <v>0</v>
      </c>
      <c r="H662" s="189" t="str">
        <f>IFERROR(((2*('Lab Analysis'!I662/60))+('Lab Analysis'!G662/17))/(('Lab Analysis'!H662/44)+('Lab Analysis'!I662/60)),"0")</f>
        <v>0</v>
      </c>
      <c r="I662" s="189" t="str">
        <f>IFERROR((('Lab Analysis'!J662/18)-('Lab Analysis'!I662/60))/(('Lab Analysis'!H662/44)+('Lab Analysis'!I662/60)),"0")</f>
        <v>0</v>
      </c>
      <c r="J662" s="186" t="str">
        <f>IFERROR(('Lab Analysis'!M662/('Lab Analysis'!M662+(1.765*'Lab Analysis'!K662))),"0")</f>
        <v>0</v>
      </c>
      <c r="K662" s="190" t="str">
        <f>IFERROR(((2*('Lab Analysis'!M662/60))+('Lab Analysis'!K662/17))/(('Lab Analysis'!L662/44)+('Lab Analysis'!M662/60)),"0")</f>
        <v>0</v>
      </c>
      <c r="L662" s="190" t="str">
        <f>IFERROR((('Lab Analysis'!N662/18)-('Lab Analysis'!M662/60))/(('Lab Analysis'!L662/44)+('Lab Analysis'!M662/60)),"0")</f>
        <v>0</v>
      </c>
      <c r="M662" s="187" t="str">
        <f>IFERROR(((2*('Lab Analysis'!U662/60))+('Lab Analysis'!S662/17))/(('Lab Analysis'!T662/44)+('Lab Analysis'!U662/60)),"0")</f>
        <v>0</v>
      </c>
      <c r="N662" s="187" t="str">
        <f>IFERROR((('Lab Analysis'!V662/18)-('Lab Analysis'!U662/60))/(('Lab Analysis'!T662/44)+('Lab Analysis'!U662/60)),"0")</f>
        <v>0</v>
      </c>
      <c r="O662" s="187" t="str">
        <f>IFERROR(((2*('Lab Analysis'!Y662/60)+('Lab Analysis'!W662/17))/(('Lab Analysis'!X662/44)+('Lab Analysis'!Y662/60))),"0")</f>
        <v>0</v>
      </c>
      <c r="P662" s="187" t="str">
        <f>IFERROR((('Lab Analysis'!Z662/18)-('Lab Analysis'!Y662/60))/(('Lab Analysis'!X662/44)+('Lab Analysis'!Y662/60)),"0")</f>
        <v>0</v>
      </c>
      <c r="Q662" s="191"/>
    </row>
    <row r="663" spans="1:17">
      <c r="A663" s="185">
        <v>46477</v>
      </c>
      <c r="B663" s="186" t="str">
        <f>IFERROR(('Lab Analysis'!E663/('Lab Analysis'!E663+(1.364*'Lab Analysis'!D663))),"0")</f>
        <v>0</v>
      </c>
      <c r="C663" s="186" t="str">
        <f>IFERROR((2*'Lab Analysis'!E663/60)/('Lab Analysis'!C663/17+(2*'Lab Analysis'!E663/60)),"0")</f>
        <v>0</v>
      </c>
      <c r="D663" s="187" t="str">
        <f>IFERROR(((2*('Lab Analysis'!E663/60)+('Lab Analysis'!C663/17))/(('Lab Analysis'!D663/44)+('Lab Analysis'!E663/60))),"0")</f>
        <v>0</v>
      </c>
      <c r="E663" s="187" t="str">
        <f>IFERROR((('Lab Analysis'!F663/18)-('Lab Analysis'!E663/60))/(('Lab Analysis'!D663/44)+('Lab Analysis'!E663/60)),"0")</f>
        <v>0</v>
      </c>
      <c r="F663" s="187" t="str">
        <f>IFERROR((('Lab Analysis'!F663/18)/('Lab Analysis'!E663/60)),"0")</f>
        <v>0</v>
      </c>
      <c r="G663" s="188" t="str">
        <f>IFERROR(('Lab Analysis'!I663/('Lab Analysis'!I663+(1.765*'Lab Analysis'!G663))),"0")</f>
        <v>0</v>
      </c>
      <c r="H663" s="189" t="str">
        <f>IFERROR(((2*('Lab Analysis'!I663/60))+('Lab Analysis'!G663/17))/(('Lab Analysis'!H663/44)+('Lab Analysis'!I663/60)),"0")</f>
        <v>0</v>
      </c>
      <c r="I663" s="189" t="str">
        <f>IFERROR((('Lab Analysis'!J663/18)-('Lab Analysis'!I663/60))/(('Lab Analysis'!H663/44)+('Lab Analysis'!I663/60)),"0")</f>
        <v>0</v>
      </c>
      <c r="J663" s="186" t="str">
        <f>IFERROR(('Lab Analysis'!M663/('Lab Analysis'!M663+(1.765*'Lab Analysis'!K663))),"0")</f>
        <v>0</v>
      </c>
      <c r="K663" s="190" t="str">
        <f>IFERROR(((2*('Lab Analysis'!M663/60))+('Lab Analysis'!K663/17))/(('Lab Analysis'!L663/44)+('Lab Analysis'!M663/60)),"0")</f>
        <v>0</v>
      </c>
      <c r="L663" s="190" t="str">
        <f>IFERROR((('Lab Analysis'!N663/18)-('Lab Analysis'!M663/60))/(('Lab Analysis'!L663/44)+('Lab Analysis'!M663/60)),"0")</f>
        <v>0</v>
      </c>
      <c r="M663" s="187" t="str">
        <f>IFERROR(((2*('Lab Analysis'!U663/60))+('Lab Analysis'!S663/17))/(('Lab Analysis'!T663/44)+('Lab Analysis'!U663/60)),"0")</f>
        <v>0</v>
      </c>
      <c r="N663" s="187" t="str">
        <f>IFERROR((('Lab Analysis'!V663/18)-('Lab Analysis'!U663/60))/(('Lab Analysis'!T663/44)+('Lab Analysis'!U663/60)),"0")</f>
        <v>0</v>
      </c>
      <c r="O663" s="187" t="str">
        <f>IFERROR(((2*('Lab Analysis'!Y663/60)+('Lab Analysis'!W663/17))/(('Lab Analysis'!X663/44)+('Lab Analysis'!Y663/60))),"0")</f>
        <v>0</v>
      </c>
      <c r="P663" s="187" t="str">
        <f>IFERROR((('Lab Analysis'!Z663/18)-('Lab Analysis'!Y663/60))/(('Lab Analysis'!X663/44)+('Lab Analysis'!Y663/60)),"0")</f>
        <v>0</v>
      </c>
      <c r="Q663" s="191"/>
    </row>
    <row r="664" spans="1:17">
      <c r="A664" s="185">
        <v>46478</v>
      </c>
      <c r="B664" s="186" t="str">
        <f>IFERROR(('Lab Analysis'!E664/('Lab Analysis'!E664+(1.364*'Lab Analysis'!D664))),"0")</f>
        <v>0</v>
      </c>
      <c r="C664" s="186" t="str">
        <f>IFERROR((2*'Lab Analysis'!E664/60)/('Lab Analysis'!C664/17+(2*'Lab Analysis'!E664/60)),"0")</f>
        <v>0</v>
      </c>
      <c r="D664" s="187" t="str">
        <f>IFERROR(((2*('Lab Analysis'!E664/60)+('Lab Analysis'!C664/17))/(('Lab Analysis'!D664/44)+('Lab Analysis'!E664/60))),"0")</f>
        <v>0</v>
      </c>
      <c r="E664" s="187" t="str">
        <f>IFERROR((('Lab Analysis'!F664/18)-('Lab Analysis'!E664/60))/(('Lab Analysis'!D664/44)+('Lab Analysis'!E664/60)),"0")</f>
        <v>0</v>
      </c>
      <c r="F664" s="187" t="str">
        <f>IFERROR((('Lab Analysis'!F664/18)/('Lab Analysis'!E664/60)),"0")</f>
        <v>0</v>
      </c>
      <c r="G664" s="188" t="str">
        <f>IFERROR(('Lab Analysis'!I664/('Lab Analysis'!I664+(1.765*'Lab Analysis'!G664))),"0")</f>
        <v>0</v>
      </c>
      <c r="H664" s="189" t="str">
        <f>IFERROR(((2*('Lab Analysis'!I664/60))+('Lab Analysis'!G664/17))/(('Lab Analysis'!H664/44)+('Lab Analysis'!I664/60)),"0")</f>
        <v>0</v>
      </c>
      <c r="I664" s="189" t="str">
        <f>IFERROR((('Lab Analysis'!J664/18)-('Lab Analysis'!I664/60))/(('Lab Analysis'!H664/44)+('Lab Analysis'!I664/60)),"0")</f>
        <v>0</v>
      </c>
      <c r="J664" s="186" t="str">
        <f>IFERROR(('Lab Analysis'!M664/('Lab Analysis'!M664+(1.765*'Lab Analysis'!K664))),"0")</f>
        <v>0</v>
      </c>
      <c r="K664" s="190" t="str">
        <f>IFERROR(((2*('Lab Analysis'!M664/60))+('Lab Analysis'!K664/17))/(('Lab Analysis'!L664/44)+('Lab Analysis'!M664/60)),"0")</f>
        <v>0</v>
      </c>
      <c r="L664" s="190" t="str">
        <f>IFERROR((('Lab Analysis'!N664/18)-('Lab Analysis'!M664/60))/(('Lab Analysis'!L664/44)+('Lab Analysis'!M664/60)),"0")</f>
        <v>0</v>
      </c>
      <c r="M664" s="187" t="str">
        <f>IFERROR(((2*('Lab Analysis'!U664/60))+('Lab Analysis'!S664/17))/(('Lab Analysis'!T664/44)+('Lab Analysis'!U664/60)),"0")</f>
        <v>0</v>
      </c>
      <c r="N664" s="187" t="str">
        <f>IFERROR((('Lab Analysis'!V664/18)-('Lab Analysis'!U664/60))/(('Lab Analysis'!T664/44)+('Lab Analysis'!U664/60)),"0")</f>
        <v>0</v>
      </c>
      <c r="O664" s="187" t="str">
        <f>IFERROR(((2*('Lab Analysis'!Y664/60)+('Lab Analysis'!W664/17))/(('Lab Analysis'!X664/44)+('Lab Analysis'!Y664/60))),"0")</f>
        <v>0</v>
      </c>
      <c r="P664" s="187" t="str">
        <f>IFERROR((('Lab Analysis'!Z664/18)-('Lab Analysis'!Y664/60))/(('Lab Analysis'!X664/44)+('Lab Analysis'!Y664/60)),"0")</f>
        <v>0</v>
      </c>
      <c r="Q664" s="191"/>
    </row>
    <row r="665" spans="1:17">
      <c r="A665" s="185">
        <v>46479</v>
      </c>
      <c r="B665" s="186" t="str">
        <f>IFERROR(('Lab Analysis'!E665/('Lab Analysis'!E665+(1.364*'Lab Analysis'!D665))),"0")</f>
        <v>0</v>
      </c>
      <c r="C665" s="186" t="str">
        <f>IFERROR((2*'Lab Analysis'!E665/60)/('Lab Analysis'!C665/17+(2*'Lab Analysis'!E665/60)),"0")</f>
        <v>0</v>
      </c>
      <c r="D665" s="187" t="str">
        <f>IFERROR(((2*('Lab Analysis'!E665/60)+('Lab Analysis'!C665/17))/(('Lab Analysis'!D665/44)+('Lab Analysis'!E665/60))),"0")</f>
        <v>0</v>
      </c>
      <c r="E665" s="187" t="str">
        <f>IFERROR((('Lab Analysis'!F665/18)-('Lab Analysis'!E665/60))/(('Lab Analysis'!D665/44)+('Lab Analysis'!E665/60)),"0")</f>
        <v>0</v>
      </c>
      <c r="F665" s="187" t="str">
        <f>IFERROR((('Lab Analysis'!F665/18)/('Lab Analysis'!E665/60)),"0")</f>
        <v>0</v>
      </c>
      <c r="G665" s="188" t="str">
        <f>IFERROR(('Lab Analysis'!I665/('Lab Analysis'!I665+(1.765*'Lab Analysis'!G665))),"0")</f>
        <v>0</v>
      </c>
      <c r="H665" s="189" t="str">
        <f>IFERROR(((2*('Lab Analysis'!I665/60))+('Lab Analysis'!G665/17))/(('Lab Analysis'!H665/44)+('Lab Analysis'!I665/60)),"0")</f>
        <v>0</v>
      </c>
      <c r="I665" s="189" t="str">
        <f>IFERROR((('Lab Analysis'!J665/18)-('Lab Analysis'!I665/60))/(('Lab Analysis'!H665/44)+('Lab Analysis'!I665/60)),"0")</f>
        <v>0</v>
      </c>
      <c r="J665" s="186" t="str">
        <f>IFERROR(('Lab Analysis'!M665/('Lab Analysis'!M665+(1.765*'Lab Analysis'!K665))),"0")</f>
        <v>0</v>
      </c>
      <c r="K665" s="190" t="str">
        <f>IFERROR(((2*('Lab Analysis'!M665/60))+('Lab Analysis'!K665/17))/(('Lab Analysis'!L665/44)+('Lab Analysis'!M665/60)),"0")</f>
        <v>0</v>
      </c>
      <c r="L665" s="190" t="str">
        <f>IFERROR((('Lab Analysis'!N665/18)-('Lab Analysis'!M665/60))/(('Lab Analysis'!L665/44)+('Lab Analysis'!M665/60)),"0")</f>
        <v>0</v>
      </c>
      <c r="M665" s="187" t="str">
        <f>IFERROR(((2*('Lab Analysis'!U665/60))+('Lab Analysis'!S665/17))/(('Lab Analysis'!T665/44)+('Lab Analysis'!U665/60)),"0")</f>
        <v>0</v>
      </c>
      <c r="N665" s="187" t="str">
        <f>IFERROR((('Lab Analysis'!V665/18)-('Lab Analysis'!U665/60))/(('Lab Analysis'!T665/44)+('Lab Analysis'!U665/60)),"0")</f>
        <v>0</v>
      </c>
      <c r="O665" s="187" t="str">
        <f>IFERROR(((2*('Lab Analysis'!Y665/60)+('Lab Analysis'!W665/17))/(('Lab Analysis'!X665/44)+('Lab Analysis'!Y665/60))),"0")</f>
        <v>0</v>
      </c>
      <c r="P665" s="187" t="str">
        <f>IFERROR((('Lab Analysis'!Z665/18)-('Lab Analysis'!Y665/60))/(('Lab Analysis'!X665/44)+('Lab Analysis'!Y665/60)),"0")</f>
        <v>0</v>
      </c>
      <c r="Q665" s="191"/>
    </row>
    <row r="666" spans="1:17">
      <c r="A666" s="185">
        <v>46480</v>
      </c>
      <c r="B666" s="186" t="str">
        <f>IFERROR(('Lab Analysis'!E666/('Lab Analysis'!E666+(1.364*'Lab Analysis'!D666))),"0")</f>
        <v>0</v>
      </c>
      <c r="C666" s="186" t="str">
        <f>IFERROR((2*'Lab Analysis'!E666/60)/('Lab Analysis'!C666/17+(2*'Lab Analysis'!E666/60)),"0")</f>
        <v>0</v>
      </c>
      <c r="D666" s="187" t="str">
        <f>IFERROR(((2*('Lab Analysis'!E666/60)+('Lab Analysis'!C666/17))/(('Lab Analysis'!D666/44)+('Lab Analysis'!E666/60))),"0")</f>
        <v>0</v>
      </c>
      <c r="E666" s="187" t="str">
        <f>IFERROR((('Lab Analysis'!F666/18)-('Lab Analysis'!E666/60))/(('Lab Analysis'!D666/44)+('Lab Analysis'!E666/60)),"0")</f>
        <v>0</v>
      </c>
      <c r="F666" s="187" t="str">
        <f>IFERROR((('Lab Analysis'!F666/18)/('Lab Analysis'!E666/60)),"0")</f>
        <v>0</v>
      </c>
      <c r="G666" s="188" t="str">
        <f>IFERROR(('Lab Analysis'!I666/('Lab Analysis'!I666+(1.765*'Lab Analysis'!G666))),"0")</f>
        <v>0</v>
      </c>
      <c r="H666" s="189" t="str">
        <f>IFERROR(((2*('Lab Analysis'!I666/60))+('Lab Analysis'!G666/17))/(('Lab Analysis'!H666/44)+('Lab Analysis'!I666/60)),"0")</f>
        <v>0</v>
      </c>
      <c r="I666" s="189" t="str">
        <f>IFERROR((('Lab Analysis'!J666/18)-('Lab Analysis'!I666/60))/(('Lab Analysis'!H666/44)+('Lab Analysis'!I666/60)),"0")</f>
        <v>0</v>
      </c>
      <c r="J666" s="186" t="str">
        <f>IFERROR(('Lab Analysis'!M666/('Lab Analysis'!M666+(1.765*'Lab Analysis'!K666))),"0")</f>
        <v>0</v>
      </c>
      <c r="K666" s="190" t="str">
        <f>IFERROR(((2*('Lab Analysis'!M666/60))+('Lab Analysis'!K666/17))/(('Lab Analysis'!L666/44)+('Lab Analysis'!M666/60)),"0")</f>
        <v>0</v>
      </c>
      <c r="L666" s="190" t="str">
        <f>IFERROR((('Lab Analysis'!N666/18)-('Lab Analysis'!M666/60))/(('Lab Analysis'!L666/44)+('Lab Analysis'!M666/60)),"0")</f>
        <v>0</v>
      </c>
      <c r="M666" s="187" t="str">
        <f>IFERROR(((2*('Lab Analysis'!U666/60))+('Lab Analysis'!S666/17))/(('Lab Analysis'!T666/44)+('Lab Analysis'!U666/60)),"0")</f>
        <v>0</v>
      </c>
      <c r="N666" s="187" t="str">
        <f>IFERROR((('Lab Analysis'!V666/18)-('Lab Analysis'!U666/60))/(('Lab Analysis'!T666/44)+('Lab Analysis'!U666/60)),"0")</f>
        <v>0</v>
      </c>
      <c r="O666" s="187" t="str">
        <f>IFERROR(((2*('Lab Analysis'!Y666/60)+('Lab Analysis'!W666/17))/(('Lab Analysis'!X666/44)+('Lab Analysis'!Y666/60))),"0")</f>
        <v>0</v>
      </c>
      <c r="P666" s="187" t="str">
        <f>IFERROR((('Lab Analysis'!Z666/18)-('Lab Analysis'!Y666/60))/(('Lab Analysis'!X666/44)+('Lab Analysis'!Y666/60)),"0")</f>
        <v>0</v>
      </c>
      <c r="Q666" s="191"/>
    </row>
    <row r="667" spans="1:17">
      <c r="A667" s="185">
        <v>46481</v>
      </c>
      <c r="B667" s="186" t="str">
        <f>IFERROR(('Lab Analysis'!E667/('Lab Analysis'!E667+(1.364*'Lab Analysis'!D667))),"0")</f>
        <v>0</v>
      </c>
      <c r="C667" s="186" t="str">
        <f>IFERROR((2*'Lab Analysis'!E667/60)/('Lab Analysis'!C667/17+(2*'Lab Analysis'!E667/60)),"0")</f>
        <v>0</v>
      </c>
      <c r="D667" s="187" t="str">
        <f>IFERROR(((2*('Lab Analysis'!E667/60)+('Lab Analysis'!C667/17))/(('Lab Analysis'!D667/44)+('Lab Analysis'!E667/60))),"0")</f>
        <v>0</v>
      </c>
      <c r="E667" s="187" t="str">
        <f>IFERROR((('Lab Analysis'!F667/18)-('Lab Analysis'!E667/60))/(('Lab Analysis'!D667/44)+('Lab Analysis'!E667/60)),"0")</f>
        <v>0</v>
      </c>
      <c r="F667" s="187" t="str">
        <f>IFERROR((('Lab Analysis'!F667/18)/('Lab Analysis'!E667/60)),"0")</f>
        <v>0</v>
      </c>
      <c r="G667" s="188" t="str">
        <f>IFERROR(('Lab Analysis'!I667/('Lab Analysis'!I667+(1.765*'Lab Analysis'!G667))),"0")</f>
        <v>0</v>
      </c>
      <c r="H667" s="189" t="str">
        <f>IFERROR(((2*('Lab Analysis'!I667/60))+('Lab Analysis'!G667/17))/(('Lab Analysis'!H667/44)+('Lab Analysis'!I667/60)),"0")</f>
        <v>0</v>
      </c>
      <c r="I667" s="189" t="str">
        <f>IFERROR((('Lab Analysis'!J667/18)-('Lab Analysis'!I667/60))/(('Lab Analysis'!H667/44)+('Lab Analysis'!I667/60)),"0")</f>
        <v>0</v>
      </c>
      <c r="J667" s="186" t="str">
        <f>IFERROR(('Lab Analysis'!M667/('Lab Analysis'!M667+(1.765*'Lab Analysis'!K667))),"0")</f>
        <v>0</v>
      </c>
      <c r="K667" s="190" t="str">
        <f>IFERROR(((2*('Lab Analysis'!M667/60))+('Lab Analysis'!K667/17))/(('Lab Analysis'!L667/44)+('Lab Analysis'!M667/60)),"0")</f>
        <v>0</v>
      </c>
      <c r="L667" s="190" t="str">
        <f>IFERROR((('Lab Analysis'!N667/18)-('Lab Analysis'!M667/60))/(('Lab Analysis'!L667/44)+('Lab Analysis'!M667/60)),"0")</f>
        <v>0</v>
      </c>
      <c r="M667" s="187" t="str">
        <f>IFERROR(((2*('Lab Analysis'!U667/60))+('Lab Analysis'!S667/17))/(('Lab Analysis'!T667/44)+('Lab Analysis'!U667/60)),"0")</f>
        <v>0</v>
      </c>
      <c r="N667" s="187" t="str">
        <f>IFERROR((('Lab Analysis'!V667/18)-('Lab Analysis'!U667/60))/(('Lab Analysis'!T667/44)+('Lab Analysis'!U667/60)),"0")</f>
        <v>0</v>
      </c>
      <c r="O667" s="187" t="str">
        <f>IFERROR(((2*('Lab Analysis'!Y667/60)+('Lab Analysis'!W667/17))/(('Lab Analysis'!X667/44)+('Lab Analysis'!Y667/60))),"0")</f>
        <v>0</v>
      </c>
      <c r="P667" s="187" t="str">
        <f>IFERROR((('Lab Analysis'!Z667/18)-('Lab Analysis'!Y667/60))/(('Lab Analysis'!X667/44)+('Lab Analysis'!Y667/60)),"0")</f>
        <v>0</v>
      </c>
      <c r="Q667" s="191"/>
    </row>
    <row r="668" spans="1:17">
      <c r="A668" s="185">
        <v>46482</v>
      </c>
      <c r="B668" s="186" t="str">
        <f>IFERROR(('Lab Analysis'!E668/('Lab Analysis'!E668+(1.364*'Lab Analysis'!D668))),"0")</f>
        <v>0</v>
      </c>
      <c r="C668" s="186" t="str">
        <f>IFERROR((2*'Lab Analysis'!E668/60)/('Lab Analysis'!C668/17+(2*'Lab Analysis'!E668/60)),"0")</f>
        <v>0</v>
      </c>
      <c r="D668" s="187" t="str">
        <f>IFERROR(((2*('Lab Analysis'!E668/60)+('Lab Analysis'!C668/17))/(('Lab Analysis'!D668/44)+('Lab Analysis'!E668/60))),"0")</f>
        <v>0</v>
      </c>
      <c r="E668" s="187" t="str">
        <f>IFERROR((('Lab Analysis'!F668/18)-('Lab Analysis'!E668/60))/(('Lab Analysis'!D668/44)+('Lab Analysis'!E668/60)),"0")</f>
        <v>0</v>
      </c>
      <c r="F668" s="187" t="str">
        <f>IFERROR((('Lab Analysis'!F668/18)/('Lab Analysis'!E668/60)),"0")</f>
        <v>0</v>
      </c>
      <c r="G668" s="188" t="str">
        <f>IFERROR(('Lab Analysis'!I668/('Lab Analysis'!I668+(1.765*'Lab Analysis'!G668))),"0")</f>
        <v>0</v>
      </c>
      <c r="H668" s="189" t="str">
        <f>IFERROR(((2*('Lab Analysis'!I668/60))+('Lab Analysis'!G668/17))/(('Lab Analysis'!H668/44)+('Lab Analysis'!I668/60)),"0")</f>
        <v>0</v>
      </c>
      <c r="I668" s="189" t="str">
        <f>IFERROR((('Lab Analysis'!J668/18)-('Lab Analysis'!I668/60))/(('Lab Analysis'!H668/44)+('Lab Analysis'!I668/60)),"0")</f>
        <v>0</v>
      </c>
      <c r="J668" s="186" t="str">
        <f>IFERROR(('Lab Analysis'!M668/('Lab Analysis'!M668+(1.765*'Lab Analysis'!K668))),"0")</f>
        <v>0</v>
      </c>
      <c r="K668" s="190" t="str">
        <f>IFERROR(((2*('Lab Analysis'!M668/60))+('Lab Analysis'!K668/17))/(('Lab Analysis'!L668/44)+('Lab Analysis'!M668/60)),"0")</f>
        <v>0</v>
      </c>
      <c r="L668" s="190" t="str">
        <f>IFERROR((('Lab Analysis'!N668/18)-('Lab Analysis'!M668/60))/(('Lab Analysis'!L668/44)+('Lab Analysis'!M668/60)),"0")</f>
        <v>0</v>
      </c>
      <c r="M668" s="187" t="str">
        <f>IFERROR(((2*('Lab Analysis'!U668/60))+('Lab Analysis'!S668/17))/(('Lab Analysis'!T668/44)+('Lab Analysis'!U668/60)),"0")</f>
        <v>0</v>
      </c>
      <c r="N668" s="187" t="str">
        <f>IFERROR((('Lab Analysis'!V668/18)-('Lab Analysis'!U668/60))/(('Lab Analysis'!T668/44)+('Lab Analysis'!U668/60)),"0")</f>
        <v>0</v>
      </c>
      <c r="O668" s="187" t="str">
        <f>IFERROR(((2*('Lab Analysis'!Y668/60)+('Lab Analysis'!W668/17))/(('Lab Analysis'!X668/44)+('Lab Analysis'!Y668/60))),"0")</f>
        <v>0</v>
      </c>
      <c r="P668" s="187" t="str">
        <f>IFERROR((('Lab Analysis'!Z668/18)-('Lab Analysis'!Y668/60))/(('Lab Analysis'!X668/44)+('Lab Analysis'!Y668/60)),"0")</f>
        <v>0</v>
      </c>
      <c r="Q668" s="191"/>
    </row>
    <row r="669" spans="1:17">
      <c r="A669" s="185">
        <v>46483</v>
      </c>
      <c r="B669" s="186" t="str">
        <f>IFERROR(('Lab Analysis'!E669/('Lab Analysis'!E669+(1.364*'Lab Analysis'!D669))),"0")</f>
        <v>0</v>
      </c>
      <c r="C669" s="186" t="str">
        <f>IFERROR((2*'Lab Analysis'!E669/60)/('Lab Analysis'!C669/17+(2*'Lab Analysis'!E669/60)),"0")</f>
        <v>0</v>
      </c>
      <c r="D669" s="187" t="str">
        <f>IFERROR(((2*('Lab Analysis'!E669/60)+('Lab Analysis'!C669/17))/(('Lab Analysis'!D669/44)+('Lab Analysis'!E669/60))),"0")</f>
        <v>0</v>
      </c>
      <c r="E669" s="187" t="str">
        <f>IFERROR((('Lab Analysis'!F669/18)-('Lab Analysis'!E669/60))/(('Lab Analysis'!D669/44)+('Lab Analysis'!E669/60)),"0")</f>
        <v>0</v>
      </c>
      <c r="F669" s="187" t="str">
        <f>IFERROR((('Lab Analysis'!F669/18)/('Lab Analysis'!E669/60)),"0")</f>
        <v>0</v>
      </c>
      <c r="G669" s="188" t="str">
        <f>IFERROR(('Lab Analysis'!I669/('Lab Analysis'!I669+(1.765*'Lab Analysis'!G669))),"0")</f>
        <v>0</v>
      </c>
      <c r="H669" s="189" t="str">
        <f>IFERROR(((2*('Lab Analysis'!I669/60))+('Lab Analysis'!G669/17))/(('Lab Analysis'!H669/44)+('Lab Analysis'!I669/60)),"0")</f>
        <v>0</v>
      </c>
      <c r="I669" s="189" t="str">
        <f>IFERROR((('Lab Analysis'!J669/18)-('Lab Analysis'!I669/60))/(('Lab Analysis'!H669/44)+('Lab Analysis'!I669/60)),"0")</f>
        <v>0</v>
      </c>
      <c r="J669" s="186" t="str">
        <f>IFERROR(('Lab Analysis'!M669/('Lab Analysis'!M669+(1.765*'Lab Analysis'!K669))),"0")</f>
        <v>0</v>
      </c>
      <c r="K669" s="190" t="str">
        <f>IFERROR(((2*('Lab Analysis'!M669/60))+('Lab Analysis'!K669/17))/(('Lab Analysis'!L669/44)+('Lab Analysis'!M669/60)),"0")</f>
        <v>0</v>
      </c>
      <c r="L669" s="190" t="str">
        <f>IFERROR((('Lab Analysis'!N669/18)-('Lab Analysis'!M669/60))/(('Lab Analysis'!L669/44)+('Lab Analysis'!M669/60)),"0")</f>
        <v>0</v>
      </c>
      <c r="M669" s="187" t="str">
        <f>IFERROR(((2*('Lab Analysis'!U669/60))+('Lab Analysis'!S669/17))/(('Lab Analysis'!T669/44)+('Lab Analysis'!U669/60)),"0")</f>
        <v>0</v>
      </c>
      <c r="N669" s="187" t="str">
        <f>IFERROR((('Lab Analysis'!V669/18)-('Lab Analysis'!U669/60))/(('Lab Analysis'!T669/44)+('Lab Analysis'!U669/60)),"0")</f>
        <v>0</v>
      </c>
      <c r="O669" s="187" t="str">
        <f>IFERROR(((2*('Lab Analysis'!Y669/60)+('Lab Analysis'!W669/17))/(('Lab Analysis'!X669/44)+('Lab Analysis'!Y669/60))),"0")</f>
        <v>0</v>
      </c>
      <c r="P669" s="187" t="str">
        <f>IFERROR((('Lab Analysis'!Z669/18)-('Lab Analysis'!Y669/60))/(('Lab Analysis'!X669/44)+('Lab Analysis'!Y669/60)),"0")</f>
        <v>0</v>
      </c>
      <c r="Q669" s="191"/>
    </row>
    <row r="670" spans="1:17">
      <c r="A670" s="185">
        <v>46484</v>
      </c>
      <c r="B670" s="186" t="str">
        <f>IFERROR(('Lab Analysis'!E670/('Lab Analysis'!E670+(1.364*'Lab Analysis'!D670))),"0")</f>
        <v>0</v>
      </c>
      <c r="C670" s="186" t="str">
        <f>IFERROR((2*'Lab Analysis'!E670/60)/('Lab Analysis'!C670/17+(2*'Lab Analysis'!E670/60)),"0")</f>
        <v>0</v>
      </c>
      <c r="D670" s="187" t="str">
        <f>IFERROR(((2*('Lab Analysis'!E670/60)+('Lab Analysis'!C670/17))/(('Lab Analysis'!D670/44)+('Lab Analysis'!E670/60))),"0")</f>
        <v>0</v>
      </c>
      <c r="E670" s="187" t="str">
        <f>IFERROR((('Lab Analysis'!F670/18)-('Lab Analysis'!E670/60))/(('Lab Analysis'!D670/44)+('Lab Analysis'!E670/60)),"0")</f>
        <v>0</v>
      </c>
      <c r="F670" s="187" t="str">
        <f>IFERROR((('Lab Analysis'!F670/18)/('Lab Analysis'!E670/60)),"0")</f>
        <v>0</v>
      </c>
      <c r="G670" s="188" t="str">
        <f>IFERROR(('Lab Analysis'!I670/('Lab Analysis'!I670+(1.765*'Lab Analysis'!G670))),"0")</f>
        <v>0</v>
      </c>
      <c r="H670" s="189" t="str">
        <f>IFERROR(((2*('Lab Analysis'!I670/60))+('Lab Analysis'!G670/17))/(('Lab Analysis'!H670/44)+('Lab Analysis'!I670/60)),"0")</f>
        <v>0</v>
      </c>
      <c r="I670" s="189" t="str">
        <f>IFERROR((('Lab Analysis'!J670/18)-('Lab Analysis'!I670/60))/(('Lab Analysis'!H670/44)+('Lab Analysis'!I670/60)),"0")</f>
        <v>0</v>
      </c>
      <c r="J670" s="186" t="str">
        <f>IFERROR(('Lab Analysis'!M670/('Lab Analysis'!M670+(1.765*'Lab Analysis'!K670))),"0")</f>
        <v>0</v>
      </c>
      <c r="K670" s="190" t="str">
        <f>IFERROR(((2*('Lab Analysis'!M670/60))+('Lab Analysis'!K670/17))/(('Lab Analysis'!L670/44)+('Lab Analysis'!M670/60)),"0")</f>
        <v>0</v>
      </c>
      <c r="L670" s="190" t="str">
        <f>IFERROR((('Lab Analysis'!N670/18)-('Lab Analysis'!M670/60))/(('Lab Analysis'!L670/44)+('Lab Analysis'!M670/60)),"0")</f>
        <v>0</v>
      </c>
      <c r="M670" s="187" t="str">
        <f>IFERROR(((2*('Lab Analysis'!U670/60))+('Lab Analysis'!S670/17))/(('Lab Analysis'!T670/44)+('Lab Analysis'!U670/60)),"0")</f>
        <v>0</v>
      </c>
      <c r="N670" s="187" t="str">
        <f>IFERROR((('Lab Analysis'!V670/18)-('Lab Analysis'!U670/60))/(('Lab Analysis'!T670/44)+('Lab Analysis'!U670/60)),"0")</f>
        <v>0</v>
      </c>
      <c r="O670" s="187" t="str">
        <f>IFERROR(((2*('Lab Analysis'!Y670/60)+('Lab Analysis'!W670/17))/(('Lab Analysis'!X670/44)+('Lab Analysis'!Y670/60))),"0")</f>
        <v>0</v>
      </c>
      <c r="P670" s="187" t="str">
        <f>IFERROR((('Lab Analysis'!Z670/18)-('Lab Analysis'!Y670/60))/(('Lab Analysis'!X670/44)+('Lab Analysis'!Y670/60)),"0")</f>
        <v>0</v>
      </c>
      <c r="Q670" s="191"/>
    </row>
    <row r="671" spans="1:17">
      <c r="A671" s="185">
        <v>46485</v>
      </c>
      <c r="B671" s="186" t="str">
        <f>IFERROR(('Lab Analysis'!E671/('Lab Analysis'!E671+(1.364*'Lab Analysis'!D671))),"0")</f>
        <v>0</v>
      </c>
      <c r="C671" s="186" t="str">
        <f>IFERROR((2*'Lab Analysis'!E671/60)/('Lab Analysis'!C671/17+(2*'Lab Analysis'!E671/60)),"0")</f>
        <v>0</v>
      </c>
      <c r="D671" s="187" t="str">
        <f>IFERROR(((2*('Lab Analysis'!E671/60)+('Lab Analysis'!C671/17))/(('Lab Analysis'!D671/44)+('Lab Analysis'!E671/60))),"0")</f>
        <v>0</v>
      </c>
      <c r="E671" s="187" t="str">
        <f>IFERROR((('Lab Analysis'!F671/18)-('Lab Analysis'!E671/60))/(('Lab Analysis'!D671/44)+('Lab Analysis'!E671/60)),"0")</f>
        <v>0</v>
      </c>
      <c r="F671" s="187" t="str">
        <f>IFERROR((('Lab Analysis'!F671/18)/('Lab Analysis'!E671/60)),"0")</f>
        <v>0</v>
      </c>
      <c r="G671" s="188" t="str">
        <f>IFERROR(('Lab Analysis'!I671/('Lab Analysis'!I671+(1.765*'Lab Analysis'!G671))),"0")</f>
        <v>0</v>
      </c>
      <c r="H671" s="189" t="str">
        <f>IFERROR(((2*('Lab Analysis'!I671/60))+('Lab Analysis'!G671/17))/(('Lab Analysis'!H671/44)+('Lab Analysis'!I671/60)),"0")</f>
        <v>0</v>
      </c>
      <c r="I671" s="189" t="str">
        <f>IFERROR((('Lab Analysis'!J671/18)-('Lab Analysis'!I671/60))/(('Lab Analysis'!H671/44)+('Lab Analysis'!I671/60)),"0")</f>
        <v>0</v>
      </c>
      <c r="J671" s="186" t="str">
        <f>IFERROR(('Lab Analysis'!M671/('Lab Analysis'!M671+(1.765*'Lab Analysis'!K671))),"0")</f>
        <v>0</v>
      </c>
      <c r="K671" s="190" t="str">
        <f>IFERROR(((2*('Lab Analysis'!M671/60))+('Lab Analysis'!K671/17))/(('Lab Analysis'!L671/44)+('Lab Analysis'!M671/60)),"0")</f>
        <v>0</v>
      </c>
      <c r="L671" s="190" t="str">
        <f>IFERROR((('Lab Analysis'!N671/18)-('Lab Analysis'!M671/60))/(('Lab Analysis'!L671/44)+('Lab Analysis'!M671/60)),"0")</f>
        <v>0</v>
      </c>
      <c r="M671" s="187" t="str">
        <f>IFERROR(((2*('Lab Analysis'!U671/60))+('Lab Analysis'!S671/17))/(('Lab Analysis'!T671/44)+('Lab Analysis'!U671/60)),"0")</f>
        <v>0</v>
      </c>
      <c r="N671" s="187" t="str">
        <f>IFERROR((('Lab Analysis'!V671/18)-('Lab Analysis'!U671/60))/(('Lab Analysis'!T671/44)+('Lab Analysis'!U671/60)),"0")</f>
        <v>0</v>
      </c>
      <c r="O671" s="187" t="str">
        <f>IFERROR(((2*('Lab Analysis'!Y671/60)+('Lab Analysis'!W671/17))/(('Lab Analysis'!X671/44)+('Lab Analysis'!Y671/60))),"0")</f>
        <v>0</v>
      </c>
      <c r="P671" s="187" t="str">
        <f>IFERROR((('Lab Analysis'!Z671/18)-('Lab Analysis'!Y671/60))/(('Lab Analysis'!X671/44)+('Lab Analysis'!Y671/60)),"0")</f>
        <v>0</v>
      </c>
      <c r="Q671" s="191"/>
    </row>
    <row r="672" spans="1:17">
      <c r="A672" s="185">
        <v>46486</v>
      </c>
      <c r="B672" s="186" t="str">
        <f>IFERROR(('Lab Analysis'!E672/('Lab Analysis'!E672+(1.364*'Lab Analysis'!D672))),"0")</f>
        <v>0</v>
      </c>
      <c r="C672" s="186" t="str">
        <f>IFERROR((2*'Lab Analysis'!E672/60)/('Lab Analysis'!C672/17+(2*'Lab Analysis'!E672/60)),"0")</f>
        <v>0</v>
      </c>
      <c r="D672" s="187" t="str">
        <f>IFERROR(((2*('Lab Analysis'!E672/60)+('Lab Analysis'!C672/17))/(('Lab Analysis'!D672/44)+('Lab Analysis'!E672/60))),"0")</f>
        <v>0</v>
      </c>
      <c r="E672" s="187" t="str">
        <f>IFERROR((('Lab Analysis'!F672/18)-('Lab Analysis'!E672/60))/(('Lab Analysis'!D672/44)+('Lab Analysis'!E672/60)),"0")</f>
        <v>0</v>
      </c>
      <c r="F672" s="187" t="str">
        <f>IFERROR((('Lab Analysis'!F672/18)/('Lab Analysis'!E672/60)),"0")</f>
        <v>0</v>
      </c>
      <c r="G672" s="188" t="str">
        <f>IFERROR(('Lab Analysis'!I672/('Lab Analysis'!I672+(1.765*'Lab Analysis'!G672))),"0")</f>
        <v>0</v>
      </c>
      <c r="H672" s="189" t="str">
        <f>IFERROR(((2*('Lab Analysis'!I672/60))+('Lab Analysis'!G672/17))/(('Lab Analysis'!H672/44)+('Lab Analysis'!I672/60)),"0")</f>
        <v>0</v>
      </c>
      <c r="I672" s="189" t="str">
        <f>IFERROR((('Lab Analysis'!J672/18)-('Lab Analysis'!I672/60))/(('Lab Analysis'!H672/44)+('Lab Analysis'!I672/60)),"0")</f>
        <v>0</v>
      </c>
      <c r="J672" s="186" t="str">
        <f>IFERROR(('Lab Analysis'!M672/('Lab Analysis'!M672+(1.765*'Lab Analysis'!K672))),"0")</f>
        <v>0</v>
      </c>
      <c r="K672" s="190" t="str">
        <f>IFERROR(((2*('Lab Analysis'!M672/60))+('Lab Analysis'!K672/17))/(('Lab Analysis'!L672/44)+('Lab Analysis'!M672/60)),"0")</f>
        <v>0</v>
      </c>
      <c r="L672" s="190" t="str">
        <f>IFERROR((('Lab Analysis'!N672/18)-('Lab Analysis'!M672/60))/(('Lab Analysis'!L672/44)+('Lab Analysis'!M672/60)),"0")</f>
        <v>0</v>
      </c>
      <c r="M672" s="187" t="str">
        <f>IFERROR(((2*('Lab Analysis'!U672/60))+('Lab Analysis'!S672/17))/(('Lab Analysis'!T672/44)+('Lab Analysis'!U672/60)),"0")</f>
        <v>0</v>
      </c>
      <c r="N672" s="187" t="str">
        <f>IFERROR((('Lab Analysis'!V672/18)-('Lab Analysis'!U672/60))/(('Lab Analysis'!T672/44)+('Lab Analysis'!U672/60)),"0")</f>
        <v>0</v>
      </c>
      <c r="O672" s="187" t="str">
        <f>IFERROR(((2*('Lab Analysis'!Y672/60)+('Lab Analysis'!W672/17))/(('Lab Analysis'!X672/44)+('Lab Analysis'!Y672/60))),"0")</f>
        <v>0</v>
      </c>
      <c r="P672" s="187" t="str">
        <f>IFERROR((('Lab Analysis'!Z672/18)-('Lab Analysis'!Y672/60))/(('Lab Analysis'!X672/44)+('Lab Analysis'!Y672/60)),"0")</f>
        <v>0</v>
      </c>
      <c r="Q672" s="191"/>
    </row>
    <row r="673" spans="1:17">
      <c r="A673" s="185">
        <v>46487</v>
      </c>
      <c r="B673" s="186" t="str">
        <f>IFERROR(('Lab Analysis'!E673/('Lab Analysis'!E673+(1.364*'Lab Analysis'!D673))),"0")</f>
        <v>0</v>
      </c>
      <c r="C673" s="186" t="str">
        <f>IFERROR((2*'Lab Analysis'!E673/60)/('Lab Analysis'!C673/17+(2*'Lab Analysis'!E673/60)),"0")</f>
        <v>0</v>
      </c>
      <c r="D673" s="187" t="str">
        <f>IFERROR(((2*('Lab Analysis'!E673/60)+('Lab Analysis'!C673/17))/(('Lab Analysis'!D673/44)+('Lab Analysis'!E673/60))),"0")</f>
        <v>0</v>
      </c>
      <c r="E673" s="187" t="str">
        <f>IFERROR((('Lab Analysis'!F673/18)-('Lab Analysis'!E673/60))/(('Lab Analysis'!D673/44)+('Lab Analysis'!E673/60)),"0")</f>
        <v>0</v>
      </c>
      <c r="F673" s="187" t="str">
        <f>IFERROR((('Lab Analysis'!F673/18)/('Lab Analysis'!E673/60)),"0")</f>
        <v>0</v>
      </c>
      <c r="G673" s="188" t="str">
        <f>IFERROR(('Lab Analysis'!I673/('Lab Analysis'!I673+(1.765*'Lab Analysis'!G673))),"0")</f>
        <v>0</v>
      </c>
      <c r="H673" s="189" t="str">
        <f>IFERROR(((2*('Lab Analysis'!I673/60))+('Lab Analysis'!G673/17))/(('Lab Analysis'!H673/44)+('Lab Analysis'!I673/60)),"0")</f>
        <v>0</v>
      </c>
      <c r="I673" s="189" t="str">
        <f>IFERROR((('Lab Analysis'!J673/18)-('Lab Analysis'!I673/60))/(('Lab Analysis'!H673/44)+('Lab Analysis'!I673/60)),"0")</f>
        <v>0</v>
      </c>
      <c r="J673" s="186" t="str">
        <f>IFERROR(('Lab Analysis'!M673/('Lab Analysis'!M673+(1.765*'Lab Analysis'!K673))),"0")</f>
        <v>0</v>
      </c>
      <c r="K673" s="190" t="str">
        <f>IFERROR(((2*('Lab Analysis'!M673/60))+('Lab Analysis'!K673/17))/(('Lab Analysis'!L673/44)+('Lab Analysis'!M673/60)),"0")</f>
        <v>0</v>
      </c>
      <c r="L673" s="190" t="str">
        <f>IFERROR((('Lab Analysis'!N673/18)-('Lab Analysis'!M673/60))/(('Lab Analysis'!L673/44)+('Lab Analysis'!M673/60)),"0")</f>
        <v>0</v>
      </c>
      <c r="M673" s="187" t="str">
        <f>IFERROR(((2*('Lab Analysis'!U673/60))+('Lab Analysis'!S673/17))/(('Lab Analysis'!T673/44)+('Lab Analysis'!U673/60)),"0")</f>
        <v>0</v>
      </c>
      <c r="N673" s="187" t="str">
        <f>IFERROR((('Lab Analysis'!V673/18)-('Lab Analysis'!U673/60))/(('Lab Analysis'!T673/44)+('Lab Analysis'!U673/60)),"0")</f>
        <v>0</v>
      </c>
      <c r="O673" s="187" t="str">
        <f>IFERROR(((2*('Lab Analysis'!Y673/60)+('Lab Analysis'!W673/17))/(('Lab Analysis'!X673/44)+('Lab Analysis'!Y673/60))),"0")</f>
        <v>0</v>
      </c>
      <c r="P673" s="187" t="str">
        <f>IFERROR((('Lab Analysis'!Z673/18)-('Lab Analysis'!Y673/60))/(('Lab Analysis'!X673/44)+('Lab Analysis'!Y673/60)),"0")</f>
        <v>0</v>
      </c>
      <c r="Q673" s="191"/>
    </row>
    <row r="674" spans="1:17">
      <c r="A674" s="185">
        <v>46488</v>
      </c>
      <c r="B674" s="186" t="str">
        <f>IFERROR(('Lab Analysis'!E674/('Lab Analysis'!E674+(1.364*'Lab Analysis'!D674))),"0")</f>
        <v>0</v>
      </c>
      <c r="C674" s="186" t="str">
        <f>IFERROR((2*'Lab Analysis'!E674/60)/('Lab Analysis'!C674/17+(2*'Lab Analysis'!E674/60)),"0")</f>
        <v>0</v>
      </c>
      <c r="D674" s="187" t="str">
        <f>IFERROR(((2*('Lab Analysis'!E674/60)+('Lab Analysis'!C674/17))/(('Lab Analysis'!D674/44)+('Lab Analysis'!E674/60))),"0")</f>
        <v>0</v>
      </c>
      <c r="E674" s="187" t="str">
        <f>IFERROR((('Lab Analysis'!F674/18)-('Lab Analysis'!E674/60))/(('Lab Analysis'!D674/44)+('Lab Analysis'!E674/60)),"0")</f>
        <v>0</v>
      </c>
      <c r="F674" s="187" t="str">
        <f>IFERROR((('Lab Analysis'!F674/18)/('Lab Analysis'!E674/60)),"0")</f>
        <v>0</v>
      </c>
      <c r="G674" s="188" t="str">
        <f>IFERROR(('Lab Analysis'!I674/('Lab Analysis'!I674+(1.765*'Lab Analysis'!G674))),"0")</f>
        <v>0</v>
      </c>
      <c r="H674" s="189" t="str">
        <f>IFERROR(((2*('Lab Analysis'!I674/60))+('Lab Analysis'!G674/17))/(('Lab Analysis'!H674/44)+('Lab Analysis'!I674/60)),"0")</f>
        <v>0</v>
      </c>
      <c r="I674" s="189" t="str">
        <f>IFERROR((('Lab Analysis'!J674/18)-('Lab Analysis'!I674/60))/(('Lab Analysis'!H674/44)+('Lab Analysis'!I674/60)),"0")</f>
        <v>0</v>
      </c>
      <c r="J674" s="186" t="str">
        <f>IFERROR(('Lab Analysis'!M674/('Lab Analysis'!M674+(1.765*'Lab Analysis'!K674))),"0")</f>
        <v>0</v>
      </c>
      <c r="K674" s="190" t="str">
        <f>IFERROR(((2*('Lab Analysis'!M674/60))+('Lab Analysis'!K674/17))/(('Lab Analysis'!L674/44)+('Lab Analysis'!M674/60)),"0")</f>
        <v>0</v>
      </c>
      <c r="L674" s="190" t="str">
        <f>IFERROR((('Lab Analysis'!N674/18)-('Lab Analysis'!M674/60))/(('Lab Analysis'!L674/44)+('Lab Analysis'!M674/60)),"0")</f>
        <v>0</v>
      </c>
      <c r="M674" s="187" t="str">
        <f>IFERROR(((2*('Lab Analysis'!U674/60))+('Lab Analysis'!S674/17))/(('Lab Analysis'!T674/44)+('Lab Analysis'!U674/60)),"0")</f>
        <v>0</v>
      </c>
      <c r="N674" s="187" t="str">
        <f>IFERROR((('Lab Analysis'!V674/18)-('Lab Analysis'!U674/60))/(('Lab Analysis'!T674/44)+('Lab Analysis'!U674/60)),"0")</f>
        <v>0</v>
      </c>
      <c r="O674" s="187" t="str">
        <f>IFERROR(((2*('Lab Analysis'!Y674/60)+('Lab Analysis'!W674/17))/(('Lab Analysis'!X674/44)+('Lab Analysis'!Y674/60))),"0")</f>
        <v>0</v>
      </c>
      <c r="P674" s="187" t="str">
        <f>IFERROR((('Lab Analysis'!Z674/18)-('Lab Analysis'!Y674/60))/(('Lab Analysis'!X674/44)+('Lab Analysis'!Y674/60)),"0")</f>
        <v>0</v>
      </c>
      <c r="Q674" s="191"/>
    </row>
    <row r="675" spans="1:17">
      <c r="A675" s="185">
        <v>46489</v>
      </c>
      <c r="B675" s="186" t="str">
        <f>IFERROR(('Lab Analysis'!E675/('Lab Analysis'!E675+(1.364*'Lab Analysis'!D675))),"0")</f>
        <v>0</v>
      </c>
      <c r="C675" s="186" t="str">
        <f>IFERROR((2*'Lab Analysis'!E675/60)/('Lab Analysis'!C675/17+(2*'Lab Analysis'!E675/60)),"0")</f>
        <v>0</v>
      </c>
      <c r="D675" s="187" t="str">
        <f>IFERROR(((2*('Lab Analysis'!E675/60)+('Lab Analysis'!C675/17))/(('Lab Analysis'!D675/44)+('Lab Analysis'!E675/60))),"0")</f>
        <v>0</v>
      </c>
      <c r="E675" s="187" t="str">
        <f>IFERROR((('Lab Analysis'!F675/18)-('Lab Analysis'!E675/60))/(('Lab Analysis'!D675/44)+('Lab Analysis'!E675/60)),"0")</f>
        <v>0</v>
      </c>
      <c r="F675" s="187" t="str">
        <f>IFERROR((('Lab Analysis'!F675/18)/('Lab Analysis'!E675/60)),"0")</f>
        <v>0</v>
      </c>
      <c r="G675" s="188" t="str">
        <f>IFERROR(('Lab Analysis'!I675/('Lab Analysis'!I675+(1.765*'Lab Analysis'!G675))),"0")</f>
        <v>0</v>
      </c>
      <c r="H675" s="189" t="str">
        <f>IFERROR(((2*('Lab Analysis'!I675/60))+('Lab Analysis'!G675/17))/(('Lab Analysis'!H675/44)+('Lab Analysis'!I675/60)),"0")</f>
        <v>0</v>
      </c>
      <c r="I675" s="189" t="str">
        <f>IFERROR((('Lab Analysis'!J675/18)-('Lab Analysis'!I675/60))/(('Lab Analysis'!H675/44)+('Lab Analysis'!I675/60)),"0")</f>
        <v>0</v>
      </c>
      <c r="J675" s="186" t="str">
        <f>IFERROR(('Lab Analysis'!M675/('Lab Analysis'!M675+(1.765*'Lab Analysis'!K675))),"0")</f>
        <v>0</v>
      </c>
      <c r="K675" s="190" t="str">
        <f>IFERROR(((2*('Lab Analysis'!M675/60))+('Lab Analysis'!K675/17))/(('Lab Analysis'!L675/44)+('Lab Analysis'!M675/60)),"0")</f>
        <v>0</v>
      </c>
      <c r="L675" s="190" t="str">
        <f>IFERROR((('Lab Analysis'!N675/18)-('Lab Analysis'!M675/60))/(('Lab Analysis'!L675/44)+('Lab Analysis'!M675/60)),"0")</f>
        <v>0</v>
      </c>
      <c r="M675" s="187" t="str">
        <f>IFERROR(((2*('Lab Analysis'!U675/60))+('Lab Analysis'!S675/17))/(('Lab Analysis'!T675/44)+('Lab Analysis'!U675/60)),"0")</f>
        <v>0</v>
      </c>
      <c r="N675" s="187" t="str">
        <f>IFERROR((('Lab Analysis'!V675/18)-('Lab Analysis'!U675/60))/(('Lab Analysis'!T675/44)+('Lab Analysis'!U675/60)),"0")</f>
        <v>0</v>
      </c>
      <c r="O675" s="187" t="str">
        <f>IFERROR(((2*('Lab Analysis'!Y675/60)+('Lab Analysis'!W675/17))/(('Lab Analysis'!X675/44)+('Lab Analysis'!Y675/60))),"0")</f>
        <v>0</v>
      </c>
      <c r="P675" s="187" t="str">
        <f>IFERROR((('Lab Analysis'!Z675/18)-('Lab Analysis'!Y675/60))/(('Lab Analysis'!X675/44)+('Lab Analysis'!Y675/60)),"0")</f>
        <v>0</v>
      </c>
      <c r="Q675" s="191"/>
    </row>
    <row r="676" spans="1:17">
      <c r="A676" s="185">
        <v>46490</v>
      </c>
      <c r="B676" s="186" t="str">
        <f>IFERROR(('Lab Analysis'!E676/('Lab Analysis'!E676+(1.364*'Lab Analysis'!D676))),"0")</f>
        <v>0</v>
      </c>
      <c r="C676" s="186" t="str">
        <f>IFERROR((2*'Lab Analysis'!E676/60)/('Lab Analysis'!C676/17+(2*'Lab Analysis'!E676/60)),"0")</f>
        <v>0</v>
      </c>
      <c r="D676" s="187" t="str">
        <f>IFERROR(((2*('Lab Analysis'!E676/60)+('Lab Analysis'!C676/17))/(('Lab Analysis'!D676/44)+('Lab Analysis'!E676/60))),"0")</f>
        <v>0</v>
      </c>
      <c r="E676" s="187" t="str">
        <f>IFERROR((('Lab Analysis'!F676/18)-('Lab Analysis'!E676/60))/(('Lab Analysis'!D676/44)+('Lab Analysis'!E676/60)),"0")</f>
        <v>0</v>
      </c>
      <c r="F676" s="187" t="str">
        <f>IFERROR((('Lab Analysis'!F676/18)/('Lab Analysis'!E676/60)),"0")</f>
        <v>0</v>
      </c>
      <c r="G676" s="188" t="str">
        <f>IFERROR(('Lab Analysis'!I676/('Lab Analysis'!I676+(1.765*'Lab Analysis'!G676))),"0")</f>
        <v>0</v>
      </c>
      <c r="H676" s="189" t="str">
        <f>IFERROR(((2*('Lab Analysis'!I676/60))+('Lab Analysis'!G676/17))/(('Lab Analysis'!H676/44)+('Lab Analysis'!I676/60)),"0")</f>
        <v>0</v>
      </c>
      <c r="I676" s="189" t="str">
        <f>IFERROR((('Lab Analysis'!J676/18)-('Lab Analysis'!I676/60))/(('Lab Analysis'!H676/44)+('Lab Analysis'!I676/60)),"0")</f>
        <v>0</v>
      </c>
      <c r="J676" s="186" t="str">
        <f>IFERROR(('Lab Analysis'!M676/('Lab Analysis'!M676+(1.765*'Lab Analysis'!K676))),"0")</f>
        <v>0</v>
      </c>
      <c r="K676" s="190" t="str">
        <f>IFERROR(((2*('Lab Analysis'!M676/60))+('Lab Analysis'!K676/17))/(('Lab Analysis'!L676/44)+('Lab Analysis'!M676/60)),"0")</f>
        <v>0</v>
      </c>
      <c r="L676" s="190" t="str">
        <f>IFERROR((('Lab Analysis'!N676/18)-('Lab Analysis'!M676/60))/(('Lab Analysis'!L676/44)+('Lab Analysis'!M676/60)),"0")</f>
        <v>0</v>
      </c>
      <c r="M676" s="187" t="str">
        <f>IFERROR(((2*('Lab Analysis'!U676/60))+('Lab Analysis'!S676/17))/(('Lab Analysis'!T676/44)+('Lab Analysis'!U676/60)),"0")</f>
        <v>0</v>
      </c>
      <c r="N676" s="187" t="str">
        <f>IFERROR((('Lab Analysis'!V676/18)-('Lab Analysis'!U676/60))/(('Lab Analysis'!T676/44)+('Lab Analysis'!U676/60)),"0")</f>
        <v>0</v>
      </c>
      <c r="O676" s="187" t="str">
        <f>IFERROR(((2*('Lab Analysis'!Y676/60)+('Lab Analysis'!W676/17))/(('Lab Analysis'!X676/44)+('Lab Analysis'!Y676/60))),"0")</f>
        <v>0</v>
      </c>
      <c r="P676" s="187" t="str">
        <f>IFERROR((('Lab Analysis'!Z676/18)-('Lab Analysis'!Y676/60))/(('Lab Analysis'!X676/44)+('Lab Analysis'!Y676/60)),"0")</f>
        <v>0</v>
      </c>
      <c r="Q676" s="191"/>
    </row>
    <row r="677" spans="1:17">
      <c r="A677" s="185">
        <v>46491</v>
      </c>
      <c r="B677" s="186" t="str">
        <f>IFERROR(('Lab Analysis'!E677/('Lab Analysis'!E677+(1.364*'Lab Analysis'!D677))),"0")</f>
        <v>0</v>
      </c>
      <c r="C677" s="186" t="str">
        <f>IFERROR((2*'Lab Analysis'!E677/60)/('Lab Analysis'!C677/17+(2*'Lab Analysis'!E677/60)),"0")</f>
        <v>0</v>
      </c>
      <c r="D677" s="187" t="str">
        <f>IFERROR(((2*('Lab Analysis'!E677/60)+('Lab Analysis'!C677/17))/(('Lab Analysis'!D677/44)+('Lab Analysis'!E677/60))),"0")</f>
        <v>0</v>
      </c>
      <c r="E677" s="187" t="str">
        <f>IFERROR((('Lab Analysis'!F677/18)-('Lab Analysis'!E677/60))/(('Lab Analysis'!D677/44)+('Lab Analysis'!E677/60)),"0")</f>
        <v>0</v>
      </c>
      <c r="F677" s="187" t="str">
        <f>IFERROR((('Lab Analysis'!F677/18)/('Lab Analysis'!E677/60)),"0")</f>
        <v>0</v>
      </c>
      <c r="G677" s="188" t="str">
        <f>IFERROR(('Lab Analysis'!I677/('Lab Analysis'!I677+(1.765*'Lab Analysis'!G677))),"0")</f>
        <v>0</v>
      </c>
      <c r="H677" s="189" t="str">
        <f>IFERROR(((2*('Lab Analysis'!I677/60))+('Lab Analysis'!G677/17))/(('Lab Analysis'!H677/44)+('Lab Analysis'!I677/60)),"0")</f>
        <v>0</v>
      </c>
      <c r="I677" s="189" t="str">
        <f>IFERROR((('Lab Analysis'!J677/18)-('Lab Analysis'!I677/60))/(('Lab Analysis'!H677/44)+('Lab Analysis'!I677/60)),"0")</f>
        <v>0</v>
      </c>
      <c r="J677" s="186" t="str">
        <f>IFERROR(('Lab Analysis'!M677/('Lab Analysis'!M677+(1.765*'Lab Analysis'!K677))),"0")</f>
        <v>0</v>
      </c>
      <c r="K677" s="190" t="str">
        <f>IFERROR(((2*('Lab Analysis'!M677/60))+('Lab Analysis'!K677/17))/(('Lab Analysis'!L677/44)+('Lab Analysis'!M677/60)),"0")</f>
        <v>0</v>
      </c>
      <c r="L677" s="190" t="str">
        <f>IFERROR((('Lab Analysis'!N677/18)-('Lab Analysis'!M677/60))/(('Lab Analysis'!L677/44)+('Lab Analysis'!M677/60)),"0")</f>
        <v>0</v>
      </c>
      <c r="M677" s="187" t="str">
        <f>IFERROR(((2*('Lab Analysis'!U677/60))+('Lab Analysis'!S677/17))/(('Lab Analysis'!T677/44)+('Lab Analysis'!U677/60)),"0")</f>
        <v>0</v>
      </c>
      <c r="N677" s="187" t="str">
        <f>IFERROR((('Lab Analysis'!V677/18)-('Lab Analysis'!U677/60))/(('Lab Analysis'!T677/44)+('Lab Analysis'!U677/60)),"0")</f>
        <v>0</v>
      </c>
      <c r="O677" s="187" t="str">
        <f>IFERROR(((2*('Lab Analysis'!Y677/60)+('Lab Analysis'!W677/17))/(('Lab Analysis'!X677/44)+('Lab Analysis'!Y677/60))),"0")</f>
        <v>0</v>
      </c>
      <c r="P677" s="187" t="str">
        <f>IFERROR((('Lab Analysis'!Z677/18)-('Lab Analysis'!Y677/60))/(('Lab Analysis'!X677/44)+('Lab Analysis'!Y677/60)),"0")</f>
        <v>0</v>
      </c>
      <c r="Q677" s="191"/>
    </row>
    <row r="678" spans="1:17">
      <c r="A678" s="185">
        <v>46492</v>
      </c>
      <c r="B678" s="186" t="str">
        <f>IFERROR(('Lab Analysis'!E678/('Lab Analysis'!E678+(1.364*'Lab Analysis'!D678))),"0")</f>
        <v>0</v>
      </c>
      <c r="C678" s="186" t="str">
        <f>IFERROR((2*'Lab Analysis'!E678/60)/('Lab Analysis'!C678/17+(2*'Lab Analysis'!E678/60)),"0")</f>
        <v>0</v>
      </c>
      <c r="D678" s="187" t="str">
        <f>IFERROR(((2*('Lab Analysis'!E678/60)+('Lab Analysis'!C678/17))/(('Lab Analysis'!D678/44)+('Lab Analysis'!E678/60))),"0")</f>
        <v>0</v>
      </c>
      <c r="E678" s="187" t="str">
        <f>IFERROR((('Lab Analysis'!F678/18)-('Lab Analysis'!E678/60))/(('Lab Analysis'!D678/44)+('Lab Analysis'!E678/60)),"0")</f>
        <v>0</v>
      </c>
      <c r="F678" s="187" t="str">
        <f>IFERROR((('Lab Analysis'!F678/18)/('Lab Analysis'!E678/60)),"0")</f>
        <v>0</v>
      </c>
      <c r="G678" s="188" t="str">
        <f>IFERROR(('Lab Analysis'!I678/('Lab Analysis'!I678+(1.765*'Lab Analysis'!G678))),"0")</f>
        <v>0</v>
      </c>
      <c r="H678" s="189" t="str">
        <f>IFERROR(((2*('Lab Analysis'!I678/60))+('Lab Analysis'!G678/17))/(('Lab Analysis'!H678/44)+('Lab Analysis'!I678/60)),"0")</f>
        <v>0</v>
      </c>
      <c r="I678" s="189" t="str">
        <f>IFERROR((('Lab Analysis'!J678/18)-('Lab Analysis'!I678/60))/(('Lab Analysis'!H678/44)+('Lab Analysis'!I678/60)),"0")</f>
        <v>0</v>
      </c>
      <c r="J678" s="186" t="str">
        <f>IFERROR(('Lab Analysis'!M678/('Lab Analysis'!M678+(1.765*'Lab Analysis'!K678))),"0")</f>
        <v>0</v>
      </c>
      <c r="K678" s="190" t="str">
        <f>IFERROR(((2*('Lab Analysis'!M678/60))+('Lab Analysis'!K678/17))/(('Lab Analysis'!L678/44)+('Lab Analysis'!M678/60)),"0")</f>
        <v>0</v>
      </c>
      <c r="L678" s="190" t="str">
        <f>IFERROR((('Lab Analysis'!N678/18)-('Lab Analysis'!M678/60))/(('Lab Analysis'!L678/44)+('Lab Analysis'!M678/60)),"0")</f>
        <v>0</v>
      </c>
      <c r="M678" s="187" t="str">
        <f>IFERROR(((2*('Lab Analysis'!U678/60))+('Lab Analysis'!S678/17))/(('Lab Analysis'!T678/44)+('Lab Analysis'!U678/60)),"0")</f>
        <v>0</v>
      </c>
      <c r="N678" s="187" t="str">
        <f>IFERROR((('Lab Analysis'!V678/18)-('Lab Analysis'!U678/60))/(('Lab Analysis'!T678/44)+('Lab Analysis'!U678/60)),"0")</f>
        <v>0</v>
      </c>
      <c r="O678" s="187" t="str">
        <f>IFERROR(((2*('Lab Analysis'!Y678/60)+('Lab Analysis'!W678/17))/(('Lab Analysis'!X678/44)+('Lab Analysis'!Y678/60))),"0")</f>
        <v>0</v>
      </c>
      <c r="P678" s="187" t="str">
        <f>IFERROR((('Lab Analysis'!Z678/18)-('Lab Analysis'!Y678/60))/(('Lab Analysis'!X678/44)+('Lab Analysis'!Y678/60)),"0")</f>
        <v>0</v>
      </c>
      <c r="Q678" s="191"/>
    </row>
    <row r="679" spans="1:17">
      <c r="A679" s="185">
        <v>46493</v>
      </c>
      <c r="B679" s="186" t="str">
        <f>IFERROR(('Lab Analysis'!E679/('Lab Analysis'!E679+(1.364*'Lab Analysis'!D679))),"0")</f>
        <v>0</v>
      </c>
      <c r="C679" s="186" t="str">
        <f>IFERROR((2*'Lab Analysis'!E679/60)/('Lab Analysis'!C679/17+(2*'Lab Analysis'!E679/60)),"0")</f>
        <v>0</v>
      </c>
      <c r="D679" s="187" t="str">
        <f>IFERROR(((2*('Lab Analysis'!E679/60)+('Lab Analysis'!C679/17))/(('Lab Analysis'!D679/44)+('Lab Analysis'!E679/60))),"0")</f>
        <v>0</v>
      </c>
      <c r="E679" s="187" t="str">
        <f>IFERROR((('Lab Analysis'!F679/18)-('Lab Analysis'!E679/60))/(('Lab Analysis'!D679/44)+('Lab Analysis'!E679/60)),"0")</f>
        <v>0</v>
      </c>
      <c r="F679" s="187" t="str">
        <f>IFERROR((('Lab Analysis'!F679/18)/('Lab Analysis'!E679/60)),"0")</f>
        <v>0</v>
      </c>
      <c r="G679" s="188" t="str">
        <f>IFERROR(('Lab Analysis'!I679/('Lab Analysis'!I679+(1.765*'Lab Analysis'!G679))),"0")</f>
        <v>0</v>
      </c>
      <c r="H679" s="189" t="str">
        <f>IFERROR(((2*('Lab Analysis'!I679/60))+('Lab Analysis'!G679/17))/(('Lab Analysis'!H679/44)+('Lab Analysis'!I679/60)),"0")</f>
        <v>0</v>
      </c>
      <c r="I679" s="189" t="str">
        <f>IFERROR((('Lab Analysis'!J679/18)-('Lab Analysis'!I679/60))/(('Lab Analysis'!H679/44)+('Lab Analysis'!I679/60)),"0")</f>
        <v>0</v>
      </c>
      <c r="J679" s="186" t="str">
        <f>IFERROR(('Lab Analysis'!M679/('Lab Analysis'!M679+(1.765*'Lab Analysis'!K679))),"0")</f>
        <v>0</v>
      </c>
      <c r="K679" s="190" t="str">
        <f>IFERROR(((2*('Lab Analysis'!M679/60))+('Lab Analysis'!K679/17))/(('Lab Analysis'!L679/44)+('Lab Analysis'!M679/60)),"0")</f>
        <v>0</v>
      </c>
      <c r="L679" s="190" t="str">
        <f>IFERROR((('Lab Analysis'!N679/18)-('Lab Analysis'!M679/60))/(('Lab Analysis'!L679/44)+('Lab Analysis'!M679/60)),"0")</f>
        <v>0</v>
      </c>
      <c r="M679" s="187" t="str">
        <f>IFERROR(((2*('Lab Analysis'!U679/60))+('Lab Analysis'!S679/17))/(('Lab Analysis'!T679/44)+('Lab Analysis'!U679/60)),"0")</f>
        <v>0</v>
      </c>
      <c r="N679" s="187" t="str">
        <f>IFERROR((('Lab Analysis'!V679/18)-('Lab Analysis'!U679/60))/(('Lab Analysis'!T679/44)+('Lab Analysis'!U679/60)),"0")</f>
        <v>0</v>
      </c>
      <c r="O679" s="187" t="str">
        <f>IFERROR(((2*('Lab Analysis'!Y679/60)+('Lab Analysis'!W679/17))/(('Lab Analysis'!X679/44)+('Lab Analysis'!Y679/60))),"0")</f>
        <v>0</v>
      </c>
      <c r="P679" s="187" t="str">
        <f>IFERROR((('Lab Analysis'!Z679/18)-('Lab Analysis'!Y679/60))/(('Lab Analysis'!X679/44)+('Lab Analysis'!Y679/60)),"0")</f>
        <v>0</v>
      </c>
      <c r="Q679" s="191"/>
    </row>
    <row r="680" spans="1:17">
      <c r="A680" s="185">
        <v>46494</v>
      </c>
      <c r="B680" s="186" t="str">
        <f>IFERROR(('Lab Analysis'!E680/('Lab Analysis'!E680+(1.364*'Lab Analysis'!D680))),"0")</f>
        <v>0</v>
      </c>
      <c r="C680" s="186" t="str">
        <f>IFERROR((2*'Lab Analysis'!E680/60)/('Lab Analysis'!C680/17+(2*'Lab Analysis'!E680/60)),"0")</f>
        <v>0</v>
      </c>
      <c r="D680" s="187" t="str">
        <f>IFERROR(((2*('Lab Analysis'!E680/60)+('Lab Analysis'!C680/17))/(('Lab Analysis'!D680/44)+('Lab Analysis'!E680/60))),"0")</f>
        <v>0</v>
      </c>
      <c r="E680" s="187" t="str">
        <f>IFERROR((('Lab Analysis'!F680/18)-('Lab Analysis'!E680/60))/(('Lab Analysis'!D680/44)+('Lab Analysis'!E680/60)),"0")</f>
        <v>0</v>
      </c>
      <c r="F680" s="187" t="str">
        <f>IFERROR((('Lab Analysis'!F680/18)/('Lab Analysis'!E680/60)),"0")</f>
        <v>0</v>
      </c>
      <c r="G680" s="188" t="str">
        <f>IFERROR(('Lab Analysis'!I680/('Lab Analysis'!I680+(1.765*'Lab Analysis'!G680))),"0")</f>
        <v>0</v>
      </c>
      <c r="H680" s="189" t="str">
        <f>IFERROR(((2*('Lab Analysis'!I680/60))+('Lab Analysis'!G680/17))/(('Lab Analysis'!H680/44)+('Lab Analysis'!I680/60)),"0")</f>
        <v>0</v>
      </c>
      <c r="I680" s="189" t="str">
        <f>IFERROR((('Lab Analysis'!J680/18)-('Lab Analysis'!I680/60))/(('Lab Analysis'!H680/44)+('Lab Analysis'!I680/60)),"0")</f>
        <v>0</v>
      </c>
      <c r="J680" s="186" t="str">
        <f>IFERROR(('Lab Analysis'!M680/('Lab Analysis'!M680+(1.765*'Lab Analysis'!K680))),"0")</f>
        <v>0</v>
      </c>
      <c r="K680" s="190" t="str">
        <f>IFERROR(((2*('Lab Analysis'!M680/60))+('Lab Analysis'!K680/17))/(('Lab Analysis'!L680/44)+('Lab Analysis'!M680/60)),"0")</f>
        <v>0</v>
      </c>
      <c r="L680" s="190" t="str">
        <f>IFERROR((('Lab Analysis'!N680/18)-('Lab Analysis'!M680/60))/(('Lab Analysis'!L680/44)+('Lab Analysis'!M680/60)),"0")</f>
        <v>0</v>
      </c>
      <c r="M680" s="187" t="str">
        <f>IFERROR(((2*('Lab Analysis'!U680/60))+('Lab Analysis'!S680/17))/(('Lab Analysis'!T680/44)+('Lab Analysis'!U680/60)),"0")</f>
        <v>0</v>
      </c>
      <c r="N680" s="187" t="str">
        <f>IFERROR((('Lab Analysis'!V680/18)-('Lab Analysis'!U680/60))/(('Lab Analysis'!T680/44)+('Lab Analysis'!U680/60)),"0")</f>
        <v>0</v>
      </c>
      <c r="O680" s="187" t="str">
        <f>IFERROR(((2*('Lab Analysis'!Y680/60)+('Lab Analysis'!W680/17))/(('Lab Analysis'!X680/44)+('Lab Analysis'!Y680/60))),"0")</f>
        <v>0</v>
      </c>
      <c r="P680" s="187" t="str">
        <f>IFERROR((('Lab Analysis'!Z680/18)-('Lab Analysis'!Y680/60))/(('Lab Analysis'!X680/44)+('Lab Analysis'!Y680/60)),"0")</f>
        <v>0</v>
      </c>
      <c r="Q680" s="191"/>
    </row>
    <row r="681" spans="1:17">
      <c r="A681" s="185">
        <v>46495</v>
      </c>
      <c r="B681" s="186" t="str">
        <f>IFERROR(('Lab Analysis'!E681/('Lab Analysis'!E681+(1.364*'Lab Analysis'!D681))),"0")</f>
        <v>0</v>
      </c>
      <c r="C681" s="186" t="str">
        <f>IFERROR((2*'Lab Analysis'!E681/60)/('Lab Analysis'!C681/17+(2*'Lab Analysis'!E681/60)),"0")</f>
        <v>0</v>
      </c>
      <c r="D681" s="187" t="str">
        <f>IFERROR(((2*('Lab Analysis'!E681/60)+('Lab Analysis'!C681/17))/(('Lab Analysis'!D681/44)+('Lab Analysis'!E681/60))),"0")</f>
        <v>0</v>
      </c>
      <c r="E681" s="187" t="str">
        <f>IFERROR((('Lab Analysis'!F681/18)-('Lab Analysis'!E681/60))/(('Lab Analysis'!D681/44)+('Lab Analysis'!E681/60)),"0")</f>
        <v>0</v>
      </c>
      <c r="F681" s="187" t="str">
        <f>IFERROR((('Lab Analysis'!F681/18)/('Lab Analysis'!E681/60)),"0")</f>
        <v>0</v>
      </c>
      <c r="G681" s="188" t="str">
        <f>IFERROR(('Lab Analysis'!I681/('Lab Analysis'!I681+(1.765*'Lab Analysis'!G681))),"0")</f>
        <v>0</v>
      </c>
      <c r="H681" s="189" t="str">
        <f>IFERROR(((2*('Lab Analysis'!I681/60))+('Lab Analysis'!G681/17))/(('Lab Analysis'!H681/44)+('Lab Analysis'!I681/60)),"0")</f>
        <v>0</v>
      </c>
      <c r="I681" s="189" t="str">
        <f>IFERROR((('Lab Analysis'!J681/18)-('Lab Analysis'!I681/60))/(('Lab Analysis'!H681/44)+('Lab Analysis'!I681/60)),"0")</f>
        <v>0</v>
      </c>
      <c r="J681" s="186" t="str">
        <f>IFERROR(('Lab Analysis'!M681/('Lab Analysis'!M681+(1.765*'Lab Analysis'!K681))),"0")</f>
        <v>0</v>
      </c>
      <c r="K681" s="190" t="str">
        <f>IFERROR(((2*('Lab Analysis'!M681/60))+('Lab Analysis'!K681/17))/(('Lab Analysis'!L681/44)+('Lab Analysis'!M681/60)),"0")</f>
        <v>0</v>
      </c>
      <c r="L681" s="190" t="str">
        <f>IFERROR((('Lab Analysis'!N681/18)-('Lab Analysis'!M681/60))/(('Lab Analysis'!L681/44)+('Lab Analysis'!M681/60)),"0")</f>
        <v>0</v>
      </c>
      <c r="M681" s="187" t="str">
        <f>IFERROR(((2*('Lab Analysis'!U681/60))+('Lab Analysis'!S681/17))/(('Lab Analysis'!T681/44)+('Lab Analysis'!U681/60)),"0")</f>
        <v>0</v>
      </c>
      <c r="N681" s="187" t="str">
        <f>IFERROR((('Lab Analysis'!V681/18)-('Lab Analysis'!U681/60))/(('Lab Analysis'!T681/44)+('Lab Analysis'!U681/60)),"0")</f>
        <v>0</v>
      </c>
      <c r="O681" s="187" t="str">
        <f>IFERROR(((2*('Lab Analysis'!Y681/60)+('Lab Analysis'!W681/17))/(('Lab Analysis'!X681/44)+('Lab Analysis'!Y681/60))),"0")</f>
        <v>0</v>
      </c>
      <c r="P681" s="187" t="str">
        <f>IFERROR((('Lab Analysis'!Z681/18)-('Lab Analysis'!Y681/60))/(('Lab Analysis'!X681/44)+('Lab Analysis'!Y681/60)),"0")</f>
        <v>0</v>
      </c>
      <c r="Q681" s="191"/>
    </row>
    <row r="682" spans="1:17">
      <c r="A682" s="185">
        <v>46496</v>
      </c>
      <c r="B682" s="186" t="str">
        <f>IFERROR(('Lab Analysis'!E682/('Lab Analysis'!E682+(1.364*'Lab Analysis'!D682))),"0")</f>
        <v>0</v>
      </c>
      <c r="C682" s="186" t="str">
        <f>IFERROR((2*'Lab Analysis'!E682/60)/('Lab Analysis'!C682/17+(2*'Lab Analysis'!E682/60)),"0")</f>
        <v>0</v>
      </c>
      <c r="D682" s="187" t="str">
        <f>IFERROR(((2*('Lab Analysis'!E682/60)+('Lab Analysis'!C682/17))/(('Lab Analysis'!D682/44)+('Lab Analysis'!E682/60))),"0")</f>
        <v>0</v>
      </c>
      <c r="E682" s="187" t="str">
        <f>IFERROR((('Lab Analysis'!F682/18)-('Lab Analysis'!E682/60))/(('Lab Analysis'!D682/44)+('Lab Analysis'!E682/60)),"0")</f>
        <v>0</v>
      </c>
      <c r="F682" s="187" t="str">
        <f>IFERROR((('Lab Analysis'!F682/18)/('Lab Analysis'!E682/60)),"0")</f>
        <v>0</v>
      </c>
      <c r="G682" s="188" t="str">
        <f>IFERROR(('Lab Analysis'!I682/('Lab Analysis'!I682+(1.765*'Lab Analysis'!G682))),"0")</f>
        <v>0</v>
      </c>
      <c r="H682" s="189" t="str">
        <f>IFERROR(((2*('Lab Analysis'!I682/60))+('Lab Analysis'!G682/17))/(('Lab Analysis'!H682/44)+('Lab Analysis'!I682/60)),"0")</f>
        <v>0</v>
      </c>
      <c r="I682" s="189" t="str">
        <f>IFERROR((('Lab Analysis'!J682/18)-('Lab Analysis'!I682/60))/(('Lab Analysis'!H682/44)+('Lab Analysis'!I682/60)),"0")</f>
        <v>0</v>
      </c>
      <c r="J682" s="186" t="str">
        <f>IFERROR(('Lab Analysis'!M682/('Lab Analysis'!M682+(1.765*'Lab Analysis'!K682))),"0")</f>
        <v>0</v>
      </c>
      <c r="K682" s="190" t="str">
        <f>IFERROR(((2*('Lab Analysis'!M682/60))+('Lab Analysis'!K682/17))/(('Lab Analysis'!L682/44)+('Lab Analysis'!M682/60)),"0")</f>
        <v>0</v>
      </c>
      <c r="L682" s="190" t="str">
        <f>IFERROR((('Lab Analysis'!N682/18)-('Lab Analysis'!M682/60))/(('Lab Analysis'!L682/44)+('Lab Analysis'!M682/60)),"0")</f>
        <v>0</v>
      </c>
      <c r="M682" s="187" t="str">
        <f>IFERROR(((2*('Lab Analysis'!U682/60))+('Lab Analysis'!S682/17))/(('Lab Analysis'!T682/44)+('Lab Analysis'!U682/60)),"0")</f>
        <v>0</v>
      </c>
      <c r="N682" s="187" t="str">
        <f>IFERROR((('Lab Analysis'!V682/18)-('Lab Analysis'!U682/60))/(('Lab Analysis'!T682/44)+('Lab Analysis'!U682/60)),"0")</f>
        <v>0</v>
      </c>
      <c r="O682" s="187" t="str">
        <f>IFERROR(((2*('Lab Analysis'!Y682/60)+('Lab Analysis'!W682/17))/(('Lab Analysis'!X682/44)+('Lab Analysis'!Y682/60))),"0")</f>
        <v>0</v>
      </c>
      <c r="P682" s="187" t="str">
        <f>IFERROR((('Lab Analysis'!Z682/18)-('Lab Analysis'!Y682/60))/(('Lab Analysis'!X682/44)+('Lab Analysis'!Y682/60)),"0")</f>
        <v>0</v>
      </c>
      <c r="Q682" s="191"/>
    </row>
    <row r="683" spans="1:17">
      <c r="A683" s="185">
        <v>46497</v>
      </c>
      <c r="B683" s="186" t="str">
        <f>IFERROR(('Lab Analysis'!E683/('Lab Analysis'!E683+(1.364*'Lab Analysis'!D683))),"0")</f>
        <v>0</v>
      </c>
      <c r="C683" s="186" t="str">
        <f>IFERROR((2*'Lab Analysis'!E683/60)/('Lab Analysis'!C683/17+(2*'Lab Analysis'!E683/60)),"0")</f>
        <v>0</v>
      </c>
      <c r="D683" s="187" t="str">
        <f>IFERROR(((2*('Lab Analysis'!E683/60)+('Lab Analysis'!C683/17))/(('Lab Analysis'!D683/44)+('Lab Analysis'!E683/60))),"0")</f>
        <v>0</v>
      </c>
      <c r="E683" s="187" t="str">
        <f>IFERROR((('Lab Analysis'!F683/18)-('Lab Analysis'!E683/60))/(('Lab Analysis'!D683/44)+('Lab Analysis'!E683/60)),"0")</f>
        <v>0</v>
      </c>
      <c r="F683" s="187" t="str">
        <f>IFERROR((('Lab Analysis'!F683/18)/('Lab Analysis'!E683/60)),"0")</f>
        <v>0</v>
      </c>
      <c r="G683" s="188" t="str">
        <f>IFERROR(('Lab Analysis'!I683/('Lab Analysis'!I683+(1.765*'Lab Analysis'!G683))),"0")</f>
        <v>0</v>
      </c>
      <c r="H683" s="189" t="str">
        <f>IFERROR(((2*('Lab Analysis'!I683/60))+('Lab Analysis'!G683/17))/(('Lab Analysis'!H683/44)+('Lab Analysis'!I683/60)),"0")</f>
        <v>0</v>
      </c>
      <c r="I683" s="189" t="str">
        <f>IFERROR((('Lab Analysis'!J683/18)-('Lab Analysis'!I683/60))/(('Lab Analysis'!H683/44)+('Lab Analysis'!I683/60)),"0")</f>
        <v>0</v>
      </c>
      <c r="J683" s="186" t="str">
        <f>IFERROR(('Lab Analysis'!M683/('Lab Analysis'!M683+(1.765*'Lab Analysis'!K683))),"0")</f>
        <v>0</v>
      </c>
      <c r="K683" s="190" t="str">
        <f>IFERROR(((2*('Lab Analysis'!M683/60))+('Lab Analysis'!K683/17))/(('Lab Analysis'!L683/44)+('Lab Analysis'!M683/60)),"0")</f>
        <v>0</v>
      </c>
      <c r="L683" s="190" t="str">
        <f>IFERROR((('Lab Analysis'!N683/18)-('Lab Analysis'!M683/60))/(('Lab Analysis'!L683/44)+('Lab Analysis'!M683/60)),"0")</f>
        <v>0</v>
      </c>
      <c r="M683" s="187" t="str">
        <f>IFERROR(((2*('Lab Analysis'!U683/60))+('Lab Analysis'!S683/17))/(('Lab Analysis'!T683/44)+('Lab Analysis'!U683/60)),"0")</f>
        <v>0</v>
      </c>
      <c r="N683" s="187" t="str">
        <f>IFERROR((('Lab Analysis'!V683/18)-('Lab Analysis'!U683/60))/(('Lab Analysis'!T683/44)+('Lab Analysis'!U683/60)),"0")</f>
        <v>0</v>
      </c>
      <c r="O683" s="187" t="str">
        <f>IFERROR(((2*('Lab Analysis'!Y683/60)+('Lab Analysis'!W683/17))/(('Lab Analysis'!X683/44)+('Lab Analysis'!Y683/60))),"0")</f>
        <v>0</v>
      </c>
      <c r="P683" s="187" t="str">
        <f>IFERROR((('Lab Analysis'!Z683/18)-('Lab Analysis'!Y683/60))/(('Lab Analysis'!X683/44)+('Lab Analysis'!Y683/60)),"0")</f>
        <v>0</v>
      </c>
      <c r="Q683" s="191"/>
    </row>
    <row r="684" spans="1:17">
      <c r="A684" s="185">
        <v>46498</v>
      </c>
      <c r="B684" s="186" t="str">
        <f>IFERROR(('Lab Analysis'!E684/('Lab Analysis'!E684+(1.364*'Lab Analysis'!D684))),"0")</f>
        <v>0</v>
      </c>
      <c r="C684" s="186" t="str">
        <f>IFERROR((2*'Lab Analysis'!E684/60)/('Lab Analysis'!C684/17+(2*'Lab Analysis'!E684/60)),"0")</f>
        <v>0</v>
      </c>
      <c r="D684" s="187" t="str">
        <f>IFERROR(((2*('Lab Analysis'!E684/60)+('Lab Analysis'!C684/17))/(('Lab Analysis'!D684/44)+('Lab Analysis'!E684/60))),"0")</f>
        <v>0</v>
      </c>
      <c r="E684" s="187" t="str">
        <f>IFERROR((('Lab Analysis'!F684/18)-('Lab Analysis'!E684/60))/(('Lab Analysis'!D684/44)+('Lab Analysis'!E684/60)),"0")</f>
        <v>0</v>
      </c>
      <c r="F684" s="187" t="str">
        <f>IFERROR((('Lab Analysis'!F684/18)/('Lab Analysis'!E684/60)),"0")</f>
        <v>0</v>
      </c>
      <c r="G684" s="188" t="str">
        <f>IFERROR(('Lab Analysis'!I684/('Lab Analysis'!I684+(1.765*'Lab Analysis'!G684))),"0")</f>
        <v>0</v>
      </c>
      <c r="H684" s="189" t="str">
        <f>IFERROR(((2*('Lab Analysis'!I684/60))+('Lab Analysis'!G684/17))/(('Lab Analysis'!H684/44)+('Lab Analysis'!I684/60)),"0")</f>
        <v>0</v>
      </c>
      <c r="I684" s="189" t="str">
        <f>IFERROR((('Lab Analysis'!J684/18)-('Lab Analysis'!I684/60))/(('Lab Analysis'!H684/44)+('Lab Analysis'!I684/60)),"0")</f>
        <v>0</v>
      </c>
      <c r="J684" s="186" t="str">
        <f>IFERROR(('Lab Analysis'!M684/('Lab Analysis'!M684+(1.765*'Lab Analysis'!K684))),"0")</f>
        <v>0</v>
      </c>
      <c r="K684" s="190" t="str">
        <f>IFERROR(((2*('Lab Analysis'!M684/60))+('Lab Analysis'!K684/17))/(('Lab Analysis'!L684/44)+('Lab Analysis'!M684/60)),"0")</f>
        <v>0</v>
      </c>
      <c r="L684" s="190" t="str">
        <f>IFERROR((('Lab Analysis'!N684/18)-('Lab Analysis'!M684/60))/(('Lab Analysis'!L684/44)+('Lab Analysis'!M684/60)),"0")</f>
        <v>0</v>
      </c>
      <c r="M684" s="187" t="str">
        <f>IFERROR(((2*('Lab Analysis'!U684/60))+('Lab Analysis'!S684/17))/(('Lab Analysis'!T684/44)+('Lab Analysis'!U684/60)),"0")</f>
        <v>0</v>
      </c>
      <c r="N684" s="187" t="str">
        <f>IFERROR((('Lab Analysis'!V684/18)-('Lab Analysis'!U684/60))/(('Lab Analysis'!T684/44)+('Lab Analysis'!U684/60)),"0")</f>
        <v>0</v>
      </c>
      <c r="O684" s="187" t="str">
        <f>IFERROR(((2*('Lab Analysis'!Y684/60)+('Lab Analysis'!W684/17))/(('Lab Analysis'!X684/44)+('Lab Analysis'!Y684/60))),"0")</f>
        <v>0</v>
      </c>
      <c r="P684" s="187" t="str">
        <f>IFERROR((('Lab Analysis'!Z684/18)-('Lab Analysis'!Y684/60))/(('Lab Analysis'!X684/44)+('Lab Analysis'!Y684/60)),"0")</f>
        <v>0</v>
      </c>
      <c r="Q684" s="191"/>
    </row>
    <row r="685" spans="1:17">
      <c r="A685" s="185">
        <v>46499</v>
      </c>
      <c r="B685" s="186" t="str">
        <f>IFERROR(('Lab Analysis'!E685/('Lab Analysis'!E685+(1.364*'Lab Analysis'!D685))),"0")</f>
        <v>0</v>
      </c>
      <c r="C685" s="186" t="str">
        <f>IFERROR((2*'Lab Analysis'!E685/60)/('Lab Analysis'!C685/17+(2*'Lab Analysis'!E685/60)),"0")</f>
        <v>0</v>
      </c>
      <c r="D685" s="187" t="str">
        <f>IFERROR(((2*('Lab Analysis'!E685/60)+('Lab Analysis'!C685/17))/(('Lab Analysis'!D685/44)+('Lab Analysis'!E685/60))),"0")</f>
        <v>0</v>
      </c>
      <c r="E685" s="187" t="str">
        <f>IFERROR((('Lab Analysis'!F685/18)-('Lab Analysis'!E685/60))/(('Lab Analysis'!D685/44)+('Lab Analysis'!E685/60)),"0")</f>
        <v>0</v>
      </c>
      <c r="F685" s="187" t="str">
        <f>IFERROR((('Lab Analysis'!F685/18)/('Lab Analysis'!E685/60)),"0")</f>
        <v>0</v>
      </c>
      <c r="G685" s="188" t="str">
        <f>IFERROR(('Lab Analysis'!I685/('Lab Analysis'!I685+(1.765*'Lab Analysis'!G685))),"0")</f>
        <v>0</v>
      </c>
      <c r="H685" s="189" t="str">
        <f>IFERROR(((2*('Lab Analysis'!I685/60))+('Lab Analysis'!G685/17))/(('Lab Analysis'!H685/44)+('Lab Analysis'!I685/60)),"0")</f>
        <v>0</v>
      </c>
      <c r="I685" s="189" t="str">
        <f>IFERROR((('Lab Analysis'!J685/18)-('Lab Analysis'!I685/60))/(('Lab Analysis'!H685/44)+('Lab Analysis'!I685/60)),"0")</f>
        <v>0</v>
      </c>
      <c r="J685" s="186" t="str">
        <f>IFERROR(('Lab Analysis'!M685/('Lab Analysis'!M685+(1.765*'Lab Analysis'!K685))),"0")</f>
        <v>0</v>
      </c>
      <c r="K685" s="190" t="str">
        <f>IFERROR(((2*('Lab Analysis'!M685/60))+('Lab Analysis'!K685/17))/(('Lab Analysis'!L685/44)+('Lab Analysis'!M685/60)),"0")</f>
        <v>0</v>
      </c>
      <c r="L685" s="190" t="str">
        <f>IFERROR((('Lab Analysis'!N685/18)-('Lab Analysis'!M685/60))/(('Lab Analysis'!L685/44)+('Lab Analysis'!M685/60)),"0")</f>
        <v>0</v>
      </c>
      <c r="M685" s="187" t="str">
        <f>IFERROR(((2*('Lab Analysis'!U685/60))+('Lab Analysis'!S685/17))/(('Lab Analysis'!T685/44)+('Lab Analysis'!U685/60)),"0")</f>
        <v>0</v>
      </c>
      <c r="N685" s="187" t="str">
        <f>IFERROR((('Lab Analysis'!V685/18)-('Lab Analysis'!U685/60))/(('Lab Analysis'!T685/44)+('Lab Analysis'!U685/60)),"0")</f>
        <v>0</v>
      </c>
      <c r="O685" s="187" t="str">
        <f>IFERROR(((2*('Lab Analysis'!Y685/60)+('Lab Analysis'!W685/17))/(('Lab Analysis'!X685/44)+('Lab Analysis'!Y685/60))),"0")</f>
        <v>0</v>
      </c>
      <c r="P685" s="187" t="str">
        <f>IFERROR((('Lab Analysis'!Z685/18)-('Lab Analysis'!Y685/60))/(('Lab Analysis'!X685/44)+('Lab Analysis'!Y685/60)),"0")</f>
        <v>0</v>
      </c>
      <c r="Q685" s="191"/>
    </row>
  </sheetData>
  <sheetProtection autoFilter="0"/>
  <autoFilter ref="A4:Q4" xr:uid="{4AC37925-F41F-6147-A4A8-90E22D7FA4A7}"/>
  <mergeCells count="6">
    <mergeCell ref="A1:Q1"/>
    <mergeCell ref="B2:F2"/>
    <mergeCell ref="M2:N2"/>
    <mergeCell ref="O2:P2"/>
    <mergeCell ref="G2:I2"/>
    <mergeCell ref="J2:L2"/>
  </mergeCells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368C-B0B4-6741-B711-21041DFFD3E3}">
  <sheetPr codeName="Sheet1">
    <tabColor rgb="FFC00000"/>
  </sheetPr>
  <dimension ref="A1:T126"/>
  <sheetViews>
    <sheetView tabSelected="1" topLeftCell="A66" zoomScaleNormal="100" workbookViewId="0">
      <selection activeCell="B148" sqref="B148"/>
    </sheetView>
  </sheetViews>
  <sheetFormatPr defaultColWidth="11" defaultRowHeight="15.95"/>
  <sheetData>
    <row r="1" spans="1:20" ht="32.1" customHeight="1">
      <c r="A1" s="294" t="s">
        <v>68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</row>
    <row r="35" spans="1:20" ht="8.1" customHeight="1"/>
    <row r="36" spans="1:20" ht="41.1" customHeight="1">
      <c r="A36" s="294" t="s">
        <v>51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</row>
    <row r="69" spans="1:20" ht="6.95" customHeight="1"/>
    <row r="70" spans="1:20" ht="41.1" customHeight="1">
      <c r="A70" s="294" t="s">
        <v>52</v>
      </c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</row>
    <row r="103" spans="1:20" ht="9" customHeight="1"/>
    <row r="104" spans="1:20" ht="41.1" customHeight="1">
      <c r="A104" s="294" t="s">
        <v>53</v>
      </c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</row>
    <row r="125" spans="1:20" ht="6" customHeight="1"/>
    <row r="126" spans="1:20" ht="41.1" customHeight="1">
      <c r="A126" s="294" t="s">
        <v>54</v>
      </c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</row>
  </sheetData>
  <sheetProtection algorithmName="SHA-512" hashValue="WFJ6SUYtkQTQf3ku4ytqLubaKV40lv6+z8SMy0Mq3HK/qFLSPzlKigIkRKajUK3ctB//mobeVthGhn/6gC3jRw==" saltValue="la4COWtGQLORPfihCuvpiw==" spinCount="100000" sheet="1" objects="1" scenarios="1"/>
  <mergeCells count="5">
    <mergeCell ref="A1:T1"/>
    <mergeCell ref="A36:T36"/>
    <mergeCell ref="A70:T70"/>
    <mergeCell ref="A104:T104"/>
    <mergeCell ref="A126:T1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5E4C-1497-4F8E-ABD5-39DF767B9161}">
  <sheetPr>
    <tabColor rgb="FF7030A0"/>
  </sheetPr>
  <dimension ref="A1:V2013"/>
  <sheetViews>
    <sheetView zoomScaleNormal="100" workbookViewId="0">
      <pane xSplit="2" ySplit="3" topLeftCell="C773" activePane="bottomRight" state="frozen"/>
      <selection pane="bottomRight" activeCell="C792" sqref="C792"/>
      <selection pane="bottomLeft" activeCell="A4" sqref="A4"/>
      <selection pane="topRight" activeCell="C1" sqref="C1"/>
    </sheetView>
  </sheetViews>
  <sheetFormatPr defaultColWidth="10.875" defaultRowHeight="15.95"/>
  <cols>
    <col min="1" max="3" width="10.875" style="251"/>
    <col min="4" max="4" width="7.375" style="241" customWidth="1"/>
    <col min="5" max="5" width="11.5" style="241" customWidth="1"/>
    <col min="6" max="6" width="8.875" style="241" bestFit="1" customWidth="1"/>
    <col min="7" max="7" width="7.75" style="241" bestFit="1" customWidth="1"/>
    <col min="8" max="8" width="8.875" style="241" bestFit="1" customWidth="1"/>
    <col min="9" max="9" width="6.875" style="241" bestFit="1" customWidth="1"/>
    <col min="10" max="10" width="7.875" style="241" bestFit="1" customWidth="1"/>
    <col min="11" max="13" width="8.875" style="241" bestFit="1" customWidth="1"/>
    <col min="14" max="18" width="6.875" style="241" bestFit="1" customWidth="1"/>
    <col min="19" max="19" width="8.875" style="241" bestFit="1" customWidth="1"/>
    <col min="20" max="20" width="31.625" style="241" bestFit="1" customWidth="1"/>
    <col min="21" max="16384" width="10.875" style="241"/>
  </cols>
  <sheetData>
    <row r="1" spans="1:20" ht="24.95" customHeight="1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</row>
    <row r="2" spans="1:20" s="242" customFormat="1" ht="27.6" customHeight="1">
      <c r="A2" s="297" t="s">
        <v>69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</row>
    <row r="3" spans="1:20" s="242" customFormat="1" ht="30.6" customHeight="1">
      <c r="A3" s="193" t="s">
        <v>12</v>
      </c>
      <c r="B3" s="193" t="s">
        <v>70</v>
      </c>
      <c r="C3" s="193" t="s">
        <v>71</v>
      </c>
      <c r="D3" s="194" t="s">
        <v>72</v>
      </c>
      <c r="E3" s="195" t="s">
        <v>73</v>
      </c>
      <c r="F3" s="195" t="s">
        <v>74</v>
      </c>
      <c r="G3" s="195" t="s">
        <v>75</v>
      </c>
      <c r="H3" s="195" t="s">
        <v>76</v>
      </c>
      <c r="I3" s="195" t="s">
        <v>77</v>
      </c>
      <c r="J3" s="195" t="s">
        <v>78</v>
      </c>
      <c r="K3" s="195" t="s">
        <v>79</v>
      </c>
      <c r="L3" s="195" t="s">
        <v>80</v>
      </c>
      <c r="M3" s="195" t="s">
        <v>81</v>
      </c>
      <c r="N3" s="195" t="s">
        <v>82</v>
      </c>
      <c r="O3" s="195" t="s">
        <v>83</v>
      </c>
      <c r="P3" s="195" t="s">
        <v>84</v>
      </c>
      <c r="Q3" s="195" t="s">
        <v>85</v>
      </c>
      <c r="R3" s="195" t="s">
        <v>86</v>
      </c>
      <c r="S3" s="195" t="s">
        <v>87</v>
      </c>
      <c r="T3" s="195" t="s">
        <v>55</v>
      </c>
    </row>
    <row r="4" spans="1:20" s="242" customFormat="1" ht="12.95">
      <c r="A4" s="295">
        <v>45819</v>
      </c>
      <c r="B4" s="243" t="s">
        <v>88</v>
      </c>
      <c r="C4" s="196"/>
      <c r="D4" s="244"/>
      <c r="E4" s="245"/>
      <c r="F4" s="245"/>
      <c r="G4" s="245"/>
      <c r="H4" s="245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</row>
    <row r="5" spans="1:20" s="242" customFormat="1" ht="12.95">
      <c r="A5" s="295"/>
      <c r="B5" s="243" t="s">
        <v>89</v>
      </c>
      <c r="C5" s="196"/>
      <c r="D5" s="244"/>
      <c r="E5" s="245"/>
      <c r="F5" s="245"/>
      <c r="G5" s="245"/>
      <c r="H5" s="245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</row>
    <row r="6" spans="1:20" s="242" customFormat="1" ht="12.95">
      <c r="A6" s="295"/>
      <c r="B6" s="243" t="s">
        <v>90</v>
      </c>
      <c r="C6" s="196"/>
      <c r="D6" s="244"/>
      <c r="E6" s="245"/>
      <c r="F6" s="245"/>
      <c r="G6" s="245"/>
      <c r="H6" s="245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</row>
    <row r="7" spans="1:20" s="242" customFormat="1" ht="12.95">
      <c r="A7" s="295">
        <v>45820</v>
      </c>
      <c r="B7" s="243" t="s">
        <v>88</v>
      </c>
      <c r="C7" s="196"/>
      <c r="D7" s="244"/>
      <c r="E7" s="245"/>
      <c r="F7" s="245"/>
      <c r="G7" s="245"/>
      <c r="H7" s="245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47"/>
    </row>
    <row r="8" spans="1:20" s="242" customFormat="1" ht="12.95">
      <c r="A8" s="295"/>
      <c r="B8" s="243" t="s">
        <v>89</v>
      </c>
      <c r="C8" s="196"/>
      <c r="D8" s="244"/>
      <c r="E8" s="245"/>
      <c r="F8" s="245"/>
      <c r="G8" s="245"/>
      <c r="H8" s="245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</row>
    <row r="9" spans="1:20" s="242" customFormat="1" ht="12.95">
      <c r="A9" s="295"/>
      <c r="B9" s="243" t="s">
        <v>90</v>
      </c>
      <c r="C9" s="19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</row>
    <row r="10" spans="1:20" s="242" customFormat="1" ht="12.95">
      <c r="A10" s="295">
        <v>45821</v>
      </c>
      <c r="B10" s="243" t="s">
        <v>88</v>
      </c>
      <c r="C10" s="19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</row>
    <row r="11" spans="1:20" s="242" customFormat="1" ht="12.95">
      <c r="A11" s="295"/>
      <c r="B11" s="243" t="s">
        <v>89</v>
      </c>
      <c r="C11" s="196"/>
      <c r="D11" s="244"/>
      <c r="E11" s="245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</row>
    <row r="12" spans="1:20" s="242" customFormat="1" ht="12.95">
      <c r="A12" s="295"/>
      <c r="B12" s="243" t="s">
        <v>90</v>
      </c>
      <c r="C12" s="196"/>
      <c r="D12" s="244"/>
      <c r="E12" s="245"/>
      <c r="F12" s="245"/>
      <c r="G12" s="245"/>
      <c r="H12" s="245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</row>
    <row r="13" spans="1:20" s="242" customFormat="1" ht="12.95">
      <c r="A13" s="295">
        <v>45822</v>
      </c>
      <c r="B13" s="243" t="s">
        <v>88</v>
      </c>
      <c r="C13" s="196"/>
      <c r="D13" s="244"/>
      <c r="E13" s="245"/>
      <c r="F13" s="245"/>
      <c r="G13" s="245"/>
      <c r="H13" s="245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</row>
    <row r="14" spans="1:20" s="242" customFormat="1" ht="12.95">
      <c r="A14" s="295"/>
      <c r="B14" s="243" t="s">
        <v>89</v>
      </c>
      <c r="C14" s="196"/>
      <c r="D14" s="244"/>
      <c r="E14" s="245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</row>
    <row r="15" spans="1:20" s="242" customFormat="1" ht="12.95">
      <c r="A15" s="295"/>
      <c r="B15" s="243" t="s">
        <v>90</v>
      </c>
      <c r="C15" s="196"/>
      <c r="D15" s="244"/>
      <c r="E15" s="245"/>
      <c r="F15" s="245"/>
      <c r="G15" s="245"/>
      <c r="H15" s="245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</row>
    <row r="16" spans="1:20" s="242" customFormat="1" ht="12.95">
      <c r="A16" s="295">
        <v>45823</v>
      </c>
      <c r="B16" s="243" t="s">
        <v>88</v>
      </c>
      <c r="C16" s="19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</row>
    <row r="17" spans="1:19" s="242" customFormat="1" ht="12.95">
      <c r="A17" s="295"/>
      <c r="B17" s="243" t="s">
        <v>89</v>
      </c>
      <c r="C17" s="19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</row>
    <row r="18" spans="1:19" s="242" customFormat="1" ht="12.95">
      <c r="A18" s="295"/>
      <c r="B18" s="243" t="s">
        <v>90</v>
      </c>
      <c r="C18" s="196"/>
      <c r="D18" s="244"/>
      <c r="E18" s="245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</row>
    <row r="19" spans="1:19" s="242" customFormat="1" ht="12.95">
      <c r="A19" s="295">
        <v>45824</v>
      </c>
      <c r="B19" s="243" t="s">
        <v>88</v>
      </c>
      <c r="C19" s="196"/>
      <c r="D19" s="244"/>
      <c r="E19" s="245"/>
      <c r="F19" s="245"/>
      <c r="G19" s="245"/>
      <c r="H19" s="245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</row>
    <row r="20" spans="1:19" s="242" customFormat="1" ht="12.95">
      <c r="A20" s="295"/>
      <c r="B20" s="243" t="s">
        <v>89</v>
      </c>
      <c r="C20" s="196"/>
      <c r="D20" s="244"/>
      <c r="E20" s="245"/>
      <c r="F20" s="231"/>
      <c r="G20" s="231"/>
      <c r="H20" s="231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</row>
    <row r="21" spans="1:19" s="242" customFormat="1" ht="12.95">
      <c r="A21" s="295"/>
      <c r="B21" s="243" t="s">
        <v>90</v>
      </c>
      <c r="C21" s="196"/>
      <c r="D21" s="244"/>
      <c r="E21" s="245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</row>
    <row r="22" spans="1:19" s="242" customFormat="1" ht="12.95">
      <c r="A22" s="295">
        <v>45825</v>
      </c>
      <c r="B22" s="243" t="s">
        <v>88</v>
      </c>
      <c r="C22" s="196"/>
      <c r="D22" s="244"/>
      <c r="E22" s="245"/>
      <c r="F22" s="245"/>
      <c r="G22" s="245"/>
      <c r="H22" s="24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</row>
    <row r="23" spans="1:19" s="242" customFormat="1" ht="12.95">
      <c r="A23" s="295"/>
      <c r="B23" s="243" t="s">
        <v>89</v>
      </c>
      <c r="C23" s="196"/>
      <c r="D23" s="244"/>
      <c r="E23" s="245"/>
      <c r="F23" s="245"/>
      <c r="G23" s="245"/>
      <c r="H23" s="24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</row>
    <row r="24" spans="1:19" s="242" customFormat="1" ht="12.95">
      <c r="A24" s="295"/>
      <c r="B24" s="243" t="s">
        <v>90</v>
      </c>
      <c r="C24" s="19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</row>
    <row r="25" spans="1:19" s="242" customFormat="1" ht="12.95">
      <c r="A25" s="295">
        <v>45826</v>
      </c>
      <c r="B25" s="243" t="s">
        <v>88</v>
      </c>
      <c r="C25" s="19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</row>
    <row r="26" spans="1:19" s="242" customFormat="1" ht="12.95">
      <c r="A26" s="295"/>
      <c r="B26" s="243" t="s">
        <v>89</v>
      </c>
      <c r="C26" s="196"/>
      <c r="D26" s="244"/>
      <c r="E26" s="245"/>
      <c r="F26" s="231"/>
      <c r="G26" s="231"/>
      <c r="H26" s="231"/>
      <c r="I26" s="231"/>
      <c r="J26" s="231"/>
      <c r="K26" s="231"/>
      <c r="L26" s="231"/>
      <c r="M26" s="248"/>
      <c r="N26" s="248"/>
      <c r="O26" s="248"/>
      <c r="P26" s="248"/>
      <c r="Q26" s="248"/>
      <c r="R26" s="248"/>
      <c r="S26" s="248"/>
    </row>
    <row r="27" spans="1:19" s="242" customFormat="1" ht="12.95">
      <c r="A27" s="295"/>
      <c r="B27" s="243" t="s">
        <v>90</v>
      </c>
      <c r="C27" s="196"/>
      <c r="D27" s="244"/>
      <c r="E27" s="245"/>
      <c r="F27" s="231"/>
      <c r="G27" s="231"/>
      <c r="H27" s="231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</row>
    <row r="28" spans="1:19" s="242" customFormat="1" ht="12.95">
      <c r="A28" s="295">
        <v>45827</v>
      </c>
      <c r="B28" s="243" t="s">
        <v>88</v>
      </c>
      <c r="C28" s="196"/>
      <c r="D28" s="244"/>
      <c r="E28" s="245"/>
      <c r="F28" s="231"/>
      <c r="G28" s="231"/>
      <c r="H28" s="231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</row>
    <row r="29" spans="1:19" s="242" customFormat="1" ht="12.95">
      <c r="A29" s="295"/>
      <c r="B29" s="243" t="s">
        <v>89</v>
      </c>
      <c r="C29" s="196"/>
      <c r="D29" s="244"/>
      <c r="E29" s="245"/>
      <c r="F29" s="245"/>
      <c r="G29" s="245"/>
      <c r="H29" s="245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47"/>
    </row>
    <row r="30" spans="1:19" s="242" customFormat="1" ht="12.95">
      <c r="A30" s="295"/>
      <c r="B30" s="243" t="s">
        <v>90</v>
      </c>
      <c r="C30" s="196"/>
      <c r="D30" s="244"/>
      <c r="E30" s="245"/>
      <c r="F30" s="245"/>
      <c r="G30" s="245"/>
      <c r="H30" s="245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</row>
    <row r="31" spans="1:19" s="242" customFormat="1" ht="12.95">
      <c r="A31" s="295">
        <v>45828</v>
      </c>
      <c r="B31" s="243" t="s">
        <v>88</v>
      </c>
      <c r="C31" s="19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</row>
    <row r="32" spans="1:19" s="242" customFormat="1" ht="12.95">
      <c r="A32" s="295"/>
      <c r="B32" s="243" t="s">
        <v>89</v>
      </c>
      <c r="C32" s="19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</row>
    <row r="33" spans="1:19" s="242" customFormat="1" ht="12.95">
      <c r="A33" s="295"/>
      <c r="B33" s="243" t="s">
        <v>90</v>
      </c>
      <c r="C33" s="19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</row>
    <row r="34" spans="1:19" s="242" customFormat="1" ht="12.95">
      <c r="A34" s="295">
        <v>45829</v>
      </c>
      <c r="B34" s="243" t="s">
        <v>88</v>
      </c>
      <c r="C34" s="196"/>
      <c r="D34" s="244"/>
      <c r="E34" s="245"/>
      <c r="F34" s="245"/>
      <c r="G34" s="245"/>
      <c r="H34" s="245"/>
      <c r="I34" s="231"/>
      <c r="J34" s="231"/>
      <c r="K34" s="231"/>
      <c r="L34" s="231"/>
      <c r="M34" s="246"/>
      <c r="N34" s="246"/>
      <c r="O34" s="246"/>
      <c r="P34" s="246"/>
      <c r="Q34" s="246"/>
      <c r="R34" s="246"/>
      <c r="S34" s="246"/>
    </row>
    <row r="35" spans="1:19" s="242" customFormat="1" ht="12.95">
      <c r="A35" s="295"/>
      <c r="B35" s="243" t="s">
        <v>89</v>
      </c>
      <c r="C35" s="196"/>
      <c r="D35" s="244"/>
      <c r="E35" s="245"/>
      <c r="F35" s="245"/>
      <c r="G35" s="245"/>
      <c r="H35" s="245"/>
      <c r="I35" s="231"/>
      <c r="J35" s="231"/>
      <c r="K35" s="231"/>
      <c r="L35" s="231"/>
      <c r="M35" s="246"/>
      <c r="N35" s="246"/>
      <c r="O35" s="246"/>
      <c r="P35" s="246"/>
      <c r="Q35" s="246"/>
      <c r="R35" s="246"/>
      <c r="S35" s="246"/>
    </row>
    <row r="36" spans="1:19">
      <c r="A36" s="295"/>
      <c r="B36" s="243" t="s">
        <v>90</v>
      </c>
      <c r="C36" s="196"/>
      <c r="D36" s="142"/>
      <c r="E36" s="71"/>
      <c r="F36" s="72"/>
      <c r="G36" s="72"/>
      <c r="H36" s="72"/>
      <c r="I36" s="231"/>
      <c r="J36" s="231"/>
      <c r="K36" s="231"/>
      <c r="L36" s="231"/>
      <c r="M36" s="246"/>
      <c r="N36" s="246"/>
      <c r="O36" s="246"/>
      <c r="P36" s="246"/>
      <c r="Q36" s="246"/>
      <c r="R36" s="246"/>
      <c r="S36" s="246"/>
    </row>
    <row r="37" spans="1:19">
      <c r="A37" s="295">
        <v>45830</v>
      </c>
      <c r="B37" s="243" t="s">
        <v>88</v>
      </c>
      <c r="C37" s="196"/>
      <c r="D37" s="142"/>
      <c r="E37" s="71"/>
      <c r="F37" s="71"/>
      <c r="G37" s="71"/>
      <c r="H37" s="71"/>
      <c r="I37" s="231"/>
      <c r="J37" s="231"/>
      <c r="K37" s="231"/>
      <c r="L37" s="231"/>
      <c r="M37" s="246"/>
      <c r="N37" s="246"/>
      <c r="O37" s="246"/>
      <c r="P37" s="246"/>
      <c r="Q37" s="246"/>
      <c r="R37" s="246"/>
      <c r="S37" s="246"/>
    </row>
    <row r="38" spans="1:19">
      <c r="A38" s="295"/>
      <c r="B38" s="243" t="s">
        <v>89</v>
      </c>
      <c r="C38" s="196"/>
      <c r="D38" s="244"/>
      <c r="E38" s="245"/>
      <c r="F38" s="245"/>
      <c r="G38" s="245"/>
      <c r="H38" s="245"/>
      <c r="I38" s="231"/>
      <c r="J38" s="231"/>
      <c r="K38" s="231"/>
      <c r="L38" s="231"/>
      <c r="M38" s="246"/>
      <c r="N38" s="246"/>
      <c r="O38" s="246"/>
      <c r="P38" s="246"/>
      <c r="Q38" s="246"/>
      <c r="R38" s="246"/>
      <c r="S38" s="246"/>
    </row>
    <row r="39" spans="1:19">
      <c r="A39" s="295"/>
      <c r="B39" s="243" t="s">
        <v>90</v>
      </c>
      <c r="C39" s="196"/>
      <c r="D39" s="244"/>
      <c r="E39" s="245"/>
      <c r="F39" s="245"/>
      <c r="G39" s="245"/>
      <c r="H39" s="245"/>
      <c r="I39" s="231"/>
      <c r="J39" s="231"/>
      <c r="K39" s="231"/>
      <c r="L39" s="231"/>
      <c r="M39" s="246"/>
      <c r="N39" s="246"/>
      <c r="O39" s="246"/>
      <c r="P39" s="246"/>
      <c r="Q39" s="246"/>
      <c r="R39" s="246"/>
      <c r="S39" s="246"/>
    </row>
    <row r="40" spans="1:19">
      <c r="A40" s="295">
        <v>45831</v>
      </c>
      <c r="B40" s="243" t="s">
        <v>88</v>
      </c>
      <c r="C40" s="196"/>
      <c r="D40" s="244"/>
      <c r="E40" s="245"/>
      <c r="F40" s="245"/>
      <c r="G40" s="245"/>
      <c r="H40" s="245"/>
      <c r="I40" s="231"/>
      <c r="J40" s="231"/>
      <c r="K40" s="231"/>
      <c r="L40" s="231"/>
      <c r="M40" s="246"/>
      <c r="N40" s="246"/>
      <c r="O40" s="246"/>
      <c r="P40" s="246"/>
      <c r="Q40" s="246"/>
      <c r="R40" s="246"/>
      <c r="S40" s="246"/>
    </row>
    <row r="41" spans="1:19">
      <c r="A41" s="295"/>
      <c r="B41" s="243" t="s">
        <v>89</v>
      </c>
      <c r="C41" s="196"/>
      <c r="D41" s="244"/>
      <c r="E41" s="245"/>
      <c r="F41" s="245"/>
      <c r="G41" s="245"/>
      <c r="H41" s="245"/>
      <c r="I41" s="231"/>
      <c r="J41" s="231"/>
      <c r="K41" s="231"/>
      <c r="L41" s="231"/>
      <c r="M41" s="246"/>
      <c r="N41" s="246"/>
      <c r="O41" s="246"/>
      <c r="P41" s="246"/>
      <c r="Q41" s="246"/>
      <c r="R41" s="246"/>
      <c r="S41" s="246"/>
    </row>
    <row r="42" spans="1:19">
      <c r="A42" s="295"/>
      <c r="B42" s="243" t="s">
        <v>90</v>
      </c>
      <c r="C42" s="196"/>
      <c r="D42" s="244"/>
      <c r="E42" s="245"/>
      <c r="F42" s="245"/>
      <c r="G42" s="245"/>
      <c r="H42" s="245"/>
      <c r="I42" s="231"/>
      <c r="J42" s="231"/>
      <c r="K42" s="231"/>
      <c r="L42" s="231"/>
      <c r="M42" s="246"/>
      <c r="N42" s="246"/>
      <c r="O42" s="246"/>
      <c r="P42" s="246"/>
      <c r="Q42" s="246"/>
      <c r="R42" s="246"/>
      <c r="S42" s="246"/>
    </row>
    <row r="43" spans="1:19">
      <c r="A43" s="295">
        <v>45832</v>
      </c>
      <c r="B43" s="243" t="s">
        <v>88</v>
      </c>
      <c r="C43" s="196"/>
      <c r="D43" s="142"/>
      <c r="E43" s="71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</row>
    <row r="44" spans="1:19">
      <c r="A44" s="295"/>
      <c r="B44" s="243" t="s">
        <v>89</v>
      </c>
      <c r="C44" s="196"/>
      <c r="D44" s="142"/>
      <c r="E44" s="71"/>
      <c r="F44" s="71"/>
      <c r="G44" s="71"/>
      <c r="H44" s="71"/>
      <c r="I44" s="231"/>
      <c r="J44" s="231"/>
      <c r="K44" s="231"/>
      <c r="L44" s="231"/>
      <c r="M44" s="246"/>
      <c r="N44" s="246"/>
      <c r="O44" s="246"/>
      <c r="P44" s="246"/>
      <c r="Q44" s="246"/>
      <c r="R44" s="246"/>
      <c r="S44" s="246"/>
    </row>
    <row r="45" spans="1:19">
      <c r="A45" s="295"/>
      <c r="B45" s="243" t="s">
        <v>90</v>
      </c>
      <c r="C45" s="196"/>
      <c r="D45" s="244"/>
      <c r="E45" s="245"/>
      <c r="F45" s="245"/>
      <c r="G45" s="245"/>
      <c r="H45" s="245"/>
      <c r="I45" s="231"/>
      <c r="J45" s="231"/>
      <c r="K45" s="231"/>
      <c r="L45" s="231"/>
      <c r="M45" s="246"/>
      <c r="N45" s="246"/>
      <c r="O45" s="246"/>
      <c r="P45" s="246"/>
      <c r="Q45" s="246"/>
      <c r="R45" s="246"/>
      <c r="S45" s="246"/>
    </row>
    <row r="46" spans="1:19">
      <c r="A46" s="295">
        <v>45833</v>
      </c>
      <c r="B46" s="243" t="s">
        <v>88</v>
      </c>
      <c r="C46" s="196"/>
      <c r="D46" s="244"/>
      <c r="E46" s="245"/>
      <c r="F46" s="245"/>
      <c r="G46" s="245"/>
      <c r="H46" s="245"/>
      <c r="I46" s="231"/>
      <c r="J46" s="231"/>
      <c r="K46" s="231"/>
      <c r="L46" s="231"/>
      <c r="M46" s="246"/>
      <c r="N46" s="246"/>
      <c r="O46" s="246"/>
      <c r="P46" s="246"/>
      <c r="Q46" s="246"/>
      <c r="R46" s="246"/>
      <c r="S46" s="246"/>
    </row>
    <row r="47" spans="1:19">
      <c r="A47" s="295"/>
      <c r="B47" s="243" t="s">
        <v>89</v>
      </c>
      <c r="C47" s="196"/>
      <c r="D47" s="78"/>
      <c r="E47" s="78"/>
      <c r="F47" s="78"/>
      <c r="G47" s="78"/>
      <c r="H47" s="78"/>
      <c r="I47" s="78"/>
      <c r="J47" s="78"/>
      <c r="K47" s="78"/>
      <c r="L47" s="78"/>
      <c r="M47" s="249"/>
      <c r="N47" s="249"/>
      <c r="O47" s="249"/>
      <c r="P47" s="249"/>
      <c r="Q47" s="249"/>
      <c r="R47" s="249"/>
      <c r="S47" s="249"/>
    </row>
    <row r="48" spans="1:19">
      <c r="A48" s="295"/>
      <c r="B48" s="243" t="s">
        <v>90</v>
      </c>
      <c r="C48" s="196"/>
      <c r="D48" s="244"/>
      <c r="E48" s="245"/>
      <c r="F48" s="245"/>
      <c r="G48" s="245"/>
      <c r="H48" s="245"/>
      <c r="I48" s="231"/>
      <c r="J48" s="231"/>
      <c r="K48" s="231"/>
      <c r="L48" s="231"/>
      <c r="M48" s="246"/>
      <c r="N48" s="246"/>
      <c r="O48" s="246"/>
      <c r="P48" s="246"/>
      <c r="Q48" s="246"/>
      <c r="R48" s="246"/>
      <c r="S48" s="246"/>
    </row>
    <row r="49" spans="1:19">
      <c r="A49" s="295">
        <v>45834</v>
      </c>
      <c r="B49" s="243" t="s">
        <v>88</v>
      </c>
      <c r="C49" s="196"/>
      <c r="D49" s="244"/>
      <c r="E49" s="245"/>
      <c r="F49" s="245"/>
      <c r="G49" s="245"/>
      <c r="H49" s="245"/>
      <c r="I49" s="231"/>
      <c r="J49" s="231"/>
      <c r="K49" s="231"/>
      <c r="L49" s="231"/>
      <c r="M49" s="246"/>
      <c r="N49" s="246"/>
      <c r="O49" s="246"/>
      <c r="P49" s="246"/>
      <c r="Q49" s="246"/>
      <c r="R49" s="246"/>
      <c r="S49" s="246"/>
    </row>
    <row r="50" spans="1:19">
      <c r="A50" s="295"/>
      <c r="B50" s="243" t="s">
        <v>89</v>
      </c>
      <c r="C50" s="196"/>
      <c r="D50" s="244"/>
      <c r="E50" s="245"/>
      <c r="F50" s="245"/>
      <c r="G50" s="245"/>
      <c r="H50" s="245"/>
      <c r="I50" s="231"/>
      <c r="J50" s="231"/>
      <c r="K50" s="231"/>
      <c r="L50" s="231"/>
      <c r="M50" s="246"/>
      <c r="N50" s="246"/>
      <c r="O50" s="246"/>
      <c r="P50" s="246"/>
      <c r="Q50" s="246"/>
      <c r="R50" s="246"/>
      <c r="S50" s="246"/>
    </row>
    <row r="51" spans="1:19">
      <c r="A51" s="295"/>
      <c r="B51" s="243" t="s">
        <v>90</v>
      </c>
      <c r="C51" s="196"/>
      <c r="D51" s="244"/>
      <c r="E51" s="245"/>
      <c r="F51" s="245"/>
      <c r="G51" s="245"/>
      <c r="H51" s="245"/>
      <c r="I51" s="231"/>
      <c r="J51" s="231"/>
      <c r="K51" s="231"/>
      <c r="L51" s="231"/>
      <c r="M51" s="246"/>
      <c r="N51" s="246"/>
      <c r="O51" s="246"/>
      <c r="P51" s="246"/>
      <c r="Q51" s="246"/>
      <c r="R51" s="246"/>
      <c r="S51" s="246"/>
    </row>
    <row r="52" spans="1:19">
      <c r="A52" s="295">
        <v>45835</v>
      </c>
      <c r="B52" s="243" t="s">
        <v>88</v>
      </c>
      <c r="C52" s="196"/>
      <c r="D52" s="244"/>
      <c r="E52" s="245"/>
      <c r="F52" s="245"/>
      <c r="G52" s="245"/>
      <c r="H52" s="245"/>
      <c r="I52" s="231"/>
      <c r="J52" s="231"/>
      <c r="K52" s="231"/>
      <c r="L52" s="231"/>
      <c r="M52" s="246"/>
      <c r="N52" s="246"/>
      <c r="O52" s="246"/>
      <c r="P52" s="246"/>
      <c r="Q52" s="246"/>
      <c r="R52" s="246"/>
      <c r="S52" s="246"/>
    </row>
    <row r="53" spans="1:19">
      <c r="A53" s="295"/>
      <c r="B53" s="243" t="s">
        <v>89</v>
      </c>
      <c r="C53" s="196"/>
      <c r="D53" s="244"/>
      <c r="E53" s="245"/>
      <c r="F53" s="245"/>
      <c r="G53" s="245"/>
      <c r="H53" s="245"/>
      <c r="I53" s="231"/>
      <c r="J53" s="231"/>
      <c r="K53" s="231"/>
      <c r="L53" s="231"/>
      <c r="M53" s="246"/>
      <c r="N53" s="246"/>
      <c r="O53" s="246"/>
      <c r="P53" s="246"/>
      <c r="Q53" s="246"/>
      <c r="R53" s="246"/>
      <c r="S53" s="246"/>
    </row>
    <row r="54" spans="1:19">
      <c r="A54" s="295"/>
      <c r="B54" s="243" t="s">
        <v>90</v>
      </c>
      <c r="C54" s="196"/>
      <c r="D54" s="78"/>
      <c r="E54" s="78"/>
      <c r="F54" s="78"/>
      <c r="G54" s="78"/>
      <c r="H54" s="78"/>
      <c r="I54" s="78"/>
      <c r="J54" s="78"/>
      <c r="K54" s="78"/>
      <c r="L54" s="78"/>
      <c r="M54" s="246"/>
      <c r="N54" s="246"/>
      <c r="O54" s="246"/>
      <c r="P54" s="246"/>
      <c r="Q54" s="78"/>
      <c r="R54" s="78"/>
      <c r="S54" s="78"/>
    </row>
    <row r="55" spans="1:19">
      <c r="A55" s="295">
        <v>45836</v>
      </c>
      <c r="B55" s="243" t="s">
        <v>88</v>
      </c>
      <c r="C55" s="196"/>
      <c r="D55" s="78"/>
      <c r="E55" s="78"/>
      <c r="F55" s="78"/>
      <c r="G55" s="78"/>
      <c r="H55" s="78"/>
      <c r="I55" s="78"/>
      <c r="J55" s="78"/>
      <c r="K55" s="78"/>
      <c r="L55" s="78"/>
      <c r="M55" s="246"/>
      <c r="N55" s="246"/>
      <c r="O55" s="246"/>
      <c r="P55" s="246"/>
      <c r="Q55" s="246"/>
      <c r="R55" s="246"/>
      <c r="S55" s="246"/>
    </row>
    <row r="56" spans="1:19">
      <c r="A56" s="295"/>
      <c r="B56" s="243" t="s">
        <v>89</v>
      </c>
      <c r="C56" s="196"/>
      <c r="D56" s="78"/>
      <c r="E56" s="78"/>
      <c r="F56" s="78"/>
      <c r="G56" s="78"/>
      <c r="H56" s="78"/>
      <c r="I56" s="78"/>
      <c r="J56" s="78"/>
      <c r="K56" s="78"/>
      <c r="L56" s="78"/>
      <c r="M56" s="246"/>
      <c r="N56" s="246"/>
      <c r="O56" s="246"/>
      <c r="P56" s="246"/>
      <c r="Q56" s="78"/>
      <c r="R56" s="78"/>
      <c r="S56" s="78"/>
    </row>
    <row r="57" spans="1:19">
      <c r="A57" s="295"/>
      <c r="B57" s="243" t="s">
        <v>90</v>
      </c>
      <c r="C57" s="196"/>
      <c r="D57" s="78"/>
      <c r="E57" s="78"/>
      <c r="F57" s="78"/>
      <c r="G57" s="78"/>
      <c r="H57" s="78"/>
      <c r="I57" s="231"/>
      <c r="J57" s="231"/>
      <c r="K57" s="231"/>
      <c r="L57" s="231"/>
      <c r="M57" s="246"/>
      <c r="N57" s="246"/>
      <c r="O57" s="246"/>
      <c r="P57" s="246"/>
      <c r="Q57" s="246"/>
      <c r="R57" s="246"/>
      <c r="S57" s="246"/>
    </row>
    <row r="58" spans="1:19">
      <c r="A58" s="295">
        <v>45837</v>
      </c>
      <c r="B58" s="243" t="s">
        <v>88</v>
      </c>
      <c r="C58" s="196"/>
      <c r="D58" s="78"/>
      <c r="E58" s="78"/>
      <c r="F58" s="78"/>
      <c r="G58" s="78"/>
      <c r="H58" s="78"/>
      <c r="I58" s="231"/>
      <c r="J58" s="231"/>
      <c r="K58" s="231"/>
      <c r="L58" s="231"/>
      <c r="M58" s="246"/>
      <c r="N58" s="246"/>
      <c r="O58" s="246"/>
      <c r="P58" s="246"/>
      <c r="Q58" s="246"/>
      <c r="R58" s="246"/>
      <c r="S58" s="246"/>
    </row>
    <row r="59" spans="1:19">
      <c r="A59" s="295"/>
      <c r="B59" s="243" t="s">
        <v>89</v>
      </c>
      <c r="C59" s="196"/>
      <c r="D59" s="78"/>
      <c r="E59" s="78"/>
      <c r="F59" s="78"/>
      <c r="G59" s="78"/>
      <c r="H59" s="78"/>
      <c r="I59" s="231"/>
      <c r="J59" s="231"/>
      <c r="K59" s="231"/>
      <c r="L59" s="231"/>
      <c r="M59" s="246"/>
      <c r="N59" s="246"/>
      <c r="O59" s="246"/>
      <c r="P59" s="246"/>
      <c r="Q59" s="246"/>
      <c r="R59" s="246"/>
      <c r="S59" s="246"/>
    </row>
    <row r="60" spans="1:19">
      <c r="A60" s="295"/>
      <c r="B60" s="243" t="s">
        <v>90</v>
      </c>
      <c r="C60" s="196"/>
      <c r="D60" s="244"/>
      <c r="E60" s="245"/>
      <c r="F60" s="245"/>
      <c r="G60" s="245"/>
      <c r="H60" s="245"/>
      <c r="I60" s="231"/>
      <c r="J60" s="231"/>
      <c r="K60" s="231"/>
      <c r="L60" s="231"/>
      <c r="M60" s="246"/>
      <c r="N60" s="246"/>
      <c r="O60" s="246"/>
      <c r="P60" s="246"/>
      <c r="Q60" s="246"/>
      <c r="R60" s="246"/>
      <c r="S60" s="246"/>
    </row>
    <row r="61" spans="1:19">
      <c r="A61" s="295">
        <v>45838</v>
      </c>
      <c r="B61" s="243" t="s">
        <v>88</v>
      </c>
      <c r="C61" s="196"/>
      <c r="D61" s="244"/>
      <c r="E61" s="245"/>
      <c r="F61" s="245"/>
      <c r="G61" s="245"/>
      <c r="H61" s="245"/>
      <c r="I61" s="231"/>
      <c r="J61" s="231"/>
      <c r="K61" s="231"/>
      <c r="L61" s="231"/>
      <c r="M61" s="246"/>
      <c r="N61" s="246"/>
      <c r="O61" s="246"/>
      <c r="P61" s="246"/>
      <c r="Q61" s="246"/>
      <c r="R61" s="246"/>
      <c r="S61" s="246"/>
    </row>
    <row r="62" spans="1:19">
      <c r="A62" s="295"/>
      <c r="B62" s="243" t="s">
        <v>89</v>
      </c>
      <c r="C62" s="196"/>
      <c r="D62" s="78"/>
      <c r="E62" s="78"/>
      <c r="F62" s="78"/>
      <c r="G62" s="78"/>
      <c r="H62" s="78"/>
      <c r="I62" s="231"/>
      <c r="J62" s="231"/>
      <c r="K62" s="231"/>
      <c r="L62" s="231"/>
      <c r="M62" s="246"/>
      <c r="N62" s="246"/>
      <c r="O62" s="246"/>
      <c r="P62" s="246"/>
      <c r="Q62" s="246"/>
      <c r="R62" s="246"/>
      <c r="S62" s="246"/>
    </row>
    <row r="63" spans="1:19">
      <c r="A63" s="295"/>
      <c r="B63" s="243" t="s">
        <v>90</v>
      </c>
      <c r="C63" s="196"/>
      <c r="D63" s="244"/>
      <c r="E63" s="245"/>
      <c r="F63" s="245"/>
      <c r="G63" s="245"/>
      <c r="H63" s="245"/>
      <c r="I63" s="231"/>
      <c r="J63" s="231"/>
      <c r="K63" s="231"/>
      <c r="L63" s="231"/>
      <c r="M63" s="246"/>
      <c r="N63" s="246"/>
      <c r="O63" s="246"/>
      <c r="P63" s="246"/>
      <c r="Q63" s="246"/>
      <c r="R63" s="246"/>
      <c r="S63" s="246"/>
    </row>
    <row r="64" spans="1:19">
      <c r="A64" s="295">
        <v>45839</v>
      </c>
      <c r="B64" s="243" t="s">
        <v>88</v>
      </c>
      <c r="C64" s="196"/>
      <c r="D64" s="244"/>
      <c r="E64" s="245"/>
      <c r="F64" s="245"/>
      <c r="G64" s="245"/>
      <c r="H64" s="245"/>
      <c r="I64" s="231"/>
      <c r="J64" s="231"/>
      <c r="K64" s="231"/>
      <c r="L64" s="231"/>
      <c r="M64" s="246"/>
      <c r="N64" s="246"/>
      <c r="O64" s="246"/>
      <c r="P64" s="246"/>
      <c r="Q64" s="246"/>
      <c r="R64" s="246"/>
      <c r="S64" s="246"/>
    </row>
    <row r="65" spans="1:19">
      <c r="A65" s="295"/>
      <c r="B65" s="243" t="s">
        <v>89</v>
      </c>
      <c r="C65" s="196"/>
      <c r="D65" s="244"/>
      <c r="E65" s="245"/>
      <c r="F65" s="245"/>
      <c r="G65" s="245"/>
      <c r="H65" s="245"/>
      <c r="I65" s="231"/>
      <c r="J65" s="231"/>
      <c r="K65" s="231"/>
      <c r="L65" s="231"/>
      <c r="M65" s="246"/>
      <c r="N65" s="246"/>
      <c r="O65" s="246"/>
      <c r="P65" s="246"/>
      <c r="Q65" s="246"/>
      <c r="R65" s="246"/>
      <c r="S65" s="246"/>
    </row>
    <row r="66" spans="1:19">
      <c r="A66" s="295"/>
      <c r="B66" s="243" t="s">
        <v>90</v>
      </c>
      <c r="C66" s="196"/>
      <c r="D66" s="244"/>
      <c r="E66" s="245"/>
      <c r="F66" s="245"/>
      <c r="G66" s="245"/>
      <c r="H66" s="245"/>
      <c r="I66" s="231"/>
      <c r="J66" s="231"/>
      <c r="K66" s="231"/>
      <c r="L66" s="231"/>
      <c r="M66" s="246"/>
      <c r="N66" s="246"/>
      <c r="O66" s="246"/>
      <c r="P66" s="246"/>
      <c r="Q66" s="246"/>
      <c r="R66" s="246"/>
      <c r="S66" s="246"/>
    </row>
    <row r="67" spans="1:19">
      <c r="A67" s="295">
        <v>45840</v>
      </c>
      <c r="B67" s="243" t="s">
        <v>88</v>
      </c>
      <c r="C67" s="196"/>
      <c r="D67" s="244"/>
      <c r="E67" s="245"/>
      <c r="F67" s="245"/>
      <c r="G67" s="245"/>
      <c r="H67" s="245"/>
      <c r="I67" s="231"/>
      <c r="J67" s="231"/>
      <c r="K67" s="231"/>
      <c r="L67" s="231"/>
      <c r="M67" s="246"/>
      <c r="N67" s="246"/>
      <c r="O67" s="246"/>
      <c r="P67" s="246"/>
      <c r="Q67" s="246"/>
      <c r="R67" s="246"/>
      <c r="S67" s="246"/>
    </row>
    <row r="68" spans="1:19">
      <c r="A68" s="295"/>
      <c r="B68" s="243" t="s">
        <v>89</v>
      </c>
      <c r="C68" s="196"/>
      <c r="D68" s="244"/>
      <c r="E68" s="245"/>
      <c r="F68" s="245"/>
      <c r="G68" s="245"/>
      <c r="H68" s="245"/>
      <c r="I68" s="231"/>
      <c r="J68" s="231"/>
      <c r="K68" s="231"/>
      <c r="L68" s="231"/>
      <c r="M68" s="246"/>
      <c r="N68" s="246"/>
      <c r="O68" s="246"/>
      <c r="P68" s="246"/>
      <c r="Q68" s="246"/>
      <c r="R68" s="246"/>
      <c r="S68" s="246"/>
    </row>
    <row r="69" spans="1:19">
      <c r="A69" s="295"/>
      <c r="B69" s="243" t="s">
        <v>90</v>
      </c>
      <c r="C69" s="196"/>
      <c r="D69" s="244"/>
      <c r="E69" s="245"/>
      <c r="F69" s="245"/>
      <c r="G69" s="245"/>
      <c r="H69" s="245"/>
      <c r="I69" s="231"/>
      <c r="J69" s="231"/>
      <c r="K69" s="231"/>
      <c r="L69" s="231"/>
      <c r="M69" s="246"/>
      <c r="N69" s="246"/>
      <c r="O69" s="246"/>
      <c r="P69" s="246"/>
      <c r="Q69" s="246"/>
      <c r="R69" s="246"/>
      <c r="S69" s="246"/>
    </row>
    <row r="70" spans="1:19">
      <c r="A70" s="295">
        <v>45841</v>
      </c>
      <c r="B70" s="243" t="s">
        <v>88</v>
      </c>
      <c r="C70" s="196"/>
      <c r="D70" s="244"/>
      <c r="E70" s="245"/>
      <c r="F70" s="245"/>
      <c r="G70" s="245"/>
      <c r="H70" s="245"/>
      <c r="I70" s="231"/>
      <c r="J70" s="231"/>
      <c r="K70" s="231"/>
      <c r="L70" s="231"/>
      <c r="M70" s="246"/>
      <c r="N70" s="246"/>
      <c r="O70" s="246"/>
      <c r="P70" s="246"/>
      <c r="Q70" s="246"/>
      <c r="R70" s="246"/>
      <c r="S70" s="246"/>
    </row>
    <row r="71" spans="1:19">
      <c r="A71" s="295"/>
      <c r="B71" s="243" t="s">
        <v>89</v>
      </c>
      <c r="C71" s="196"/>
      <c r="D71" s="244"/>
      <c r="E71" s="245"/>
      <c r="F71" s="245"/>
      <c r="G71" s="245"/>
      <c r="H71" s="245"/>
      <c r="I71" s="231"/>
      <c r="J71" s="231"/>
      <c r="K71" s="231"/>
      <c r="L71" s="231"/>
      <c r="M71" s="246"/>
      <c r="N71" s="246"/>
      <c r="O71" s="246"/>
      <c r="P71" s="246"/>
      <c r="Q71" s="246"/>
      <c r="R71" s="246"/>
      <c r="S71" s="246"/>
    </row>
    <row r="72" spans="1:19">
      <c r="A72" s="295"/>
      <c r="B72" s="243" t="s">
        <v>90</v>
      </c>
      <c r="C72" s="196"/>
      <c r="D72" s="244"/>
      <c r="E72" s="245"/>
      <c r="F72" s="245"/>
      <c r="G72" s="245"/>
      <c r="H72" s="245"/>
      <c r="I72" s="231"/>
      <c r="J72" s="231"/>
      <c r="K72" s="231"/>
      <c r="L72" s="231"/>
      <c r="M72" s="246"/>
      <c r="N72" s="246"/>
      <c r="O72" s="246"/>
      <c r="P72" s="246"/>
      <c r="Q72" s="246"/>
      <c r="R72" s="246"/>
      <c r="S72" s="246"/>
    </row>
    <row r="73" spans="1:19">
      <c r="A73" s="295">
        <v>45842</v>
      </c>
      <c r="B73" s="243" t="s">
        <v>88</v>
      </c>
      <c r="C73" s="196"/>
      <c r="D73" s="244"/>
      <c r="E73" s="245"/>
      <c r="F73" s="245"/>
      <c r="G73" s="245"/>
      <c r="H73" s="245"/>
      <c r="I73" s="231"/>
      <c r="J73" s="231"/>
      <c r="K73" s="231"/>
      <c r="L73" s="231"/>
      <c r="M73" s="246"/>
      <c r="N73" s="246"/>
      <c r="O73" s="246"/>
      <c r="P73" s="246"/>
      <c r="Q73" s="246"/>
      <c r="R73" s="246"/>
      <c r="S73" s="246"/>
    </row>
    <row r="74" spans="1:19">
      <c r="A74" s="295"/>
      <c r="B74" s="243" t="s">
        <v>89</v>
      </c>
      <c r="C74" s="196"/>
      <c r="D74" s="244"/>
      <c r="E74" s="245"/>
      <c r="F74" s="245"/>
      <c r="G74" s="245"/>
      <c r="H74" s="245"/>
      <c r="I74" s="231"/>
      <c r="J74" s="231"/>
      <c r="K74" s="231"/>
      <c r="L74" s="231"/>
      <c r="M74" s="246"/>
      <c r="N74" s="246"/>
      <c r="O74" s="246"/>
      <c r="P74" s="246"/>
      <c r="Q74" s="246"/>
      <c r="R74" s="246"/>
      <c r="S74" s="246"/>
    </row>
    <row r="75" spans="1:19">
      <c r="A75" s="295"/>
      <c r="B75" s="243" t="s">
        <v>90</v>
      </c>
      <c r="C75" s="196"/>
      <c r="D75" s="244"/>
      <c r="E75" s="245"/>
      <c r="F75" s="245"/>
      <c r="G75" s="245"/>
      <c r="H75" s="245"/>
      <c r="I75" s="231"/>
      <c r="J75" s="231"/>
      <c r="K75" s="231"/>
      <c r="L75" s="231"/>
      <c r="M75" s="246"/>
      <c r="N75" s="246"/>
      <c r="O75" s="246"/>
      <c r="P75" s="246"/>
      <c r="Q75" s="246"/>
      <c r="R75" s="246"/>
      <c r="S75" s="246"/>
    </row>
    <row r="76" spans="1:19">
      <c r="A76" s="295">
        <v>45843</v>
      </c>
      <c r="B76" s="243" t="s">
        <v>88</v>
      </c>
      <c r="C76" s="196"/>
      <c r="D76" s="244"/>
      <c r="E76" s="245"/>
      <c r="F76" s="245"/>
      <c r="G76" s="245"/>
      <c r="H76" s="245"/>
      <c r="I76" s="231"/>
      <c r="J76" s="231"/>
      <c r="K76" s="231"/>
      <c r="L76" s="231"/>
      <c r="M76" s="246"/>
      <c r="N76" s="246"/>
      <c r="O76" s="246"/>
      <c r="P76" s="246"/>
      <c r="Q76" s="246"/>
      <c r="R76" s="246"/>
      <c r="S76" s="246"/>
    </row>
    <row r="77" spans="1:19">
      <c r="A77" s="295"/>
      <c r="B77" s="243" t="s">
        <v>89</v>
      </c>
      <c r="C77" s="196"/>
      <c r="D77" s="244"/>
      <c r="E77" s="245"/>
      <c r="F77" s="245"/>
      <c r="G77" s="245"/>
      <c r="H77" s="245"/>
      <c r="I77" s="231"/>
      <c r="J77" s="231"/>
      <c r="K77" s="231"/>
      <c r="L77" s="231"/>
      <c r="M77" s="246"/>
      <c r="N77" s="246"/>
      <c r="O77" s="246"/>
      <c r="P77" s="246"/>
      <c r="Q77" s="246"/>
      <c r="R77" s="246"/>
      <c r="S77" s="246"/>
    </row>
    <row r="78" spans="1:19">
      <c r="A78" s="295"/>
      <c r="B78" s="243" t="s">
        <v>90</v>
      </c>
      <c r="C78" s="196"/>
      <c r="D78" s="244"/>
      <c r="E78" s="245"/>
      <c r="F78" s="245"/>
      <c r="G78" s="245"/>
      <c r="H78" s="245"/>
      <c r="I78" s="231"/>
      <c r="J78" s="231"/>
      <c r="K78" s="231"/>
      <c r="L78" s="231"/>
      <c r="M78" s="246"/>
      <c r="N78" s="246"/>
      <c r="O78" s="246"/>
      <c r="P78" s="246"/>
      <c r="Q78" s="246"/>
      <c r="R78" s="246"/>
      <c r="S78" s="246"/>
    </row>
    <row r="79" spans="1:19">
      <c r="A79" s="295">
        <v>45844</v>
      </c>
      <c r="B79" s="243" t="s">
        <v>88</v>
      </c>
      <c r="C79" s="196"/>
      <c r="D79" s="244"/>
      <c r="E79" s="245"/>
      <c r="F79" s="245"/>
      <c r="G79" s="245"/>
      <c r="H79" s="245"/>
      <c r="I79" s="231"/>
      <c r="J79" s="231"/>
      <c r="K79" s="231"/>
      <c r="L79" s="231"/>
      <c r="M79" s="246"/>
      <c r="N79" s="246"/>
      <c r="O79" s="246"/>
      <c r="P79" s="246"/>
      <c r="Q79" s="246"/>
      <c r="R79" s="246"/>
      <c r="S79" s="246"/>
    </row>
    <row r="80" spans="1:19">
      <c r="A80" s="295"/>
      <c r="B80" s="243" t="s">
        <v>89</v>
      </c>
      <c r="C80" s="196"/>
      <c r="D80" s="244"/>
      <c r="E80" s="245"/>
      <c r="F80" s="245"/>
      <c r="G80" s="245"/>
      <c r="H80" s="245"/>
      <c r="I80" s="231"/>
      <c r="J80" s="231"/>
      <c r="K80" s="231"/>
      <c r="L80" s="231"/>
      <c r="M80" s="246"/>
      <c r="N80" s="246"/>
      <c r="O80" s="246"/>
      <c r="P80" s="246"/>
      <c r="Q80" s="246"/>
      <c r="R80" s="246"/>
      <c r="S80" s="246"/>
    </row>
    <row r="81" spans="1:19">
      <c r="A81" s="295"/>
      <c r="B81" s="243" t="s">
        <v>90</v>
      </c>
      <c r="C81" s="196"/>
      <c r="D81" s="244"/>
      <c r="E81" s="245"/>
      <c r="F81" s="245"/>
      <c r="G81" s="245"/>
      <c r="H81" s="245"/>
      <c r="I81" s="231"/>
      <c r="J81" s="231"/>
      <c r="K81" s="231"/>
      <c r="L81" s="231"/>
      <c r="M81" s="246"/>
      <c r="N81" s="246"/>
      <c r="O81" s="246"/>
      <c r="P81" s="246"/>
      <c r="Q81" s="246"/>
      <c r="R81" s="246"/>
      <c r="S81" s="246"/>
    </row>
    <row r="82" spans="1:19">
      <c r="A82" s="295">
        <v>45845</v>
      </c>
      <c r="B82" s="243" t="s">
        <v>88</v>
      </c>
      <c r="C82" s="196"/>
      <c r="D82" s="244"/>
      <c r="E82" s="245"/>
      <c r="F82" s="245"/>
      <c r="G82" s="245"/>
      <c r="H82" s="245"/>
      <c r="I82" s="231"/>
      <c r="J82" s="231"/>
      <c r="K82" s="231"/>
      <c r="L82" s="231"/>
      <c r="M82" s="246"/>
      <c r="N82" s="246"/>
      <c r="O82" s="246"/>
      <c r="P82" s="246"/>
      <c r="Q82" s="246"/>
      <c r="R82" s="246"/>
      <c r="S82" s="246"/>
    </row>
    <row r="83" spans="1:19">
      <c r="A83" s="295"/>
      <c r="B83" s="243" t="s">
        <v>89</v>
      </c>
      <c r="C83" s="196"/>
      <c r="D83" s="244"/>
      <c r="E83" s="245"/>
      <c r="F83" s="245"/>
      <c r="G83" s="245"/>
      <c r="H83" s="245"/>
      <c r="I83" s="231"/>
      <c r="J83" s="231"/>
      <c r="K83" s="231"/>
      <c r="L83" s="231"/>
      <c r="M83" s="246"/>
      <c r="N83" s="246"/>
      <c r="O83" s="246"/>
      <c r="P83" s="246"/>
      <c r="Q83" s="246"/>
      <c r="R83" s="246"/>
      <c r="S83" s="246"/>
    </row>
    <row r="84" spans="1:19">
      <c r="A84" s="295"/>
      <c r="B84" s="243" t="s">
        <v>90</v>
      </c>
      <c r="C84" s="196"/>
      <c r="D84" s="244"/>
      <c r="E84" s="245"/>
      <c r="F84" s="245"/>
      <c r="G84" s="245"/>
      <c r="H84" s="245"/>
      <c r="I84" s="231"/>
      <c r="J84" s="231"/>
      <c r="K84" s="231"/>
      <c r="L84" s="231"/>
      <c r="M84" s="246"/>
      <c r="N84" s="246"/>
      <c r="O84" s="246"/>
      <c r="P84" s="246"/>
      <c r="Q84" s="246"/>
      <c r="R84" s="246"/>
      <c r="S84" s="246"/>
    </row>
    <row r="85" spans="1:19">
      <c r="A85" s="295">
        <v>45846</v>
      </c>
      <c r="B85" s="243" t="s">
        <v>88</v>
      </c>
      <c r="C85" s="196"/>
      <c r="D85" s="244"/>
      <c r="E85" s="245"/>
      <c r="F85" s="245"/>
      <c r="G85" s="245"/>
      <c r="H85" s="245"/>
      <c r="I85" s="231"/>
      <c r="J85" s="231"/>
      <c r="K85" s="231"/>
      <c r="L85" s="231"/>
      <c r="M85" s="246"/>
      <c r="N85" s="246"/>
      <c r="O85" s="246"/>
      <c r="P85" s="246"/>
      <c r="Q85" s="246"/>
      <c r="R85" s="246"/>
      <c r="S85" s="246"/>
    </row>
    <row r="86" spans="1:19">
      <c r="A86" s="295"/>
      <c r="B86" s="243" t="s">
        <v>89</v>
      </c>
      <c r="C86" s="196"/>
      <c r="D86" s="244"/>
      <c r="E86" s="245"/>
      <c r="F86" s="245"/>
      <c r="G86" s="245"/>
      <c r="H86" s="245"/>
      <c r="I86" s="231"/>
      <c r="J86" s="231"/>
      <c r="K86" s="231"/>
      <c r="L86" s="231"/>
      <c r="M86" s="246"/>
      <c r="N86" s="246"/>
      <c r="O86" s="246"/>
      <c r="P86" s="246"/>
      <c r="Q86" s="246"/>
      <c r="R86" s="246"/>
      <c r="S86" s="246"/>
    </row>
    <row r="87" spans="1:19">
      <c r="A87" s="295"/>
      <c r="B87" s="243" t="s">
        <v>90</v>
      </c>
      <c r="C87" s="196"/>
      <c r="D87" s="244"/>
      <c r="E87" s="245"/>
      <c r="F87" s="245"/>
      <c r="G87" s="245"/>
      <c r="H87" s="245"/>
      <c r="I87" s="231"/>
      <c r="J87" s="231"/>
      <c r="K87" s="231"/>
      <c r="L87" s="231"/>
      <c r="M87" s="246"/>
      <c r="N87" s="246"/>
      <c r="O87" s="246"/>
      <c r="P87" s="246"/>
      <c r="Q87" s="246"/>
      <c r="R87" s="246"/>
      <c r="S87" s="246"/>
    </row>
    <row r="88" spans="1:19">
      <c r="A88" s="295">
        <v>45847</v>
      </c>
      <c r="B88" s="243" t="s">
        <v>88</v>
      </c>
      <c r="C88" s="196"/>
      <c r="D88" s="244"/>
      <c r="E88" s="245"/>
      <c r="F88" s="245"/>
      <c r="G88" s="245"/>
      <c r="H88" s="245"/>
      <c r="I88" s="231"/>
      <c r="J88" s="231"/>
      <c r="K88" s="231"/>
      <c r="L88" s="231"/>
      <c r="M88" s="246"/>
      <c r="N88" s="246"/>
      <c r="O88" s="246"/>
      <c r="P88" s="246"/>
      <c r="Q88" s="246"/>
      <c r="R88" s="246"/>
      <c r="S88" s="246"/>
    </row>
    <row r="89" spans="1:19">
      <c r="A89" s="295"/>
      <c r="B89" s="243" t="s">
        <v>89</v>
      </c>
      <c r="C89" s="196"/>
      <c r="D89" s="244"/>
      <c r="E89" s="245"/>
      <c r="F89" s="245"/>
      <c r="G89" s="245"/>
      <c r="H89" s="245"/>
      <c r="I89" s="231"/>
      <c r="J89" s="231"/>
      <c r="K89" s="231"/>
      <c r="L89" s="231"/>
      <c r="M89" s="246"/>
      <c r="N89" s="246"/>
      <c r="O89" s="246"/>
      <c r="P89" s="246"/>
      <c r="Q89" s="246"/>
      <c r="R89" s="246"/>
      <c r="S89" s="246"/>
    </row>
    <row r="90" spans="1:19">
      <c r="A90" s="295"/>
      <c r="B90" s="243" t="s">
        <v>90</v>
      </c>
      <c r="C90" s="196"/>
      <c r="D90" s="244"/>
      <c r="E90" s="245"/>
      <c r="F90" s="245"/>
      <c r="G90" s="245"/>
      <c r="H90" s="245"/>
      <c r="I90" s="231"/>
      <c r="J90" s="231"/>
      <c r="K90" s="231"/>
      <c r="L90" s="231"/>
      <c r="M90" s="246"/>
      <c r="N90" s="246"/>
      <c r="O90" s="246"/>
      <c r="P90" s="246"/>
      <c r="Q90" s="246"/>
      <c r="R90" s="246"/>
      <c r="S90" s="246"/>
    </row>
    <row r="91" spans="1:19">
      <c r="A91" s="295">
        <v>45848</v>
      </c>
      <c r="B91" s="243" t="s">
        <v>88</v>
      </c>
      <c r="C91" s="196"/>
      <c r="D91" s="244"/>
      <c r="E91" s="245"/>
      <c r="F91" s="245"/>
      <c r="G91" s="245"/>
      <c r="H91" s="245"/>
      <c r="I91" s="231"/>
      <c r="J91" s="231"/>
      <c r="K91" s="231"/>
      <c r="L91" s="231"/>
      <c r="M91" s="246"/>
      <c r="N91" s="246"/>
      <c r="O91" s="246"/>
      <c r="P91" s="246"/>
      <c r="Q91" s="246"/>
      <c r="R91" s="246"/>
      <c r="S91" s="246"/>
    </row>
    <row r="92" spans="1:19">
      <c r="A92" s="295"/>
      <c r="B92" s="243" t="s">
        <v>89</v>
      </c>
      <c r="C92" s="196"/>
      <c r="D92" s="244"/>
      <c r="E92" s="245"/>
      <c r="F92" s="245"/>
      <c r="G92" s="245"/>
      <c r="H92" s="245"/>
      <c r="I92" s="231"/>
      <c r="J92" s="231"/>
      <c r="K92" s="231"/>
      <c r="L92" s="231"/>
      <c r="M92" s="246"/>
      <c r="N92" s="246"/>
      <c r="O92" s="246"/>
      <c r="P92" s="246"/>
      <c r="Q92" s="246"/>
      <c r="R92" s="246"/>
      <c r="S92" s="246"/>
    </row>
    <row r="93" spans="1:19">
      <c r="A93" s="295"/>
      <c r="B93" s="243" t="s">
        <v>90</v>
      </c>
      <c r="C93" s="196"/>
      <c r="D93" s="244"/>
      <c r="E93" s="245"/>
      <c r="F93" s="245"/>
      <c r="G93" s="245"/>
      <c r="H93" s="245"/>
      <c r="I93" s="231"/>
      <c r="J93" s="231"/>
      <c r="K93" s="231"/>
      <c r="L93" s="231"/>
      <c r="M93" s="246"/>
      <c r="N93" s="246"/>
      <c r="O93" s="246"/>
      <c r="P93" s="246"/>
      <c r="Q93" s="246"/>
      <c r="R93" s="246"/>
      <c r="S93" s="246"/>
    </row>
    <row r="94" spans="1:19">
      <c r="A94" s="295">
        <v>45849</v>
      </c>
      <c r="B94" s="243" t="s">
        <v>88</v>
      </c>
      <c r="C94" s="196"/>
      <c r="D94" s="244"/>
      <c r="E94" s="245"/>
      <c r="F94" s="245"/>
      <c r="G94" s="245"/>
      <c r="H94" s="245"/>
      <c r="I94" s="231"/>
      <c r="J94" s="231"/>
      <c r="K94" s="231"/>
      <c r="L94" s="231"/>
      <c r="M94" s="246"/>
      <c r="N94" s="246"/>
      <c r="O94" s="246"/>
      <c r="P94" s="246"/>
      <c r="Q94" s="246"/>
      <c r="R94" s="246"/>
      <c r="S94" s="246"/>
    </row>
    <row r="95" spans="1:19">
      <c r="A95" s="295"/>
      <c r="B95" s="243" t="s">
        <v>89</v>
      </c>
      <c r="C95" s="196"/>
      <c r="D95" s="244"/>
      <c r="E95" s="245"/>
      <c r="F95" s="245"/>
      <c r="G95" s="245"/>
      <c r="H95" s="245"/>
      <c r="I95" s="231"/>
      <c r="J95" s="231"/>
      <c r="K95" s="231"/>
      <c r="L95" s="231"/>
      <c r="M95" s="246"/>
      <c r="N95" s="246"/>
      <c r="O95" s="246"/>
      <c r="P95" s="246"/>
      <c r="Q95" s="246"/>
      <c r="R95" s="246"/>
      <c r="S95" s="246"/>
    </row>
    <row r="96" spans="1:19">
      <c r="A96" s="295"/>
      <c r="B96" s="243" t="s">
        <v>90</v>
      </c>
      <c r="C96" s="196"/>
      <c r="D96" s="244"/>
      <c r="E96" s="245"/>
      <c r="F96" s="245"/>
      <c r="G96" s="245"/>
      <c r="H96" s="245"/>
      <c r="I96" s="231"/>
      <c r="J96" s="231"/>
      <c r="K96" s="231"/>
      <c r="L96" s="231"/>
      <c r="M96" s="246"/>
      <c r="N96" s="246"/>
      <c r="O96" s="246"/>
      <c r="P96" s="246"/>
      <c r="Q96" s="246"/>
      <c r="R96" s="246"/>
      <c r="S96" s="246"/>
    </row>
    <row r="97" spans="1:19">
      <c r="A97" s="295">
        <v>45850</v>
      </c>
      <c r="B97" s="243" t="s">
        <v>88</v>
      </c>
      <c r="C97" s="196"/>
      <c r="D97" s="244"/>
      <c r="E97" s="245"/>
      <c r="F97" s="245"/>
      <c r="G97" s="245"/>
      <c r="H97" s="245"/>
      <c r="I97" s="231"/>
      <c r="J97" s="231"/>
      <c r="K97" s="231"/>
      <c r="L97" s="231"/>
      <c r="M97" s="246"/>
      <c r="N97" s="246"/>
      <c r="O97" s="246"/>
      <c r="P97" s="246"/>
      <c r="Q97" s="246"/>
      <c r="R97" s="246"/>
      <c r="S97" s="246"/>
    </row>
    <row r="98" spans="1:19">
      <c r="A98" s="295"/>
      <c r="B98" s="243" t="s">
        <v>89</v>
      </c>
      <c r="C98" s="196"/>
      <c r="D98" s="244"/>
      <c r="E98" s="245"/>
      <c r="F98" s="245"/>
      <c r="G98" s="245"/>
      <c r="H98" s="245"/>
      <c r="I98" s="231"/>
      <c r="J98" s="231"/>
      <c r="K98" s="231"/>
      <c r="L98" s="231"/>
      <c r="M98" s="246"/>
      <c r="N98" s="246"/>
      <c r="O98" s="246"/>
      <c r="P98" s="246"/>
      <c r="Q98" s="246"/>
      <c r="R98" s="246"/>
      <c r="S98" s="246"/>
    </row>
    <row r="99" spans="1:19">
      <c r="A99" s="295"/>
      <c r="B99" s="243" t="s">
        <v>90</v>
      </c>
      <c r="C99" s="196"/>
      <c r="D99" s="244"/>
      <c r="E99" s="245"/>
      <c r="F99" s="245"/>
      <c r="G99" s="245"/>
      <c r="H99" s="245"/>
      <c r="I99" s="231"/>
      <c r="J99" s="231"/>
      <c r="K99" s="231"/>
      <c r="L99" s="231"/>
      <c r="M99" s="246"/>
      <c r="N99" s="246"/>
      <c r="O99" s="246"/>
      <c r="P99" s="246"/>
      <c r="Q99" s="246"/>
      <c r="R99" s="246"/>
      <c r="S99" s="246"/>
    </row>
    <row r="100" spans="1:19">
      <c r="A100" s="295">
        <v>45851</v>
      </c>
      <c r="B100" s="243" t="s">
        <v>88</v>
      </c>
      <c r="C100" s="196"/>
      <c r="D100" s="244"/>
      <c r="E100" s="245"/>
      <c r="F100" s="245"/>
      <c r="G100" s="245"/>
      <c r="H100" s="245"/>
      <c r="I100" s="231"/>
      <c r="J100" s="231"/>
      <c r="K100" s="231"/>
      <c r="L100" s="231"/>
      <c r="M100" s="246"/>
      <c r="N100" s="246"/>
      <c r="O100" s="246"/>
      <c r="P100" s="246"/>
      <c r="Q100" s="246"/>
      <c r="R100" s="246"/>
      <c r="S100" s="246"/>
    </row>
    <row r="101" spans="1:19">
      <c r="A101" s="295"/>
      <c r="B101" s="243" t="s">
        <v>89</v>
      </c>
      <c r="C101" s="196"/>
      <c r="D101" s="244"/>
      <c r="E101" s="245"/>
      <c r="F101" s="245"/>
      <c r="G101" s="245"/>
      <c r="H101" s="245"/>
      <c r="I101" s="231"/>
      <c r="J101" s="231"/>
      <c r="K101" s="231"/>
      <c r="L101" s="231"/>
      <c r="M101" s="246"/>
      <c r="N101" s="246"/>
      <c r="O101" s="246"/>
      <c r="P101" s="246"/>
      <c r="Q101" s="246"/>
      <c r="R101" s="246"/>
      <c r="S101" s="246"/>
    </row>
    <row r="102" spans="1:19">
      <c r="A102" s="295"/>
      <c r="B102" s="243" t="s">
        <v>90</v>
      </c>
      <c r="C102" s="196"/>
      <c r="D102" s="244"/>
      <c r="E102" s="245"/>
      <c r="F102" s="245"/>
      <c r="G102" s="245"/>
      <c r="H102" s="245"/>
      <c r="I102" s="231"/>
      <c r="J102" s="231"/>
      <c r="K102" s="231"/>
      <c r="L102" s="231"/>
      <c r="M102" s="246"/>
      <c r="N102" s="246"/>
      <c r="O102" s="246"/>
      <c r="P102" s="246"/>
      <c r="Q102" s="246"/>
      <c r="R102" s="246"/>
      <c r="S102" s="246"/>
    </row>
    <row r="103" spans="1:19">
      <c r="A103" s="295">
        <v>45852</v>
      </c>
      <c r="B103" s="243" t="s">
        <v>88</v>
      </c>
      <c r="C103" s="196"/>
      <c r="D103" s="244"/>
      <c r="E103" s="245"/>
      <c r="F103" s="245"/>
      <c r="G103" s="245"/>
      <c r="H103" s="245"/>
      <c r="I103" s="231"/>
      <c r="J103" s="231"/>
      <c r="K103" s="231"/>
      <c r="L103" s="231"/>
      <c r="M103" s="246"/>
      <c r="N103" s="246"/>
      <c r="O103" s="246"/>
      <c r="P103" s="246"/>
      <c r="Q103" s="246"/>
      <c r="R103" s="246"/>
      <c r="S103" s="246"/>
    </row>
    <row r="104" spans="1:19">
      <c r="A104" s="295"/>
      <c r="B104" s="243" t="s">
        <v>89</v>
      </c>
      <c r="C104" s="196"/>
      <c r="D104" s="244"/>
      <c r="E104" s="245"/>
      <c r="F104" s="245"/>
      <c r="G104" s="245"/>
      <c r="H104" s="245"/>
      <c r="I104" s="231"/>
      <c r="J104" s="231"/>
      <c r="K104" s="231"/>
      <c r="L104" s="231"/>
      <c r="M104" s="246"/>
      <c r="N104" s="246"/>
      <c r="O104" s="246"/>
      <c r="P104" s="246"/>
      <c r="Q104" s="246"/>
      <c r="R104" s="246"/>
      <c r="S104" s="246"/>
    </row>
    <row r="105" spans="1:19">
      <c r="A105" s="295"/>
      <c r="B105" s="243" t="s">
        <v>90</v>
      </c>
      <c r="C105" s="196"/>
      <c r="D105" s="244"/>
      <c r="E105" s="245"/>
      <c r="F105" s="245"/>
      <c r="G105" s="245"/>
      <c r="H105" s="245"/>
      <c r="I105" s="231"/>
      <c r="J105" s="231"/>
      <c r="K105" s="231"/>
      <c r="L105" s="231"/>
      <c r="M105" s="246"/>
      <c r="N105" s="246"/>
      <c r="O105" s="246"/>
      <c r="P105" s="246"/>
      <c r="Q105" s="246"/>
      <c r="R105" s="246"/>
      <c r="S105" s="246"/>
    </row>
    <row r="106" spans="1:19">
      <c r="A106" s="295">
        <v>45853</v>
      </c>
      <c r="B106" s="243" t="s">
        <v>88</v>
      </c>
      <c r="C106" s="196"/>
      <c r="D106" s="244"/>
      <c r="E106" s="245"/>
      <c r="F106" s="245"/>
      <c r="G106" s="245"/>
      <c r="H106" s="245"/>
      <c r="I106" s="231"/>
      <c r="J106" s="231"/>
      <c r="K106" s="231"/>
      <c r="L106" s="231"/>
      <c r="M106" s="246"/>
      <c r="N106" s="246"/>
      <c r="O106" s="246"/>
      <c r="P106" s="246"/>
      <c r="Q106" s="246"/>
      <c r="R106" s="246"/>
      <c r="S106" s="246"/>
    </row>
    <row r="107" spans="1:19">
      <c r="A107" s="295"/>
      <c r="B107" s="243" t="s">
        <v>89</v>
      </c>
      <c r="C107" s="196"/>
      <c r="D107" s="244"/>
      <c r="E107" s="245"/>
      <c r="F107" s="245"/>
      <c r="G107" s="245"/>
      <c r="H107" s="245"/>
      <c r="I107" s="231"/>
      <c r="J107" s="231"/>
      <c r="K107" s="231"/>
      <c r="L107" s="231"/>
      <c r="M107" s="246"/>
      <c r="N107" s="246"/>
      <c r="O107" s="246"/>
      <c r="P107" s="246"/>
      <c r="Q107" s="246"/>
      <c r="R107" s="246"/>
      <c r="S107" s="246"/>
    </row>
    <row r="108" spans="1:19">
      <c r="A108" s="295"/>
      <c r="B108" s="243" t="s">
        <v>90</v>
      </c>
      <c r="C108" s="196"/>
      <c r="D108" s="244"/>
      <c r="E108" s="245"/>
      <c r="F108" s="245"/>
      <c r="G108" s="245"/>
      <c r="H108" s="245"/>
      <c r="I108" s="231"/>
      <c r="J108" s="231"/>
      <c r="K108" s="231"/>
      <c r="L108" s="231"/>
      <c r="M108" s="246"/>
      <c r="N108" s="246"/>
      <c r="O108" s="246"/>
      <c r="P108" s="246"/>
      <c r="Q108" s="246"/>
      <c r="R108" s="246"/>
      <c r="S108" s="246"/>
    </row>
    <row r="109" spans="1:19">
      <c r="A109" s="295">
        <v>45854</v>
      </c>
      <c r="B109" s="243" t="s">
        <v>88</v>
      </c>
      <c r="C109" s="196"/>
      <c r="D109" s="244"/>
      <c r="E109" s="245"/>
      <c r="F109" s="245"/>
      <c r="G109" s="245"/>
      <c r="H109" s="245"/>
      <c r="I109" s="231"/>
      <c r="J109" s="231"/>
      <c r="K109" s="231"/>
      <c r="L109" s="231"/>
      <c r="M109" s="246"/>
      <c r="N109" s="246"/>
      <c r="O109" s="246"/>
      <c r="P109" s="246"/>
      <c r="Q109" s="246"/>
      <c r="R109" s="246"/>
      <c r="S109" s="246"/>
    </row>
    <row r="110" spans="1:19">
      <c r="A110" s="295"/>
      <c r="B110" s="243" t="s">
        <v>89</v>
      </c>
      <c r="C110" s="196"/>
      <c r="D110" s="244"/>
      <c r="E110" s="245"/>
      <c r="F110" s="245"/>
      <c r="G110" s="245"/>
      <c r="H110" s="245"/>
      <c r="I110" s="231"/>
      <c r="J110" s="231"/>
      <c r="K110" s="231"/>
      <c r="L110" s="231"/>
      <c r="M110" s="246"/>
      <c r="N110" s="246"/>
      <c r="O110" s="246"/>
      <c r="P110" s="246"/>
      <c r="Q110" s="246"/>
      <c r="R110" s="246"/>
      <c r="S110" s="246"/>
    </row>
    <row r="111" spans="1:19">
      <c r="A111" s="295"/>
      <c r="B111" s="243" t="s">
        <v>90</v>
      </c>
      <c r="C111" s="196"/>
      <c r="D111" s="244"/>
      <c r="E111" s="245"/>
      <c r="F111" s="245"/>
      <c r="G111" s="245"/>
      <c r="H111" s="245"/>
      <c r="I111" s="231"/>
      <c r="J111" s="231"/>
      <c r="K111" s="231"/>
      <c r="L111" s="231"/>
      <c r="M111" s="246"/>
      <c r="N111" s="246"/>
      <c r="O111" s="246"/>
      <c r="P111" s="246"/>
      <c r="Q111" s="246"/>
      <c r="R111" s="246"/>
      <c r="S111" s="246"/>
    </row>
    <row r="112" spans="1:19">
      <c r="A112" s="295">
        <v>45855</v>
      </c>
      <c r="B112" s="243" t="s">
        <v>88</v>
      </c>
      <c r="C112" s="196"/>
      <c r="D112" s="244"/>
      <c r="E112" s="245"/>
      <c r="F112" s="245"/>
      <c r="G112" s="245"/>
      <c r="H112" s="245"/>
      <c r="I112" s="231"/>
      <c r="J112" s="231"/>
      <c r="K112" s="231"/>
      <c r="L112" s="231"/>
      <c r="M112" s="246"/>
      <c r="N112" s="246"/>
      <c r="O112" s="246"/>
      <c r="P112" s="246"/>
      <c r="Q112" s="246"/>
      <c r="R112" s="246"/>
      <c r="S112" s="246"/>
    </row>
    <row r="113" spans="1:19">
      <c r="A113" s="295"/>
      <c r="B113" s="243" t="s">
        <v>89</v>
      </c>
      <c r="C113" s="196"/>
      <c r="D113" s="244"/>
      <c r="E113" s="245"/>
      <c r="F113" s="245"/>
      <c r="G113" s="245"/>
      <c r="H113" s="245"/>
      <c r="I113" s="231"/>
      <c r="J113" s="231"/>
      <c r="K113" s="231"/>
      <c r="L113" s="231"/>
      <c r="M113" s="246"/>
      <c r="N113" s="246"/>
      <c r="O113" s="246"/>
      <c r="P113" s="246"/>
      <c r="Q113" s="246"/>
      <c r="R113" s="246"/>
      <c r="S113" s="246"/>
    </row>
    <row r="114" spans="1:19">
      <c r="A114" s="295"/>
      <c r="B114" s="243" t="s">
        <v>90</v>
      </c>
      <c r="C114" s="196"/>
      <c r="D114" s="244"/>
      <c r="E114" s="245"/>
      <c r="F114" s="245"/>
      <c r="G114" s="245"/>
      <c r="H114" s="245"/>
      <c r="I114" s="231"/>
      <c r="J114" s="231"/>
      <c r="K114" s="231"/>
      <c r="L114" s="231"/>
      <c r="M114" s="246"/>
      <c r="N114" s="246"/>
      <c r="O114" s="246"/>
      <c r="P114" s="246"/>
      <c r="Q114" s="246"/>
      <c r="R114" s="246"/>
      <c r="S114" s="246"/>
    </row>
    <row r="115" spans="1:19">
      <c r="A115" s="295">
        <v>45856</v>
      </c>
      <c r="B115" s="243" t="s">
        <v>88</v>
      </c>
      <c r="C115" s="196"/>
      <c r="D115" s="244"/>
      <c r="E115" s="245"/>
      <c r="F115" s="245"/>
      <c r="G115" s="245"/>
      <c r="H115" s="245"/>
      <c r="I115" s="231"/>
      <c r="J115" s="231"/>
      <c r="K115" s="231"/>
      <c r="L115" s="231"/>
      <c r="M115" s="246"/>
      <c r="N115" s="246"/>
      <c r="O115" s="246"/>
      <c r="P115" s="246"/>
      <c r="Q115" s="246"/>
      <c r="R115" s="246"/>
      <c r="S115" s="246"/>
    </row>
    <row r="116" spans="1:19">
      <c r="A116" s="295"/>
      <c r="B116" s="243" t="s">
        <v>89</v>
      </c>
      <c r="C116" s="196"/>
      <c r="D116" s="244"/>
      <c r="E116" s="245"/>
      <c r="F116" s="245"/>
      <c r="G116" s="245"/>
      <c r="H116" s="245"/>
      <c r="I116" s="231"/>
      <c r="J116" s="231"/>
      <c r="K116" s="231"/>
      <c r="L116" s="231"/>
      <c r="M116" s="246"/>
      <c r="N116" s="246"/>
      <c r="O116" s="246"/>
      <c r="P116" s="246"/>
      <c r="Q116" s="246"/>
      <c r="R116" s="246"/>
      <c r="S116" s="246"/>
    </row>
    <row r="117" spans="1:19">
      <c r="A117" s="295"/>
      <c r="B117" s="243" t="s">
        <v>90</v>
      </c>
      <c r="C117" s="196"/>
      <c r="D117" s="244"/>
      <c r="E117" s="245"/>
      <c r="F117" s="245"/>
      <c r="G117" s="245"/>
      <c r="H117" s="245"/>
      <c r="I117" s="231"/>
      <c r="J117" s="231"/>
      <c r="K117" s="231"/>
      <c r="L117" s="231"/>
      <c r="M117" s="246"/>
      <c r="N117" s="246"/>
      <c r="O117" s="246"/>
      <c r="P117" s="246"/>
      <c r="Q117" s="246"/>
      <c r="R117" s="246"/>
      <c r="S117" s="246"/>
    </row>
    <row r="118" spans="1:19">
      <c r="A118" s="295">
        <v>45857</v>
      </c>
      <c r="B118" s="243" t="s">
        <v>88</v>
      </c>
      <c r="C118" s="196"/>
      <c r="D118" s="244"/>
      <c r="E118" s="245"/>
      <c r="F118" s="245"/>
      <c r="G118" s="245"/>
      <c r="H118" s="245"/>
      <c r="I118" s="231"/>
      <c r="J118" s="231"/>
      <c r="K118" s="231"/>
      <c r="L118" s="231"/>
      <c r="M118" s="246"/>
      <c r="N118" s="246"/>
      <c r="O118" s="246"/>
      <c r="P118" s="246"/>
      <c r="Q118" s="246"/>
      <c r="R118" s="246"/>
      <c r="S118" s="246"/>
    </row>
    <row r="119" spans="1:19">
      <c r="A119" s="295"/>
      <c r="B119" s="243" t="s">
        <v>89</v>
      </c>
      <c r="C119" s="196"/>
      <c r="D119" s="244"/>
      <c r="E119" s="245"/>
      <c r="F119" s="245"/>
      <c r="G119" s="245"/>
      <c r="H119" s="245"/>
      <c r="I119" s="231"/>
      <c r="J119" s="231"/>
      <c r="K119" s="231"/>
      <c r="L119" s="231"/>
      <c r="M119" s="246"/>
      <c r="N119" s="246"/>
      <c r="O119" s="246"/>
      <c r="P119" s="246"/>
      <c r="Q119" s="246"/>
      <c r="R119" s="246"/>
      <c r="S119" s="246"/>
    </row>
    <row r="120" spans="1:19">
      <c r="A120" s="295"/>
      <c r="B120" s="243" t="s">
        <v>90</v>
      </c>
      <c r="C120" s="196"/>
      <c r="D120" s="244"/>
      <c r="E120" s="245"/>
      <c r="F120" s="245"/>
      <c r="G120" s="245"/>
      <c r="H120" s="245"/>
      <c r="I120" s="231"/>
      <c r="J120" s="231"/>
      <c r="K120" s="231"/>
      <c r="L120" s="231"/>
      <c r="M120" s="246"/>
      <c r="N120" s="246"/>
      <c r="O120" s="246"/>
      <c r="P120" s="246"/>
      <c r="Q120" s="246"/>
      <c r="R120" s="246"/>
      <c r="S120" s="246"/>
    </row>
    <row r="121" spans="1:19">
      <c r="A121" s="295">
        <v>45858</v>
      </c>
      <c r="B121" s="243" t="s">
        <v>88</v>
      </c>
      <c r="C121" s="196"/>
      <c r="D121" s="244"/>
      <c r="E121" s="245"/>
      <c r="F121" s="245"/>
      <c r="G121" s="245"/>
      <c r="H121" s="245"/>
      <c r="I121" s="231"/>
      <c r="J121" s="231"/>
      <c r="K121" s="231"/>
      <c r="L121" s="231"/>
      <c r="M121" s="246"/>
      <c r="N121" s="246"/>
      <c r="O121" s="246"/>
      <c r="P121" s="246"/>
      <c r="Q121" s="246"/>
      <c r="R121" s="246"/>
      <c r="S121" s="246"/>
    </row>
    <row r="122" spans="1:19">
      <c r="A122" s="295"/>
      <c r="B122" s="243" t="s">
        <v>89</v>
      </c>
      <c r="C122" s="196"/>
      <c r="D122" s="244"/>
      <c r="E122" s="245"/>
      <c r="F122" s="245"/>
      <c r="G122" s="245"/>
      <c r="H122" s="245"/>
      <c r="I122" s="231"/>
      <c r="J122" s="231"/>
      <c r="K122" s="231"/>
      <c r="L122" s="231"/>
      <c r="M122" s="246"/>
      <c r="N122" s="246"/>
      <c r="O122" s="246"/>
      <c r="P122" s="246"/>
      <c r="Q122" s="246"/>
      <c r="R122" s="246"/>
      <c r="S122" s="246"/>
    </row>
    <row r="123" spans="1:19">
      <c r="A123" s="295"/>
      <c r="B123" s="243" t="s">
        <v>90</v>
      </c>
      <c r="C123" s="196"/>
      <c r="D123" s="244"/>
      <c r="E123" s="245"/>
      <c r="F123" s="245"/>
      <c r="G123" s="245"/>
      <c r="H123" s="245"/>
      <c r="I123" s="231"/>
      <c r="J123" s="231"/>
      <c r="K123" s="231"/>
      <c r="L123" s="231"/>
      <c r="M123" s="246"/>
      <c r="N123" s="246"/>
      <c r="O123" s="246"/>
      <c r="P123" s="246"/>
      <c r="Q123" s="246"/>
      <c r="R123" s="246"/>
      <c r="S123" s="246"/>
    </row>
    <row r="124" spans="1:19">
      <c r="A124" s="295">
        <v>45859</v>
      </c>
      <c r="B124" s="243" t="s">
        <v>88</v>
      </c>
      <c r="C124" s="196"/>
      <c r="D124" s="244"/>
      <c r="E124" s="245"/>
      <c r="F124" s="245"/>
      <c r="G124" s="245"/>
      <c r="H124" s="245"/>
      <c r="I124" s="231"/>
      <c r="J124" s="231"/>
      <c r="K124" s="231"/>
      <c r="L124" s="231"/>
      <c r="M124" s="246"/>
      <c r="N124" s="246"/>
      <c r="O124" s="246"/>
      <c r="P124" s="246"/>
      <c r="Q124" s="246"/>
      <c r="R124" s="246"/>
      <c r="S124" s="246"/>
    </row>
    <row r="125" spans="1:19">
      <c r="A125" s="295"/>
      <c r="B125" s="243" t="s">
        <v>89</v>
      </c>
      <c r="C125" s="196"/>
      <c r="D125" s="244"/>
      <c r="E125" s="245"/>
      <c r="F125" s="245"/>
      <c r="G125" s="245"/>
      <c r="H125" s="245"/>
      <c r="I125" s="231"/>
      <c r="J125" s="231"/>
      <c r="K125" s="231"/>
      <c r="L125" s="231"/>
      <c r="M125" s="246"/>
      <c r="N125" s="246"/>
      <c r="O125" s="246"/>
      <c r="P125" s="246"/>
      <c r="Q125" s="246"/>
      <c r="R125" s="246"/>
      <c r="S125" s="246"/>
    </row>
    <row r="126" spans="1:19">
      <c r="A126" s="295"/>
      <c r="B126" s="243" t="s">
        <v>90</v>
      </c>
      <c r="C126" s="196"/>
      <c r="D126" s="244"/>
      <c r="E126" s="245"/>
      <c r="F126" s="245"/>
      <c r="G126" s="245"/>
      <c r="H126" s="245"/>
      <c r="I126" s="231"/>
      <c r="J126" s="231"/>
      <c r="K126" s="231"/>
      <c r="L126" s="231"/>
      <c r="M126" s="246"/>
      <c r="N126" s="246"/>
      <c r="O126" s="246"/>
      <c r="P126" s="246"/>
      <c r="Q126" s="246"/>
      <c r="R126" s="246"/>
      <c r="S126" s="246"/>
    </row>
    <row r="127" spans="1:19">
      <c r="A127" s="295">
        <v>45860</v>
      </c>
      <c r="B127" s="243" t="s">
        <v>88</v>
      </c>
      <c r="C127" s="196"/>
      <c r="D127" s="244"/>
      <c r="E127" s="245"/>
      <c r="F127" s="245"/>
      <c r="G127" s="245"/>
      <c r="H127" s="245"/>
      <c r="I127" s="231"/>
      <c r="J127" s="231"/>
      <c r="K127" s="231"/>
      <c r="L127" s="231"/>
      <c r="M127" s="246"/>
      <c r="N127" s="246"/>
      <c r="O127" s="246"/>
      <c r="P127" s="246"/>
      <c r="Q127" s="246"/>
      <c r="R127" s="246"/>
      <c r="S127" s="246"/>
    </row>
    <row r="128" spans="1:19">
      <c r="A128" s="295"/>
      <c r="B128" s="243" t="s">
        <v>89</v>
      </c>
      <c r="C128" s="196"/>
      <c r="D128" s="244"/>
      <c r="E128" s="245"/>
      <c r="F128" s="245"/>
      <c r="G128" s="245"/>
      <c r="H128" s="245"/>
      <c r="I128" s="231"/>
      <c r="J128" s="231"/>
      <c r="K128" s="231"/>
      <c r="L128" s="231"/>
      <c r="M128" s="246"/>
      <c r="N128" s="246"/>
      <c r="O128" s="246"/>
      <c r="P128" s="246"/>
      <c r="Q128" s="246"/>
      <c r="R128" s="246"/>
      <c r="S128" s="246"/>
    </row>
    <row r="129" spans="1:19">
      <c r="A129" s="295"/>
      <c r="B129" s="243" t="s">
        <v>90</v>
      </c>
      <c r="C129" s="196"/>
      <c r="D129" s="244"/>
      <c r="E129" s="245"/>
      <c r="F129" s="245"/>
      <c r="G129" s="245"/>
      <c r="H129" s="245"/>
      <c r="I129" s="231"/>
      <c r="J129" s="231"/>
      <c r="K129" s="231"/>
      <c r="L129" s="231"/>
      <c r="M129" s="246"/>
      <c r="N129" s="246"/>
      <c r="O129" s="246"/>
      <c r="P129" s="246"/>
      <c r="Q129" s="246"/>
      <c r="R129" s="246"/>
      <c r="S129" s="246"/>
    </row>
    <row r="130" spans="1:19">
      <c r="A130" s="295">
        <v>45861</v>
      </c>
      <c r="B130" s="243" t="s">
        <v>88</v>
      </c>
      <c r="C130" s="196"/>
      <c r="D130" s="244"/>
      <c r="E130" s="245"/>
      <c r="F130" s="245"/>
      <c r="G130" s="245"/>
      <c r="H130" s="245"/>
      <c r="I130" s="231"/>
      <c r="J130" s="231"/>
      <c r="K130" s="231"/>
      <c r="L130" s="231"/>
      <c r="M130" s="246"/>
      <c r="N130" s="246"/>
      <c r="O130" s="246"/>
      <c r="P130" s="246"/>
      <c r="Q130" s="246"/>
      <c r="R130" s="246"/>
      <c r="S130" s="246"/>
    </row>
    <row r="131" spans="1:19">
      <c r="A131" s="295"/>
      <c r="B131" s="243" t="s">
        <v>89</v>
      </c>
      <c r="C131" s="196"/>
      <c r="D131" s="244"/>
      <c r="E131" s="245"/>
      <c r="F131" s="245"/>
      <c r="G131" s="245"/>
      <c r="H131" s="245"/>
      <c r="I131" s="231"/>
      <c r="J131" s="231"/>
      <c r="K131" s="231"/>
      <c r="L131" s="231"/>
      <c r="M131" s="246"/>
      <c r="N131" s="246"/>
      <c r="O131" s="246"/>
      <c r="P131" s="246"/>
      <c r="Q131" s="246"/>
      <c r="R131" s="246"/>
      <c r="S131" s="246"/>
    </row>
    <row r="132" spans="1:19">
      <c r="A132" s="295"/>
      <c r="B132" s="243" t="s">
        <v>90</v>
      </c>
      <c r="C132" s="196"/>
      <c r="D132" s="244"/>
      <c r="E132" s="245"/>
      <c r="F132" s="245"/>
      <c r="G132" s="245"/>
      <c r="H132" s="245"/>
      <c r="I132" s="231"/>
      <c r="J132" s="231"/>
      <c r="K132" s="231"/>
      <c r="L132" s="231"/>
      <c r="M132" s="246"/>
      <c r="N132" s="246"/>
      <c r="O132" s="246"/>
      <c r="P132" s="246"/>
      <c r="Q132" s="246"/>
      <c r="R132" s="246"/>
      <c r="S132" s="246"/>
    </row>
    <row r="133" spans="1:19">
      <c r="A133" s="295">
        <v>45862</v>
      </c>
      <c r="B133" s="243" t="s">
        <v>88</v>
      </c>
      <c r="C133" s="196"/>
      <c r="D133" s="244"/>
      <c r="E133" s="245"/>
      <c r="F133" s="245"/>
      <c r="G133" s="245"/>
      <c r="H133" s="245"/>
      <c r="I133" s="231"/>
      <c r="J133" s="231"/>
      <c r="K133" s="231"/>
      <c r="L133" s="231"/>
      <c r="M133" s="246"/>
      <c r="N133" s="246"/>
      <c r="O133" s="246"/>
      <c r="P133" s="246"/>
      <c r="Q133" s="246"/>
      <c r="R133" s="246"/>
      <c r="S133" s="246"/>
    </row>
    <row r="134" spans="1:19">
      <c r="A134" s="295"/>
      <c r="B134" s="243" t="s">
        <v>89</v>
      </c>
      <c r="C134" s="196"/>
      <c r="D134" s="244"/>
      <c r="E134" s="245"/>
      <c r="F134" s="245"/>
      <c r="G134" s="245"/>
      <c r="H134" s="245"/>
      <c r="I134" s="231"/>
      <c r="J134" s="231"/>
      <c r="K134" s="231"/>
      <c r="L134" s="231"/>
      <c r="M134" s="246"/>
      <c r="N134" s="246"/>
      <c r="O134" s="246"/>
      <c r="P134" s="246"/>
      <c r="Q134" s="246"/>
      <c r="R134" s="246"/>
      <c r="S134" s="246"/>
    </row>
    <row r="135" spans="1:19">
      <c r="A135" s="295"/>
      <c r="B135" s="243" t="s">
        <v>90</v>
      </c>
      <c r="C135" s="196"/>
      <c r="D135" s="244"/>
      <c r="E135" s="245"/>
      <c r="F135" s="245"/>
      <c r="G135" s="245"/>
      <c r="H135" s="245"/>
      <c r="I135" s="231"/>
      <c r="J135" s="231"/>
      <c r="K135" s="231"/>
      <c r="L135" s="231"/>
      <c r="M135" s="246"/>
      <c r="N135" s="246"/>
      <c r="O135" s="246"/>
      <c r="P135" s="246"/>
      <c r="Q135" s="246"/>
      <c r="R135" s="246"/>
      <c r="S135" s="246"/>
    </row>
    <row r="136" spans="1:19">
      <c r="A136" s="295">
        <v>45863</v>
      </c>
      <c r="B136" s="243" t="s">
        <v>88</v>
      </c>
      <c r="C136" s="196"/>
      <c r="D136" s="244"/>
      <c r="E136" s="245"/>
      <c r="F136" s="245"/>
      <c r="G136" s="245"/>
      <c r="H136" s="245"/>
      <c r="I136" s="231"/>
      <c r="J136" s="231"/>
      <c r="K136" s="231"/>
      <c r="L136" s="231"/>
      <c r="M136" s="246"/>
      <c r="N136" s="246"/>
      <c r="O136" s="246"/>
      <c r="P136" s="246"/>
      <c r="Q136" s="246"/>
      <c r="R136" s="246"/>
      <c r="S136" s="246"/>
    </row>
    <row r="137" spans="1:19">
      <c r="A137" s="295"/>
      <c r="B137" s="243" t="s">
        <v>89</v>
      </c>
      <c r="C137" s="196"/>
      <c r="D137" s="244"/>
      <c r="E137" s="245"/>
      <c r="F137" s="245"/>
      <c r="G137" s="245"/>
      <c r="H137" s="245"/>
      <c r="I137" s="231"/>
      <c r="J137" s="231"/>
      <c r="K137" s="231"/>
      <c r="L137" s="231"/>
      <c r="M137" s="246"/>
      <c r="N137" s="246"/>
      <c r="O137" s="246"/>
      <c r="P137" s="246"/>
      <c r="Q137" s="246"/>
      <c r="R137" s="246"/>
      <c r="S137" s="246"/>
    </row>
    <row r="138" spans="1:19">
      <c r="A138" s="295"/>
      <c r="B138" s="243" t="s">
        <v>90</v>
      </c>
      <c r="C138" s="196"/>
      <c r="D138" s="244"/>
      <c r="E138" s="245"/>
      <c r="F138" s="245"/>
      <c r="G138" s="245"/>
      <c r="H138" s="245"/>
      <c r="I138" s="231"/>
      <c r="J138" s="231"/>
      <c r="K138" s="231"/>
      <c r="L138" s="231"/>
      <c r="M138" s="246"/>
      <c r="N138" s="246"/>
      <c r="O138" s="246"/>
      <c r="P138" s="246"/>
      <c r="Q138" s="246"/>
      <c r="R138" s="246"/>
      <c r="S138" s="246"/>
    </row>
    <row r="139" spans="1:19">
      <c r="A139" s="295">
        <v>45864</v>
      </c>
      <c r="B139" s="243" t="s">
        <v>88</v>
      </c>
      <c r="C139" s="196"/>
      <c r="D139" s="244"/>
      <c r="E139" s="245"/>
      <c r="F139" s="245"/>
      <c r="G139" s="245"/>
      <c r="H139" s="245"/>
      <c r="I139" s="231"/>
      <c r="J139" s="231"/>
      <c r="K139" s="231"/>
      <c r="L139" s="231"/>
      <c r="M139" s="246"/>
      <c r="N139" s="246"/>
      <c r="O139" s="246"/>
      <c r="P139" s="246"/>
      <c r="Q139" s="246"/>
      <c r="R139" s="246"/>
      <c r="S139" s="246"/>
    </row>
    <row r="140" spans="1:19">
      <c r="A140" s="295"/>
      <c r="B140" s="243" t="s">
        <v>89</v>
      </c>
      <c r="C140" s="196"/>
      <c r="D140" s="244"/>
      <c r="E140" s="245"/>
      <c r="F140" s="245"/>
      <c r="G140" s="245"/>
      <c r="H140" s="245"/>
      <c r="I140" s="231"/>
      <c r="J140" s="231"/>
      <c r="K140" s="231"/>
      <c r="L140" s="231"/>
      <c r="M140" s="246"/>
      <c r="N140" s="246"/>
      <c r="O140" s="246"/>
      <c r="P140" s="246"/>
      <c r="Q140" s="246"/>
      <c r="R140" s="246"/>
      <c r="S140" s="246"/>
    </row>
    <row r="141" spans="1:19">
      <c r="A141" s="295"/>
      <c r="B141" s="243" t="s">
        <v>90</v>
      </c>
      <c r="C141" s="196"/>
      <c r="D141" s="244"/>
      <c r="E141" s="245"/>
      <c r="F141" s="245"/>
      <c r="G141" s="245"/>
      <c r="H141" s="245"/>
      <c r="I141" s="231"/>
      <c r="J141" s="231"/>
      <c r="K141" s="231"/>
      <c r="L141" s="231"/>
      <c r="M141" s="246"/>
      <c r="N141" s="246"/>
      <c r="O141" s="246"/>
      <c r="P141" s="246"/>
      <c r="Q141" s="246"/>
      <c r="R141" s="246"/>
      <c r="S141" s="246"/>
    </row>
    <row r="142" spans="1:19">
      <c r="A142" s="295">
        <v>45865</v>
      </c>
      <c r="B142" s="243" t="s">
        <v>88</v>
      </c>
      <c r="C142" s="196"/>
      <c r="D142" s="244"/>
      <c r="E142" s="245"/>
      <c r="F142" s="245"/>
      <c r="G142" s="245"/>
      <c r="H142" s="245"/>
      <c r="I142" s="231"/>
      <c r="J142" s="231"/>
      <c r="K142" s="231"/>
      <c r="L142" s="231"/>
      <c r="M142" s="246"/>
      <c r="N142" s="246"/>
      <c r="O142" s="246"/>
      <c r="P142" s="246"/>
      <c r="Q142" s="246"/>
      <c r="R142" s="246"/>
      <c r="S142" s="246"/>
    </row>
    <row r="143" spans="1:19">
      <c r="A143" s="295"/>
      <c r="B143" s="243" t="s">
        <v>89</v>
      </c>
      <c r="C143" s="196"/>
      <c r="D143" s="244"/>
      <c r="E143" s="245"/>
      <c r="F143" s="245"/>
      <c r="G143" s="245"/>
      <c r="H143" s="245"/>
      <c r="I143" s="231"/>
      <c r="J143" s="231"/>
      <c r="K143" s="231"/>
      <c r="L143" s="231"/>
      <c r="M143" s="246"/>
      <c r="N143" s="246"/>
      <c r="O143" s="246"/>
      <c r="P143" s="246"/>
      <c r="Q143" s="246"/>
      <c r="R143" s="246"/>
      <c r="S143" s="246"/>
    </row>
    <row r="144" spans="1:19">
      <c r="A144" s="295"/>
      <c r="B144" s="243" t="s">
        <v>90</v>
      </c>
      <c r="C144" s="196"/>
      <c r="D144" s="244"/>
      <c r="E144" s="245"/>
      <c r="F144" s="245"/>
      <c r="G144" s="245"/>
      <c r="H144" s="245"/>
      <c r="I144" s="231"/>
      <c r="J144" s="231"/>
      <c r="K144" s="231"/>
      <c r="L144" s="231"/>
      <c r="M144" s="246"/>
      <c r="N144" s="246"/>
      <c r="O144" s="246"/>
      <c r="P144" s="246"/>
      <c r="Q144" s="246"/>
      <c r="R144" s="246"/>
      <c r="S144" s="246"/>
    </row>
    <row r="145" spans="1:19">
      <c r="A145" s="295">
        <v>45866</v>
      </c>
      <c r="B145" s="243" t="s">
        <v>88</v>
      </c>
      <c r="C145" s="196"/>
      <c r="D145" s="244"/>
      <c r="E145" s="245"/>
      <c r="F145" s="245"/>
      <c r="G145" s="245"/>
      <c r="H145" s="245"/>
      <c r="I145" s="231"/>
      <c r="J145" s="231"/>
      <c r="K145" s="231"/>
      <c r="L145" s="231"/>
      <c r="M145" s="246"/>
      <c r="N145" s="246"/>
      <c r="O145" s="246"/>
      <c r="P145" s="246"/>
      <c r="Q145" s="246"/>
      <c r="R145" s="246"/>
      <c r="S145" s="246"/>
    </row>
    <row r="146" spans="1:19">
      <c r="A146" s="295"/>
      <c r="B146" s="243" t="s">
        <v>89</v>
      </c>
      <c r="C146" s="196"/>
      <c r="D146" s="244"/>
      <c r="E146" s="245"/>
      <c r="F146" s="245"/>
      <c r="G146" s="245"/>
      <c r="H146" s="245"/>
      <c r="I146" s="231"/>
      <c r="J146" s="231"/>
      <c r="K146" s="231"/>
      <c r="L146" s="231"/>
      <c r="M146" s="246"/>
      <c r="N146" s="246"/>
      <c r="O146" s="246"/>
      <c r="P146" s="246"/>
      <c r="Q146" s="246"/>
      <c r="R146" s="246"/>
      <c r="S146" s="246"/>
    </row>
    <row r="147" spans="1:19">
      <c r="A147" s="295"/>
      <c r="B147" s="243" t="s">
        <v>90</v>
      </c>
      <c r="C147" s="196"/>
      <c r="D147" s="244"/>
      <c r="E147" s="245"/>
      <c r="F147" s="245"/>
      <c r="G147" s="245"/>
      <c r="H147" s="245"/>
      <c r="I147" s="231"/>
      <c r="J147" s="231"/>
      <c r="K147" s="231"/>
      <c r="L147" s="231"/>
      <c r="M147" s="246"/>
      <c r="N147" s="246"/>
      <c r="O147" s="246"/>
      <c r="P147" s="246"/>
      <c r="Q147" s="246"/>
      <c r="R147" s="246"/>
      <c r="S147" s="246"/>
    </row>
    <row r="148" spans="1:19">
      <c r="A148" s="295">
        <v>45867</v>
      </c>
      <c r="B148" s="243" t="s">
        <v>88</v>
      </c>
      <c r="C148" s="196"/>
      <c r="D148" s="244"/>
      <c r="E148" s="245"/>
      <c r="F148" s="245"/>
      <c r="G148" s="245"/>
      <c r="H148" s="245"/>
      <c r="I148" s="231"/>
      <c r="J148" s="231"/>
      <c r="K148" s="231"/>
      <c r="L148" s="231"/>
      <c r="M148" s="246"/>
      <c r="N148" s="246"/>
      <c r="O148" s="246"/>
      <c r="P148" s="246"/>
      <c r="Q148" s="246"/>
      <c r="R148" s="246"/>
      <c r="S148" s="246"/>
    </row>
    <row r="149" spans="1:19">
      <c r="A149" s="295"/>
      <c r="B149" s="243" t="s">
        <v>89</v>
      </c>
      <c r="C149" s="196"/>
      <c r="D149" s="244"/>
      <c r="E149" s="245"/>
      <c r="F149" s="245"/>
      <c r="G149" s="245"/>
      <c r="H149" s="245"/>
      <c r="I149" s="231"/>
      <c r="J149" s="231"/>
      <c r="K149" s="231"/>
      <c r="L149" s="231"/>
      <c r="M149" s="246"/>
      <c r="N149" s="246"/>
      <c r="O149" s="246"/>
      <c r="P149" s="246"/>
      <c r="Q149" s="246"/>
      <c r="R149" s="246"/>
      <c r="S149" s="246"/>
    </row>
    <row r="150" spans="1:19">
      <c r="A150" s="295"/>
      <c r="B150" s="243" t="s">
        <v>90</v>
      </c>
      <c r="C150" s="196"/>
      <c r="D150" s="244"/>
      <c r="E150" s="245"/>
      <c r="F150" s="245"/>
      <c r="G150" s="245"/>
      <c r="H150" s="245"/>
      <c r="I150" s="231"/>
      <c r="J150" s="231"/>
      <c r="K150" s="231"/>
      <c r="L150" s="231"/>
      <c r="M150" s="246"/>
      <c r="N150" s="246"/>
      <c r="O150" s="246"/>
      <c r="P150" s="246"/>
      <c r="Q150" s="246"/>
      <c r="R150" s="246"/>
      <c r="S150" s="246"/>
    </row>
    <row r="151" spans="1:19">
      <c r="A151" s="295">
        <v>45868</v>
      </c>
      <c r="B151" s="243" t="s">
        <v>88</v>
      </c>
      <c r="C151" s="196"/>
      <c r="D151" s="244"/>
      <c r="E151" s="245"/>
      <c r="F151" s="245"/>
      <c r="G151" s="245"/>
      <c r="H151" s="245"/>
      <c r="I151" s="231"/>
      <c r="J151" s="231"/>
      <c r="K151" s="231"/>
      <c r="L151" s="231"/>
      <c r="M151" s="246"/>
      <c r="N151" s="246"/>
      <c r="O151" s="246"/>
      <c r="P151" s="246"/>
      <c r="Q151" s="246"/>
      <c r="R151" s="246"/>
      <c r="S151" s="246"/>
    </row>
    <row r="152" spans="1:19">
      <c r="A152" s="295"/>
      <c r="B152" s="243" t="s">
        <v>89</v>
      </c>
      <c r="C152" s="196"/>
      <c r="D152" s="244"/>
      <c r="E152" s="245"/>
      <c r="F152" s="245"/>
      <c r="G152" s="245"/>
      <c r="H152" s="245"/>
      <c r="I152" s="231"/>
      <c r="J152" s="231"/>
      <c r="K152" s="231"/>
      <c r="L152" s="231"/>
      <c r="M152" s="246"/>
      <c r="N152" s="246"/>
      <c r="O152" s="246"/>
      <c r="P152" s="246"/>
      <c r="Q152" s="246"/>
      <c r="R152" s="246"/>
      <c r="S152" s="246"/>
    </row>
    <row r="153" spans="1:19">
      <c r="A153" s="295"/>
      <c r="B153" s="243" t="s">
        <v>90</v>
      </c>
      <c r="C153" s="196"/>
      <c r="D153" s="244"/>
      <c r="E153" s="245"/>
      <c r="F153" s="245"/>
      <c r="G153" s="245"/>
      <c r="H153" s="245"/>
      <c r="I153" s="231"/>
      <c r="J153" s="231"/>
      <c r="K153" s="231"/>
      <c r="L153" s="231"/>
      <c r="M153" s="246"/>
      <c r="N153" s="246"/>
      <c r="O153" s="246"/>
      <c r="P153" s="246"/>
      <c r="Q153" s="246"/>
      <c r="R153" s="246"/>
      <c r="S153" s="246"/>
    </row>
    <row r="154" spans="1:19">
      <c r="A154" s="295">
        <v>45869</v>
      </c>
      <c r="B154" s="243" t="s">
        <v>88</v>
      </c>
      <c r="C154" s="196"/>
      <c r="D154" s="244"/>
      <c r="E154" s="245"/>
      <c r="F154" s="245"/>
      <c r="G154" s="245"/>
      <c r="H154" s="245"/>
      <c r="I154" s="231"/>
      <c r="J154" s="231"/>
      <c r="K154" s="231"/>
      <c r="L154" s="231"/>
      <c r="M154" s="246"/>
      <c r="N154" s="246"/>
      <c r="O154" s="246"/>
      <c r="P154" s="246"/>
      <c r="Q154" s="246"/>
      <c r="R154" s="246"/>
      <c r="S154" s="246"/>
    </row>
    <row r="155" spans="1:19">
      <c r="A155" s="295"/>
      <c r="B155" s="243" t="s">
        <v>89</v>
      </c>
      <c r="C155" s="196"/>
      <c r="D155" s="244"/>
      <c r="E155" s="245"/>
      <c r="F155" s="245"/>
      <c r="G155" s="245"/>
      <c r="H155" s="245"/>
      <c r="I155" s="231"/>
      <c r="J155" s="231"/>
      <c r="K155" s="231"/>
      <c r="L155" s="231"/>
      <c r="M155" s="246"/>
      <c r="N155" s="246"/>
      <c r="O155" s="246"/>
      <c r="P155" s="246"/>
      <c r="Q155" s="246"/>
      <c r="R155" s="246"/>
      <c r="S155" s="246"/>
    </row>
    <row r="156" spans="1:19">
      <c r="A156" s="295"/>
      <c r="B156" s="243" t="s">
        <v>90</v>
      </c>
      <c r="C156" s="196"/>
      <c r="D156" s="244"/>
      <c r="E156" s="245"/>
      <c r="F156" s="245"/>
      <c r="G156" s="245"/>
      <c r="H156" s="245"/>
      <c r="I156" s="231"/>
      <c r="J156" s="231"/>
      <c r="K156" s="231"/>
      <c r="L156" s="231"/>
      <c r="M156" s="246"/>
      <c r="N156" s="246"/>
      <c r="O156" s="246"/>
      <c r="P156" s="246"/>
      <c r="Q156" s="246"/>
      <c r="R156" s="246"/>
      <c r="S156" s="246"/>
    </row>
    <row r="157" spans="1:19">
      <c r="A157" s="295">
        <v>45870</v>
      </c>
      <c r="B157" s="243" t="s">
        <v>88</v>
      </c>
      <c r="C157" s="196"/>
      <c r="D157" s="244"/>
      <c r="E157" s="245"/>
      <c r="F157" s="245"/>
      <c r="G157" s="245"/>
      <c r="H157" s="245"/>
      <c r="I157" s="231"/>
      <c r="J157" s="231"/>
      <c r="K157" s="231"/>
      <c r="L157" s="231"/>
      <c r="M157" s="246"/>
      <c r="N157" s="246"/>
      <c r="O157" s="246"/>
      <c r="P157" s="246"/>
      <c r="Q157" s="246"/>
      <c r="R157" s="246"/>
      <c r="S157" s="246"/>
    </row>
    <row r="158" spans="1:19">
      <c r="A158" s="295"/>
      <c r="B158" s="243" t="s">
        <v>89</v>
      </c>
      <c r="C158" s="196"/>
      <c r="D158" s="244"/>
      <c r="E158" s="245"/>
      <c r="F158" s="245"/>
      <c r="G158" s="245"/>
      <c r="H158" s="245"/>
      <c r="I158" s="231"/>
      <c r="J158" s="231"/>
      <c r="K158" s="231"/>
      <c r="L158" s="231"/>
      <c r="M158" s="246"/>
      <c r="N158" s="246"/>
      <c r="O158" s="246"/>
      <c r="P158" s="246"/>
      <c r="Q158" s="246"/>
      <c r="R158" s="246"/>
      <c r="S158" s="246"/>
    </row>
    <row r="159" spans="1:19">
      <c r="A159" s="295"/>
      <c r="B159" s="243" t="s">
        <v>90</v>
      </c>
      <c r="C159" s="196"/>
      <c r="D159" s="244"/>
      <c r="E159" s="245"/>
      <c r="F159" s="245"/>
      <c r="G159" s="245"/>
      <c r="H159" s="245"/>
      <c r="I159" s="231"/>
      <c r="J159" s="231"/>
      <c r="K159" s="231"/>
      <c r="L159" s="231"/>
      <c r="M159" s="246"/>
      <c r="N159" s="246"/>
      <c r="O159" s="246"/>
      <c r="P159" s="246"/>
      <c r="Q159" s="246"/>
      <c r="R159" s="246"/>
      <c r="S159" s="246"/>
    </row>
    <row r="160" spans="1:19">
      <c r="A160" s="295">
        <v>45871</v>
      </c>
      <c r="B160" s="243" t="s">
        <v>88</v>
      </c>
      <c r="C160" s="196"/>
      <c r="D160" s="244"/>
      <c r="E160" s="245"/>
      <c r="F160" s="245"/>
      <c r="G160" s="245"/>
      <c r="H160" s="245"/>
      <c r="I160" s="231"/>
      <c r="J160" s="231"/>
      <c r="K160" s="231"/>
      <c r="L160" s="231"/>
      <c r="M160" s="246"/>
      <c r="N160" s="246"/>
      <c r="O160" s="246"/>
      <c r="P160" s="246"/>
      <c r="Q160" s="246"/>
      <c r="R160" s="246"/>
      <c r="S160" s="246"/>
    </row>
    <row r="161" spans="1:19">
      <c r="A161" s="295"/>
      <c r="B161" s="243" t="s">
        <v>89</v>
      </c>
      <c r="C161" s="196"/>
      <c r="D161" s="244"/>
      <c r="E161" s="245"/>
      <c r="F161" s="245"/>
      <c r="G161" s="245"/>
      <c r="H161" s="245"/>
      <c r="I161" s="231"/>
      <c r="J161" s="231"/>
      <c r="K161" s="231"/>
      <c r="L161" s="231"/>
      <c r="M161" s="246"/>
      <c r="N161" s="246"/>
      <c r="O161" s="246"/>
      <c r="P161" s="246"/>
      <c r="Q161" s="246"/>
      <c r="R161" s="246"/>
      <c r="S161" s="246"/>
    </row>
    <row r="162" spans="1:19">
      <c r="A162" s="295"/>
      <c r="B162" s="243" t="s">
        <v>90</v>
      </c>
      <c r="C162" s="196"/>
      <c r="D162" s="244"/>
      <c r="E162" s="245"/>
      <c r="F162" s="245"/>
      <c r="G162" s="245"/>
      <c r="H162" s="245"/>
      <c r="I162" s="231"/>
      <c r="J162" s="231"/>
      <c r="K162" s="231"/>
      <c r="L162" s="231"/>
      <c r="M162" s="246"/>
      <c r="N162" s="246"/>
      <c r="O162" s="246"/>
      <c r="P162" s="246"/>
      <c r="Q162" s="246"/>
      <c r="R162" s="246"/>
      <c r="S162" s="246"/>
    </row>
    <row r="163" spans="1:19">
      <c r="A163" s="295">
        <v>45872</v>
      </c>
      <c r="B163" s="243" t="s">
        <v>88</v>
      </c>
      <c r="C163" s="196"/>
      <c r="D163" s="244"/>
      <c r="E163" s="245"/>
      <c r="F163" s="245"/>
      <c r="G163" s="245"/>
      <c r="H163" s="245"/>
      <c r="I163" s="231"/>
      <c r="J163" s="231"/>
      <c r="K163" s="231"/>
      <c r="L163" s="231"/>
      <c r="M163" s="246"/>
      <c r="N163" s="246"/>
      <c r="O163" s="246"/>
      <c r="P163" s="246"/>
      <c r="Q163" s="246"/>
      <c r="R163" s="246"/>
      <c r="S163" s="246"/>
    </row>
    <row r="164" spans="1:19">
      <c r="A164" s="295"/>
      <c r="B164" s="243" t="s">
        <v>89</v>
      </c>
      <c r="C164" s="196"/>
      <c r="D164" s="244"/>
      <c r="E164" s="245"/>
      <c r="F164" s="245"/>
      <c r="G164" s="245"/>
      <c r="H164" s="245"/>
      <c r="I164" s="231"/>
      <c r="J164" s="231"/>
      <c r="K164" s="231"/>
      <c r="L164" s="231"/>
      <c r="M164" s="246"/>
      <c r="N164" s="246"/>
      <c r="O164" s="246"/>
      <c r="P164" s="246"/>
      <c r="Q164" s="246"/>
      <c r="R164" s="246"/>
      <c r="S164" s="246"/>
    </row>
    <row r="165" spans="1:19">
      <c r="A165" s="295"/>
      <c r="B165" s="243" t="s">
        <v>90</v>
      </c>
      <c r="C165" s="196"/>
      <c r="D165" s="244"/>
      <c r="E165" s="245"/>
      <c r="F165" s="245"/>
      <c r="G165" s="245"/>
      <c r="H165" s="245"/>
      <c r="I165" s="231"/>
      <c r="J165" s="231"/>
      <c r="K165" s="231"/>
      <c r="L165" s="231"/>
      <c r="M165" s="246"/>
      <c r="N165" s="246"/>
      <c r="O165" s="246"/>
      <c r="P165" s="246"/>
      <c r="Q165" s="246"/>
      <c r="R165" s="246"/>
      <c r="S165" s="246"/>
    </row>
    <row r="166" spans="1:19">
      <c r="A166" s="295">
        <v>45873</v>
      </c>
      <c r="B166" s="243" t="s">
        <v>88</v>
      </c>
      <c r="C166" s="196"/>
      <c r="D166" s="244"/>
      <c r="E166" s="245"/>
      <c r="F166" s="245"/>
      <c r="G166" s="245"/>
      <c r="H166" s="245"/>
      <c r="I166" s="231"/>
      <c r="J166" s="231"/>
      <c r="K166" s="231"/>
      <c r="L166" s="231"/>
      <c r="M166" s="246"/>
      <c r="N166" s="246"/>
      <c r="O166" s="246"/>
      <c r="P166" s="246"/>
      <c r="Q166" s="246"/>
      <c r="R166" s="246"/>
      <c r="S166" s="246"/>
    </row>
    <row r="167" spans="1:19">
      <c r="A167" s="295"/>
      <c r="B167" s="243" t="s">
        <v>89</v>
      </c>
      <c r="C167" s="196"/>
      <c r="D167" s="244"/>
      <c r="E167" s="245"/>
      <c r="F167" s="245"/>
      <c r="G167" s="245"/>
      <c r="H167" s="245"/>
      <c r="I167" s="231"/>
      <c r="J167" s="231"/>
      <c r="K167" s="231"/>
      <c r="L167" s="231"/>
      <c r="M167" s="246"/>
      <c r="N167" s="246"/>
      <c r="O167" s="246"/>
      <c r="P167" s="246"/>
      <c r="Q167" s="246"/>
      <c r="R167" s="246"/>
      <c r="S167" s="246"/>
    </row>
    <row r="168" spans="1:19">
      <c r="A168" s="295"/>
      <c r="B168" s="243" t="s">
        <v>90</v>
      </c>
      <c r="C168" s="196"/>
      <c r="D168" s="244"/>
      <c r="E168" s="245"/>
      <c r="F168" s="245"/>
      <c r="G168" s="245"/>
      <c r="H168" s="245"/>
      <c r="I168" s="231"/>
      <c r="J168" s="231"/>
      <c r="K168" s="231"/>
      <c r="L168" s="231"/>
      <c r="M168" s="246"/>
      <c r="N168" s="246"/>
      <c r="O168" s="246"/>
      <c r="P168" s="246"/>
      <c r="Q168" s="246"/>
      <c r="R168" s="246"/>
      <c r="S168" s="246"/>
    </row>
    <row r="169" spans="1:19">
      <c r="A169" s="295">
        <v>45874</v>
      </c>
      <c r="B169" s="243" t="s">
        <v>88</v>
      </c>
      <c r="C169" s="196">
        <v>113.5</v>
      </c>
      <c r="D169" s="143">
        <v>66</v>
      </c>
      <c r="E169" s="82">
        <v>46.38</v>
      </c>
      <c r="F169" s="82">
        <v>0.47</v>
      </c>
      <c r="G169" s="83">
        <v>108</v>
      </c>
      <c r="H169" s="82">
        <v>0.91</v>
      </c>
      <c r="I169" s="82">
        <v>0.3</v>
      </c>
      <c r="J169" s="82">
        <v>4.8</v>
      </c>
      <c r="K169" s="82">
        <v>27.5</v>
      </c>
      <c r="L169" s="82">
        <v>44</v>
      </c>
      <c r="M169" s="82">
        <v>19.5</v>
      </c>
      <c r="N169" s="82">
        <v>2.9</v>
      </c>
      <c r="O169" s="82">
        <v>0.4</v>
      </c>
      <c r="P169" s="82">
        <v>0.4</v>
      </c>
      <c r="Q169" s="82">
        <v>0.2</v>
      </c>
      <c r="R169" s="82">
        <v>0.6</v>
      </c>
      <c r="S169" s="82">
        <v>1.89</v>
      </c>
    </row>
    <row r="170" spans="1:19">
      <c r="A170" s="295"/>
      <c r="B170" s="243" t="s">
        <v>89</v>
      </c>
      <c r="C170" s="197">
        <v>113</v>
      </c>
      <c r="D170" s="144">
        <v>75</v>
      </c>
      <c r="E170" s="84">
        <v>0</v>
      </c>
      <c r="F170" s="84">
        <v>0</v>
      </c>
      <c r="G170" s="85">
        <v>114</v>
      </c>
      <c r="H170" s="84">
        <v>0.92</v>
      </c>
      <c r="I170" s="84">
        <v>0.7</v>
      </c>
      <c r="J170" s="84">
        <v>6.5</v>
      </c>
      <c r="K170" s="84">
        <v>26</v>
      </c>
      <c r="L170" s="84">
        <v>40.299999999999997</v>
      </c>
      <c r="M170" s="84">
        <v>23.2</v>
      </c>
      <c r="N170" s="84">
        <v>2.6</v>
      </c>
      <c r="O170" s="84">
        <v>0.4</v>
      </c>
      <c r="P170" s="84">
        <v>0.2</v>
      </c>
      <c r="Q170" s="84">
        <v>0.1</v>
      </c>
      <c r="R170" s="84">
        <v>0.3</v>
      </c>
      <c r="S170" s="84">
        <v>1.9</v>
      </c>
    </row>
    <row r="171" spans="1:19">
      <c r="A171" s="295"/>
      <c r="B171" s="243" t="s">
        <v>90</v>
      </c>
      <c r="C171" s="198">
        <v>114</v>
      </c>
      <c r="D171" s="145">
        <v>65</v>
      </c>
      <c r="E171" s="86">
        <v>0</v>
      </c>
      <c r="F171" s="86">
        <v>0</v>
      </c>
      <c r="G171" s="87">
        <v>120</v>
      </c>
      <c r="H171" s="86">
        <v>0.93</v>
      </c>
      <c r="I171" s="86">
        <v>1</v>
      </c>
      <c r="J171" s="86">
        <v>7.5</v>
      </c>
      <c r="K171" s="86">
        <v>25.2</v>
      </c>
      <c r="L171" s="86">
        <v>40</v>
      </c>
      <c r="M171" s="86">
        <v>22.6</v>
      </c>
      <c r="N171" s="86">
        <v>3.1</v>
      </c>
      <c r="O171" s="86">
        <v>0.3</v>
      </c>
      <c r="P171" s="86">
        <v>0.1</v>
      </c>
      <c r="Q171" s="86">
        <v>0.2</v>
      </c>
      <c r="R171" s="86">
        <v>0.3</v>
      </c>
      <c r="S171" s="86">
        <v>1.91</v>
      </c>
    </row>
    <row r="172" spans="1:19">
      <c r="A172" s="295">
        <v>45875</v>
      </c>
      <c r="B172" s="243" t="s">
        <v>88</v>
      </c>
      <c r="C172" s="196">
        <v>114</v>
      </c>
      <c r="D172" s="146">
        <v>61</v>
      </c>
      <c r="E172" s="88">
        <v>46.39</v>
      </c>
      <c r="F172" s="88">
        <v>0.45</v>
      </c>
      <c r="G172" s="89">
        <v>112</v>
      </c>
      <c r="H172" s="88">
        <v>0.9</v>
      </c>
      <c r="I172" s="88">
        <v>1</v>
      </c>
      <c r="J172" s="88">
        <v>6.8</v>
      </c>
      <c r="K172" s="88">
        <v>24.2</v>
      </c>
      <c r="L172" s="88">
        <v>43.8</v>
      </c>
      <c r="M172" s="88">
        <v>20.9</v>
      </c>
      <c r="N172" s="88">
        <v>2.5</v>
      </c>
      <c r="O172" s="88">
        <v>0.4</v>
      </c>
      <c r="P172" s="88">
        <v>0.3</v>
      </c>
      <c r="Q172" s="88">
        <v>0.1</v>
      </c>
      <c r="R172" s="88">
        <v>0.4</v>
      </c>
      <c r="S172" s="88">
        <v>1.9</v>
      </c>
    </row>
    <row r="173" spans="1:19">
      <c r="A173" s="295"/>
      <c r="B173" s="243" t="s">
        <v>89</v>
      </c>
      <c r="C173" s="196">
        <v>113</v>
      </c>
      <c r="D173" s="146">
        <v>72</v>
      </c>
      <c r="E173" s="88">
        <v>0</v>
      </c>
      <c r="F173" s="88">
        <v>0</v>
      </c>
      <c r="G173" s="89">
        <v>116</v>
      </c>
      <c r="H173" s="88">
        <v>0.92</v>
      </c>
      <c r="I173" s="88">
        <v>0.6</v>
      </c>
      <c r="J173" s="88">
        <v>6.4</v>
      </c>
      <c r="K173" s="88">
        <v>27.8</v>
      </c>
      <c r="L173" s="88">
        <v>41.9</v>
      </c>
      <c r="M173" s="88">
        <v>20.100000000000001</v>
      </c>
      <c r="N173" s="88">
        <v>2.6</v>
      </c>
      <c r="O173" s="88">
        <v>0.3</v>
      </c>
      <c r="P173" s="88">
        <v>0.2</v>
      </c>
      <c r="Q173" s="88">
        <v>0.1</v>
      </c>
      <c r="R173" s="88">
        <v>0.3</v>
      </c>
      <c r="S173" s="88">
        <v>1.91</v>
      </c>
    </row>
    <row r="174" spans="1:19">
      <c r="A174" s="295"/>
      <c r="B174" s="243" t="s">
        <v>90</v>
      </c>
      <c r="C174" s="196">
        <v>114</v>
      </c>
      <c r="D174" s="147">
        <v>70</v>
      </c>
      <c r="E174" s="90">
        <v>0</v>
      </c>
      <c r="F174" s="90">
        <v>0</v>
      </c>
      <c r="G174" s="91">
        <v>118</v>
      </c>
      <c r="H174" s="90">
        <v>0.91</v>
      </c>
      <c r="I174" s="90">
        <v>0.5</v>
      </c>
      <c r="J174" s="90">
        <v>7.3</v>
      </c>
      <c r="K174" s="90">
        <v>28</v>
      </c>
      <c r="L174" s="90">
        <v>42.7</v>
      </c>
      <c r="M174" s="90">
        <v>18.7</v>
      </c>
      <c r="N174" s="90">
        <v>2.2999999999999998</v>
      </c>
      <c r="O174" s="90">
        <v>0.2</v>
      </c>
      <c r="P174" s="90">
        <v>0.2</v>
      </c>
      <c r="Q174" s="90">
        <v>0.1</v>
      </c>
      <c r="R174" s="90">
        <v>0.3</v>
      </c>
      <c r="S174" s="90">
        <v>1.93</v>
      </c>
    </row>
    <row r="175" spans="1:19">
      <c r="A175" s="295">
        <v>45876</v>
      </c>
      <c r="B175" s="243" t="s">
        <v>88</v>
      </c>
      <c r="C175" s="196"/>
      <c r="D175" s="244">
        <v>65</v>
      </c>
      <c r="E175" s="245">
        <v>46.34</v>
      </c>
      <c r="F175" s="245">
        <v>0.48</v>
      </c>
      <c r="G175" s="245">
        <v>110</v>
      </c>
      <c r="H175" s="245">
        <v>1.51</v>
      </c>
      <c r="I175" s="231">
        <v>0.1</v>
      </c>
      <c r="J175" s="231">
        <v>4.8</v>
      </c>
      <c r="K175" s="231">
        <v>23.8</v>
      </c>
      <c r="L175" s="231">
        <v>53.2</v>
      </c>
      <c r="M175" s="246">
        <v>24.5</v>
      </c>
      <c r="N175" s="246">
        <v>2.5</v>
      </c>
      <c r="O175" s="246">
        <v>0.4</v>
      </c>
      <c r="P175" s="246">
        <v>0.3</v>
      </c>
      <c r="Q175" s="246">
        <v>0.1</v>
      </c>
      <c r="R175" s="246">
        <v>0.4</v>
      </c>
      <c r="S175" s="246">
        <v>1.87</v>
      </c>
    </row>
    <row r="176" spans="1:19">
      <c r="A176" s="295"/>
      <c r="B176" s="243" t="s">
        <v>89</v>
      </c>
      <c r="C176" s="196"/>
      <c r="D176" s="244">
        <v>70</v>
      </c>
      <c r="E176" s="245">
        <v>0</v>
      </c>
      <c r="F176" s="245">
        <v>0</v>
      </c>
      <c r="G176" s="245">
        <v>112</v>
      </c>
      <c r="H176" s="245">
        <v>1.31</v>
      </c>
      <c r="I176" s="231">
        <v>0.6</v>
      </c>
      <c r="J176" s="231">
        <v>6.8</v>
      </c>
      <c r="K176" s="231">
        <v>25.3</v>
      </c>
      <c r="L176" s="231">
        <v>42.2</v>
      </c>
      <c r="M176" s="246">
        <v>22.2</v>
      </c>
      <c r="N176" s="246">
        <v>2.4</v>
      </c>
      <c r="O176" s="246">
        <v>0.2</v>
      </c>
      <c r="P176" s="246">
        <v>0.2</v>
      </c>
      <c r="Q176" s="246">
        <v>0.1</v>
      </c>
      <c r="R176" s="246">
        <v>0.3</v>
      </c>
      <c r="S176" s="246">
        <v>1.9</v>
      </c>
    </row>
    <row r="177" spans="1:19">
      <c r="A177" s="295"/>
      <c r="B177" s="243" t="s">
        <v>90</v>
      </c>
      <c r="C177" s="196"/>
      <c r="D177" s="244">
        <v>71</v>
      </c>
      <c r="E177" s="245">
        <v>0</v>
      </c>
      <c r="F177" s="245">
        <v>0</v>
      </c>
      <c r="G177" s="245">
        <v>120</v>
      </c>
      <c r="H177" s="245">
        <v>1.25</v>
      </c>
      <c r="I177" s="231">
        <v>1</v>
      </c>
      <c r="J177" s="231">
        <v>7</v>
      </c>
      <c r="K177" s="231">
        <v>25.8</v>
      </c>
      <c r="L177" s="231">
        <v>41.2</v>
      </c>
      <c r="M177" s="246">
        <v>20.2</v>
      </c>
      <c r="N177" s="246">
        <v>3.8</v>
      </c>
      <c r="O177" s="246">
        <v>0.4</v>
      </c>
      <c r="P177" s="246">
        <v>0.4</v>
      </c>
      <c r="Q177" s="246">
        <v>0.2</v>
      </c>
      <c r="R177" s="246">
        <v>0.6</v>
      </c>
      <c r="S177" s="246">
        <v>1.9</v>
      </c>
    </row>
    <row r="178" spans="1:19">
      <c r="A178" s="295">
        <v>45877</v>
      </c>
      <c r="B178" s="243" t="s">
        <v>88</v>
      </c>
      <c r="C178" s="196"/>
      <c r="D178" s="78">
        <v>65</v>
      </c>
      <c r="E178" s="80">
        <v>46.36</v>
      </c>
      <c r="F178" s="80">
        <v>0.47</v>
      </c>
      <c r="G178" s="80">
        <v>128</v>
      </c>
      <c r="H178" s="80">
        <v>1.25</v>
      </c>
      <c r="I178" s="80">
        <v>0.2</v>
      </c>
      <c r="J178" s="80">
        <v>4.5999999999999996</v>
      </c>
      <c r="K178" s="80">
        <v>21.7</v>
      </c>
      <c r="L178" s="80">
        <v>41.8</v>
      </c>
      <c r="M178" s="80">
        <v>26.5</v>
      </c>
      <c r="N178" s="80">
        <v>4.2</v>
      </c>
      <c r="O178" s="80">
        <v>0.4</v>
      </c>
      <c r="P178" s="80">
        <v>0.4</v>
      </c>
      <c r="Q178" s="80">
        <v>0.2</v>
      </c>
      <c r="R178" s="80">
        <v>0.6</v>
      </c>
      <c r="S178" s="80">
        <v>1.84</v>
      </c>
    </row>
    <row r="179" spans="1:19">
      <c r="A179" s="295"/>
      <c r="B179" s="243" t="s">
        <v>89</v>
      </c>
      <c r="C179" s="196"/>
      <c r="D179" s="92">
        <v>70</v>
      </c>
      <c r="E179" s="93">
        <v>0</v>
      </c>
      <c r="F179" s="93">
        <v>0</v>
      </c>
      <c r="G179" s="93">
        <v>120</v>
      </c>
      <c r="H179" s="93">
        <v>1.1299999999999999</v>
      </c>
      <c r="I179" s="93">
        <v>1</v>
      </c>
      <c r="J179" s="93">
        <v>10</v>
      </c>
      <c r="K179" s="93">
        <v>32.1</v>
      </c>
      <c r="L179" s="93">
        <v>37.9</v>
      </c>
      <c r="M179" s="93">
        <v>16</v>
      </c>
      <c r="N179" s="93">
        <v>2.6</v>
      </c>
      <c r="O179" s="93">
        <v>0.2</v>
      </c>
      <c r="P179" s="93">
        <v>0.1</v>
      </c>
      <c r="Q179" s="93">
        <v>0.1</v>
      </c>
      <c r="R179" s="93">
        <v>0.2</v>
      </c>
      <c r="S179" s="93">
        <v>1.97</v>
      </c>
    </row>
    <row r="180" spans="1:19">
      <c r="A180" s="295"/>
      <c r="B180" s="243" t="s">
        <v>90</v>
      </c>
      <c r="C180" s="196"/>
      <c r="D180" s="94">
        <v>68</v>
      </c>
      <c r="E180" s="95">
        <v>0</v>
      </c>
      <c r="F180" s="95">
        <v>0</v>
      </c>
      <c r="G180" s="95">
        <v>124</v>
      </c>
      <c r="H180" s="95">
        <v>1.18</v>
      </c>
      <c r="I180" s="95">
        <v>0.3</v>
      </c>
      <c r="J180" s="95">
        <v>5.4</v>
      </c>
      <c r="K180" s="95">
        <v>26.2</v>
      </c>
      <c r="L180" s="95">
        <v>41.8</v>
      </c>
      <c r="M180" s="95">
        <v>21.3</v>
      </c>
      <c r="N180" s="95">
        <v>4.3</v>
      </c>
      <c r="O180" s="95">
        <v>0.4</v>
      </c>
      <c r="P180" s="95">
        <v>0.2</v>
      </c>
      <c r="Q180" s="95">
        <v>0.1</v>
      </c>
      <c r="R180" s="95">
        <v>0.3</v>
      </c>
      <c r="S180" s="95">
        <v>1.88</v>
      </c>
    </row>
    <row r="181" spans="1:19">
      <c r="A181" s="295">
        <v>45878</v>
      </c>
      <c r="B181" s="243" t="s">
        <v>88</v>
      </c>
      <c r="C181" s="196"/>
      <c r="D181" s="78">
        <v>70</v>
      </c>
      <c r="E181" s="80">
        <v>46.38</v>
      </c>
      <c r="F181" s="80">
        <v>0.46</v>
      </c>
      <c r="G181" s="80">
        <v>118</v>
      </c>
      <c r="H181" s="80">
        <v>1.06</v>
      </c>
      <c r="I181" s="80">
        <v>0.8</v>
      </c>
      <c r="J181" s="80">
        <v>6.2</v>
      </c>
      <c r="K181" s="80">
        <v>25.5</v>
      </c>
      <c r="L181" s="80">
        <v>41.2</v>
      </c>
      <c r="M181" s="80">
        <v>20.9</v>
      </c>
      <c r="N181" s="80">
        <v>4.4000000000000004</v>
      </c>
      <c r="O181" s="80">
        <v>0.5</v>
      </c>
      <c r="P181" s="80">
        <v>0.4</v>
      </c>
      <c r="Q181" s="80">
        <v>0.1</v>
      </c>
      <c r="R181" s="80">
        <v>0.5</v>
      </c>
      <c r="S181" s="80">
        <v>1.89</v>
      </c>
    </row>
    <row r="182" spans="1:19">
      <c r="A182" s="295"/>
      <c r="B182" s="243" t="s">
        <v>89</v>
      </c>
      <c r="C182" s="196"/>
      <c r="D182" s="92">
        <v>65</v>
      </c>
      <c r="E182" s="93">
        <v>0</v>
      </c>
      <c r="F182" s="93">
        <v>0</v>
      </c>
      <c r="G182" s="93">
        <v>122</v>
      </c>
      <c r="H182" s="93">
        <v>1.1599999999999999</v>
      </c>
      <c r="I182" s="93">
        <v>1</v>
      </c>
      <c r="J182" s="93">
        <v>5.5</v>
      </c>
      <c r="K182" s="93">
        <v>20.6</v>
      </c>
      <c r="L182" s="93">
        <v>37.5</v>
      </c>
      <c r="M182" s="93">
        <v>29.5</v>
      </c>
      <c r="N182" s="93">
        <v>5.4</v>
      </c>
      <c r="O182" s="93">
        <v>0.3</v>
      </c>
      <c r="P182" s="93">
        <v>0.1</v>
      </c>
      <c r="Q182" s="93">
        <v>0.1</v>
      </c>
      <c r="R182" s="93">
        <v>0.2</v>
      </c>
      <c r="S182" s="93">
        <v>1.84</v>
      </c>
    </row>
    <row r="183" spans="1:19">
      <c r="A183" s="295"/>
      <c r="B183" s="243" t="s">
        <v>90</v>
      </c>
      <c r="C183" s="196"/>
      <c r="D183" s="94">
        <v>58</v>
      </c>
      <c r="E183" s="95">
        <v>0</v>
      </c>
      <c r="F183" s="95">
        <v>0</v>
      </c>
      <c r="G183" s="95">
        <v>116</v>
      </c>
      <c r="H183" s="95">
        <v>1.1399999999999999</v>
      </c>
      <c r="I183" s="95">
        <v>0.3</v>
      </c>
      <c r="J183" s="95">
        <v>5.5</v>
      </c>
      <c r="K183" s="95">
        <v>22.1</v>
      </c>
      <c r="L183" s="95">
        <v>44.4</v>
      </c>
      <c r="M183" s="95">
        <v>22.6</v>
      </c>
      <c r="N183" s="95">
        <v>4.4000000000000004</v>
      </c>
      <c r="O183" s="95">
        <v>0.4</v>
      </c>
      <c r="P183" s="95">
        <v>0.2</v>
      </c>
      <c r="Q183" s="95">
        <v>0.1</v>
      </c>
      <c r="R183" s="95">
        <v>0.3</v>
      </c>
      <c r="S183" s="95">
        <v>1.86</v>
      </c>
    </row>
    <row r="184" spans="1:19">
      <c r="A184" s="295">
        <v>45879</v>
      </c>
      <c r="B184" s="243" t="s">
        <v>88</v>
      </c>
      <c r="C184" s="196"/>
      <c r="D184" s="244"/>
      <c r="E184" s="245"/>
      <c r="F184" s="245"/>
      <c r="G184" s="245"/>
      <c r="H184" s="245"/>
      <c r="I184" s="231"/>
      <c r="J184" s="231"/>
      <c r="K184" s="231"/>
      <c r="L184" s="231"/>
      <c r="M184" s="246"/>
      <c r="N184" s="246"/>
      <c r="O184" s="246"/>
      <c r="P184" s="246"/>
      <c r="Q184" s="246"/>
      <c r="R184" s="246"/>
      <c r="S184" s="246"/>
    </row>
    <row r="185" spans="1:19">
      <c r="A185" s="295"/>
      <c r="B185" s="243" t="s">
        <v>89</v>
      </c>
      <c r="C185" s="196"/>
      <c r="D185" s="244"/>
      <c r="E185" s="245"/>
      <c r="F185" s="245"/>
      <c r="G185" s="245"/>
      <c r="H185" s="245"/>
      <c r="I185" s="231"/>
      <c r="J185" s="231"/>
      <c r="K185" s="231"/>
      <c r="L185" s="231"/>
      <c r="M185" s="246"/>
      <c r="N185" s="246"/>
      <c r="O185" s="246"/>
      <c r="P185" s="246"/>
      <c r="Q185" s="246"/>
      <c r="R185" s="246"/>
      <c r="S185" s="246"/>
    </row>
    <row r="186" spans="1:19">
      <c r="A186" s="295"/>
      <c r="B186" s="243" t="s">
        <v>90</v>
      </c>
      <c r="C186" s="196"/>
      <c r="D186" s="244"/>
      <c r="E186" s="245"/>
      <c r="F186" s="245"/>
      <c r="G186" s="245"/>
      <c r="H186" s="245"/>
      <c r="I186" s="231"/>
      <c r="J186" s="231"/>
      <c r="K186" s="231"/>
      <c r="L186" s="231"/>
      <c r="M186" s="246"/>
      <c r="N186" s="246"/>
      <c r="O186" s="246"/>
      <c r="P186" s="246"/>
      <c r="Q186" s="246"/>
      <c r="R186" s="246"/>
      <c r="S186" s="246"/>
    </row>
    <row r="187" spans="1:19">
      <c r="A187" s="295">
        <v>45880</v>
      </c>
      <c r="B187" s="243" t="s">
        <v>88</v>
      </c>
      <c r="C187" s="196"/>
      <c r="D187" s="78">
        <v>62</v>
      </c>
      <c r="E187" s="80">
        <v>46.37</v>
      </c>
      <c r="F187" s="80">
        <v>0.46</v>
      </c>
      <c r="G187" s="80">
        <v>120</v>
      </c>
      <c r="H187" s="80">
        <v>1.1399999999999999</v>
      </c>
      <c r="I187" s="80">
        <v>0.3</v>
      </c>
      <c r="J187" s="80">
        <v>4.7</v>
      </c>
      <c r="K187" s="80">
        <v>22.3</v>
      </c>
      <c r="L187" s="80">
        <v>44.6</v>
      </c>
      <c r="M187" s="80">
        <v>19.899999999999999</v>
      </c>
      <c r="N187" s="80">
        <v>6.7</v>
      </c>
      <c r="O187" s="80">
        <v>0.9</v>
      </c>
      <c r="P187" s="80">
        <v>0.5</v>
      </c>
      <c r="Q187" s="80">
        <v>0.1</v>
      </c>
      <c r="R187" s="80">
        <v>0.6</v>
      </c>
      <c r="S187" s="80">
        <v>1.84</v>
      </c>
    </row>
    <row r="188" spans="1:19">
      <c r="A188" s="295"/>
      <c r="B188" s="243" t="s">
        <v>89</v>
      </c>
      <c r="C188" s="196"/>
      <c r="D188" s="92">
        <v>78</v>
      </c>
      <c r="E188" s="93">
        <v>46.38</v>
      </c>
      <c r="F188" s="93">
        <v>0.45</v>
      </c>
      <c r="G188" s="93">
        <v>123</v>
      </c>
      <c r="H188" s="93">
        <v>1.1100000000000001</v>
      </c>
      <c r="I188" s="93">
        <v>1.8</v>
      </c>
      <c r="J188" s="93">
        <v>7.9</v>
      </c>
      <c r="K188" s="93">
        <v>30.8</v>
      </c>
      <c r="L188" s="93">
        <v>24.6</v>
      </c>
      <c r="M188" s="93">
        <v>29.3</v>
      </c>
      <c r="N188" s="93">
        <v>4.4000000000000004</v>
      </c>
      <c r="O188" s="93">
        <v>0.5</v>
      </c>
      <c r="P188" s="93">
        <v>0.5</v>
      </c>
      <c r="Q188" s="93">
        <v>0.2</v>
      </c>
      <c r="R188" s="93">
        <v>0.7</v>
      </c>
      <c r="S188" s="93">
        <v>1.9</v>
      </c>
    </row>
    <row r="189" spans="1:19">
      <c r="A189" s="295"/>
      <c r="B189" s="243" t="s">
        <v>90</v>
      </c>
      <c r="C189" s="196"/>
      <c r="D189" s="94">
        <v>68</v>
      </c>
      <c r="E189" s="95">
        <v>46.38</v>
      </c>
      <c r="F189" s="95">
        <v>0.47</v>
      </c>
      <c r="G189" s="95">
        <v>114</v>
      </c>
      <c r="H189" s="95">
        <v>1.1000000000000001</v>
      </c>
      <c r="I189" s="95">
        <v>1.1000000000000001</v>
      </c>
      <c r="J189" s="95">
        <v>7.3</v>
      </c>
      <c r="K189" s="95">
        <v>21.8</v>
      </c>
      <c r="L189" s="95">
        <v>41.9</v>
      </c>
      <c r="M189" s="95">
        <v>23.3</v>
      </c>
      <c r="N189" s="95">
        <v>3.8</v>
      </c>
      <c r="O189" s="95">
        <v>0.3</v>
      </c>
      <c r="P189" s="95">
        <v>0.3</v>
      </c>
      <c r="Q189" s="95">
        <v>0.2</v>
      </c>
      <c r="R189" s="95">
        <v>0.5</v>
      </c>
      <c r="S189" s="95">
        <v>1.88</v>
      </c>
    </row>
    <row r="190" spans="1:19">
      <c r="A190" s="295">
        <v>45881</v>
      </c>
      <c r="B190" s="243" t="s">
        <v>88</v>
      </c>
      <c r="C190" s="196"/>
      <c r="D190" s="78">
        <v>64</v>
      </c>
      <c r="E190" s="80">
        <v>46.36</v>
      </c>
      <c r="F190" s="80">
        <v>0.47</v>
      </c>
      <c r="G190" s="80">
        <v>120</v>
      </c>
      <c r="H190" s="80">
        <v>1.1499999999999999</v>
      </c>
      <c r="I190" s="80">
        <v>0.8</v>
      </c>
      <c r="J190" s="80">
        <v>4.9000000000000004</v>
      </c>
      <c r="K190" s="80">
        <v>21.4</v>
      </c>
      <c r="L190" s="80">
        <v>41.4</v>
      </c>
      <c r="M190" s="80">
        <v>26.1</v>
      </c>
      <c r="N190" s="122">
        <v>4.5</v>
      </c>
      <c r="O190" s="80">
        <v>0.4</v>
      </c>
      <c r="P190" s="80">
        <v>0.3</v>
      </c>
      <c r="Q190" s="80">
        <v>0.2</v>
      </c>
      <c r="R190" s="80">
        <v>0.5</v>
      </c>
      <c r="S190" s="80">
        <v>1.85</v>
      </c>
    </row>
    <row r="191" spans="1:19">
      <c r="A191" s="295"/>
      <c r="B191" s="243" t="s">
        <v>89</v>
      </c>
      <c r="C191" s="196"/>
      <c r="D191" s="78">
        <v>67</v>
      </c>
      <c r="E191" s="80">
        <v>46.36</v>
      </c>
      <c r="F191" s="80">
        <v>0.48</v>
      </c>
      <c r="G191" s="80">
        <v>116</v>
      </c>
      <c r="H191" s="80">
        <v>1.1299999999999999</v>
      </c>
      <c r="I191" s="80">
        <v>0.5</v>
      </c>
      <c r="J191" s="80">
        <v>5.2</v>
      </c>
      <c r="K191" s="80">
        <v>22</v>
      </c>
      <c r="L191" s="80">
        <v>40.9</v>
      </c>
      <c r="M191" s="80">
        <v>26</v>
      </c>
      <c r="N191" s="80">
        <v>4.7</v>
      </c>
      <c r="O191" s="80">
        <v>0.4</v>
      </c>
      <c r="P191" s="80">
        <v>0.2</v>
      </c>
      <c r="Q191" s="80">
        <v>0.1</v>
      </c>
      <c r="R191" s="80">
        <v>0.3</v>
      </c>
      <c r="S191" s="80">
        <v>1.85</v>
      </c>
    </row>
    <row r="192" spans="1:19">
      <c r="A192" s="295"/>
      <c r="B192" s="243" t="s">
        <v>90</v>
      </c>
      <c r="C192" s="196"/>
      <c r="D192" s="123">
        <v>62</v>
      </c>
      <c r="E192" s="124">
        <v>46.36</v>
      </c>
      <c r="F192" s="124">
        <v>0.47</v>
      </c>
      <c r="G192" s="124">
        <v>122</v>
      </c>
      <c r="H192" s="124">
        <v>1.1399999999999999</v>
      </c>
      <c r="I192" s="124">
        <v>0.2</v>
      </c>
      <c r="J192" s="124">
        <v>3.3</v>
      </c>
      <c r="K192" s="124">
        <v>18.7</v>
      </c>
      <c r="L192" s="124">
        <v>43.9</v>
      </c>
      <c r="M192" s="124">
        <v>28.1</v>
      </c>
      <c r="N192" s="124">
        <v>4.8</v>
      </c>
      <c r="O192" s="124">
        <v>0.5</v>
      </c>
      <c r="P192" s="124">
        <v>0.4</v>
      </c>
      <c r="Q192" s="124">
        <v>0.1</v>
      </c>
      <c r="R192" s="124">
        <v>0.5</v>
      </c>
      <c r="S192" s="124">
        <v>1.81</v>
      </c>
    </row>
    <row r="193" spans="1:19">
      <c r="A193" s="295">
        <v>45882</v>
      </c>
      <c r="B193" s="243" t="s">
        <v>88</v>
      </c>
      <c r="C193" s="196"/>
      <c r="D193" s="78">
        <v>65</v>
      </c>
      <c r="E193" s="80">
        <v>46.36</v>
      </c>
      <c r="F193" s="80">
        <v>0.48</v>
      </c>
      <c r="G193" s="80">
        <v>118</v>
      </c>
      <c r="H193" s="80">
        <v>1.1599999999999999</v>
      </c>
      <c r="I193" s="80">
        <v>0.7</v>
      </c>
      <c r="J193" s="80">
        <v>7.2</v>
      </c>
      <c r="K193" s="80">
        <v>22.2</v>
      </c>
      <c r="L193" s="80">
        <v>42</v>
      </c>
      <c r="M193" s="80">
        <v>23.7</v>
      </c>
      <c r="N193" s="80">
        <v>3.8</v>
      </c>
      <c r="O193" s="80">
        <v>0.2</v>
      </c>
      <c r="P193" s="80">
        <v>0.1</v>
      </c>
      <c r="Q193" s="80">
        <v>0.1</v>
      </c>
      <c r="R193" s="80">
        <v>0.2</v>
      </c>
      <c r="S193" s="80">
        <v>1.88</v>
      </c>
    </row>
    <row r="194" spans="1:19">
      <c r="A194" s="295"/>
      <c r="B194" s="243" t="s">
        <v>89</v>
      </c>
      <c r="C194" s="196"/>
      <c r="D194" s="92">
        <v>70</v>
      </c>
      <c r="E194" s="93">
        <v>46.36</v>
      </c>
      <c r="F194" s="93">
        <v>0.48</v>
      </c>
      <c r="G194" s="93">
        <v>120</v>
      </c>
      <c r="H194" s="93">
        <v>1.1299999999999999</v>
      </c>
      <c r="I194" s="93">
        <v>0.6</v>
      </c>
      <c r="J194" s="93">
        <v>5.6</v>
      </c>
      <c r="K194" s="93">
        <v>25.8</v>
      </c>
      <c r="L194" s="93">
        <v>40</v>
      </c>
      <c r="M194" s="93">
        <v>21.8</v>
      </c>
      <c r="N194" s="93">
        <v>5.2</v>
      </c>
      <c r="O194" s="93">
        <v>0.5</v>
      </c>
      <c r="P194" s="93">
        <v>0.4</v>
      </c>
      <c r="Q194" s="93">
        <v>0.1</v>
      </c>
      <c r="R194" s="93">
        <v>0.5</v>
      </c>
      <c r="S194" s="93">
        <v>1.87</v>
      </c>
    </row>
    <row r="195" spans="1:19">
      <c r="A195" s="295"/>
      <c r="B195" s="243" t="s">
        <v>90</v>
      </c>
      <c r="C195" s="196"/>
      <c r="D195" s="94">
        <v>64</v>
      </c>
      <c r="E195" s="95">
        <v>46.36</v>
      </c>
      <c r="F195" s="95">
        <v>0.48</v>
      </c>
      <c r="G195" s="95">
        <v>110</v>
      </c>
      <c r="H195" s="95">
        <v>1.08</v>
      </c>
      <c r="I195" s="95">
        <v>0.5</v>
      </c>
      <c r="J195" s="95">
        <v>6.1</v>
      </c>
      <c r="K195" s="95">
        <v>22.8</v>
      </c>
      <c r="L195" s="95">
        <v>40.299999999999997</v>
      </c>
      <c r="M195" s="95">
        <v>24</v>
      </c>
      <c r="N195" s="95">
        <v>5.3</v>
      </c>
      <c r="O195" s="95">
        <v>0.6</v>
      </c>
      <c r="P195" s="95">
        <v>0.3</v>
      </c>
      <c r="Q195" s="95">
        <v>0.1</v>
      </c>
      <c r="R195" s="95">
        <v>0.4</v>
      </c>
      <c r="S195" s="95">
        <v>1.86</v>
      </c>
    </row>
    <row r="196" spans="1:19">
      <c r="A196" s="295">
        <v>45883</v>
      </c>
      <c r="B196" s="243" t="s">
        <v>88</v>
      </c>
      <c r="C196" s="196"/>
      <c r="D196" s="78">
        <v>67</v>
      </c>
      <c r="E196" s="80">
        <v>46.37</v>
      </c>
      <c r="F196" s="80">
        <v>0.47</v>
      </c>
      <c r="G196" s="80">
        <v>128</v>
      </c>
      <c r="H196" s="80">
        <v>0.98</v>
      </c>
      <c r="I196" s="80">
        <v>0.2</v>
      </c>
      <c r="J196" s="80">
        <v>5.4</v>
      </c>
      <c r="K196" s="80">
        <v>24.1</v>
      </c>
      <c r="L196" s="80">
        <v>42.9</v>
      </c>
      <c r="M196" s="80">
        <v>24</v>
      </c>
      <c r="N196" s="122">
        <v>3</v>
      </c>
      <c r="O196" s="80">
        <v>0.2</v>
      </c>
      <c r="P196" s="80">
        <v>0.1</v>
      </c>
      <c r="Q196" s="80">
        <v>0.1</v>
      </c>
      <c r="R196" s="80">
        <v>0.2</v>
      </c>
      <c r="S196" s="80">
        <v>1.88</v>
      </c>
    </row>
    <row r="197" spans="1:19">
      <c r="A197" s="295"/>
      <c r="B197" s="243" t="s">
        <v>89</v>
      </c>
      <c r="C197" s="196"/>
      <c r="D197" s="78">
        <v>68</v>
      </c>
      <c r="E197" s="80">
        <v>46.36</v>
      </c>
      <c r="F197" s="80">
        <v>0.48</v>
      </c>
      <c r="G197" s="80">
        <v>122</v>
      </c>
      <c r="H197" s="80">
        <v>1.06</v>
      </c>
      <c r="I197" s="80">
        <v>0.3</v>
      </c>
      <c r="J197" s="80">
        <v>3.7</v>
      </c>
      <c r="K197" s="80">
        <v>21.5</v>
      </c>
      <c r="L197" s="80">
        <v>45.4</v>
      </c>
      <c r="M197" s="80">
        <v>22.7</v>
      </c>
      <c r="N197" s="80">
        <v>5</v>
      </c>
      <c r="O197" s="80">
        <v>0.7</v>
      </c>
      <c r="P197" s="80">
        <v>0.5</v>
      </c>
      <c r="Q197" s="80">
        <v>0.2</v>
      </c>
      <c r="R197" s="80">
        <v>0.7</v>
      </c>
      <c r="S197" s="80">
        <v>1.84</v>
      </c>
    </row>
    <row r="198" spans="1:19">
      <c r="A198" s="295"/>
      <c r="B198" s="243" t="s">
        <v>90</v>
      </c>
      <c r="C198" s="196"/>
      <c r="D198" s="123">
        <v>64</v>
      </c>
      <c r="E198" s="124">
        <v>46.36</v>
      </c>
      <c r="F198" s="124">
        <v>0.49</v>
      </c>
      <c r="G198" s="124">
        <v>114</v>
      </c>
      <c r="H198" s="124">
        <v>1.04</v>
      </c>
      <c r="I198" s="124">
        <v>0.6</v>
      </c>
      <c r="J198" s="124">
        <v>6.1</v>
      </c>
      <c r="K198" s="124">
        <v>22.9</v>
      </c>
      <c r="L198" s="124">
        <v>38</v>
      </c>
      <c r="M198" s="124">
        <v>25.8</v>
      </c>
      <c r="N198" s="124">
        <v>5.7</v>
      </c>
      <c r="O198" s="124">
        <v>0.5</v>
      </c>
      <c r="P198" s="124">
        <v>0.3</v>
      </c>
      <c r="Q198" s="124">
        <v>0.1</v>
      </c>
      <c r="R198" s="124">
        <v>0.4</v>
      </c>
      <c r="S198" s="124">
        <v>1.85</v>
      </c>
    </row>
    <row r="199" spans="1:19">
      <c r="A199" s="295">
        <v>45884</v>
      </c>
      <c r="B199" s="243" t="s">
        <v>88</v>
      </c>
      <c r="C199" s="196"/>
      <c r="D199" s="78">
        <v>65</v>
      </c>
      <c r="E199" s="80">
        <v>46.36</v>
      </c>
      <c r="F199" s="80">
        <v>0.49</v>
      </c>
      <c r="G199" s="80">
        <v>120</v>
      </c>
      <c r="H199" s="80">
        <v>1.02</v>
      </c>
      <c r="I199" s="80">
        <v>0.5</v>
      </c>
      <c r="J199" s="80">
        <v>6</v>
      </c>
      <c r="K199" s="80">
        <v>25.1</v>
      </c>
      <c r="L199" s="80">
        <v>40.200000000000003</v>
      </c>
      <c r="M199" s="80">
        <v>22.5</v>
      </c>
      <c r="N199" s="80">
        <v>5</v>
      </c>
      <c r="O199" s="80">
        <v>0.4</v>
      </c>
      <c r="P199" s="80">
        <v>0.2</v>
      </c>
      <c r="Q199" s="80">
        <v>0.1</v>
      </c>
      <c r="R199" s="80">
        <v>0.3</v>
      </c>
      <c r="S199" s="80">
        <v>1.91</v>
      </c>
    </row>
    <row r="200" spans="1:19">
      <c r="A200" s="295"/>
      <c r="B200" s="243" t="s">
        <v>89</v>
      </c>
      <c r="C200" s="196"/>
      <c r="D200" s="92">
        <v>69</v>
      </c>
      <c r="E200" s="93">
        <v>46.36</v>
      </c>
      <c r="F200" s="93">
        <v>0.49</v>
      </c>
      <c r="G200" s="93">
        <v>118</v>
      </c>
      <c r="H200" s="93">
        <v>1.04</v>
      </c>
      <c r="I200" s="93">
        <v>0.3</v>
      </c>
      <c r="J200" s="93">
        <v>5.3</v>
      </c>
      <c r="K200" s="93">
        <v>26.6</v>
      </c>
      <c r="L200" s="93">
        <v>41.6</v>
      </c>
      <c r="M200" s="93">
        <v>20.2</v>
      </c>
      <c r="N200" s="93">
        <v>4.8</v>
      </c>
      <c r="O200" s="93">
        <v>0.6</v>
      </c>
      <c r="P200" s="93">
        <v>0.5</v>
      </c>
      <c r="Q200" s="93">
        <v>0.1</v>
      </c>
      <c r="R200" s="93">
        <v>0.6</v>
      </c>
      <c r="S200" s="93">
        <v>1.88</v>
      </c>
    </row>
    <row r="201" spans="1:19">
      <c r="A201" s="295"/>
      <c r="B201" s="243" t="s">
        <v>90</v>
      </c>
      <c r="C201" s="196"/>
      <c r="D201" s="94">
        <v>68</v>
      </c>
      <c r="E201" s="95">
        <v>46.36</v>
      </c>
      <c r="F201" s="95">
        <v>0.48</v>
      </c>
      <c r="G201" s="95">
        <v>122</v>
      </c>
      <c r="H201" s="95">
        <v>1.02</v>
      </c>
      <c r="I201" s="95">
        <v>0.3</v>
      </c>
      <c r="J201" s="95">
        <v>3.6</v>
      </c>
      <c r="K201" s="95">
        <v>22.1</v>
      </c>
      <c r="L201" s="95">
        <v>42.4</v>
      </c>
      <c r="M201" s="95">
        <v>25.1</v>
      </c>
      <c r="N201" s="95">
        <v>5.4</v>
      </c>
      <c r="O201" s="95">
        <v>0.5</v>
      </c>
      <c r="P201" s="95">
        <v>0.1</v>
      </c>
      <c r="Q201" s="95">
        <v>0.1</v>
      </c>
      <c r="R201" s="95">
        <v>0.6</v>
      </c>
      <c r="S201" s="95">
        <v>1.83</v>
      </c>
    </row>
    <row r="202" spans="1:19">
      <c r="A202" s="295">
        <v>45885</v>
      </c>
      <c r="B202" s="243" t="s">
        <v>88</v>
      </c>
      <c r="C202" s="196"/>
      <c r="D202" s="78">
        <v>64</v>
      </c>
      <c r="E202" s="80">
        <v>46.36</v>
      </c>
      <c r="F202" s="80">
        <v>0.49</v>
      </c>
      <c r="G202" s="80">
        <v>124</v>
      </c>
      <c r="H202" s="80">
        <v>1.07</v>
      </c>
      <c r="I202" s="80">
        <v>0.8</v>
      </c>
      <c r="J202" s="80">
        <v>6</v>
      </c>
      <c r="K202" s="80">
        <v>27.2</v>
      </c>
      <c r="L202" s="80">
        <v>39.4</v>
      </c>
      <c r="M202" s="80">
        <v>21.1</v>
      </c>
      <c r="N202" s="80">
        <v>4.5999999999999996</v>
      </c>
      <c r="O202" s="80">
        <v>0.4</v>
      </c>
      <c r="P202" s="80">
        <v>0.4</v>
      </c>
      <c r="Q202" s="80">
        <v>0.1</v>
      </c>
      <c r="R202" s="80">
        <v>0.5</v>
      </c>
      <c r="S202" s="80">
        <v>1.89</v>
      </c>
    </row>
    <row r="203" spans="1:19">
      <c r="A203" s="295"/>
      <c r="B203" s="243" t="s">
        <v>89</v>
      </c>
      <c r="C203" s="196"/>
      <c r="D203" s="92">
        <v>71</v>
      </c>
      <c r="E203" s="93">
        <v>46.37</v>
      </c>
      <c r="F203" s="93">
        <v>0.46</v>
      </c>
      <c r="G203" s="93">
        <v>126</v>
      </c>
      <c r="H203" s="93">
        <v>1.04</v>
      </c>
      <c r="I203" s="93">
        <v>0.4</v>
      </c>
      <c r="J203" s="93">
        <v>4.8</v>
      </c>
      <c r="K203" s="93">
        <v>21.8</v>
      </c>
      <c r="L203" s="93">
        <v>49.2</v>
      </c>
      <c r="M203" s="93">
        <v>18.399999999999999</v>
      </c>
      <c r="N203" s="93">
        <v>4.5</v>
      </c>
      <c r="O203" s="93">
        <v>0.5</v>
      </c>
      <c r="P203" s="93">
        <v>0.3</v>
      </c>
      <c r="Q203" s="93">
        <v>0.1</v>
      </c>
      <c r="R203" s="93">
        <v>0.4</v>
      </c>
      <c r="S203" s="93">
        <v>1.87</v>
      </c>
    </row>
    <row r="204" spans="1:19">
      <c r="A204" s="295"/>
      <c r="B204" s="243" t="s">
        <v>90</v>
      </c>
      <c r="C204" s="196"/>
      <c r="D204" s="94">
        <v>67</v>
      </c>
      <c r="E204" s="95">
        <v>46.36</v>
      </c>
      <c r="F204" s="95">
        <v>0.47</v>
      </c>
      <c r="G204" s="95">
        <v>122</v>
      </c>
      <c r="H204" s="95">
        <v>1.08</v>
      </c>
      <c r="I204" s="95">
        <v>0.3</v>
      </c>
      <c r="J204" s="95">
        <v>3.3</v>
      </c>
      <c r="K204" s="95">
        <v>21</v>
      </c>
      <c r="L204" s="95">
        <v>43.7</v>
      </c>
      <c r="M204" s="95">
        <v>23.8</v>
      </c>
      <c r="N204" s="95">
        <v>6.6</v>
      </c>
      <c r="O204" s="95">
        <v>0.6</v>
      </c>
      <c r="P204" s="95">
        <v>0.5</v>
      </c>
      <c r="Q204" s="95">
        <v>0.2</v>
      </c>
      <c r="R204" s="95">
        <v>0.7</v>
      </c>
      <c r="S204" s="95">
        <v>1.82</v>
      </c>
    </row>
    <row r="205" spans="1:19">
      <c r="A205" s="295">
        <v>45886</v>
      </c>
      <c r="B205" s="243" t="s">
        <v>88</v>
      </c>
      <c r="C205" s="196"/>
      <c r="D205" s="78">
        <v>60</v>
      </c>
      <c r="E205" s="80">
        <v>46.36</v>
      </c>
      <c r="F205" s="80">
        <v>0.49</v>
      </c>
      <c r="G205" s="80">
        <v>120</v>
      </c>
      <c r="H205" s="80">
        <v>1.1000000000000001</v>
      </c>
      <c r="I205" s="80">
        <v>0.1</v>
      </c>
      <c r="J205" s="80">
        <v>4.3</v>
      </c>
      <c r="K205" s="80">
        <v>18.600000000000001</v>
      </c>
      <c r="L205" s="80">
        <v>40.4</v>
      </c>
      <c r="M205" s="80">
        <v>29.3</v>
      </c>
      <c r="N205" s="80">
        <v>6.4</v>
      </c>
      <c r="O205" s="80">
        <v>0.7</v>
      </c>
      <c r="P205" s="80">
        <v>0.2</v>
      </c>
      <c r="Q205" s="80">
        <v>0</v>
      </c>
      <c r="R205" s="80">
        <v>0.2</v>
      </c>
      <c r="S205" s="80">
        <v>1.81</v>
      </c>
    </row>
    <row r="206" spans="1:19">
      <c r="A206" s="295"/>
      <c r="B206" s="243" t="s">
        <v>89</v>
      </c>
      <c r="C206" s="196"/>
      <c r="D206" s="92">
        <v>70</v>
      </c>
      <c r="E206" s="93">
        <v>46.37</v>
      </c>
      <c r="F206" s="93">
        <v>0.46</v>
      </c>
      <c r="G206" s="93">
        <v>116</v>
      </c>
      <c r="H206" s="93">
        <v>1.1200000000000001</v>
      </c>
      <c r="I206" s="93">
        <v>1</v>
      </c>
      <c r="J206" s="93">
        <v>7.7</v>
      </c>
      <c r="K206" s="93">
        <v>25.1</v>
      </c>
      <c r="L206" s="93">
        <v>39.5</v>
      </c>
      <c r="M206" s="93">
        <v>21.8</v>
      </c>
      <c r="N206" s="93">
        <v>4.2</v>
      </c>
      <c r="O206" s="93">
        <v>0.4</v>
      </c>
      <c r="P206" s="93">
        <v>0.2</v>
      </c>
      <c r="Q206" s="93">
        <v>0.1</v>
      </c>
      <c r="R206" s="93">
        <v>0.3</v>
      </c>
      <c r="S206" s="93">
        <v>1.9</v>
      </c>
    </row>
    <row r="207" spans="1:19">
      <c r="A207" s="295"/>
      <c r="B207" s="243" t="s">
        <v>90</v>
      </c>
      <c r="C207" s="196"/>
      <c r="D207" s="94">
        <v>66</v>
      </c>
      <c r="E207" s="95">
        <v>46.38</v>
      </c>
      <c r="F207" s="95">
        <v>0.45</v>
      </c>
      <c r="G207" s="95">
        <v>110</v>
      </c>
      <c r="H207" s="95">
        <v>1.08</v>
      </c>
      <c r="I207" s="95">
        <v>0.5</v>
      </c>
      <c r="J207" s="95">
        <v>6.3</v>
      </c>
      <c r="K207" s="95">
        <v>23.7</v>
      </c>
      <c r="L207" s="95">
        <v>41.5</v>
      </c>
      <c r="M207" s="95">
        <v>22.4</v>
      </c>
      <c r="N207" s="95">
        <v>4.8</v>
      </c>
      <c r="O207" s="95">
        <v>0.5</v>
      </c>
      <c r="P207" s="95">
        <v>0.4</v>
      </c>
      <c r="Q207" s="95">
        <v>0.1</v>
      </c>
      <c r="R207" s="95">
        <v>0.5</v>
      </c>
      <c r="S207" s="95">
        <v>1.87</v>
      </c>
    </row>
    <row r="208" spans="1:19">
      <c r="A208" s="295">
        <v>45887</v>
      </c>
      <c r="B208" s="243" t="s">
        <v>88</v>
      </c>
      <c r="C208" s="196"/>
      <c r="D208" s="78">
        <v>61</v>
      </c>
      <c r="E208" s="80">
        <v>46.36</v>
      </c>
      <c r="F208" s="80">
        <v>0.47</v>
      </c>
      <c r="G208" s="80">
        <v>114</v>
      </c>
      <c r="H208" s="80">
        <v>1.1100000000000001</v>
      </c>
      <c r="I208" s="80">
        <v>0.2</v>
      </c>
      <c r="J208" s="80">
        <v>4.2</v>
      </c>
      <c r="K208" s="80">
        <v>25.6</v>
      </c>
      <c r="L208" s="80">
        <v>41.2</v>
      </c>
      <c r="M208" s="80">
        <v>23.1</v>
      </c>
      <c r="N208" s="80">
        <v>5</v>
      </c>
      <c r="O208" s="80">
        <v>0.4</v>
      </c>
      <c r="P208" s="80">
        <v>0.2</v>
      </c>
      <c r="Q208" s="80">
        <v>0.1</v>
      </c>
      <c r="R208" s="80">
        <v>0.3</v>
      </c>
      <c r="S208" s="80">
        <v>1.86</v>
      </c>
    </row>
    <row r="209" spans="1:19">
      <c r="A209" s="295"/>
      <c r="B209" s="243" t="s">
        <v>89</v>
      </c>
      <c r="C209" s="196"/>
      <c r="D209" s="92">
        <v>65</v>
      </c>
      <c r="E209" s="93">
        <v>46.37</v>
      </c>
      <c r="F209" s="93">
        <v>0.45</v>
      </c>
      <c r="G209" s="93">
        <v>120</v>
      </c>
      <c r="H209" s="93">
        <v>1.07</v>
      </c>
      <c r="I209" s="93">
        <v>0.3</v>
      </c>
      <c r="J209" s="93">
        <v>5.7</v>
      </c>
      <c r="K209" s="93">
        <v>23.4</v>
      </c>
      <c r="L209" s="93">
        <v>40.4</v>
      </c>
      <c r="M209" s="93">
        <v>24.4</v>
      </c>
      <c r="N209" s="93">
        <v>4.8</v>
      </c>
      <c r="O209" s="93">
        <v>0.5</v>
      </c>
      <c r="P209" s="93">
        <v>0.4</v>
      </c>
      <c r="Q209" s="93">
        <v>0.1</v>
      </c>
      <c r="R209" s="93">
        <v>0.5</v>
      </c>
      <c r="S209" s="93">
        <v>1.86</v>
      </c>
    </row>
    <row r="210" spans="1:19">
      <c r="A210" s="295"/>
      <c r="B210" s="243" t="s">
        <v>90</v>
      </c>
      <c r="C210" s="196"/>
      <c r="D210" s="94">
        <v>54</v>
      </c>
      <c r="E210" s="95">
        <v>46.39</v>
      </c>
      <c r="F210" s="95">
        <v>0.46</v>
      </c>
      <c r="G210" s="95">
        <v>112</v>
      </c>
      <c r="H210" s="95">
        <v>0.94</v>
      </c>
      <c r="I210" s="95">
        <v>0.2</v>
      </c>
      <c r="J210" s="95">
        <v>4.7</v>
      </c>
      <c r="K210" s="95">
        <v>18.3</v>
      </c>
      <c r="L210" s="95">
        <v>40.700000000000003</v>
      </c>
      <c r="M210" s="95">
        <v>28.8</v>
      </c>
      <c r="N210" s="95">
        <v>5.8</v>
      </c>
      <c r="O210" s="95">
        <v>0.9</v>
      </c>
      <c r="P210" s="95">
        <v>0.5</v>
      </c>
      <c r="Q210" s="95">
        <v>0.1</v>
      </c>
      <c r="R210" s="95">
        <v>0.6</v>
      </c>
      <c r="S210" s="95">
        <v>1.81</v>
      </c>
    </row>
    <row r="211" spans="1:19">
      <c r="A211" s="295">
        <v>45888</v>
      </c>
      <c r="B211" s="243" t="s">
        <v>88</v>
      </c>
      <c r="C211" s="196"/>
      <c r="D211" s="78">
        <v>72</v>
      </c>
      <c r="E211" s="80">
        <v>46.37</v>
      </c>
      <c r="F211" s="80">
        <v>0.46</v>
      </c>
      <c r="G211" s="80">
        <v>122</v>
      </c>
      <c r="H211" s="80">
        <v>1.04</v>
      </c>
      <c r="I211" s="80">
        <v>0.7</v>
      </c>
      <c r="J211" s="80">
        <v>6.6</v>
      </c>
      <c r="K211" s="80">
        <v>27.1</v>
      </c>
      <c r="L211" s="80">
        <v>36.799999999999997</v>
      </c>
      <c r="M211" s="80">
        <v>22.8</v>
      </c>
      <c r="N211" s="80">
        <v>5.0999999999999996</v>
      </c>
      <c r="O211" s="80">
        <v>0.4</v>
      </c>
      <c r="P211" s="80">
        <v>0.4</v>
      </c>
      <c r="Q211" s="80">
        <v>0.1</v>
      </c>
      <c r="R211" s="80">
        <v>0.5</v>
      </c>
      <c r="S211" s="80">
        <v>1.88</v>
      </c>
    </row>
    <row r="212" spans="1:19">
      <c r="A212" s="295"/>
      <c r="B212" s="243" t="s">
        <v>89</v>
      </c>
      <c r="C212" s="196"/>
      <c r="D212" s="92">
        <v>64</v>
      </c>
      <c r="E212" s="93">
        <v>46.38</v>
      </c>
      <c r="F212" s="93">
        <v>0.44</v>
      </c>
      <c r="G212" s="93">
        <v>116</v>
      </c>
      <c r="H212" s="93">
        <v>1.02</v>
      </c>
      <c r="I212" s="93">
        <v>0.7</v>
      </c>
      <c r="J212" s="93">
        <v>6.6</v>
      </c>
      <c r="K212" s="93">
        <v>24.8</v>
      </c>
      <c r="L212" s="93">
        <v>41.2</v>
      </c>
      <c r="M212" s="93">
        <v>21.1</v>
      </c>
      <c r="N212" s="93">
        <v>4.5999999999999996</v>
      </c>
      <c r="O212" s="93">
        <v>0.5</v>
      </c>
      <c r="P212" s="93">
        <v>0.4</v>
      </c>
      <c r="Q212" s="93">
        <v>0.1</v>
      </c>
      <c r="R212" s="93">
        <v>0.5</v>
      </c>
      <c r="S212" s="93">
        <v>1.88</v>
      </c>
    </row>
    <row r="213" spans="1:19">
      <c r="A213" s="295"/>
      <c r="B213" s="243" t="s">
        <v>90</v>
      </c>
      <c r="C213" s="196"/>
      <c r="D213" s="94">
        <v>62</v>
      </c>
      <c r="E213" s="95">
        <v>46.38</v>
      </c>
      <c r="F213" s="95">
        <v>0.46</v>
      </c>
      <c r="G213" s="95">
        <v>110</v>
      </c>
      <c r="H213" s="95">
        <v>1.03</v>
      </c>
      <c r="I213" s="95">
        <v>0.4</v>
      </c>
      <c r="J213" s="95">
        <v>6.5</v>
      </c>
      <c r="K213" s="95">
        <v>23.1</v>
      </c>
      <c r="L213" s="95">
        <v>42.9</v>
      </c>
      <c r="M213" s="95">
        <v>21.7</v>
      </c>
      <c r="N213" s="95">
        <v>4.5999999999999996</v>
      </c>
      <c r="O213" s="95">
        <v>0.4</v>
      </c>
      <c r="P213" s="95">
        <v>0.3</v>
      </c>
      <c r="Q213" s="95">
        <v>0.1</v>
      </c>
      <c r="R213" s="95">
        <v>0.4</v>
      </c>
      <c r="S213" s="95">
        <v>1.87</v>
      </c>
    </row>
    <row r="214" spans="1:19">
      <c r="A214" s="295">
        <v>45889</v>
      </c>
      <c r="B214" s="243" t="s">
        <v>88</v>
      </c>
      <c r="C214" s="196"/>
      <c r="D214" s="78">
        <v>64</v>
      </c>
      <c r="E214" s="80">
        <v>46.37</v>
      </c>
      <c r="F214" s="80">
        <v>0.47</v>
      </c>
      <c r="G214" s="80">
        <v>118</v>
      </c>
      <c r="H214" s="80">
        <v>1.04</v>
      </c>
      <c r="I214" s="80">
        <v>0.2</v>
      </c>
      <c r="J214" s="80">
        <v>4.2</v>
      </c>
      <c r="K214" s="80">
        <v>25.9</v>
      </c>
      <c r="L214" s="80">
        <v>41.2</v>
      </c>
      <c r="M214" s="80">
        <v>21.9</v>
      </c>
      <c r="N214" s="80">
        <v>5.5</v>
      </c>
      <c r="O214" s="80">
        <v>0.6</v>
      </c>
      <c r="P214" s="80">
        <v>0.4</v>
      </c>
      <c r="Q214" s="80">
        <v>0.1</v>
      </c>
      <c r="R214" s="80">
        <v>0.5</v>
      </c>
      <c r="S214" s="80">
        <v>1.86</v>
      </c>
    </row>
    <row r="215" spans="1:19">
      <c r="A215" s="295"/>
      <c r="B215" s="243" t="s">
        <v>89</v>
      </c>
      <c r="C215" s="196"/>
      <c r="D215" s="92">
        <v>64</v>
      </c>
      <c r="E215" s="93">
        <v>46.38</v>
      </c>
      <c r="F215" s="93">
        <v>0.44</v>
      </c>
      <c r="G215" s="93">
        <v>112</v>
      </c>
      <c r="H215" s="93">
        <v>1.02</v>
      </c>
      <c r="I215" s="93">
        <v>0.4</v>
      </c>
      <c r="J215" s="93">
        <v>5.0999999999999996</v>
      </c>
      <c r="K215" s="93">
        <v>23.4</v>
      </c>
      <c r="L215" s="93">
        <v>41.8</v>
      </c>
      <c r="M215" s="93">
        <v>24</v>
      </c>
      <c r="N215" s="93">
        <v>4.4000000000000004</v>
      </c>
      <c r="O215" s="93">
        <v>0.5</v>
      </c>
      <c r="P215" s="93">
        <v>0.3</v>
      </c>
      <c r="Q215" s="93">
        <v>0.1</v>
      </c>
      <c r="R215" s="93">
        <v>0.4</v>
      </c>
      <c r="S215" s="93">
        <v>1.86</v>
      </c>
    </row>
    <row r="216" spans="1:19">
      <c r="A216" s="295"/>
      <c r="B216" s="243" t="s">
        <v>90</v>
      </c>
      <c r="C216" s="196"/>
      <c r="D216" s="94">
        <v>66</v>
      </c>
      <c r="E216" s="95">
        <v>46.38</v>
      </c>
      <c r="F216" s="95">
        <v>0.45</v>
      </c>
      <c r="G216" s="95">
        <v>118</v>
      </c>
      <c r="H216" s="95">
        <v>1.03</v>
      </c>
      <c r="I216" s="95">
        <v>0.9</v>
      </c>
      <c r="J216" s="95">
        <v>7.2</v>
      </c>
      <c r="K216" s="95">
        <v>25</v>
      </c>
      <c r="L216" s="95">
        <v>39.6</v>
      </c>
      <c r="M216" s="95">
        <v>22.3</v>
      </c>
      <c r="N216" s="95">
        <v>4.4000000000000004</v>
      </c>
      <c r="O216" s="95">
        <v>0.3</v>
      </c>
      <c r="P216" s="95">
        <v>0.3</v>
      </c>
      <c r="Q216" s="95">
        <v>0.1</v>
      </c>
      <c r="R216" s="95">
        <v>0.4</v>
      </c>
      <c r="S216" s="95">
        <v>1.89</v>
      </c>
    </row>
    <row r="217" spans="1:19">
      <c r="A217" s="295">
        <v>45890</v>
      </c>
      <c r="B217" s="243" t="s">
        <v>88</v>
      </c>
      <c r="C217" s="196"/>
      <c r="D217" s="78">
        <v>67</v>
      </c>
      <c r="E217" s="80">
        <v>46.37</v>
      </c>
      <c r="F217" s="80">
        <v>0.46</v>
      </c>
      <c r="G217" s="80">
        <v>124</v>
      </c>
      <c r="H217" s="80">
        <v>1.03</v>
      </c>
      <c r="I217" s="80">
        <v>0.3</v>
      </c>
      <c r="J217" s="80">
        <v>5.2</v>
      </c>
      <c r="K217" s="80">
        <v>28.5</v>
      </c>
      <c r="L217" s="80">
        <v>41.2</v>
      </c>
      <c r="M217" s="80">
        <v>20.100000000000001</v>
      </c>
      <c r="N217" s="80">
        <v>4</v>
      </c>
      <c r="O217" s="80">
        <v>0.4</v>
      </c>
      <c r="P217" s="80">
        <v>0.2</v>
      </c>
      <c r="Q217" s="80">
        <v>0.1</v>
      </c>
      <c r="R217" s="80">
        <v>0.3</v>
      </c>
      <c r="S217" s="80">
        <v>1.89</v>
      </c>
    </row>
    <row r="218" spans="1:19">
      <c r="A218" s="295"/>
      <c r="B218" s="243" t="s">
        <v>89</v>
      </c>
      <c r="C218" s="196"/>
      <c r="D218" s="92">
        <v>74</v>
      </c>
      <c r="E218" s="93">
        <v>46.37</v>
      </c>
      <c r="F218" s="93">
        <v>0.46</v>
      </c>
      <c r="G218" s="93">
        <v>120</v>
      </c>
      <c r="H218" s="93">
        <v>1.04</v>
      </c>
      <c r="I218" s="93">
        <v>0.3</v>
      </c>
      <c r="J218" s="93">
        <v>4.8</v>
      </c>
      <c r="K218" s="93">
        <v>27.1</v>
      </c>
      <c r="L218" s="93">
        <v>38.700000000000003</v>
      </c>
      <c r="M218" s="93">
        <v>22.7</v>
      </c>
      <c r="N218" s="93">
        <v>5</v>
      </c>
      <c r="O218" s="93">
        <v>0.6</v>
      </c>
      <c r="P218" s="93">
        <v>0.5</v>
      </c>
      <c r="Q218" s="93">
        <v>0.3</v>
      </c>
      <c r="R218" s="93">
        <v>0.8</v>
      </c>
      <c r="S218" s="93">
        <v>1.86</v>
      </c>
    </row>
    <row r="219" spans="1:19">
      <c r="A219" s="295"/>
      <c r="B219" s="243" t="s">
        <v>90</v>
      </c>
      <c r="C219" s="196"/>
      <c r="D219" s="94">
        <v>65</v>
      </c>
      <c r="E219" s="95">
        <v>46.37</v>
      </c>
      <c r="F219" s="95">
        <v>0.47</v>
      </c>
      <c r="G219" s="95">
        <v>116</v>
      </c>
      <c r="H219" s="95">
        <v>1.06</v>
      </c>
      <c r="I219" s="95">
        <v>0.5</v>
      </c>
      <c r="J219" s="95">
        <v>5</v>
      </c>
      <c r="K219" s="95">
        <v>22.9</v>
      </c>
      <c r="L219" s="95">
        <v>39.5</v>
      </c>
      <c r="M219" s="95">
        <v>26.4</v>
      </c>
      <c r="N219" s="95">
        <v>5.0999999999999996</v>
      </c>
      <c r="O219" s="95">
        <v>0.4</v>
      </c>
      <c r="P219" s="95">
        <v>0.2</v>
      </c>
      <c r="Q219" s="95">
        <v>0.1</v>
      </c>
      <c r="R219" s="95">
        <v>0.3</v>
      </c>
      <c r="S219" s="95">
        <v>1.85</v>
      </c>
    </row>
    <row r="220" spans="1:19">
      <c r="A220" s="295">
        <v>45891</v>
      </c>
      <c r="B220" s="243" t="s">
        <v>88</v>
      </c>
      <c r="C220" s="196"/>
      <c r="D220" s="78">
        <v>68</v>
      </c>
      <c r="E220" s="80">
        <v>46.37</v>
      </c>
      <c r="F220" s="80">
        <v>0.47</v>
      </c>
      <c r="G220" s="80">
        <v>126</v>
      </c>
      <c r="H220" s="80">
        <v>1.05</v>
      </c>
      <c r="I220" s="80">
        <v>0.4</v>
      </c>
      <c r="J220" s="80">
        <v>6</v>
      </c>
      <c r="K220" s="80">
        <v>26.8</v>
      </c>
      <c r="L220" s="80">
        <v>40.799999999999997</v>
      </c>
      <c r="M220" s="80">
        <v>20.399999999999999</v>
      </c>
      <c r="N220" s="122">
        <v>4.5999999999999996</v>
      </c>
      <c r="O220" s="80">
        <v>0.5</v>
      </c>
      <c r="P220" s="80">
        <v>0.4</v>
      </c>
      <c r="Q220" s="80">
        <v>0.1</v>
      </c>
      <c r="R220" s="80">
        <v>0.5</v>
      </c>
      <c r="S220" s="80">
        <v>1.89</v>
      </c>
    </row>
    <row r="221" spans="1:19">
      <c r="A221" s="295"/>
      <c r="B221" s="243" t="s">
        <v>89</v>
      </c>
      <c r="C221" s="196"/>
      <c r="D221" s="78">
        <v>70</v>
      </c>
      <c r="E221" s="80">
        <v>46.38</v>
      </c>
      <c r="F221" s="80">
        <v>0.46</v>
      </c>
      <c r="G221" s="80">
        <v>114</v>
      </c>
      <c r="H221" s="80">
        <v>1.02</v>
      </c>
      <c r="I221" s="80">
        <v>0.5</v>
      </c>
      <c r="J221" s="80">
        <v>6.8</v>
      </c>
      <c r="K221" s="80">
        <v>25</v>
      </c>
      <c r="L221" s="80">
        <v>39.6</v>
      </c>
      <c r="M221" s="80">
        <v>22.4</v>
      </c>
      <c r="N221" s="80">
        <v>4.8</v>
      </c>
      <c r="O221" s="80">
        <v>0.5</v>
      </c>
      <c r="P221" s="80">
        <v>0.3</v>
      </c>
      <c r="Q221" s="80">
        <v>0.1</v>
      </c>
      <c r="R221" s="80">
        <v>0.4</v>
      </c>
      <c r="S221" s="80">
        <v>1.88</v>
      </c>
    </row>
    <row r="222" spans="1:19">
      <c r="A222" s="295"/>
      <c r="B222" s="243" t="s">
        <v>90</v>
      </c>
      <c r="C222" s="196"/>
      <c r="D222" s="123">
        <v>66</v>
      </c>
      <c r="E222" s="124">
        <v>46.37</v>
      </c>
      <c r="F222" s="124">
        <v>0.47</v>
      </c>
      <c r="G222" s="124">
        <v>120</v>
      </c>
      <c r="H222" s="124">
        <v>1.04</v>
      </c>
      <c r="I222" s="124">
        <v>0.2</v>
      </c>
      <c r="J222" s="124">
        <v>4.9000000000000004</v>
      </c>
      <c r="K222" s="124">
        <v>24.8</v>
      </c>
      <c r="L222" s="124">
        <v>40.299999999999997</v>
      </c>
      <c r="M222" s="124">
        <v>24.5</v>
      </c>
      <c r="N222" s="124">
        <v>4.8</v>
      </c>
      <c r="O222" s="124">
        <v>0.3</v>
      </c>
      <c r="P222" s="124">
        <v>0.1</v>
      </c>
      <c r="Q222" s="124">
        <v>0.1</v>
      </c>
      <c r="R222" s="124">
        <v>0.2</v>
      </c>
      <c r="S222" s="124">
        <v>1.86</v>
      </c>
    </row>
    <row r="223" spans="1:19">
      <c r="A223" s="295">
        <v>45892</v>
      </c>
      <c r="B223" s="243" t="s">
        <v>88</v>
      </c>
      <c r="C223" s="196"/>
      <c r="D223" s="78">
        <v>64</v>
      </c>
      <c r="E223" s="80">
        <v>46.37</v>
      </c>
      <c r="F223" s="80">
        <v>0.47</v>
      </c>
      <c r="G223" s="80">
        <v>126</v>
      </c>
      <c r="H223" s="80">
        <v>1.04</v>
      </c>
      <c r="I223" s="80">
        <v>0.7</v>
      </c>
      <c r="J223" s="80">
        <v>5.6</v>
      </c>
      <c r="K223" s="80">
        <v>27.1</v>
      </c>
      <c r="L223" s="80">
        <v>41.3</v>
      </c>
      <c r="M223" s="80">
        <v>19.3</v>
      </c>
      <c r="N223" s="122">
        <v>4.7</v>
      </c>
      <c r="O223" s="80">
        <v>0.6</v>
      </c>
      <c r="P223" s="80">
        <v>0.5</v>
      </c>
      <c r="Q223" s="80">
        <v>0.2</v>
      </c>
      <c r="R223" s="80">
        <v>0.7</v>
      </c>
      <c r="S223" s="80">
        <v>1.89</v>
      </c>
    </row>
    <row r="224" spans="1:19">
      <c r="A224" s="295"/>
      <c r="B224" s="243" t="s">
        <v>89</v>
      </c>
      <c r="C224" s="196"/>
      <c r="D224" s="78">
        <v>78</v>
      </c>
      <c r="E224" s="80">
        <v>46.36</v>
      </c>
      <c r="F224" s="80">
        <v>0.48</v>
      </c>
      <c r="G224" s="80">
        <v>122</v>
      </c>
      <c r="H224" s="80">
        <v>1.06</v>
      </c>
      <c r="I224" s="80">
        <v>0.7</v>
      </c>
      <c r="J224" s="80">
        <v>6.9</v>
      </c>
      <c r="K224" s="80">
        <v>26.6</v>
      </c>
      <c r="L224" s="80">
        <v>38</v>
      </c>
      <c r="M224" s="80">
        <v>20.9</v>
      </c>
      <c r="N224" s="80">
        <v>5.4</v>
      </c>
      <c r="O224" s="80">
        <v>0.6</v>
      </c>
      <c r="P224" s="80">
        <v>0.6</v>
      </c>
      <c r="Q224" s="80">
        <v>0.3</v>
      </c>
      <c r="R224" s="80">
        <v>0.9</v>
      </c>
      <c r="S224" s="80">
        <v>1.88</v>
      </c>
    </row>
    <row r="225" spans="1:19">
      <c r="A225" s="295"/>
      <c r="B225" s="243" t="s">
        <v>90</v>
      </c>
      <c r="C225" s="196"/>
      <c r="D225" s="123">
        <v>66</v>
      </c>
      <c r="E225" s="124">
        <v>46.36</v>
      </c>
      <c r="F225" s="124">
        <v>0.49</v>
      </c>
      <c r="G225" s="124">
        <v>128</v>
      </c>
      <c r="H225" s="124">
        <v>1.07</v>
      </c>
      <c r="I225" s="124">
        <v>0.5</v>
      </c>
      <c r="J225" s="124">
        <v>5.5</v>
      </c>
      <c r="K225" s="124">
        <v>23.4</v>
      </c>
      <c r="L225" s="124">
        <v>38</v>
      </c>
      <c r="M225" s="124">
        <v>25.1</v>
      </c>
      <c r="N225" s="124">
        <v>6.5</v>
      </c>
      <c r="O225" s="124">
        <v>0.6</v>
      </c>
      <c r="P225" s="124">
        <v>0.3</v>
      </c>
      <c r="Q225" s="124">
        <v>0.1</v>
      </c>
      <c r="R225" s="124">
        <v>0.4</v>
      </c>
      <c r="S225" s="124">
        <v>1.85</v>
      </c>
    </row>
    <row r="226" spans="1:19">
      <c r="A226" s="295">
        <v>45893</v>
      </c>
      <c r="B226" s="243" t="s">
        <v>88</v>
      </c>
      <c r="C226" s="196"/>
      <c r="D226" s="78">
        <v>60</v>
      </c>
      <c r="E226" s="80">
        <v>46.36</v>
      </c>
      <c r="F226" s="80">
        <v>0.48</v>
      </c>
      <c r="G226" s="80">
        <v>132</v>
      </c>
      <c r="H226" s="80">
        <v>1.01</v>
      </c>
      <c r="I226" s="80">
        <v>0.3</v>
      </c>
      <c r="J226" s="80">
        <v>5.2</v>
      </c>
      <c r="K226" s="80">
        <v>25.9</v>
      </c>
      <c r="L226" s="80">
        <v>40.4</v>
      </c>
      <c r="M226" s="80">
        <v>21.4</v>
      </c>
      <c r="N226" s="80">
        <v>5.6</v>
      </c>
      <c r="O226" s="80">
        <v>0.6</v>
      </c>
      <c r="P226" s="80">
        <v>0.5</v>
      </c>
      <c r="Q226" s="80">
        <v>0.1</v>
      </c>
      <c r="R226" s="80">
        <v>0.6</v>
      </c>
      <c r="S226" s="80">
        <v>1.86</v>
      </c>
    </row>
    <row r="227" spans="1:19">
      <c r="A227" s="295"/>
      <c r="B227" s="243" t="s">
        <v>89</v>
      </c>
      <c r="C227" s="196"/>
      <c r="D227" s="92">
        <v>68</v>
      </c>
      <c r="E227" s="93">
        <v>46.37</v>
      </c>
      <c r="F227" s="93">
        <v>0.47</v>
      </c>
      <c r="G227" s="93">
        <v>124</v>
      </c>
      <c r="H227" s="93">
        <v>1.03</v>
      </c>
      <c r="I227" s="93">
        <v>4.5</v>
      </c>
      <c r="J227" s="93">
        <v>8</v>
      </c>
      <c r="K227" s="93">
        <v>25.2</v>
      </c>
      <c r="L227" s="93">
        <v>37.6</v>
      </c>
      <c r="M227" s="93">
        <v>20.399999999999999</v>
      </c>
      <c r="N227" s="93">
        <v>3.6</v>
      </c>
      <c r="O227" s="93">
        <v>0.3</v>
      </c>
      <c r="P227" s="93">
        <v>0.3</v>
      </c>
      <c r="Q227" s="93">
        <v>0.1</v>
      </c>
      <c r="R227" s="93">
        <v>0.4</v>
      </c>
      <c r="S227" s="93">
        <v>1.95</v>
      </c>
    </row>
    <row r="228" spans="1:19">
      <c r="A228" s="295"/>
      <c r="B228" s="243" t="s">
        <v>90</v>
      </c>
      <c r="C228" s="196"/>
      <c r="D228" s="94">
        <v>62</v>
      </c>
      <c r="E228" s="95">
        <v>46.37</v>
      </c>
      <c r="F228" s="95">
        <v>0.47</v>
      </c>
      <c r="G228" s="95">
        <v>122</v>
      </c>
      <c r="H228" s="95">
        <v>1.05</v>
      </c>
      <c r="I228" s="95">
        <v>0.5</v>
      </c>
      <c r="J228" s="95">
        <v>5.7</v>
      </c>
      <c r="K228" s="95">
        <v>25.3</v>
      </c>
      <c r="L228" s="95">
        <v>39.5</v>
      </c>
      <c r="M228" s="95">
        <v>22.7</v>
      </c>
      <c r="N228" s="95">
        <v>5.7</v>
      </c>
      <c r="O228" s="95">
        <v>0.4</v>
      </c>
      <c r="P228" s="95">
        <v>0.1</v>
      </c>
      <c r="Q228" s="95">
        <v>0.1</v>
      </c>
      <c r="R228" s="95">
        <v>0.2</v>
      </c>
      <c r="S228" s="95">
        <v>1.87</v>
      </c>
    </row>
    <row r="229" spans="1:19">
      <c r="A229" s="295">
        <v>45894</v>
      </c>
      <c r="B229" s="243" t="s">
        <v>88</v>
      </c>
      <c r="C229" s="196"/>
      <c r="D229" s="78">
        <v>58</v>
      </c>
      <c r="E229" s="80">
        <v>46.37</v>
      </c>
      <c r="F229" s="80">
        <v>0.47</v>
      </c>
      <c r="G229" s="80">
        <v>126</v>
      </c>
      <c r="H229" s="80">
        <v>1.03</v>
      </c>
      <c r="I229" s="80">
        <v>0.3</v>
      </c>
      <c r="J229" s="80">
        <v>5</v>
      </c>
      <c r="K229" s="80">
        <v>23.3</v>
      </c>
      <c r="L229" s="80">
        <v>40.799999999999997</v>
      </c>
      <c r="M229" s="80">
        <v>23.9</v>
      </c>
      <c r="N229" s="80">
        <v>5.7</v>
      </c>
      <c r="O229" s="80">
        <v>0.5</v>
      </c>
      <c r="P229" s="80">
        <v>0.4</v>
      </c>
      <c r="Q229" s="80">
        <v>0.1</v>
      </c>
      <c r="R229" s="80">
        <v>0.5</v>
      </c>
      <c r="S229" s="80">
        <v>1.85</v>
      </c>
    </row>
    <row r="230" spans="1:19">
      <c r="A230" s="295"/>
      <c r="B230" s="243" t="s">
        <v>89</v>
      </c>
      <c r="C230" s="196"/>
      <c r="D230" s="92">
        <v>66</v>
      </c>
      <c r="E230" s="93">
        <v>46.38</v>
      </c>
      <c r="F230" s="93">
        <v>0.45</v>
      </c>
      <c r="G230" s="93">
        <v>114</v>
      </c>
      <c r="H230" s="93">
        <v>1.02</v>
      </c>
      <c r="I230" s="93">
        <v>0.3</v>
      </c>
      <c r="J230" s="93">
        <v>5.4</v>
      </c>
      <c r="K230" s="93">
        <v>22.7</v>
      </c>
      <c r="L230" s="93">
        <v>41</v>
      </c>
      <c r="M230" s="93">
        <v>23.5</v>
      </c>
      <c r="N230" s="93">
        <v>5.8</v>
      </c>
      <c r="O230" s="93">
        <v>0.6</v>
      </c>
      <c r="P230" s="93">
        <v>0.5</v>
      </c>
      <c r="Q230" s="93">
        <v>0.2</v>
      </c>
      <c r="R230" s="93">
        <v>0.7</v>
      </c>
      <c r="S230" s="93">
        <v>1.85</v>
      </c>
    </row>
    <row r="231" spans="1:19">
      <c r="A231" s="295"/>
      <c r="B231" s="243" t="s">
        <v>90</v>
      </c>
      <c r="C231" s="196"/>
      <c r="D231" s="94">
        <v>62</v>
      </c>
      <c r="E231" s="95">
        <v>46.37</v>
      </c>
      <c r="F231" s="95">
        <v>0.46</v>
      </c>
      <c r="G231" s="95">
        <v>118</v>
      </c>
      <c r="H231" s="95">
        <v>1.02</v>
      </c>
      <c r="I231" s="95">
        <v>0.4</v>
      </c>
      <c r="J231" s="95">
        <v>4.4000000000000004</v>
      </c>
      <c r="K231" s="95">
        <v>20.100000000000001</v>
      </c>
      <c r="L231" s="95">
        <v>42.4</v>
      </c>
      <c r="M231" s="95">
        <v>24.8</v>
      </c>
      <c r="N231" s="95">
        <v>6.2</v>
      </c>
      <c r="O231" s="95">
        <v>1</v>
      </c>
      <c r="P231" s="95">
        <v>0.6</v>
      </c>
      <c r="Q231" s="95">
        <v>0.1</v>
      </c>
      <c r="R231" s="95">
        <v>0.7</v>
      </c>
      <c r="S231" s="95">
        <v>1.82</v>
      </c>
    </row>
    <row r="232" spans="1:19" ht="15" customHeight="1">
      <c r="A232" s="295">
        <v>45895</v>
      </c>
      <c r="B232" s="243" t="s">
        <v>88</v>
      </c>
      <c r="C232" s="196"/>
      <c r="D232" s="78">
        <v>64</v>
      </c>
      <c r="E232" s="80">
        <v>46.39</v>
      </c>
      <c r="F232" s="80">
        <v>0.43</v>
      </c>
      <c r="G232" s="80">
        <v>120</v>
      </c>
      <c r="H232" s="80">
        <v>1.05</v>
      </c>
      <c r="I232" s="80">
        <v>0.1</v>
      </c>
      <c r="J232" s="80">
        <v>6.5</v>
      </c>
      <c r="K232" s="80">
        <v>25.4</v>
      </c>
      <c r="L232" s="80">
        <v>40</v>
      </c>
      <c r="M232" s="80">
        <v>21.6</v>
      </c>
      <c r="N232" s="80">
        <v>5.2</v>
      </c>
      <c r="O232" s="80">
        <v>0.5</v>
      </c>
      <c r="P232" s="80">
        <v>0.5</v>
      </c>
      <c r="Q232" s="80">
        <v>0.2</v>
      </c>
      <c r="R232" s="80">
        <v>0.7</v>
      </c>
      <c r="S232" s="80">
        <v>1.87</v>
      </c>
    </row>
    <row r="233" spans="1:19">
      <c r="A233" s="295"/>
      <c r="B233" s="243" t="s">
        <v>89</v>
      </c>
      <c r="C233" s="196"/>
      <c r="D233" s="92">
        <v>0</v>
      </c>
      <c r="E233" s="93">
        <v>0</v>
      </c>
      <c r="F233" s="93">
        <v>0.44</v>
      </c>
      <c r="G233" s="93">
        <v>0</v>
      </c>
      <c r="H233" s="93">
        <v>1.1299999999999999</v>
      </c>
      <c r="I233" s="93">
        <v>0</v>
      </c>
      <c r="J233" s="93">
        <v>0</v>
      </c>
      <c r="K233" s="93">
        <v>0</v>
      </c>
      <c r="L233" s="93">
        <v>0</v>
      </c>
      <c r="M233" s="93">
        <v>0</v>
      </c>
      <c r="N233" s="93">
        <v>0</v>
      </c>
      <c r="O233" s="93">
        <v>0</v>
      </c>
      <c r="P233" s="93">
        <v>0</v>
      </c>
      <c r="Q233" s="93">
        <v>0</v>
      </c>
      <c r="R233" s="93">
        <v>0</v>
      </c>
      <c r="S233" s="93">
        <v>0</v>
      </c>
    </row>
    <row r="234" spans="1:19">
      <c r="A234" s="295"/>
      <c r="B234" s="243" t="s">
        <v>90</v>
      </c>
      <c r="C234" s="196"/>
      <c r="D234" s="94">
        <v>0</v>
      </c>
      <c r="E234" s="95">
        <v>46.4</v>
      </c>
      <c r="F234" s="95">
        <v>0.4</v>
      </c>
      <c r="G234" s="95">
        <v>124</v>
      </c>
      <c r="H234" s="95">
        <v>1.1299999999999999</v>
      </c>
      <c r="I234" s="95">
        <v>0.8</v>
      </c>
      <c r="J234" s="95">
        <v>7.4</v>
      </c>
      <c r="K234" s="95">
        <v>30.7</v>
      </c>
      <c r="L234" s="95">
        <v>38.1</v>
      </c>
      <c r="M234" s="95">
        <v>19.3</v>
      </c>
      <c r="N234" s="95">
        <v>3.4</v>
      </c>
      <c r="O234" s="95">
        <v>0.2</v>
      </c>
      <c r="P234" s="95">
        <v>0.1</v>
      </c>
      <c r="Q234" s="95">
        <v>0</v>
      </c>
      <c r="R234" s="95">
        <v>0.1</v>
      </c>
      <c r="S234" s="95">
        <v>1.93</v>
      </c>
    </row>
    <row r="235" spans="1:19">
      <c r="A235" s="295">
        <v>45896</v>
      </c>
      <c r="B235" s="243" t="s">
        <v>88</v>
      </c>
      <c r="C235" s="196"/>
      <c r="D235" s="78">
        <v>0</v>
      </c>
      <c r="E235" s="80">
        <v>0</v>
      </c>
      <c r="F235" s="80">
        <v>0.41</v>
      </c>
      <c r="G235" s="80">
        <v>0</v>
      </c>
      <c r="H235" s="80">
        <v>1.1599999999999999</v>
      </c>
      <c r="I235" s="80">
        <v>0</v>
      </c>
      <c r="J235" s="80">
        <v>0</v>
      </c>
      <c r="K235" s="80">
        <v>0</v>
      </c>
      <c r="L235" s="80">
        <v>0</v>
      </c>
      <c r="M235" s="80">
        <v>0</v>
      </c>
      <c r="N235" s="80">
        <v>0</v>
      </c>
      <c r="O235" s="80">
        <v>0</v>
      </c>
      <c r="P235" s="80">
        <v>0</v>
      </c>
      <c r="Q235" s="80">
        <v>0</v>
      </c>
      <c r="R235" s="80">
        <v>0</v>
      </c>
      <c r="S235" s="80">
        <v>0</v>
      </c>
    </row>
    <row r="236" spans="1:19">
      <c r="A236" s="295"/>
      <c r="B236" s="243" t="s">
        <v>89</v>
      </c>
      <c r="C236" s="196"/>
      <c r="D236" s="92">
        <v>0</v>
      </c>
      <c r="E236" s="93">
        <v>0</v>
      </c>
      <c r="F236" s="93">
        <v>0.42</v>
      </c>
      <c r="G236" s="93">
        <v>0</v>
      </c>
      <c r="H236" s="93">
        <v>1.1499999999999999</v>
      </c>
      <c r="I236" s="93">
        <v>0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</row>
    <row r="237" spans="1:19">
      <c r="A237" s="295"/>
      <c r="B237" s="243" t="s">
        <v>90</v>
      </c>
      <c r="C237" s="196"/>
      <c r="D237" s="94">
        <v>0</v>
      </c>
      <c r="E237" s="95">
        <v>46.39</v>
      </c>
      <c r="F237" s="95">
        <v>0.41</v>
      </c>
      <c r="G237" s="95">
        <v>120</v>
      </c>
      <c r="H237" s="95">
        <v>1.18</v>
      </c>
      <c r="I237" s="95">
        <v>2.4</v>
      </c>
      <c r="J237" s="95">
        <v>13.9</v>
      </c>
      <c r="K237" s="95">
        <v>31.4</v>
      </c>
      <c r="L237" s="95">
        <v>34.799999999999997</v>
      </c>
      <c r="M237" s="95">
        <v>16</v>
      </c>
      <c r="N237" s="95">
        <v>1.2</v>
      </c>
      <c r="O237" s="95">
        <v>0.1</v>
      </c>
      <c r="P237" s="95">
        <v>0.1</v>
      </c>
      <c r="Q237" s="95">
        <v>0.1</v>
      </c>
      <c r="R237" s="95">
        <v>0.2</v>
      </c>
      <c r="S237" s="95">
        <v>2.0299999999999998</v>
      </c>
    </row>
    <row r="238" spans="1:19">
      <c r="A238" s="295">
        <v>45897</v>
      </c>
      <c r="B238" s="243" t="s">
        <v>88</v>
      </c>
      <c r="C238" s="196"/>
      <c r="D238" s="78">
        <v>38</v>
      </c>
      <c r="E238" s="80">
        <v>0</v>
      </c>
      <c r="F238" s="80">
        <v>0.38</v>
      </c>
      <c r="G238" s="80">
        <v>0</v>
      </c>
      <c r="H238" s="80">
        <v>1.03</v>
      </c>
      <c r="I238" s="80">
        <v>0</v>
      </c>
      <c r="J238" s="80">
        <v>0</v>
      </c>
      <c r="K238" s="80">
        <v>0</v>
      </c>
      <c r="L238" s="80">
        <v>0</v>
      </c>
      <c r="M238" s="80">
        <v>0</v>
      </c>
      <c r="N238" s="80">
        <v>0</v>
      </c>
      <c r="O238" s="80">
        <v>0</v>
      </c>
      <c r="P238" s="80">
        <v>0</v>
      </c>
      <c r="Q238" s="80">
        <v>0</v>
      </c>
      <c r="R238" s="80">
        <v>0</v>
      </c>
      <c r="S238" s="80">
        <v>0</v>
      </c>
    </row>
    <row r="239" spans="1:19">
      <c r="A239" s="295"/>
      <c r="B239" s="243" t="s">
        <v>89</v>
      </c>
      <c r="C239" s="196"/>
      <c r="D239" s="92">
        <v>40</v>
      </c>
      <c r="E239" s="93">
        <v>0</v>
      </c>
      <c r="F239" s="93">
        <v>0.4</v>
      </c>
      <c r="G239" s="93">
        <v>0</v>
      </c>
      <c r="H239" s="93">
        <v>1.05</v>
      </c>
      <c r="I239" s="93">
        <v>0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</row>
    <row r="240" spans="1:19">
      <c r="A240" s="295"/>
      <c r="B240" s="243" t="s">
        <v>90</v>
      </c>
      <c r="C240" s="196"/>
      <c r="D240" s="94">
        <v>43</v>
      </c>
      <c r="E240" s="95">
        <v>46.38</v>
      </c>
      <c r="F240" s="95">
        <v>0.42</v>
      </c>
      <c r="G240" s="95">
        <v>126</v>
      </c>
      <c r="H240" s="95">
        <v>1.1299999999999999</v>
      </c>
      <c r="I240" s="95">
        <v>0.7</v>
      </c>
      <c r="J240" s="95">
        <v>7.3</v>
      </c>
      <c r="K240" s="95">
        <v>26.9</v>
      </c>
      <c r="L240" s="95">
        <v>40.799999999999997</v>
      </c>
      <c r="M240" s="95">
        <v>21.6</v>
      </c>
      <c r="N240" s="95">
        <v>2.5</v>
      </c>
      <c r="O240" s="95">
        <v>0.1</v>
      </c>
      <c r="P240" s="95">
        <v>0.1</v>
      </c>
      <c r="Q240" s="95">
        <v>0</v>
      </c>
      <c r="R240" s="95">
        <v>0.1</v>
      </c>
      <c r="S240" s="95">
        <v>1.92</v>
      </c>
    </row>
    <row r="241" spans="1:19">
      <c r="A241" s="295">
        <v>45898</v>
      </c>
      <c r="B241" s="243" t="s">
        <v>88</v>
      </c>
      <c r="C241" s="196"/>
      <c r="D241" s="78">
        <v>54</v>
      </c>
      <c r="E241" s="80">
        <v>0</v>
      </c>
      <c r="F241" s="80">
        <v>0.45</v>
      </c>
      <c r="G241" s="80">
        <v>0</v>
      </c>
      <c r="H241" s="80">
        <v>1.1200000000000001</v>
      </c>
      <c r="I241" s="80">
        <v>0</v>
      </c>
      <c r="J241" s="80">
        <v>0</v>
      </c>
      <c r="K241" s="80">
        <v>0</v>
      </c>
      <c r="L241" s="80">
        <v>0</v>
      </c>
      <c r="M241" s="80">
        <v>0</v>
      </c>
      <c r="N241" s="80">
        <v>0</v>
      </c>
      <c r="O241" s="80">
        <v>0</v>
      </c>
      <c r="P241" s="80">
        <v>0</v>
      </c>
      <c r="Q241" s="80">
        <v>0</v>
      </c>
      <c r="R241" s="80">
        <v>0</v>
      </c>
      <c r="S241" s="80">
        <v>0</v>
      </c>
    </row>
    <row r="242" spans="1:19">
      <c r="A242" s="295"/>
      <c r="B242" s="243" t="s">
        <v>89</v>
      </c>
      <c r="C242" s="196"/>
      <c r="D242" s="92">
        <v>52</v>
      </c>
      <c r="E242" s="93">
        <v>0</v>
      </c>
      <c r="F242" s="93">
        <v>0.44</v>
      </c>
      <c r="G242" s="93">
        <v>0</v>
      </c>
      <c r="H242" s="93">
        <v>1.08</v>
      </c>
      <c r="I242" s="93">
        <v>0</v>
      </c>
      <c r="J242" s="93">
        <v>0</v>
      </c>
      <c r="K242" s="93">
        <v>0</v>
      </c>
      <c r="L242" s="93">
        <v>0</v>
      </c>
      <c r="M242" s="93">
        <v>0</v>
      </c>
      <c r="N242" s="93">
        <v>0</v>
      </c>
      <c r="O242" s="93">
        <v>0</v>
      </c>
      <c r="P242" s="93">
        <v>0</v>
      </c>
      <c r="Q242" s="93">
        <v>0</v>
      </c>
      <c r="R242" s="93">
        <v>0</v>
      </c>
      <c r="S242" s="93">
        <v>0</v>
      </c>
    </row>
    <row r="243" spans="1:19">
      <c r="A243" s="295"/>
      <c r="B243" s="243" t="s">
        <v>90</v>
      </c>
      <c r="C243" s="196"/>
      <c r="D243" s="94">
        <v>53</v>
      </c>
      <c r="E243" s="95">
        <v>46.37</v>
      </c>
      <c r="F243" s="95">
        <v>0.46</v>
      </c>
      <c r="G243" s="95">
        <v>122</v>
      </c>
      <c r="H243" s="95">
        <v>1.1299999999999999</v>
      </c>
      <c r="I243" s="95">
        <v>0.5</v>
      </c>
      <c r="J243" s="95">
        <v>6.1</v>
      </c>
      <c r="K243" s="95">
        <v>28.2</v>
      </c>
      <c r="L243" s="95">
        <v>43</v>
      </c>
      <c r="M243" s="95">
        <v>19.399999999999999</v>
      </c>
      <c r="N243" s="95">
        <v>2.6</v>
      </c>
      <c r="O243" s="95">
        <v>0.1</v>
      </c>
      <c r="P243" s="95">
        <v>0.1</v>
      </c>
      <c r="Q243" s="95">
        <v>0</v>
      </c>
      <c r="R243" s="95">
        <v>0.1</v>
      </c>
      <c r="S243" s="95">
        <v>1.92</v>
      </c>
    </row>
    <row r="244" spans="1:19">
      <c r="A244" s="295">
        <v>45899</v>
      </c>
      <c r="B244" s="243" t="s">
        <v>88</v>
      </c>
      <c r="C244" s="196"/>
      <c r="D244" s="78">
        <v>46</v>
      </c>
      <c r="E244" s="80">
        <v>0</v>
      </c>
      <c r="F244" s="80">
        <v>0.47</v>
      </c>
      <c r="G244" s="80">
        <v>0</v>
      </c>
      <c r="H244" s="80">
        <v>1.1399999999999999</v>
      </c>
      <c r="I244" s="80">
        <v>0</v>
      </c>
      <c r="J244" s="80">
        <v>0</v>
      </c>
      <c r="K244" s="80">
        <v>0</v>
      </c>
      <c r="L244" s="80">
        <v>0</v>
      </c>
      <c r="M244" s="80">
        <v>0</v>
      </c>
      <c r="N244" s="80">
        <v>0</v>
      </c>
      <c r="O244" s="80">
        <v>0</v>
      </c>
      <c r="P244" s="80">
        <v>0</v>
      </c>
      <c r="Q244" s="80">
        <v>0</v>
      </c>
      <c r="R244" s="80">
        <v>0</v>
      </c>
      <c r="S244" s="80">
        <v>0</v>
      </c>
    </row>
    <row r="245" spans="1:19">
      <c r="A245" s="295"/>
      <c r="B245" s="243" t="s">
        <v>89</v>
      </c>
      <c r="C245" s="196"/>
      <c r="D245" s="92">
        <v>35</v>
      </c>
      <c r="E245" s="93">
        <v>0</v>
      </c>
      <c r="F245" s="93">
        <v>0.46</v>
      </c>
      <c r="G245" s="93">
        <v>0</v>
      </c>
      <c r="H245" s="93">
        <v>1.05</v>
      </c>
      <c r="I245" s="93">
        <v>0</v>
      </c>
      <c r="J245" s="93">
        <v>0</v>
      </c>
      <c r="K245" s="93">
        <v>0</v>
      </c>
      <c r="L245" s="93">
        <v>0</v>
      </c>
      <c r="M245" s="93">
        <v>0</v>
      </c>
      <c r="N245" s="93">
        <v>0</v>
      </c>
      <c r="O245" s="93">
        <v>0</v>
      </c>
      <c r="P245" s="93">
        <v>0</v>
      </c>
      <c r="Q245" s="93">
        <v>0</v>
      </c>
      <c r="R245" s="93">
        <v>0</v>
      </c>
      <c r="S245" s="93">
        <v>0</v>
      </c>
    </row>
    <row r="246" spans="1:19">
      <c r="A246" s="295"/>
      <c r="B246" s="243" t="s">
        <v>90</v>
      </c>
      <c r="C246" s="196"/>
      <c r="D246" s="94">
        <v>48</v>
      </c>
      <c r="E246" s="95">
        <v>46.36</v>
      </c>
      <c r="F246" s="95">
        <v>0.47</v>
      </c>
      <c r="G246" s="95">
        <v>118</v>
      </c>
      <c r="H246" s="95">
        <v>1.1200000000000001</v>
      </c>
      <c r="I246" s="95">
        <v>0.6</v>
      </c>
      <c r="J246" s="95">
        <v>8.1</v>
      </c>
      <c r="K246" s="95">
        <v>32.6</v>
      </c>
      <c r="L246" s="95">
        <v>39.5</v>
      </c>
      <c r="M246" s="95">
        <v>16.7</v>
      </c>
      <c r="N246" s="95">
        <v>2.2999999999999998</v>
      </c>
      <c r="O246" s="95">
        <v>0.1</v>
      </c>
      <c r="P246" s="95">
        <v>0.1</v>
      </c>
      <c r="Q246" s="95">
        <v>0</v>
      </c>
      <c r="R246" s="95">
        <v>0.1</v>
      </c>
      <c r="S246" s="95">
        <v>1.96</v>
      </c>
    </row>
    <row r="247" spans="1:19">
      <c r="A247" s="295">
        <v>45900</v>
      </c>
      <c r="B247" s="243" t="s">
        <v>88</v>
      </c>
      <c r="C247" s="196"/>
      <c r="D247" s="78">
        <v>40</v>
      </c>
      <c r="E247" s="80">
        <v>0</v>
      </c>
      <c r="F247" s="80">
        <v>0.48</v>
      </c>
      <c r="G247" s="80">
        <v>0</v>
      </c>
      <c r="H247" s="80">
        <v>1.1000000000000001</v>
      </c>
      <c r="I247" s="80">
        <v>0</v>
      </c>
      <c r="J247" s="80">
        <v>0</v>
      </c>
      <c r="K247" s="80">
        <v>0</v>
      </c>
      <c r="L247" s="80">
        <v>0</v>
      </c>
      <c r="M247" s="80">
        <v>0</v>
      </c>
      <c r="N247" s="80">
        <v>0</v>
      </c>
      <c r="O247" s="80">
        <v>0</v>
      </c>
      <c r="P247" s="80">
        <v>0</v>
      </c>
      <c r="Q247" s="80">
        <v>0</v>
      </c>
      <c r="R247" s="80">
        <v>0</v>
      </c>
      <c r="S247" s="80">
        <v>0</v>
      </c>
    </row>
    <row r="248" spans="1:19">
      <c r="A248" s="295"/>
      <c r="B248" s="243" t="s">
        <v>89</v>
      </c>
      <c r="C248" s="196"/>
      <c r="D248" s="92">
        <v>36</v>
      </c>
      <c r="E248" s="93">
        <v>0</v>
      </c>
      <c r="F248" s="93">
        <v>0.46</v>
      </c>
      <c r="G248" s="93">
        <v>0</v>
      </c>
      <c r="H248" s="93">
        <v>1.08</v>
      </c>
      <c r="I248" s="93">
        <v>0</v>
      </c>
      <c r="J248" s="93">
        <v>0</v>
      </c>
      <c r="K248" s="93">
        <v>0</v>
      </c>
      <c r="L248" s="93">
        <v>0</v>
      </c>
      <c r="M248" s="93">
        <v>0</v>
      </c>
      <c r="N248" s="93">
        <v>0</v>
      </c>
      <c r="O248" s="93">
        <v>0</v>
      </c>
      <c r="P248" s="93">
        <v>0</v>
      </c>
      <c r="Q248" s="93">
        <v>0</v>
      </c>
      <c r="R248" s="93">
        <v>0</v>
      </c>
      <c r="S248" s="93">
        <v>0</v>
      </c>
    </row>
    <row r="249" spans="1:19">
      <c r="A249" s="295"/>
      <c r="B249" s="243" t="s">
        <v>90</v>
      </c>
      <c r="C249" s="196"/>
      <c r="D249" s="94">
        <v>52</v>
      </c>
      <c r="E249" s="95">
        <v>46.36</v>
      </c>
      <c r="F249" s="95">
        <v>0.48</v>
      </c>
      <c r="G249" s="95">
        <v>120</v>
      </c>
      <c r="H249" s="95">
        <v>1.1399999999999999</v>
      </c>
      <c r="I249" s="95">
        <v>0.4</v>
      </c>
      <c r="J249" s="95">
        <v>6.4</v>
      </c>
      <c r="K249" s="95">
        <v>28.9</v>
      </c>
      <c r="L249" s="95">
        <v>40.9</v>
      </c>
      <c r="M249" s="95">
        <v>20</v>
      </c>
      <c r="N249" s="95">
        <v>3.2</v>
      </c>
      <c r="O249" s="95">
        <v>0.1</v>
      </c>
      <c r="P249" s="95">
        <v>0.1</v>
      </c>
      <c r="Q249" s="95">
        <v>0</v>
      </c>
      <c r="R249" s="95">
        <v>0.1</v>
      </c>
      <c r="S249" s="95">
        <v>1.91</v>
      </c>
    </row>
    <row r="250" spans="1:19">
      <c r="A250" s="295">
        <v>45901</v>
      </c>
      <c r="B250" s="243" t="s">
        <v>88</v>
      </c>
      <c r="C250" s="196"/>
      <c r="D250" s="78">
        <v>42</v>
      </c>
      <c r="E250" s="80">
        <v>0</v>
      </c>
      <c r="F250" s="80">
        <v>0.45</v>
      </c>
      <c r="G250" s="80">
        <v>0</v>
      </c>
      <c r="H250" s="80">
        <v>1.18</v>
      </c>
      <c r="I250" s="80">
        <v>0</v>
      </c>
      <c r="J250" s="80">
        <v>0</v>
      </c>
      <c r="K250" s="80">
        <v>0</v>
      </c>
      <c r="L250" s="80">
        <v>0</v>
      </c>
      <c r="M250" s="80">
        <v>0</v>
      </c>
      <c r="N250" s="80">
        <v>0</v>
      </c>
      <c r="O250" s="80">
        <v>0</v>
      </c>
      <c r="P250" s="80">
        <v>0</v>
      </c>
      <c r="Q250" s="80">
        <v>0</v>
      </c>
      <c r="R250" s="80">
        <v>0</v>
      </c>
      <c r="S250" s="80">
        <v>0</v>
      </c>
    </row>
    <row r="251" spans="1:19">
      <c r="A251" s="295"/>
      <c r="B251" s="243" t="s">
        <v>89</v>
      </c>
      <c r="C251" s="196"/>
      <c r="D251" s="92">
        <v>39</v>
      </c>
      <c r="E251" s="93">
        <v>0</v>
      </c>
      <c r="F251" s="93">
        <v>0.46</v>
      </c>
      <c r="G251" s="93">
        <v>0</v>
      </c>
      <c r="H251" s="93">
        <v>1.1599999999999999</v>
      </c>
      <c r="I251" s="93">
        <v>0</v>
      </c>
      <c r="J251" s="93">
        <v>0</v>
      </c>
      <c r="K251" s="93">
        <v>0</v>
      </c>
      <c r="L251" s="93">
        <v>0</v>
      </c>
      <c r="M251" s="93">
        <v>0</v>
      </c>
      <c r="N251" s="93">
        <v>0</v>
      </c>
      <c r="O251" s="93">
        <v>0</v>
      </c>
      <c r="P251" s="93">
        <v>0</v>
      </c>
      <c r="Q251" s="93">
        <v>0</v>
      </c>
      <c r="R251" s="93">
        <v>0</v>
      </c>
      <c r="S251" s="93">
        <v>0</v>
      </c>
    </row>
    <row r="252" spans="1:19">
      <c r="A252" s="295"/>
      <c r="B252" s="243" t="s">
        <v>90</v>
      </c>
      <c r="C252" s="196"/>
      <c r="D252" s="94">
        <v>56</v>
      </c>
      <c r="E252" s="95">
        <v>46.38</v>
      </c>
      <c r="F252" s="95">
        <v>0.43</v>
      </c>
      <c r="G252" s="95">
        <v>124</v>
      </c>
      <c r="H252" s="95">
        <v>1.1299999999999999</v>
      </c>
      <c r="I252" s="95">
        <v>0.4</v>
      </c>
      <c r="J252" s="95">
        <v>8.3000000000000007</v>
      </c>
      <c r="K252" s="95">
        <v>31.3</v>
      </c>
      <c r="L252" s="95">
        <v>39.4</v>
      </c>
      <c r="M252" s="95">
        <v>17.3</v>
      </c>
      <c r="N252" s="95">
        <v>2.6</v>
      </c>
      <c r="O252" s="95">
        <v>0.1</v>
      </c>
      <c r="P252" s="95">
        <v>0.2</v>
      </c>
      <c r="Q252" s="95">
        <v>0.4</v>
      </c>
      <c r="R252" s="95">
        <v>0.6</v>
      </c>
      <c r="S252" s="95">
        <v>1.94</v>
      </c>
    </row>
    <row r="253" spans="1:19">
      <c r="A253" s="295">
        <v>45902</v>
      </c>
      <c r="B253" s="243" t="s">
        <v>88</v>
      </c>
      <c r="C253" s="196"/>
      <c r="D253" s="78">
        <v>40</v>
      </c>
      <c r="E253" s="80">
        <v>0</v>
      </c>
      <c r="F253" s="80">
        <v>0.41</v>
      </c>
      <c r="G253" s="80">
        <v>0</v>
      </c>
      <c r="H253" s="80">
        <v>1.1000000000000001</v>
      </c>
      <c r="I253" s="80">
        <v>0</v>
      </c>
      <c r="J253" s="80">
        <v>0</v>
      </c>
      <c r="K253" s="80">
        <v>0</v>
      </c>
      <c r="L253" s="80">
        <v>0</v>
      </c>
      <c r="M253" s="80">
        <v>0</v>
      </c>
      <c r="N253" s="80">
        <v>0</v>
      </c>
      <c r="O253" s="80">
        <v>0</v>
      </c>
      <c r="P253" s="80">
        <v>0</v>
      </c>
      <c r="Q253" s="80">
        <v>0</v>
      </c>
      <c r="R253" s="80">
        <v>0</v>
      </c>
      <c r="S253" s="80">
        <v>0</v>
      </c>
    </row>
    <row r="254" spans="1:19">
      <c r="A254" s="295"/>
      <c r="B254" s="243" t="s">
        <v>89</v>
      </c>
      <c r="C254" s="196"/>
      <c r="D254" s="92">
        <v>43</v>
      </c>
      <c r="E254" s="93">
        <v>0</v>
      </c>
      <c r="F254" s="93">
        <v>0.4</v>
      </c>
      <c r="G254" s="93">
        <v>0</v>
      </c>
      <c r="H254" s="93">
        <v>1.18</v>
      </c>
      <c r="I254" s="93">
        <v>0</v>
      </c>
      <c r="J254" s="93">
        <v>0</v>
      </c>
      <c r="K254" s="93">
        <v>0</v>
      </c>
      <c r="L254" s="93">
        <v>0</v>
      </c>
      <c r="M254" s="93">
        <v>0</v>
      </c>
      <c r="N254" s="93">
        <v>0</v>
      </c>
      <c r="O254" s="93">
        <v>0</v>
      </c>
      <c r="P254" s="93">
        <v>0</v>
      </c>
      <c r="Q254" s="93">
        <v>0</v>
      </c>
      <c r="R254" s="93">
        <v>0</v>
      </c>
      <c r="S254" s="93">
        <v>0</v>
      </c>
    </row>
    <row r="255" spans="1:19">
      <c r="A255" s="295"/>
      <c r="B255" s="243" t="s">
        <v>90</v>
      </c>
      <c r="C255" s="196"/>
      <c r="D255" s="94">
        <v>45</v>
      </c>
      <c r="E255" s="95">
        <v>46.38</v>
      </c>
      <c r="F255" s="95">
        <v>0.42</v>
      </c>
      <c r="G255" s="95">
        <v>116</v>
      </c>
      <c r="H255" s="95">
        <v>1.1599999999999999</v>
      </c>
      <c r="I255" s="95">
        <v>1.2</v>
      </c>
      <c r="J255" s="95">
        <v>9.4</v>
      </c>
      <c r="K255" s="95">
        <v>30</v>
      </c>
      <c r="L255" s="95">
        <v>38.6</v>
      </c>
      <c r="M255" s="95">
        <v>18.2</v>
      </c>
      <c r="N255" s="95">
        <v>2.2999999999999998</v>
      </c>
      <c r="O255" s="95">
        <v>0.1</v>
      </c>
      <c r="P255" s="95">
        <v>0.1</v>
      </c>
      <c r="Q255" s="95">
        <v>0.1</v>
      </c>
      <c r="R255" s="95">
        <v>0.2</v>
      </c>
      <c r="S255" s="95">
        <v>1.96</v>
      </c>
    </row>
    <row r="256" spans="1:19">
      <c r="A256" s="295">
        <v>45903</v>
      </c>
      <c r="B256" s="243" t="s">
        <v>88</v>
      </c>
      <c r="C256" s="196"/>
      <c r="D256" s="78">
        <v>40</v>
      </c>
      <c r="E256" s="80">
        <v>0</v>
      </c>
      <c r="F256" s="80">
        <v>0.43</v>
      </c>
      <c r="G256" s="80">
        <v>0</v>
      </c>
      <c r="H256" s="80">
        <v>1.17</v>
      </c>
      <c r="I256" s="80">
        <v>0</v>
      </c>
      <c r="J256" s="80">
        <v>0</v>
      </c>
      <c r="K256" s="80">
        <v>0</v>
      </c>
      <c r="L256" s="80">
        <v>0</v>
      </c>
      <c r="M256" s="80">
        <v>0</v>
      </c>
      <c r="N256" s="80">
        <v>0</v>
      </c>
      <c r="O256" s="80">
        <v>0</v>
      </c>
      <c r="P256" s="80">
        <v>0</v>
      </c>
      <c r="Q256" s="80">
        <v>0</v>
      </c>
      <c r="R256" s="80">
        <v>0</v>
      </c>
      <c r="S256" s="80">
        <v>0</v>
      </c>
    </row>
    <row r="257" spans="1:19">
      <c r="A257" s="295"/>
      <c r="B257" s="243" t="s">
        <v>89</v>
      </c>
      <c r="C257" s="196"/>
      <c r="D257" s="92">
        <v>48</v>
      </c>
      <c r="E257" s="93">
        <v>0</v>
      </c>
      <c r="F257" s="93">
        <v>0.4</v>
      </c>
      <c r="G257" s="93">
        <v>0</v>
      </c>
      <c r="H257" s="93">
        <v>1.19</v>
      </c>
      <c r="I257" s="93">
        <v>0</v>
      </c>
      <c r="J257" s="93">
        <v>0</v>
      </c>
      <c r="K257" s="93">
        <v>0</v>
      </c>
      <c r="L257" s="93">
        <v>0</v>
      </c>
      <c r="M257" s="93">
        <v>0</v>
      </c>
      <c r="N257" s="93">
        <v>0</v>
      </c>
      <c r="O257" s="93">
        <v>0</v>
      </c>
      <c r="P257" s="93">
        <v>0</v>
      </c>
      <c r="Q257" s="93">
        <v>0</v>
      </c>
      <c r="R257" s="93">
        <v>0</v>
      </c>
      <c r="S257" s="93">
        <v>0</v>
      </c>
    </row>
    <row r="258" spans="1:19">
      <c r="A258" s="295"/>
      <c r="B258" s="243" t="s">
        <v>90</v>
      </c>
      <c r="C258" s="196"/>
      <c r="D258" s="94">
        <v>42</v>
      </c>
      <c r="E258" s="95">
        <v>46.37</v>
      </c>
      <c r="F258" s="95">
        <v>0.43</v>
      </c>
      <c r="G258" s="95">
        <v>112</v>
      </c>
      <c r="H258" s="95">
        <v>1.18</v>
      </c>
      <c r="I258" s="95">
        <v>4.5</v>
      </c>
      <c r="J258" s="95">
        <v>16.3</v>
      </c>
      <c r="K258" s="95">
        <v>29.3</v>
      </c>
      <c r="L258" s="95">
        <v>32.1</v>
      </c>
      <c r="M258" s="95">
        <v>15.7</v>
      </c>
      <c r="N258" s="95">
        <v>1.8</v>
      </c>
      <c r="O258" s="95">
        <v>0.1</v>
      </c>
      <c r="P258" s="95">
        <v>0.1</v>
      </c>
      <c r="Q258" s="95">
        <v>0.1</v>
      </c>
      <c r="R258" s="95">
        <v>0.2</v>
      </c>
      <c r="S258" s="95">
        <v>2.06</v>
      </c>
    </row>
    <row r="259" spans="1:19">
      <c r="A259" s="295">
        <v>45904</v>
      </c>
      <c r="B259" s="243" t="s">
        <v>88</v>
      </c>
      <c r="C259" s="196"/>
      <c r="D259" s="78">
        <v>39</v>
      </c>
      <c r="E259" s="80">
        <v>0</v>
      </c>
      <c r="F259" s="80">
        <v>0.41</v>
      </c>
      <c r="G259" s="80">
        <v>0</v>
      </c>
      <c r="H259" s="80">
        <v>1.19</v>
      </c>
      <c r="I259" s="80">
        <v>0</v>
      </c>
      <c r="J259" s="80">
        <v>0</v>
      </c>
      <c r="K259" s="80">
        <v>0</v>
      </c>
      <c r="L259" s="80">
        <v>0</v>
      </c>
      <c r="M259" s="80">
        <v>0</v>
      </c>
      <c r="N259" s="80">
        <v>0</v>
      </c>
      <c r="O259" s="80">
        <v>0</v>
      </c>
      <c r="P259" s="80">
        <v>0</v>
      </c>
      <c r="Q259" s="80">
        <v>0</v>
      </c>
      <c r="R259" s="80">
        <v>0</v>
      </c>
      <c r="S259" s="80">
        <v>0</v>
      </c>
    </row>
    <row r="260" spans="1:19">
      <c r="A260" s="295"/>
      <c r="B260" s="243" t="s">
        <v>89</v>
      </c>
      <c r="C260" s="196"/>
      <c r="D260" s="92">
        <v>33</v>
      </c>
      <c r="E260" s="93">
        <v>0</v>
      </c>
      <c r="F260" s="93">
        <v>0.46</v>
      </c>
      <c r="G260" s="93">
        <v>0</v>
      </c>
      <c r="H260" s="93">
        <v>1.17</v>
      </c>
      <c r="I260" s="93">
        <v>0</v>
      </c>
      <c r="J260" s="93">
        <v>0</v>
      </c>
      <c r="K260" s="93">
        <v>0</v>
      </c>
      <c r="L260" s="93">
        <v>0</v>
      </c>
      <c r="M260" s="93">
        <v>0</v>
      </c>
      <c r="N260" s="93">
        <v>0</v>
      </c>
      <c r="O260" s="93">
        <v>0</v>
      </c>
      <c r="P260" s="93">
        <v>0</v>
      </c>
      <c r="Q260" s="93">
        <v>0</v>
      </c>
      <c r="R260" s="93">
        <v>0</v>
      </c>
      <c r="S260" s="93">
        <v>0</v>
      </c>
    </row>
    <row r="261" spans="1:19">
      <c r="A261" s="295"/>
      <c r="B261" s="243" t="s">
        <v>90</v>
      </c>
      <c r="C261" s="196"/>
      <c r="D261" s="94">
        <v>40</v>
      </c>
      <c r="E261" s="95">
        <v>46.36</v>
      </c>
      <c r="F261" s="95">
        <v>0.45</v>
      </c>
      <c r="G261" s="95">
        <v>110</v>
      </c>
      <c r="H261" s="95">
        <v>1.18</v>
      </c>
      <c r="I261" s="95">
        <v>4.8</v>
      </c>
      <c r="J261" s="95">
        <v>16.2</v>
      </c>
      <c r="K261" s="95">
        <v>27.1</v>
      </c>
      <c r="L261" s="95">
        <v>30.5</v>
      </c>
      <c r="M261" s="95">
        <v>19</v>
      </c>
      <c r="N261" s="95">
        <v>2.1</v>
      </c>
      <c r="O261" s="95">
        <v>0.1</v>
      </c>
      <c r="P261" s="95">
        <v>0.1</v>
      </c>
      <c r="Q261" s="95">
        <v>0.1</v>
      </c>
      <c r="R261" s="95">
        <v>0.2</v>
      </c>
      <c r="S261" s="95">
        <v>2.04</v>
      </c>
    </row>
    <row r="262" spans="1:19">
      <c r="A262" s="295">
        <v>45905</v>
      </c>
      <c r="B262" s="243" t="s">
        <v>88</v>
      </c>
      <c r="C262" s="196"/>
      <c r="D262" s="78">
        <v>38</v>
      </c>
      <c r="E262" s="80">
        <v>0</v>
      </c>
      <c r="F262" s="80">
        <v>0.44</v>
      </c>
      <c r="G262" s="80">
        <v>0</v>
      </c>
      <c r="H262" s="80">
        <v>1.2</v>
      </c>
      <c r="I262" s="80">
        <v>0</v>
      </c>
      <c r="J262" s="80">
        <v>0</v>
      </c>
      <c r="K262" s="80">
        <v>0</v>
      </c>
      <c r="L262" s="80">
        <v>0</v>
      </c>
      <c r="M262" s="80">
        <v>0</v>
      </c>
      <c r="N262" s="80">
        <v>0</v>
      </c>
      <c r="O262" s="80">
        <v>0</v>
      </c>
      <c r="P262" s="80">
        <v>0</v>
      </c>
      <c r="Q262" s="80">
        <v>0</v>
      </c>
      <c r="R262" s="80">
        <v>0</v>
      </c>
      <c r="S262" s="80">
        <v>0</v>
      </c>
    </row>
    <row r="263" spans="1:19">
      <c r="A263" s="295"/>
      <c r="B263" s="243" t="s">
        <v>89</v>
      </c>
      <c r="C263" s="196"/>
      <c r="D263" s="92">
        <v>45</v>
      </c>
      <c r="E263" s="93">
        <v>0</v>
      </c>
      <c r="F263" s="93">
        <v>0.47</v>
      </c>
      <c r="G263" s="93">
        <v>0</v>
      </c>
      <c r="H263" s="93">
        <v>1.1200000000000001</v>
      </c>
      <c r="I263" s="93">
        <v>0</v>
      </c>
      <c r="J263" s="93">
        <v>0</v>
      </c>
      <c r="K263" s="93">
        <v>0</v>
      </c>
      <c r="L263" s="93">
        <v>0</v>
      </c>
      <c r="M263" s="93">
        <v>0</v>
      </c>
      <c r="N263" s="93">
        <v>0</v>
      </c>
      <c r="O263" s="93">
        <v>0</v>
      </c>
      <c r="P263" s="93">
        <v>0</v>
      </c>
      <c r="Q263" s="93">
        <v>0</v>
      </c>
      <c r="R263" s="93">
        <v>0</v>
      </c>
      <c r="S263" s="93">
        <v>0</v>
      </c>
    </row>
    <row r="264" spans="1:19">
      <c r="A264" s="295"/>
      <c r="B264" s="243" t="s">
        <v>90</v>
      </c>
      <c r="C264" s="196"/>
      <c r="D264" s="94">
        <v>46</v>
      </c>
      <c r="E264" s="95">
        <v>46.37</v>
      </c>
      <c r="F264" s="95">
        <v>0.44</v>
      </c>
      <c r="G264" s="95">
        <v>114</v>
      </c>
      <c r="H264" s="95">
        <v>1.1000000000000001</v>
      </c>
      <c r="I264" s="95">
        <v>2.2999999999999998</v>
      </c>
      <c r="J264" s="95">
        <v>12</v>
      </c>
      <c r="K264" s="95">
        <v>25.1</v>
      </c>
      <c r="L264" s="95">
        <v>34.799999999999997</v>
      </c>
      <c r="M264" s="95">
        <v>22.3</v>
      </c>
      <c r="N264" s="95">
        <v>3.1</v>
      </c>
      <c r="O264" s="95">
        <v>0.2</v>
      </c>
      <c r="P264" s="95">
        <v>0.1</v>
      </c>
      <c r="Q264" s="95">
        <v>0.1</v>
      </c>
      <c r="R264" s="95">
        <v>0.2</v>
      </c>
      <c r="S264" s="95">
        <v>1.96</v>
      </c>
    </row>
    <row r="265" spans="1:19">
      <c r="A265" s="295">
        <v>45906</v>
      </c>
      <c r="B265" s="243" t="s">
        <v>88</v>
      </c>
      <c r="C265" s="196"/>
      <c r="D265" s="78">
        <v>48</v>
      </c>
      <c r="E265" s="80">
        <v>0</v>
      </c>
      <c r="F265" s="80">
        <v>0.46</v>
      </c>
      <c r="G265" s="80">
        <v>0</v>
      </c>
      <c r="H265" s="80">
        <v>1.1100000000000001</v>
      </c>
      <c r="I265" s="80">
        <v>0</v>
      </c>
      <c r="J265" s="80">
        <v>0</v>
      </c>
      <c r="K265" s="80">
        <v>0</v>
      </c>
      <c r="L265" s="80">
        <v>0</v>
      </c>
      <c r="M265" s="80">
        <v>0</v>
      </c>
      <c r="N265" s="80">
        <v>0</v>
      </c>
      <c r="O265" s="80">
        <v>0</v>
      </c>
      <c r="P265" s="80">
        <v>0</v>
      </c>
      <c r="Q265" s="80">
        <v>0</v>
      </c>
      <c r="R265" s="80">
        <v>0</v>
      </c>
      <c r="S265" s="80">
        <v>0</v>
      </c>
    </row>
    <row r="266" spans="1:19">
      <c r="A266" s="295"/>
      <c r="B266" s="243" t="s">
        <v>89</v>
      </c>
      <c r="C266" s="196"/>
      <c r="D266" s="92">
        <v>43</v>
      </c>
      <c r="E266" s="93">
        <v>0</v>
      </c>
      <c r="F266" s="93">
        <v>0.44</v>
      </c>
      <c r="G266" s="93">
        <v>0</v>
      </c>
      <c r="H266" s="93">
        <v>1.1299999999999999</v>
      </c>
      <c r="I266" s="93">
        <v>0</v>
      </c>
      <c r="J266" s="93">
        <v>0</v>
      </c>
      <c r="K266" s="93">
        <v>0</v>
      </c>
      <c r="L266" s="93">
        <v>0</v>
      </c>
      <c r="M266" s="93">
        <v>0</v>
      </c>
      <c r="N266" s="93">
        <v>0</v>
      </c>
      <c r="O266" s="93">
        <v>0</v>
      </c>
      <c r="P266" s="93">
        <v>0</v>
      </c>
      <c r="Q266" s="93">
        <v>0</v>
      </c>
      <c r="R266" s="93">
        <v>0</v>
      </c>
      <c r="S266" s="93">
        <v>0</v>
      </c>
    </row>
    <row r="267" spans="1:19">
      <c r="A267" s="295"/>
      <c r="B267" s="243" t="s">
        <v>90</v>
      </c>
      <c r="C267" s="196"/>
      <c r="D267" s="94">
        <v>48</v>
      </c>
      <c r="E267" s="95">
        <v>46.37</v>
      </c>
      <c r="F267" s="95">
        <v>0.48</v>
      </c>
      <c r="G267" s="95">
        <v>110</v>
      </c>
      <c r="H267" s="95">
        <v>1.1200000000000001</v>
      </c>
      <c r="I267" s="95">
        <v>1.4</v>
      </c>
      <c r="J267" s="95">
        <v>8.1</v>
      </c>
      <c r="K267" s="95">
        <v>26</v>
      </c>
      <c r="L267" s="95">
        <v>41.4</v>
      </c>
      <c r="M267" s="95">
        <v>20.9</v>
      </c>
      <c r="N267" s="95">
        <v>1.9</v>
      </c>
      <c r="O267" s="95">
        <v>0.1</v>
      </c>
      <c r="P267" s="95">
        <v>0.1</v>
      </c>
      <c r="Q267" s="95">
        <v>0.1</v>
      </c>
      <c r="R267" s="95">
        <v>0.2</v>
      </c>
      <c r="S267" s="95">
        <v>1.93</v>
      </c>
    </row>
    <row r="268" spans="1:19">
      <c r="A268" s="295">
        <v>45907</v>
      </c>
      <c r="B268" s="243" t="s">
        <v>88</v>
      </c>
      <c r="C268" s="196"/>
      <c r="D268" s="78">
        <v>42</v>
      </c>
      <c r="E268" s="80">
        <v>0</v>
      </c>
      <c r="F268" s="80">
        <v>0.46</v>
      </c>
      <c r="G268" s="80">
        <v>0</v>
      </c>
      <c r="H268" s="80">
        <v>1.0900000000000001</v>
      </c>
      <c r="I268" s="80">
        <v>0</v>
      </c>
      <c r="J268" s="80">
        <v>0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80">
        <v>0</v>
      </c>
      <c r="Q268" s="80">
        <v>0</v>
      </c>
      <c r="R268" s="80">
        <v>0</v>
      </c>
      <c r="S268" s="80">
        <v>0</v>
      </c>
    </row>
    <row r="269" spans="1:19">
      <c r="A269" s="295"/>
      <c r="B269" s="243" t="s">
        <v>89</v>
      </c>
      <c r="C269" s="196"/>
      <c r="D269" s="92">
        <v>45</v>
      </c>
      <c r="E269" s="93">
        <v>0</v>
      </c>
      <c r="F269" s="93">
        <v>0.46</v>
      </c>
      <c r="G269" s="93">
        <v>0</v>
      </c>
      <c r="H269" s="93">
        <v>1.1000000000000001</v>
      </c>
      <c r="I269" s="93">
        <v>0</v>
      </c>
      <c r="J269" s="93">
        <v>0</v>
      </c>
      <c r="K269" s="93">
        <v>0</v>
      </c>
      <c r="L269" s="93">
        <v>0</v>
      </c>
      <c r="M269" s="93">
        <v>0</v>
      </c>
      <c r="N269" s="93">
        <v>0</v>
      </c>
      <c r="O269" s="93">
        <v>0</v>
      </c>
      <c r="P269" s="93">
        <v>0</v>
      </c>
      <c r="Q269" s="93">
        <v>0</v>
      </c>
      <c r="R269" s="93">
        <v>0</v>
      </c>
      <c r="S269" s="93">
        <v>0</v>
      </c>
    </row>
    <row r="270" spans="1:19">
      <c r="A270" s="295"/>
      <c r="B270" s="243" t="s">
        <v>90</v>
      </c>
      <c r="C270" s="196"/>
      <c r="D270" s="94">
        <v>44</v>
      </c>
      <c r="E270" s="95">
        <v>46.37</v>
      </c>
      <c r="F270" s="95">
        <v>0.48</v>
      </c>
      <c r="G270" s="95">
        <v>114</v>
      </c>
      <c r="H270" s="95">
        <v>1.08</v>
      </c>
      <c r="I270" s="95">
        <v>0.7</v>
      </c>
      <c r="J270" s="95">
        <v>6.6</v>
      </c>
      <c r="K270" s="95">
        <v>26.8</v>
      </c>
      <c r="L270" s="95">
        <v>40.799999999999997</v>
      </c>
      <c r="M270" s="95">
        <v>22.5</v>
      </c>
      <c r="N270" s="95">
        <v>2.2000000000000002</v>
      </c>
      <c r="O270" s="95">
        <v>0.1</v>
      </c>
      <c r="P270" s="95">
        <v>0.2</v>
      </c>
      <c r="Q270" s="95">
        <v>0.1</v>
      </c>
      <c r="R270" s="95">
        <v>0.3</v>
      </c>
      <c r="S270" s="95">
        <v>1.91</v>
      </c>
    </row>
    <row r="271" spans="1:19">
      <c r="A271" s="295">
        <v>45908</v>
      </c>
      <c r="B271" s="243" t="s">
        <v>88</v>
      </c>
      <c r="C271" s="196"/>
      <c r="D271" s="78">
        <v>41</v>
      </c>
      <c r="E271" s="80">
        <v>0</v>
      </c>
      <c r="F271" s="80">
        <v>0.44</v>
      </c>
      <c r="G271" s="80">
        <v>0</v>
      </c>
      <c r="H271" s="80">
        <v>1.1100000000000001</v>
      </c>
      <c r="I271" s="80">
        <v>0</v>
      </c>
      <c r="J271" s="80">
        <v>0</v>
      </c>
      <c r="K271" s="80">
        <v>0</v>
      </c>
      <c r="L271" s="80">
        <v>0</v>
      </c>
      <c r="M271" s="80">
        <v>0</v>
      </c>
      <c r="N271" s="80">
        <v>0</v>
      </c>
      <c r="O271" s="80">
        <v>0</v>
      </c>
      <c r="P271" s="80">
        <v>0</v>
      </c>
      <c r="Q271" s="80">
        <v>0</v>
      </c>
      <c r="R271" s="80">
        <v>0</v>
      </c>
      <c r="S271" s="80">
        <v>0</v>
      </c>
    </row>
    <row r="272" spans="1:19">
      <c r="A272" s="295"/>
      <c r="B272" s="243" t="s">
        <v>89</v>
      </c>
      <c r="C272" s="196"/>
      <c r="D272" s="92">
        <v>35</v>
      </c>
      <c r="E272" s="93">
        <v>0</v>
      </c>
      <c r="F272" s="93">
        <v>0.42</v>
      </c>
      <c r="G272" s="93">
        <v>0</v>
      </c>
      <c r="H272" s="93">
        <v>1.18</v>
      </c>
      <c r="I272" s="93">
        <v>0</v>
      </c>
      <c r="J272" s="93">
        <v>0</v>
      </c>
      <c r="K272" s="93">
        <v>0</v>
      </c>
      <c r="L272" s="93">
        <v>0</v>
      </c>
      <c r="M272" s="93">
        <v>0</v>
      </c>
      <c r="N272" s="93">
        <v>0</v>
      </c>
      <c r="O272" s="93">
        <v>0</v>
      </c>
      <c r="P272" s="93">
        <v>0</v>
      </c>
      <c r="Q272" s="93">
        <v>0</v>
      </c>
      <c r="R272" s="93">
        <v>0</v>
      </c>
      <c r="S272" s="93">
        <v>0</v>
      </c>
    </row>
    <row r="273" spans="1:19">
      <c r="A273" s="295"/>
      <c r="B273" s="243" t="s">
        <v>90</v>
      </c>
      <c r="C273" s="196"/>
      <c r="D273" s="94">
        <v>0</v>
      </c>
      <c r="E273" s="95">
        <v>46.36</v>
      </c>
      <c r="F273" s="95">
        <v>0.45</v>
      </c>
      <c r="G273" s="95">
        <v>118</v>
      </c>
      <c r="H273" s="95">
        <v>1.1599999999999999</v>
      </c>
      <c r="I273" s="95">
        <v>0.8</v>
      </c>
      <c r="J273" s="95">
        <v>6.3</v>
      </c>
      <c r="K273" s="95">
        <v>23.4</v>
      </c>
      <c r="L273" s="95">
        <v>40.200000000000003</v>
      </c>
      <c r="M273" s="95">
        <v>25.9</v>
      </c>
      <c r="N273" s="95">
        <v>2.8</v>
      </c>
      <c r="O273" s="95">
        <v>0.4</v>
      </c>
      <c r="P273" s="95">
        <v>0.4</v>
      </c>
      <c r="Q273" s="95">
        <v>0.1</v>
      </c>
      <c r="R273" s="95">
        <v>0.5</v>
      </c>
      <c r="S273" s="95">
        <v>1.88</v>
      </c>
    </row>
    <row r="274" spans="1:19">
      <c r="A274" s="295">
        <v>45909</v>
      </c>
      <c r="B274" s="243" t="s">
        <v>88</v>
      </c>
      <c r="C274" s="196"/>
      <c r="D274" s="78">
        <v>39</v>
      </c>
      <c r="E274" s="80">
        <v>0</v>
      </c>
      <c r="F274" s="80">
        <v>0.43</v>
      </c>
      <c r="G274" s="80">
        <v>0</v>
      </c>
      <c r="H274" s="80">
        <v>1.1200000000000001</v>
      </c>
      <c r="I274" s="80">
        <v>0</v>
      </c>
      <c r="J274" s="80">
        <v>0</v>
      </c>
      <c r="K274" s="80">
        <v>0</v>
      </c>
      <c r="L274" s="80">
        <v>0</v>
      </c>
      <c r="M274" s="80">
        <v>0</v>
      </c>
      <c r="N274" s="80">
        <v>0</v>
      </c>
      <c r="O274" s="80">
        <v>0</v>
      </c>
      <c r="P274" s="80">
        <v>0</v>
      </c>
      <c r="Q274" s="80">
        <v>0</v>
      </c>
      <c r="R274" s="80">
        <v>0</v>
      </c>
      <c r="S274" s="80">
        <v>0</v>
      </c>
    </row>
    <row r="275" spans="1:19">
      <c r="A275" s="295"/>
      <c r="B275" s="243" t="s">
        <v>89</v>
      </c>
      <c r="C275" s="196"/>
      <c r="D275" s="92">
        <v>50</v>
      </c>
      <c r="E275" s="93">
        <v>0</v>
      </c>
      <c r="F275" s="93">
        <v>0.43</v>
      </c>
      <c r="G275" s="93">
        <v>0</v>
      </c>
      <c r="H275" s="93">
        <v>1.19</v>
      </c>
      <c r="I275" s="93">
        <v>0</v>
      </c>
      <c r="J275" s="93">
        <v>0</v>
      </c>
      <c r="K275" s="93">
        <v>0</v>
      </c>
      <c r="L275" s="93">
        <v>0</v>
      </c>
      <c r="M275" s="93">
        <v>0</v>
      </c>
      <c r="N275" s="93">
        <v>0</v>
      </c>
      <c r="O275" s="93">
        <v>0</v>
      </c>
      <c r="P275" s="93">
        <v>0</v>
      </c>
      <c r="Q275" s="93">
        <v>0</v>
      </c>
      <c r="R275" s="93">
        <v>0</v>
      </c>
      <c r="S275" s="93">
        <v>0</v>
      </c>
    </row>
    <row r="276" spans="1:19">
      <c r="A276" s="295"/>
      <c r="B276" s="243" t="s">
        <v>90</v>
      </c>
      <c r="C276" s="196"/>
      <c r="D276" s="94">
        <v>35</v>
      </c>
      <c r="E276" s="95">
        <v>46.37</v>
      </c>
      <c r="F276" s="95">
        <v>0.44</v>
      </c>
      <c r="G276" s="95">
        <v>112</v>
      </c>
      <c r="H276" s="95">
        <v>1.1399999999999999</v>
      </c>
      <c r="I276" s="95">
        <v>0.7</v>
      </c>
      <c r="J276" s="95">
        <v>6.6</v>
      </c>
      <c r="K276" s="95">
        <v>26.1</v>
      </c>
      <c r="L276" s="95">
        <v>44</v>
      </c>
      <c r="M276" s="95">
        <v>19.5</v>
      </c>
      <c r="N276" s="95">
        <v>2.8</v>
      </c>
      <c r="O276" s="95">
        <v>0.1</v>
      </c>
      <c r="P276" s="95">
        <v>0.1</v>
      </c>
      <c r="Q276" s="95">
        <v>0.1</v>
      </c>
      <c r="R276" s="95">
        <v>0.2</v>
      </c>
      <c r="S276" s="95">
        <v>1.91</v>
      </c>
    </row>
    <row r="277" spans="1:19">
      <c r="A277" s="295">
        <v>45910</v>
      </c>
      <c r="B277" s="243" t="s">
        <v>88</v>
      </c>
      <c r="C277" s="196"/>
      <c r="D277" s="78">
        <v>52</v>
      </c>
      <c r="E277" s="80">
        <v>0</v>
      </c>
      <c r="F277" s="80">
        <v>0.41</v>
      </c>
      <c r="G277" s="80">
        <v>0</v>
      </c>
      <c r="H277" s="80">
        <v>1.2</v>
      </c>
      <c r="I277" s="80">
        <v>0</v>
      </c>
      <c r="J277" s="80">
        <v>0</v>
      </c>
      <c r="K277" s="80">
        <v>0</v>
      </c>
      <c r="L277" s="80">
        <v>0</v>
      </c>
      <c r="M277" s="80">
        <v>0</v>
      </c>
      <c r="N277" s="80">
        <v>0</v>
      </c>
      <c r="O277" s="80">
        <v>0</v>
      </c>
      <c r="P277" s="80">
        <v>0</v>
      </c>
      <c r="Q277" s="80">
        <v>0</v>
      </c>
      <c r="R277" s="80">
        <v>0</v>
      </c>
      <c r="S277" s="80">
        <v>0</v>
      </c>
    </row>
    <row r="278" spans="1:19">
      <c r="A278" s="295"/>
      <c r="B278" s="243" t="s">
        <v>89</v>
      </c>
      <c r="C278" s="196"/>
      <c r="D278" s="92">
        <v>44</v>
      </c>
      <c r="E278" s="93">
        <v>0</v>
      </c>
      <c r="F278" s="93">
        <v>0.4</v>
      </c>
      <c r="G278" s="93">
        <v>0</v>
      </c>
      <c r="H278" s="93">
        <v>1.22</v>
      </c>
      <c r="I278" s="93">
        <v>0</v>
      </c>
      <c r="J278" s="93">
        <v>0</v>
      </c>
      <c r="K278" s="93">
        <v>0</v>
      </c>
      <c r="L278" s="93">
        <v>0</v>
      </c>
      <c r="M278" s="93">
        <v>0</v>
      </c>
      <c r="N278" s="93">
        <v>0</v>
      </c>
      <c r="O278" s="93">
        <v>0</v>
      </c>
      <c r="P278" s="93">
        <v>0</v>
      </c>
      <c r="Q278" s="93">
        <v>0</v>
      </c>
      <c r="R278" s="93">
        <v>0</v>
      </c>
      <c r="S278" s="93">
        <v>0</v>
      </c>
    </row>
    <row r="279" spans="1:19">
      <c r="A279" s="295"/>
      <c r="B279" s="243" t="s">
        <v>90</v>
      </c>
      <c r="C279" s="196"/>
      <c r="D279" s="94">
        <v>50</v>
      </c>
      <c r="E279" s="95">
        <v>46.37</v>
      </c>
      <c r="F279" s="95">
        <v>0.45</v>
      </c>
      <c r="G279" s="95">
        <v>116</v>
      </c>
      <c r="H279" s="95">
        <v>1.18</v>
      </c>
      <c r="I279" s="95">
        <v>1.7</v>
      </c>
      <c r="J279" s="95">
        <v>9.9</v>
      </c>
      <c r="K279" s="95">
        <v>24.5</v>
      </c>
      <c r="L279" s="95">
        <v>38.9</v>
      </c>
      <c r="M279" s="95">
        <v>22.2</v>
      </c>
      <c r="N279" s="95">
        <v>2.5</v>
      </c>
      <c r="O279" s="95">
        <v>0.1</v>
      </c>
      <c r="P279" s="95">
        <v>0.1</v>
      </c>
      <c r="Q279" s="95">
        <v>0.1</v>
      </c>
      <c r="R279" s="95">
        <v>0.2</v>
      </c>
      <c r="S279" s="95">
        <v>1.94</v>
      </c>
    </row>
    <row r="280" spans="1:19">
      <c r="A280" s="295">
        <v>45911</v>
      </c>
      <c r="B280" s="243" t="s">
        <v>88</v>
      </c>
      <c r="C280" s="196"/>
      <c r="D280" s="78">
        <v>46</v>
      </c>
      <c r="E280" s="80">
        <v>0</v>
      </c>
      <c r="F280" s="80">
        <v>0.45</v>
      </c>
      <c r="G280" s="80">
        <v>0</v>
      </c>
      <c r="H280" s="80">
        <v>1.21</v>
      </c>
      <c r="I280" s="80">
        <v>0</v>
      </c>
      <c r="J280" s="80">
        <v>0</v>
      </c>
      <c r="K280" s="80">
        <v>0</v>
      </c>
      <c r="L280" s="80">
        <v>0</v>
      </c>
      <c r="M280" s="80">
        <v>0</v>
      </c>
      <c r="N280" s="80">
        <v>0</v>
      </c>
      <c r="O280" s="80">
        <v>0</v>
      </c>
      <c r="P280" s="80">
        <v>0</v>
      </c>
      <c r="Q280" s="80">
        <v>0</v>
      </c>
      <c r="R280" s="80">
        <v>0</v>
      </c>
      <c r="S280" s="80">
        <v>0</v>
      </c>
    </row>
    <row r="281" spans="1:19">
      <c r="A281" s="295"/>
      <c r="B281" s="243" t="s">
        <v>89</v>
      </c>
      <c r="C281" s="196"/>
      <c r="D281" s="92">
        <v>42</v>
      </c>
      <c r="E281" s="93">
        <v>0</v>
      </c>
      <c r="F281" s="93">
        <v>0.46</v>
      </c>
      <c r="G281" s="93">
        <v>0</v>
      </c>
      <c r="H281" s="93">
        <v>1.2</v>
      </c>
      <c r="I281" s="93">
        <v>0</v>
      </c>
      <c r="J281" s="93">
        <v>0</v>
      </c>
      <c r="K281" s="93">
        <v>0</v>
      </c>
      <c r="L281" s="93">
        <v>0</v>
      </c>
      <c r="M281" s="93">
        <v>0</v>
      </c>
      <c r="N281" s="93">
        <v>0</v>
      </c>
      <c r="O281" s="93">
        <v>0</v>
      </c>
      <c r="P281" s="93">
        <v>0</v>
      </c>
      <c r="Q281" s="93">
        <v>0</v>
      </c>
      <c r="R281" s="93">
        <v>0</v>
      </c>
      <c r="S281" s="93">
        <v>0</v>
      </c>
    </row>
    <row r="282" spans="1:19">
      <c r="A282" s="295"/>
      <c r="B282" s="243" t="s">
        <v>90</v>
      </c>
      <c r="C282" s="196"/>
      <c r="D282" s="94">
        <v>40</v>
      </c>
      <c r="E282" s="95">
        <v>46.37</v>
      </c>
      <c r="F282" s="95">
        <v>0.45</v>
      </c>
      <c r="G282" s="95">
        <v>120</v>
      </c>
      <c r="H282" s="95">
        <v>1.19</v>
      </c>
      <c r="I282" s="95">
        <v>1.2</v>
      </c>
      <c r="J282" s="95">
        <v>8.1999999999999993</v>
      </c>
      <c r="K282" s="95">
        <v>26.5</v>
      </c>
      <c r="L282" s="95">
        <v>39.4</v>
      </c>
      <c r="M282" s="95">
        <v>22.1</v>
      </c>
      <c r="N282" s="95">
        <v>2.2999999999999998</v>
      </c>
      <c r="O282" s="95">
        <v>0.1</v>
      </c>
      <c r="P282" s="95">
        <v>0.1</v>
      </c>
      <c r="Q282" s="95">
        <v>0.1</v>
      </c>
      <c r="R282" s="95">
        <v>0.2</v>
      </c>
      <c r="S282" s="95">
        <v>1.93</v>
      </c>
    </row>
    <row r="283" spans="1:19">
      <c r="A283" s="295">
        <v>45912</v>
      </c>
      <c r="B283" s="243" t="s">
        <v>88</v>
      </c>
      <c r="C283" s="196"/>
      <c r="D283" s="78">
        <v>38</v>
      </c>
      <c r="E283" s="80">
        <v>0</v>
      </c>
      <c r="F283" s="80">
        <v>0.47</v>
      </c>
      <c r="G283" s="80">
        <v>0</v>
      </c>
      <c r="H283" s="80">
        <v>1.17</v>
      </c>
      <c r="I283" s="80">
        <v>0</v>
      </c>
      <c r="J283" s="80">
        <v>0</v>
      </c>
      <c r="K283" s="80">
        <v>0</v>
      </c>
      <c r="L283" s="80">
        <v>0</v>
      </c>
      <c r="M283" s="80">
        <v>0</v>
      </c>
      <c r="N283" s="80">
        <v>0</v>
      </c>
      <c r="O283" s="80">
        <v>0</v>
      </c>
      <c r="P283" s="80">
        <v>0</v>
      </c>
      <c r="Q283" s="80">
        <v>0</v>
      </c>
      <c r="R283" s="80">
        <v>0</v>
      </c>
      <c r="S283" s="80">
        <v>0</v>
      </c>
    </row>
    <row r="284" spans="1:19">
      <c r="A284" s="295"/>
      <c r="B284" s="243" t="s">
        <v>89</v>
      </c>
      <c r="C284" s="196"/>
      <c r="D284" s="92">
        <v>47</v>
      </c>
      <c r="E284" s="93">
        <v>0</v>
      </c>
      <c r="F284" s="93">
        <v>0.42</v>
      </c>
      <c r="G284" s="93">
        <v>0</v>
      </c>
      <c r="H284" s="93">
        <v>1.1599999999999999</v>
      </c>
      <c r="I284" s="93">
        <v>0</v>
      </c>
      <c r="J284" s="93">
        <v>0</v>
      </c>
      <c r="K284" s="93">
        <v>0</v>
      </c>
      <c r="L284" s="93">
        <v>0</v>
      </c>
      <c r="M284" s="93">
        <v>0</v>
      </c>
      <c r="N284" s="93">
        <v>0</v>
      </c>
      <c r="O284" s="93">
        <v>0</v>
      </c>
      <c r="P284" s="93">
        <v>0</v>
      </c>
      <c r="Q284" s="93">
        <v>0</v>
      </c>
      <c r="R284" s="93">
        <v>0</v>
      </c>
      <c r="S284" s="93">
        <v>0</v>
      </c>
    </row>
    <row r="285" spans="1:19">
      <c r="A285" s="295"/>
      <c r="B285" s="243" t="s">
        <v>90</v>
      </c>
      <c r="C285" s="196"/>
      <c r="D285" s="94">
        <v>41</v>
      </c>
      <c r="E285" s="95">
        <v>46.37</v>
      </c>
      <c r="F285" s="95">
        <v>0.44</v>
      </c>
      <c r="G285" s="95">
        <v>110</v>
      </c>
      <c r="H285" s="95">
        <v>1.18</v>
      </c>
      <c r="I285" s="95">
        <v>0.6</v>
      </c>
      <c r="J285" s="95">
        <v>8.1999999999999993</v>
      </c>
      <c r="K285" s="95">
        <v>28.1</v>
      </c>
      <c r="L285" s="95">
        <v>38</v>
      </c>
      <c r="M285" s="95">
        <v>22.5</v>
      </c>
      <c r="N285" s="95">
        <v>2.2999999999999998</v>
      </c>
      <c r="O285" s="95">
        <v>0.1</v>
      </c>
      <c r="P285" s="95">
        <v>0.1</v>
      </c>
      <c r="Q285" s="95">
        <v>0.1</v>
      </c>
      <c r="R285" s="95">
        <v>0.2</v>
      </c>
      <c r="S285" s="95">
        <v>1.92</v>
      </c>
    </row>
    <row r="286" spans="1:19">
      <c r="A286" s="295">
        <v>45913</v>
      </c>
      <c r="B286" s="243" t="s">
        <v>88</v>
      </c>
      <c r="C286" s="196"/>
      <c r="D286" s="78">
        <v>42</v>
      </c>
      <c r="E286" s="80">
        <v>0</v>
      </c>
      <c r="F286" s="80">
        <v>0.47</v>
      </c>
      <c r="G286" s="80">
        <v>0</v>
      </c>
      <c r="H286" s="80">
        <v>1.23</v>
      </c>
      <c r="I286" s="80">
        <v>0</v>
      </c>
      <c r="J286" s="80">
        <v>0</v>
      </c>
      <c r="K286" s="80">
        <v>0</v>
      </c>
      <c r="L286" s="80">
        <v>0</v>
      </c>
      <c r="M286" s="80">
        <v>0</v>
      </c>
      <c r="N286" s="80">
        <v>0</v>
      </c>
      <c r="O286" s="80">
        <v>0</v>
      </c>
      <c r="P286" s="80">
        <v>0</v>
      </c>
      <c r="Q286" s="80">
        <v>0</v>
      </c>
      <c r="R286" s="80">
        <v>0</v>
      </c>
      <c r="S286" s="80">
        <v>0</v>
      </c>
    </row>
    <row r="287" spans="1:19">
      <c r="A287" s="295"/>
      <c r="B287" s="243" t="s">
        <v>89</v>
      </c>
      <c r="C287" s="196"/>
      <c r="D287" s="92">
        <v>48</v>
      </c>
      <c r="E287" s="93">
        <v>0</v>
      </c>
      <c r="F287" s="93">
        <v>0.47</v>
      </c>
      <c r="G287" s="93">
        <v>0</v>
      </c>
      <c r="H287" s="93">
        <v>1.19</v>
      </c>
      <c r="I287" s="93">
        <v>0</v>
      </c>
      <c r="J287" s="93">
        <v>0</v>
      </c>
      <c r="K287" s="93">
        <v>0</v>
      </c>
      <c r="L287" s="93">
        <v>0</v>
      </c>
      <c r="M287" s="93">
        <v>0</v>
      </c>
      <c r="N287" s="93">
        <v>0</v>
      </c>
      <c r="O287" s="93">
        <v>0</v>
      </c>
      <c r="P287" s="93">
        <v>0</v>
      </c>
      <c r="Q287" s="93">
        <v>0</v>
      </c>
      <c r="R287" s="93">
        <v>0</v>
      </c>
      <c r="S287" s="93">
        <v>0</v>
      </c>
    </row>
    <row r="288" spans="1:19">
      <c r="A288" s="295"/>
      <c r="B288" s="243" t="s">
        <v>90</v>
      </c>
      <c r="C288" s="196"/>
      <c r="D288" s="94">
        <v>43</v>
      </c>
      <c r="E288" s="95">
        <v>46.36</v>
      </c>
      <c r="F288" s="95">
        <v>0.48</v>
      </c>
      <c r="G288" s="95">
        <v>104</v>
      </c>
      <c r="H288" s="95">
        <v>1.21</v>
      </c>
      <c r="I288" s="95">
        <v>0.2</v>
      </c>
      <c r="J288" s="95">
        <v>5.0999999999999996</v>
      </c>
      <c r="K288" s="95">
        <v>28.9</v>
      </c>
      <c r="L288" s="95">
        <v>38.299999999999997</v>
      </c>
      <c r="M288" s="95">
        <v>25.1</v>
      </c>
      <c r="N288" s="95">
        <v>1.9</v>
      </c>
      <c r="O288" s="95">
        <v>0.1</v>
      </c>
      <c r="P288" s="95">
        <v>0.3</v>
      </c>
      <c r="Q288" s="95">
        <v>0.1</v>
      </c>
      <c r="R288" s="95">
        <v>0.4</v>
      </c>
      <c r="S288" s="95">
        <v>1.89</v>
      </c>
    </row>
    <row r="289" spans="1:19">
      <c r="A289" s="295">
        <v>45914</v>
      </c>
      <c r="B289" s="243" t="s">
        <v>88</v>
      </c>
      <c r="C289" s="196"/>
      <c r="D289" s="78">
        <v>39</v>
      </c>
      <c r="E289" s="125" t="s">
        <v>48</v>
      </c>
      <c r="F289" s="80">
        <v>0.48</v>
      </c>
      <c r="G289" s="125" t="s">
        <v>48</v>
      </c>
      <c r="H289" s="80">
        <v>1.25</v>
      </c>
      <c r="I289" s="125" t="s">
        <v>48</v>
      </c>
      <c r="J289" s="125" t="s">
        <v>48</v>
      </c>
      <c r="K289" s="125" t="s">
        <v>48</v>
      </c>
      <c r="L289" s="125" t="s">
        <v>48</v>
      </c>
      <c r="M289" s="125" t="s">
        <v>48</v>
      </c>
      <c r="N289" s="125" t="s">
        <v>48</v>
      </c>
      <c r="O289" s="125" t="s">
        <v>48</v>
      </c>
      <c r="P289" s="125" t="s">
        <v>48</v>
      </c>
      <c r="Q289" s="125" t="s">
        <v>48</v>
      </c>
      <c r="R289" s="125" t="s">
        <v>48</v>
      </c>
      <c r="S289" s="125" t="s">
        <v>48</v>
      </c>
    </row>
    <row r="290" spans="1:19">
      <c r="A290" s="295"/>
      <c r="B290" s="243" t="s">
        <v>89</v>
      </c>
      <c r="C290" s="196"/>
      <c r="D290" s="92">
        <v>45</v>
      </c>
      <c r="E290" s="126" t="s">
        <v>48</v>
      </c>
      <c r="F290" s="93" t="s">
        <v>91</v>
      </c>
      <c r="G290" s="126" t="s">
        <v>48</v>
      </c>
      <c r="H290" s="93" t="s">
        <v>92</v>
      </c>
      <c r="I290" s="126" t="s">
        <v>48</v>
      </c>
      <c r="J290" s="126" t="s">
        <v>48</v>
      </c>
      <c r="K290" s="126" t="s">
        <v>48</v>
      </c>
      <c r="L290" s="126" t="s">
        <v>48</v>
      </c>
      <c r="M290" s="126" t="s">
        <v>48</v>
      </c>
      <c r="N290" s="126" t="s">
        <v>48</v>
      </c>
      <c r="O290" s="126" t="s">
        <v>48</v>
      </c>
      <c r="P290" s="126" t="s">
        <v>48</v>
      </c>
      <c r="Q290" s="126" t="s">
        <v>48</v>
      </c>
      <c r="R290" s="126" t="s">
        <v>48</v>
      </c>
      <c r="S290" s="126" t="s">
        <v>48</v>
      </c>
    </row>
    <row r="291" spans="1:19">
      <c r="A291" s="295"/>
      <c r="B291" s="243" t="s">
        <v>90</v>
      </c>
      <c r="C291" s="196"/>
      <c r="D291" s="94">
        <v>38</v>
      </c>
      <c r="E291" s="95">
        <v>46.36</v>
      </c>
      <c r="F291" s="95">
        <v>0.45</v>
      </c>
      <c r="G291" s="95">
        <v>112</v>
      </c>
      <c r="H291" s="95">
        <v>1.27</v>
      </c>
      <c r="I291" s="95">
        <v>0.3</v>
      </c>
      <c r="J291" s="95">
        <v>4.7</v>
      </c>
      <c r="K291" s="95">
        <v>23.5</v>
      </c>
      <c r="L291" s="95">
        <v>49.4</v>
      </c>
      <c r="M291" s="95">
        <v>19.8</v>
      </c>
      <c r="N291" s="95">
        <v>1.9</v>
      </c>
      <c r="O291" s="95">
        <v>0.2</v>
      </c>
      <c r="P291" s="95">
        <v>0.1</v>
      </c>
      <c r="Q291" s="95">
        <v>0.1</v>
      </c>
      <c r="R291" s="95">
        <v>0.2</v>
      </c>
      <c r="S291" s="95">
        <v>1.89</v>
      </c>
    </row>
    <row r="292" spans="1:19">
      <c r="A292" s="295">
        <v>45915</v>
      </c>
      <c r="B292" s="243" t="s">
        <v>88</v>
      </c>
      <c r="C292" s="196"/>
      <c r="D292" s="78">
        <v>40</v>
      </c>
      <c r="E292" s="125" t="s">
        <v>48</v>
      </c>
      <c r="F292" s="80">
        <v>0.41</v>
      </c>
      <c r="G292" s="125" t="s">
        <v>48</v>
      </c>
      <c r="H292" s="80">
        <v>1.22</v>
      </c>
      <c r="I292" s="125" t="s">
        <v>48</v>
      </c>
      <c r="J292" s="125" t="s">
        <v>48</v>
      </c>
      <c r="K292" s="125" t="s">
        <v>48</v>
      </c>
      <c r="L292" s="125" t="s">
        <v>48</v>
      </c>
      <c r="M292" s="125" t="s">
        <v>48</v>
      </c>
      <c r="N292" s="125" t="s">
        <v>48</v>
      </c>
      <c r="O292" s="125" t="s">
        <v>48</v>
      </c>
      <c r="P292" s="125" t="s">
        <v>48</v>
      </c>
      <c r="Q292" s="125" t="s">
        <v>48</v>
      </c>
      <c r="R292" s="125" t="s">
        <v>48</v>
      </c>
      <c r="S292" s="125" t="s">
        <v>48</v>
      </c>
    </row>
    <row r="293" spans="1:19">
      <c r="A293" s="295"/>
      <c r="B293" s="243" t="s">
        <v>89</v>
      </c>
      <c r="C293" s="196"/>
      <c r="D293" s="92">
        <v>42</v>
      </c>
      <c r="E293" s="93">
        <v>0</v>
      </c>
      <c r="F293" s="93">
        <v>0.46</v>
      </c>
      <c r="G293" s="93">
        <v>0</v>
      </c>
      <c r="H293" s="93">
        <v>1.18</v>
      </c>
      <c r="I293" s="93">
        <v>0</v>
      </c>
      <c r="J293" s="93">
        <v>0</v>
      </c>
      <c r="K293" s="93">
        <v>0</v>
      </c>
      <c r="L293" s="93">
        <v>0</v>
      </c>
      <c r="M293" s="93">
        <v>0</v>
      </c>
      <c r="N293" s="93">
        <v>0</v>
      </c>
      <c r="O293" s="93">
        <v>0</v>
      </c>
      <c r="P293" s="126" t="s">
        <v>48</v>
      </c>
      <c r="Q293" s="126" t="s">
        <v>48</v>
      </c>
      <c r="R293" s="126" t="s">
        <v>48</v>
      </c>
      <c r="S293" s="126" t="s">
        <v>48</v>
      </c>
    </row>
    <row r="294" spans="1:19">
      <c r="A294" s="295"/>
      <c r="B294" s="243" t="s">
        <v>90</v>
      </c>
      <c r="C294" s="196"/>
      <c r="D294" s="94">
        <v>35</v>
      </c>
      <c r="E294" s="95">
        <v>46.38</v>
      </c>
      <c r="F294" s="95">
        <v>0.42</v>
      </c>
      <c r="G294" s="95">
        <v>108</v>
      </c>
      <c r="H294" s="95">
        <v>1.1499999999999999</v>
      </c>
      <c r="I294" s="95">
        <v>0.7</v>
      </c>
      <c r="J294" s="95">
        <v>7.7</v>
      </c>
      <c r="K294" s="95">
        <v>26.2</v>
      </c>
      <c r="L294" s="95">
        <v>39.299999999999997</v>
      </c>
      <c r="M294" s="95">
        <v>21.5</v>
      </c>
      <c r="N294" s="95">
        <v>3.9</v>
      </c>
      <c r="O294" s="95">
        <v>0.3</v>
      </c>
      <c r="P294" s="95">
        <v>0.3</v>
      </c>
      <c r="Q294" s="95">
        <v>0.1</v>
      </c>
      <c r="R294" s="95">
        <v>0.4</v>
      </c>
      <c r="S294" s="95">
        <v>1.9</v>
      </c>
    </row>
    <row r="295" spans="1:19">
      <c r="A295" s="295">
        <v>45916</v>
      </c>
      <c r="B295" s="243" t="s">
        <v>88</v>
      </c>
      <c r="C295" s="196"/>
      <c r="D295" s="78">
        <v>39</v>
      </c>
      <c r="E295" s="80">
        <v>46.38</v>
      </c>
      <c r="F295" s="80">
        <v>0.44</v>
      </c>
      <c r="G295" s="80">
        <v>100</v>
      </c>
      <c r="H295" s="80">
        <v>1.1100000000000001</v>
      </c>
      <c r="I295" s="80">
        <v>1.3</v>
      </c>
      <c r="J295" s="80">
        <v>7.08</v>
      </c>
      <c r="K295" s="80">
        <v>26.7</v>
      </c>
      <c r="L295" s="80">
        <v>39.799999999999997</v>
      </c>
      <c r="M295" s="80">
        <v>20.7</v>
      </c>
      <c r="N295" s="80">
        <v>3.4</v>
      </c>
      <c r="O295" s="80">
        <v>0.2</v>
      </c>
      <c r="P295" s="80">
        <v>0.1</v>
      </c>
      <c r="Q295" s="80">
        <v>0</v>
      </c>
      <c r="R295" s="80">
        <v>0.1</v>
      </c>
      <c r="S295" s="80">
        <v>1.92</v>
      </c>
    </row>
    <row r="296" spans="1:19">
      <c r="A296" s="295"/>
      <c r="B296" s="243" t="s">
        <v>89</v>
      </c>
      <c r="C296" s="196"/>
      <c r="D296" s="92">
        <v>40</v>
      </c>
      <c r="E296" s="93">
        <v>46.39</v>
      </c>
      <c r="F296" s="93" t="s">
        <v>93</v>
      </c>
      <c r="G296" s="93">
        <v>103</v>
      </c>
      <c r="H296" s="93" t="s">
        <v>94</v>
      </c>
      <c r="I296" s="93">
        <v>0.7</v>
      </c>
      <c r="J296" s="93">
        <v>7</v>
      </c>
      <c r="K296" s="93">
        <v>21.8</v>
      </c>
      <c r="L296" s="93">
        <v>40</v>
      </c>
      <c r="M296" s="93">
        <v>25.4</v>
      </c>
      <c r="N296" s="93">
        <v>4.5</v>
      </c>
      <c r="O296" s="93">
        <v>0.3</v>
      </c>
      <c r="P296" s="93">
        <v>0.2</v>
      </c>
      <c r="Q296" s="93">
        <v>0.1</v>
      </c>
      <c r="R296" s="93">
        <v>0.3</v>
      </c>
      <c r="S296" s="93">
        <v>1.87</v>
      </c>
    </row>
    <row r="297" spans="1:19">
      <c r="A297" s="295"/>
      <c r="B297" s="243" t="s">
        <v>90</v>
      </c>
      <c r="C297" s="196"/>
      <c r="D297" s="94">
        <v>38</v>
      </c>
      <c r="E297" s="95">
        <v>46.39</v>
      </c>
      <c r="F297" s="95">
        <v>0.42</v>
      </c>
      <c r="G297" s="95">
        <v>110</v>
      </c>
      <c r="H297" s="95">
        <v>1.04</v>
      </c>
      <c r="I297" s="95">
        <v>1.7</v>
      </c>
      <c r="J297" s="95">
        <v>10.3</v>
      </c>
      <c r="K297" s="95">
        <v>30.9</v>
      </c>
      <c r="L297" s="95">
        <v>36.299999999999997</v>
      </c>
      <c r="M297" s="95">
        <v>18.2</v>
      </c>
      <c r="N297" s="95">
        <v>2.4</v>
      </c>
      <c r="O297" s="95">
        <v>0.1</v>
      </c>
      <c r="P297" s="95">
        <v>0.1</v>
      </c>
      <c r="Q297" s="95">
        <v>0</v>
      </c>
      <c r="R297" s="95">
        <v>0.1</v>
      </c>
      <c r="S297" s="95">
        <v>1.98</v>
      </c>
    </row>
    <row r="298" spans="1:19">
      <c r="A298" s="295">
        <v>45917</v>
      </c>
      <c r="B298" s="243" t="s">
        <v>88</v>
      </c>
      <c r="C298" s="196"/>
      <c r="D298" s="78">
        <v>46</v>
      </c>
      <c r="E298" s="80">
        <v>46.38</v>
      </c>
      <c r="F298" s="80">
        <v>0.44</v>
      </c>
      <c r="G298" s="80">
        <v>102</v>
      </c>
      <c r="H298" s="80">
        <v>0.98</v>
      </c>
      <c r="I298" s="80">
        <v>1.1000000000000001</v>
      </c>
      <c r="J298" s="80">
        <v>7.4</v>
      </c>
      <c r="K298" s="80">
        <v>25.3</v>
      </c>
      <c r="L298" s="80">
        <v>39.1</v>
      </c>
      <c r="M298" s="80">
        <v>22.6</v>
      </c>
      <c r="N298" s="80">
        <v>4</v>
      </c>
      <c r="O298" s="80">
        <v>0.3</v>
      </c>
      <c r="P298" s="80">
        <v>0.2</v>
      </c>
      <c r="Q298" s="80">
        <v>0</v>
      </c>
      <c r="R298" s="80">
        <v>0.2</v>
      </c>
      <c r="S298" s="80">
        <v>1.9</v>
      </c>
    </row>
    <row r="299" spans="1:19">
      <c r="A299" s="295"/>
      <c r="B299" s="243" t="s">
        <v>89</v>
      </c>
      <c r="C299" s="196"/>
      <c r="D299" s="92">
        <v>42</v>
      </c>
      <c r="E299" s="93">
        <v>46.38</v>
      </c>
      <c r="F299" s="93">
        <v>0.45</v>
      </c>
      <c r="G299" s="93">
        <v>106</v>
      </c>
      <c r="H299" s="93">
        <v>0.94</v>
      </c>
      <c r="I299" s="93">
        <v>2</v>
      </c>
      <c r="J299" s="93">
        <v>9.6999999999999993</v>
      </c>
      <c r="K299" s="93">
        <v>24.9</v>
      </c>
      <c r="L299" s="93">
        <v>38.799999999999997</v>
      </c>
      <c r="M299" s="93">
        <v>21.8</v>
      </c>
      <c r="N299" s="93">
        <v>2.2999999999999998</v>
      </c>
      <c r="O299" s="93">
        <v>0.2</v>
      </c>
      <c r="P299" s="93">
        <v>0.2</v>
      </c>
      <c r="Q299" s="93">
        <v>0.1</v>
      </c>
      <c r="R299" s="93">
        <v>0.3</v>
      </c>
      <c r="S299" s="93">
        <v>1.94</v>
      </c>
    </row>
    <row r="300" spans="1:19">
      <c r="A300" s="295"/>
      <c r="B300" s="243" t="s">
        <v>90</v>
      </c>
      <c r="C300" s="196"/>
      <c r="D300" s="94">
        <v>39</v>
      </c>
      <c r="E300" s="95">
        <v>46.4</v>
      </c>
      <c r="F300" s="95">
        <v>0.41</v>
      </c>
      <c r="G300" s="95">
        <v>104</v>
      </c>
      <c r="H300" s="95">
        <v>0.92</v>
      </c>
      <c r="I300" s="95">
        <v>1.9</v>
      </c>
      <c r="J300" s="95">
        <v>8.4</v>
      </c>
      <c r="K300" s="95">
        <v>24.2</v>
      </c>
      <c r="L300" s="95">
        <v>40.200000000000003</v>
      </c>
      <c r="M300" s="95">
        <v>23</v>
      </c>
      <c r="N300" s="95">
        <v>2.1</v>
      </c>
      <c r="O300" s="95">
        <v>0.1</v>
      </c>
      <c r="P300" s="95">
        <v>0.1</v>
      </c>
      <c r="Q300" s="95">
        <v>0</v>
      </c>
      <c r="R300" s="95">
        <v>0.1</v>
      </c>
      <c r="S300" s="95">
        <v>1.93</v>
      </c>
    </row>
    <row r="301" spans="1:19">
      <c r="A301" s="295">
        <v>45918</v>
      </c>
      <c r="B301" s="243" t="s">
        <v>88</v>
      </c>
      <c r="C301" s="196"/>
      <c r="D301" s="78">
        <v>62</v>
      </c>
      <c r="E301" s="80">
        <v>46.4</v>
      </c>
      <c r="F301" s="80">
        <v>0.44</v>
      </c>
      <c r="G301" s="80">
        <v>106</v>
      </c>
      <c r="H301" s="80">
        <v>0.95</v>
      </c>
      <c r="I301" s="80">
        <v>2.7</v>
      </c>
      <c r="J301" s="80">
        <v>9.8000000000000007</v>
      </c>
      <c r="K301" s="80">
        <v>26.6</v>
      </c>
      <c r="L301" s="80">
        <v>39.299999999999997</v>
      </c>
      <c r="M301" s="80">
        <v>19.5</v>
      </c>
      <c r="N301" s="80">
        <v>1.9</v>
      </c>
      <c r="O301" s="80">
        <v>0.1</v>
      </c>
      <c r="P301" s="80">
        <v>0.1</v>
      </c>
      <c r="Q301" s="80">
        <v>0</v>
      </c>
      <c r="R301" s="80">
        <v>0.1</v>
      </c>
      <c r="S301" s="80">
        <v>1.97</v>
      </c>
    </row>
    <row r="302" spans="1:19">
      <c r="A302" s="295"/>
      <c r="B302" s="243" t="s">
        <v>89</v>
      </c>
      <c r="C302" s="196"/>
      <c r="D302" s="92">
        <v>42</v>
      </c>
      <c r="E302" s="93">
        <v>46.4</v>
      </c>
      <c r="F302" s="93">
        <v>0.42</v>
      </c>
      <c r="G302" s="93">
        <v>102</v>
      </c>
      <c r="H302" s="93">
        <v>0.91</v>
      </c>
      <c r="I302" s="93">
        <v>1</v>
      </c>
      <c r="J302" s="93">
        <v>7.3</v>
      </c>
      <c r="K302" s="93">
        <v>23.7</v>
      </c>
      <c r="L302" s="93">
        <v>41.2</v>
      </c>
      <c r="M302" s="93">
        <v>23.5</v>
      </c>
      <c r="N302" s="93">
        <v>2</v>
      </c>
      <c r="O302" s="93">
        <v>0.3</v>
      </c>
      <c r="P302" s="93">
        <v>0.1</v>
      </c>
      <c r="Q302" s="93">
        <v>0.1</v>
      </c>
      <c r="R302" s="93">
        <v>0.2</v>
      </c>
      <c r="S302" s="93">
        <v>1.9</v>
      </c>
    </row>
    <row r="303" spans="1:19">
      <c r="A303" s="295"/>
      <c r="B303" s="243" t="s">
        <v>90</v>
      </c>
      <c r="C303" s="196"/>
      <c r="D303" s="94">
        <v>37</v>
      </c>
      <c r="E303" s="95">
        <v>46.4</v>
      </c>
      <c r="F303" s="95">
        <v>0.42</v>
      </c>
      <c r="G303" s="95">
        <v>108</v>
      </c>
      <c r="H303" s="95">
        <v>0.9</v>
      </c>
      <c r="I303" s="95">
        <v>1.9</v>
      </c>
      <c r="J303" s="95">
        <v>10.8</v>
      </c>
      <c r="K303" s="95">
        <v>27.1</v>
      </c>
      <c r="L303" s="95">
        <v>40.200000000000003</v>
      </c>
      <c r="M303" s="95">
        <v>18.2</v>
      </c>
      <c r="N303" s="95">
        <v>1.6</v>
      </c>
      <c r="O303" s="95">
        <v>0.1</v>
      </c>
      <c r="P303" s="95">
        <v>0.1</v>
      </c>
      <c r="Q303" s="95">
        <v>0</v>
      </c>
      <c r="R303" s="95">
        <v>0.1</v>
      </c>
      <c r="S303" s="95">
        <v>1.97</v>
      </c>
    </row>
    <row r="304" spans="1:19">
      <c r="A304" s="295">
        <v>45919</v>
      </c>
      <c r="B304" s="243" t="s">
        <v>88</v>
      </c>
      <c r="C304" s="196"/>
      <c r="D304" s="78">
        <v>62</v>
      </c>
      <c r="E304" s="80">
        <v>46.4</v>
      </c>
      <c r="F304" s="80">
        <v>0.42</v>
      </c>
      <c r="G304" s="80">
        <v>96</v>
      </c>
      <c r="H304" s="80">
        <v>0.9</v>
      </c>
      <c r="I304" s="80">
        <v>2</v>
      </c>
      <c r="J304" s="80">
        <v>9.6</v>
      </c>
      <c r="K304" s="80">
        <v>23.4</v>
      </c>
      <c r="L304" s="80">
        <v>40.299999999999997</v>
      </c>
      <c r="M304" s="80">
        <v>21.7</v>
      </c>
      <c r="N304" s="80">
        <v>2.7</v>
      </c>
      <c r="O304" s="80">
        <v>0.2</v>
      </c>
      <c r="P304" s="80">
        <v>0.1</v>
      </c>
      <c r="Q304" s="80">
        <v>0.1</v>
      </c>
      <c r="R304" s="80">
        <v>0</v>
      </c>
      <c r="S304" s="80">
        <v>1.94</v>
      </c>
    </row>
    <row r="305" spans="1:19">
      <c r="A305" s="295"/>
      <c r="B305" s="243" t="s">
        <v>89</v>
      </c>
      <c r="C305" s="196"/>
      <c r="D305" s="92">
        <v>41</v>
      </c>
      <c r="E305" s="93">
        <v>46.41</v>
      </c>
      <c r="F305" s="93">
        <v>0.4</v>
      </c>
      <c r="G305" s="93">
        <v>101</v>
      </c>
      <c r="H305" s="93">
        <v>0.92</v>
      </c>
      <c r="I305" s="93">
        <v>0.9</v>
      </c>
      <c r="J305" s="93">
        <v>5.9</v>
      </c>
      <c r="K305" s="93">
        <v>21.7</v>
      </c>
      <c r="L305" s="93">
        <v>41.1</v>
      </c>
      <c r="M305" s="93">
        <v>25.9</v>
      </c>
      <c r="N305" s="93">
        <v>3.7</v>
      </c>
      <c r="O305" s="93">
        <v>0.4</v>
      </c>
      <c r="P305" s="93">
        <v>0.3</v>
      </c>
      <c r="Q305" s="93">
        <v>0.1</v>
      </c>
      <c r="R305" s="93">
        <v>0.4</v>
      </c>
      <c r="S305" s="93">
        <v>1.87</v>
      </c>
    </row>
    <row r="306" spans="1:19">
      <c r="A306" s="295"/>
      <c r="B306" s="243" t="s">
        <v>90</v>
      </c>
      <c r="C306" s="196"/>
      <c r="D306" s="94">
        <v>49</v>
      </c>
      <c r="E306" s="95">
        <v>46.41</v>
      </c>
      <c r="F306" s="95">
        <v>0.4</v>
      </c>
      <c r="G306" s="95">
        <v>104</v>
      </c>
      <c r="H306" s="95">
        <v>0.91</v>
      </c>
      <c r="I306" s="95">
        <v>1.9</v>
      </c>
      <c r="J306" s="95">
        <v>9.3000000000000007</v>
      </c>
      <c r="K306" s="95">
        <v>25.4</v>
      </c>
      <c r="L306" s="95">
        <v>40.9</v>
      </c>
      <c r="M306" s="95">
        <v>19.8</v>
      </c>
      <c r="N306" s="95">
        <v>2.2999999999999998</v>
      </c>
      <c r="O306" s="95">
        <v>0.2</v>
      </c>
      <c r="P306" s="95">
        <v>0.1</v>
      </c>
      <c r="Q306" s="95">
        <v>0.1</v>
      </c>
      <c r="R306" s="95">
        <v>0.2</v>
      </c>
      <c r="S306" s="95">
        <v>1.95</v>
      </c>
    </row>
    <row r="307" spans="1:19">
      <c r="A307" s="295">
        <v>45920</v>
      </c>
      <c r="B307" s="243" t="s">
        <v>88</v>
      </c>
      <c r="C307" s="196"/>
      <c r="D307" s="78">
        <v>54</v>
      </c>
      <c r="E307" s="80">
        <v>46.4</v>
      </c>
      <c r="F307" s="80">
        <v>0.43</v>
      </c>
      <c r="G307" s="80">
        <v>102</v>
      </c>
      <c r="H307" s="80">
        <v>0.91</v>
      </c>
      <c r="I307" s="80">
        <v>3.4</v>
      </c>
      <c r="J307" s="80">
        <v>13.9</v>
      </c>
      <c r="K307" s="80">
        <v>28.6</v>
      </c>
      <c r="L307" s="80">
        <v>39.5</v>
      </c>
      <c r="M307" s="80">
        <v>13.3</v>
      </c>
      <c r="N307" s="80">
        <v>0.9</v>
      </c>
      <c r="O307" s="80">
        <v>0.2</v>
      </c>
      <c r="P307" s="80">
        <v>0.1</v>
      </c>
      <c r="Q307" s="80">
        <v>0.1</v>
      </c>
      <c r="R307" s="80">
        <v>0.2</v>
      </c>
      <c r="S307" s="80">
        <v>2.04</v>
      </c>
    </row>
    <row r="308" spans="1:19">
      <c r="A308" s="295"/>
      <c r="B308" s="243" t="s">
        <v>89</v>
      </c>
      <c r="C308" s="196"/>
      <c r="D308" s="92">
        <v>50</v>
      </c>
      <c r="E308" s="93">
        <v>46.39</v>
      </c>
      <c r="F308" s="93">
        <v>0.45</v>
      </c>
      <c r="G308" s="93">
        <v>98</v>
      </c>
      <c r="H308" s="93">
        <v>0.9</v>
      </c>
      <c r="I308" s="93">
        <v>1.4</v>
      </c>
      <c r="J308" s="93">
        <v>8.1999999999999993</v>
      </c>
      <c r="K308" s="93">
        <v>24.2</v>
      </c>
      <c r="L308" s="93">
        <v>41.1</v>
      </c>
      <c r="M308" s="93">
        <v>22.3</v>
      </c>
      <c r="N308" s="93">
        <v>2.5</v>
      </c>
      <c r="O308" s="93">
        <v>0.2</v>
      </c>
      <c r="P308" s="93">
        <v>0.1</v>
      </c>
      <c r="Q308" s="93">
        <v>0</v>
      </c>
      <c r="R308" s="93">
        <v>0.1</v>
      </c>
      <c r="S308" s="93">
        <v>1.92</v>
      </c>
    </row>
    <row r="309" spans="1:19">
      <c r="A309" s="295"/>
      <c r="B309" s="243" t="s">
        <v>90</v>
      </c>
      <c r="C309" s="196"/>
      <c r="D309" s="94">
        <v>42</v>
      </c>
      <c r="E309" s="95">
        <v>46.4</v>
      </c>
      <c r="F309" s="95">
        <v>0.42</v>
      </c>
      <c r="G309" s="95">
        <v>100</v>
      </c>
      <c r="H309" s="95">
        <v>0.92</v>
      </c>
      <c r="I309" s="95">
        <v>1.2</v>
      </c>
      <c r="J309" s="95">
        <v>7.2</v>
      </c>
      <c r="K309" s="95">
        <v>21.9</v>
      </c>
      <c r="L309" s="95">
        <v>41.4</v>
      </c>
      <c r="M309" s="95">
        <v>24.4</v>
      </c>
      <c r="N309" s="95">
        <v>3.2</v>
      </c>
      <c r="O309" s="95">
        <v>0.3</v>
      </c>
      <c r="P309" s="95">
        <v>0.3</v>
      </c>
      <c r="Q309" s="95">
        <v>0.1</v>
      </c>
      <c r="R309" s="95">
        <v>0.4</v>
      </c>
      <c r="S309" s="95">
        <v>1.89</v>
      </c>
    </row>
    <row r="310" spans="1:19">
      <c r="A310" s="295">
        <v>45921</v>
      </c>
      <c r="B310" s="243" t="s">
        <v>88</v>
      </c>
      <c r="C310" s="196"/>
      <c r="D310" s="78">
        <v>40</v>
      </c>
      <c r="E310" s="80">
        <v>46.4</v>
      </c>
      <c r="F310" s="80">
        <v>0.45</v>
      </c>
      <c r="G310" s="80">
        <v>94</v>
      </c>
      <c r="H310" s="80">
        <v>0.94</v>
      </c>
      <c r="I310" s="80">
        <v>1.1000000000000001</v>
      </c>
      <c r="J310" s="80">
        <v>6.9</v>
      </c>
      <c r="K310" s="80">
        <v>21.7</v>
      </c>
      <c r="L310" s="80">
        <v>40.9</v>
      </c>
      <c r="M310" s="80">
        <v>25.8</v>
      </c>
      <c r="N310" s="80">
        <v>3.2</v>
      </c>
      <c r="O310" s="80">
        <v>0.2</v>
      </c>
      <c r="P310" s="80">
        <v>0.1</v>
      </c>
      <c r="Q310" s="80">
        <v>0.1</v>
      </c>
      <c r="R310" s="80">
        <v>0.2</v>
      </c>
      <c r="S310" s="80">
        <v>1.88</v>
      </c>
    </row>
    <row r="311" spans="1:19">
      <c r="A311" s="295"/>
      <c r="B311" s="243" t="s">
        <v>89</v>
      </c>
      <c r="C311" s="196"/>
      <c r="D311" s="92">
        <v>45</v>
      </c>
      <c r="E311" s="93">
        <v>46.41</v>
      </c>
      <c r="F311" s="93">
        <v>0.41</v>
      </c>
      <c r="G311" s="93">
        <v>98</v>
      </c>
      <c r="H311" s="93">
        <v>0.92</v>
      </c>
      <c r="I311" s="93">
        <v>1.1000000000000001</v>
      </c>
      <c r="J311" s="93">
        <v>8.1</v>
      </c>
      <c r="K311" s="93">
        <v>24.3</v>
      </c>
      <c r="L311" s="93">
        <v>37.700000000000003</v>
      </c>
      <c r="M311" s="93">
        <v>25.1</v>
      </c>
      <c r="N311" s="93">
        <v>3.2</v>
      </c>
      <c r="O311" s="93">
        <v>0.3</v>
      </c>
      <c r="P311" s="93">
        <v>0.1</v>
      </c>
      <c r="Q311" s="93">
        <v>0.1</v>
      </c>
      <c r="R311" s="93">
        <v>0.2</v>
      </c>
      <c r="S311" s="93">
        <v>1.9</v>
      </c>
    </row>
    <row r="312" spans="1:19">
      <c r="A312" s="295"/>
      <c r="B312" s="243" t="s">
        <v>90</v>
      </c>
      <c r="C312" s="196"/>
      <c r="D312" s="94">
        <v>42</v>
      </c>
      <c r="E312" s="95">
        <v>46.39</v>
      </c>
      <c r="F312" s="95">
        <v>0.44</v>
      </c>
      <c r="G312" s="95">
        <v>96</v>
      </c>
      <c r="H312" s="95">
        <v>0.93</v>
      </c>
      <c r="I312" s="95">
        <v>1.1000000000000001</v>
      </c>
      <c r="J312" s="95">
        <v>7.9</v>
      </c>
      <c r="K312" s="95">
        <v>21.5</v>
      </c>
      <c r="L312" s="95">
        <v>41.2</v>
      </c>
      <c r="M312" s="95">
        <v>24.3</v>
      </c>
      <c r="N312" s="95">
        <v>3.3</v>
      </c>
      <c r="O312" s="95">
        <v>0.3</v>
      </c>
      <c r="P312" s="95">
        <v>0.3</v>
      </c>
      <c r="Q312" s="95">
        <v>0.1</v>
      </c>
      <c r="R312" s="95">
        <v>0.4</v>
      </c>
      <c r="S312" s="95">
        <v>1.89</v>
      </c>
    </row>
    <row r="313" spans="1:19">
      <c r="A313" s="295">
        <v>45922</v>
      </c>
      <c r="B313" s="243" t="s">
        <v>88</v>
      </c>
      <c r="C313" s="196"/>
      <c r="D313" s="78">
        <v>40</v>
      </c>
      <c r="E313" s="80">
        <v>46.39</v>
      </c>
      <c r="F313" s="80">
        <v>0.45</v>
      </c>
      <c r="G313" s="80">
        <v>102</v>
      </c>
      <c r="H313" s="80">
        <v>0.95</v>
      </c>
      <c r="I313" s="80">
        <v>0.8</v>
      </c>
      <c r="J313" s="80">
        <v>7.1</v>
      </c>
      <c r="K313" s="80">
        <v>22.4</v>
      </c>
      <c r="L313" s="80">
        <v>46.3</v>
      </c>
      <c r="M313" s="80">
        <v>21.1</v>
      </c>
      <c r="N313" s="80">
        <v>2.1</v>
      </c>
      <c r="O313" s="80">
        <v>0.1</v>
      </c>
      <c r="P313" s="80">
        <v>0.1</v>
      </c>
      <c r="Q313" s="80">
        <v>0</v>
      </c>
      <c r="R313" s="80">
        <v>0.1</v>
      </c>
      <c r="S313" s="80">
        <v>1.9</v>
      </c>
    </row>
    <row r="314" spans="1:19">
      <c r="A314" s="295"/>
      <c r="B314" s="243" t="s">
        <v>89</v>
      </c>
      <c r="C314" s="196"/>
      <c r="D314" s="92">
        <v>42</v>
      </c>
      <c r="E314" s="93">
        <v>46.4</v>
      </c>
      <c r="F314" s="93">
        <v>0.43</v>
      </c>
      <c r="G314" s="93">
        <v>106</v>
      </c>
      <c r="H314" s="93">
        <v>0.91</v>
      </c>
      <c r="I314" s="93">
        <v>1.4</v>
      </c>
      <c r="J314" s="93">
        <v>8.6</v>
      </c>
      <c r="K314" s="93">
        <v>24.1</v>
      </c>
      <c r="L314" s="93">
        <v>37.4</v>
      </c>
      <c r="M314" s="93">
        <v>24.5</v>
      </c>
      <c r="N314" s="93">
        <v>3.2</v>
      </c>
      <c r="O314" s="93">
        <v>0.4</v>
      </c>
      <c r="P314" s="93">
        <v>0.3</v>
      </c>
      <c r="Q314" s="93">
        <v>0.1</v>
      </c>
      <c r="R314" s="93">
        <v>0.4</v>
      </c>
      <c r="S314" s="93">
        <v>1.91</v>
      </c>
    </row>
    <row r="315" spans="1:19">
      <c r="A315" s="295"/>
      <c r="B315" s="243" t="s">
        <v>90</v>
      </c>
      <c r="C315" s="196"/>
      <c r="D315" s="94">
        <v>40</v>
      </c>
      <c r="E315" s="95">
        <v>46.38</v>
      </c>
      <c r="F315" s="95">
        <v>0.45</v>
      </c>
      <c r="G315" s="95">
        <v>100</v>
      </c>
      <c r="H315" s="95">
        <v>0.93</v>
      </c>
      <c r="I315" s="95">
        <v>1.8</v>
      </c>
      <c r="J315" s="95">
        <v>8.3000000000000007</v>
      </c>
      <c r="K315" s="95">
        <v>24</v>
      </c>
      <c r="L315" s="95">
        <v>38.9</v>
      </c>
      <c r="M315" s="95">
        <v>22.9</v>
      </c>
      <c r="N315" s="95">
        <v>3.2</v>
      </c>
      <c r="O315" s="95">
        <v>0.3</v>
      </c>
      <c r="P315" s="95">
        <v>0.4</v>
      </c>
      <c r="Q315" s="95">
        <v>0.2</v>
      </c>
      <c r="R315" s="95">
        <v>0.6</v>
      </c>
      <c r="S315" s="95">
        <v>1.91</v>
      </c>
    </row>
    <row r="316" spans="1:19">
      <c r="A316" s="295">
        <v>45923</v>
      </c>
      <c r="B316" s="243" t="s">
        <v>88</v>
      </c>
      <c r="C316" s="196"/>
      <c r="D316" s="78">
        <v>56</v>
      </c>
      <c r="E316" s="80">
        <v>46.4</v>
      </c>
      <c r="F316" s="80">
        <v>0.43</v>
      </c>
      <c r="G316" s="80">
        <v>104</v>
      </c>
      <c r="H316" s="80">
        <v>0.9</v>
      </c>
      <c r="I316" s="80">
        <v>1.2</v>
      </c>
      <c r="J316" s="80">
        <v>7.3</v>
      </c>
      <c r="K316" s="80">
        <v>22.4</v>
      </c>
      <c r="L316" s="80">
        <v>42.9</v>
      </c>
      <c r="M316" s="80">
        <v>22.9</v>
      </c>
      <c r="N316" s="80">
        <v>2.8</v>
      </c>
      <c r="O316" s="80">
        <v>0.3</v>
      </c>
      <c r="P316" s="80">
        <v>0.2</v>
      </c>
      <c r="Q316" s="80">
        <v>0</v>
      </c>
      <c r="R316" s="80">
        <v>0.2</v>
      </c>
      <c r="S316" s="80">
        <v>1.9</v>
      </c>
    </row>
    <row r="317" spans="1:19">
      <c r="A317" s="295"/>
      <c r="B317" s="243" t="s">
        <v>89</v>
      </c>
      <c r="C317" s="196"/>
      <c r="D317" s="92">
        <v>46</v>
      </c>
      <c r="E317" s="93">
        <v>46.41</v>
      </c>
      <c r="F317" s="93">
        <v>0.4</v>
      </c>
      <c r="G317" s="93">
        <v>100</v>
      </c>
      <c r="H317" s="93">
        <v>0.89</v>
      </c>
      <c r="I317" s="93">
        <v>1.9</v>
      </c>
      <c r="J317" s="93">
        <v>10.3</v>
      </c>
      <c r="K317" s="93">
        <v>25.3</v>
      </c>
      <c r="L317" s="93">
        <v>39.6</v>
      </c>
      <c r="M317" s="93">
        <v>20.5</v>
      </c>
      <c r="N317" s="93">
        <v>2</v>
      </c>
      <c r="O317" s="93">
        <v>0.2</v>
      </c>
      <c r="P317" s="93">
        <v>0.1</v>
      </c>
      <c r="Q317" s="93">
        <v>0.1</v>
      </c>
      <c r="R317" s="93">
        <v>0.4</v>
      </c>
      <c r="S317" s="93">
        <v>1.95</v>
      </c>
    </row>
    <row r="318" spans="1:19">
      <c r="A318" s="295"/>
      <c r="B318" s="243" t="s">
        <v>90</v>
      </c>
      <c r="C318" s="196"/>
      <c r="D318" s="94">
        <v>39</v>
      </c>
      <c r="E318" s="95">
        <v>46.39</v>
      </c>
      <c r="F318" s="95">
        <v>0.45</v>
      </c>
      <c r="G318" s="95">
        <v>96</v>
      </c>
      <c r="H318" s="95">
        <v>0.9</v>
      </c>
      <c r="I318" s="95">
        <v>1.5</v>
      </c>
      <c r="J318" s="95">
        <v>7.9</v>
      </c>
      <c r="K318" s="95">
        <v>22.9</v>
      </c>
      <c r="L318" s="95">
        <v>38.9</v>
      </c>
      <c r="M318" s="95">
        <v>24.7</v>
      </c>
      <c r="N318" s="95">
        <v>3.1</v>
      </c>
      <c r="O318" s="95">
        <v>0.4</v>
      </c>
      <c r="P318" s="95">
        <v>0.4</v>
      </c>
      <c r="Q318" s="95">
        <v>0.2</v>
      </c>
      <c r="R318" s="95">
        <v>0.6</v>
      </c>
      <c r="S318" s="95">
        <v>1.9</v>
      </c>
    </row>
    <row r="319" spans="1:19">
      <c r="A319" s="295">
        <v>45924</v>
      </c>
      <c r="B319" s="243" t="s">
        <v>88</v>
      </c>
      <c r="C319" s="196"/>
      <c r="D319" s="148">
        <v>60</v>
      </c>
      <c r="E319" s="133">
        <v>46.4</v>
      </c>
      <c r="F319" s="133">
        <v>0.43</v>
      </c>
      <c r="G319" s="134">
        <v>97</v>
      </c>
      <c r="H319" s="133">
        <v>0.89</v>
      </c>
      <c r="I319" s="133">
        <v>1.3</v>
      </c>
      <c r="J319" s="133">
        <v>7.4</v>
      </c>
      <c r="K319" s="133">
        <v>22</v>
      </c>
      <c r="L319" s="133">
        <v>40.4</v>
      </c>
      <c r="M319" s="133">
        <v>25.3</v>
      </c>
      <c r="N319" s="133">
        <v>3.1</v>
      </c>
      <c r="O319" s="133">
        <v>0.3</v>
      </c>
      <c r="P319" s="133">
        <v>0.1</v>
      </c>
      <c r="Q319" s="133">
        <v>0.1</v>
      </c>
      <c r="R319" s="133">
        <v>0.2</v>
      </c>
      <c r="S319" s="133">
        <v>1.89</v>
      </c>
    </row>
    <row r="320" spans="1:19">
      <c r="A320" s="295"/>
      <c r="B320" s="243" t="s">
        <v>89</v>
      </c>
      <c r="C320" s="196"/>
      <c r="D320" s="148">
        <v>48</v>
      </c>
      <c r="E320" s="133">
        <v>46.4</v>
      </c>
      <c r="F320" s="133">
        <v>0.42</v>
      </c>
      <c r="G320" s="134">
        <v>102</v>
      </c>
      <c r="H320" s="133">
        <v>0.87</v>
      </c>
      <c r="I320" s="133">
        <v>2</v>
      </c>
      <c r="J320" s="133">
        <v>9.5</v>
      </c>
      <c r="K320" s="133">
        <v>25.2</v>
      </c>
      <c r="L320" s="133">
        <v>38.299999999999997</v>
      </c>
      <c r="M320" s="133">
        <v>22.1</v>
      </c>
      <c r="N320" s="133">
        <v>2.2999999999999998</v>
      </c>
      <c r="O320" s="133">
        <v>0.3</v>
      </c>
      <c r="P320" s="133">
        <v>0.2</v>
      </c>
      <c r="Q320" s="133">
        <v>0.1</v>
      </c>
      <c r="R320" s="133">
        <v>0.3</v>
      </c>
      <c r="S320" s="133">
        <v>1.94</v>
      </c>
    </row>
    <row r="321" spans="1:20">
      <c r="A321" s="295"/>
      <c r="B321" s="243" t="s">
        <v>90</v>
      </c>
      <c r="C321" s="196"/>
      <c r="D321" s="149">
        <v>46</v>
      </c>
      <c r="E321" s="135">
        <v>46.39</v>
      </c>
      <c r="F321" s="135">
        <v>0.43</v>
      </c>
      <c r="G321" s="136">
        <v>110</v>
      </c>
      <c r="H321" s="135">
        <v>0.92</v>
      </c>
      <c r="I321" s="135">
        <v>1.3</v>
      </c>
      <c r="J321" s="135">
        <v>8.6</v>
      </c>
      <c r="K321" s="135">
        <v>23.9</v>
      </c>
      <c r="L321" s="135">
        <v>34.299999999999997</v>
      </c>
      <c r="M321" s="135">
        <v>27.1</v>
      </c>
      <c r="N321" s="135">
        <v>3.9</v>
      </c>
      <c r="O321" s="135">
        <v>0.5</v>
      </c>
      <c r="P321" s="135">
        <v>0.3</v>
      </c>
      <c r="Q321" s="135">
        <v>0.1</v>
      </c>
      <c r="R321" s="135">
        <v>0.4</v>
      </c>
      <c r="S321" s="135">
        <v>1.89</v>
      </c>
    </row>
    <row r="322" spans="1:20">
      <c r="A322" s="295">
        <v>45925</v>
      </c>
      <c r="B322" s="243" t="s">
        <v>88</v>
      </c>
      <c r="C322" s="196"/>
      <c r="D322" s="78">
        <v>42</v>
      </c>
      <c r="E322" s="80">
        <v>46.39</v>
      </c>
      <c r="F322" s="80">
        <v>0.44</v>
      </c>
      <c r="G322" s="80">
        <v>106</v>
      </c>
      <c r="H322" s="80">
        <v>0.9</v>
      </c>
      <c r="I322" s="80">
        <v>2.7</v>
      </c>
      <c r="J322" s="80">
        <v>11.1</v>
      </c>
      <c r="K322" s="80">
        <v>28.5</v>
      </c>
      <c r="L322" s="80">
        <v>35.5</v>
      </c>
      <c r="M322" s="80">
        <v>19.899999999999999</v>
      </c>
      <c r="N322" s="80">
        <v>1.9</v>
      </c>
      <c r="O322" s="80">
        <v>0.2</v>
      </c>
      <c r="P322" s="80">
        <v>0.1</v>
      </c>
      <c r="Q322" s="80">
        <v>0.1</v>
      </c>
      <c r="R322" s="80">
        <v>0.2</v>
      </c>
      <c r="S322" s="80">
        <v>1.98</v>
      </c>
    </row>
    <row r="323" spans="1:20">
      <c r="A323" s="295"/>
      <c r="B323" s="243" t="s">
        <v>89</v>
      </c>
      <c r="C323" s="196"/>
      <c r="D323" s="92">
        <v>45</v>
      </c>
      <c r="E323" s="93">
        <v>46.42</v>
      </c>
      <c r="F323" s="93">
        <v>0.38</v>
      </c>
      <c r="G323" s="93">
        <v>108</v>
      </c>
      <c r="H323" s="93">
        <v>0.89</v>
      </c>
      <c r="I323" s="93">
        <v>2.1</v>
      </c>
      <c r="J323" s="93">
        <v>9.8000000000000007</v>
      </c>
      <c r="K323" s="93">
        <v>27.3</v>
      </c>
      <c r="L323" s="93">
        <v>39.200000000000003</v>
      </c>
      <c r="M323" s="93">
        <v>19.3</v>
      </c>
      <c r="N323" s="93">
        <v>1.9</v>
      </c>
      <c r="O323" s="93">
        <v>0.2</v>
      </c>
      <c r="P323" s="93">
        <v>0.1</v>
      </c>
      <c r="Q323" s="93">
        <v>0.1</v>
      </c>
      <c r="R323" s="93">
        <v>0.2</v>
      </c>
      <c r="S323" s="93">
        <v>1.96</v>
      </c>
      <c r="T323" s="250" t="s">
        <v>95</v>
      </c>
    </row>
    <row r="324" spans="1:20">
      <c r="A324" s="295"/>
      <c r="B324" s="243" t="s">
        <v>90</v>
      </c>
      <c r="C324" s="196"/>
      <c r="D324" s="94">
        <v>39</v>
      </c>
      <c r="E324" s="95">
        <v>46.43</v>
      </c>
      <c r="F324" s="95">
        <v>0.35</v>
      </c>
      <c r="G324" s="95">
        <v>104</v>
      </c>
      <c r="H324" s="95">
        <v>0.94</v>
      </c>
      <c r="I324" s="95">
        <v>1.7</v>
      </c>
      <c r="J324" s="95">
        <v>7.6</v>
      </c>
      <c r="K324" s="95">
        <v>24.6</v>
      </c>
      <c r="L324" s="95">
        <v>37.1</v>
      </c>
      <c r="M324" s="95">
        <v>24.3</v>
      </c>
      <c r="N324" s="95">
        <v>3.8</v>
      </c>
      <c r="O324" s="95">
        <v>0.4</v>
      </c>
      <c r="P324" s="95">
        <v>0.4</v>
      </c>
      <c r="Q324" s="95">
        <v>0.1</v>
      </c>
      <c r="R324" s="95">
        <v>0.5</v>
      </c>
      <c r="S324" s="95">
        <v>1.9</v>
      </c>
    </row>
    <row r="325" spans="1:20">
      <c r="A325" s="295">
        <v>45926</v>
      </c>
      <c r="B325" s="243" t="s">
        <v>88</v>
      </c>
      <c r="C325" s="196"/>
      <c r="D325" s="78">
        <v>34</v>
      </c>
      <c r="E325" s="80">
        <v>46.4</v>
      </c>
      <c r="F325" s="80">
        <v>0.42</v>
      </c>
      <c r="G325" s="80">
        <v>107</v>
      </c>
      <c r="H325" s="80">
        <v>0.93</v>
      </c>
      <c r="I325" s="80">
        <v>2</v>
      </c>
      <c r="J325" s="80">
        <v>8.8000000000000007</v>
      </c>
      <c r="K325" s="80">
        <v>23.1</v>
      </c>
      <c r="L325" s="80">
        <v>39</v>
      </c>
      <c r="M325" s="80">
        <v>23.8</v>
      </c>
      <c r="N325" s="80">
        <v>2.8</v>
      </c>
      <c r="O325" s="80">
        <v>0.3</v>
      </c>
      <c r="P325" s="80">
        <v>0.1</v>
      </c>
      <c r="Q325" s="80">
        <v>0.1</v>
      </c>
      <c r="R325" s="80">
        <v>0.2</v>
      </c>
      <c r="S325" s="80">
        <v>1.92</v>
      </c>
    </row>
    <row r="326" spans="1:20">
      <c r="A326" s="295"/>
      <c r="B326" s="243" t="s">
        <v>89</v>
      </c>
      <c r="C326" s="196"/>
      <c r="D326" s="92">
        <v>38</v>
      </c>
      <c r="E326" s="93">
        <v>46.41</v>
      </c>
      <c r="F326" s="93">
        <v>0.4</v>
      </c>
      <c r="G326" s="93">
        <v>110</v>
      </c>
      <c r="H326" s="93">
        <v>0.92</v>
      </c>
      <c r="I326" s="93">
        <v>2.1</v>
      </c>
      <c r="J326" s="93">
        <v>9.6</v>
      </c>
      <c r="K326" s="93">
        <v>26</v>
      </c>
      <c r="L326" s="93">
        <v>38.6</v>
      </c>
      <c r="M326" s="93">
        <v>21.2</v>
      </c>
      <c r="N326" s="93">
        <v>2.1</v>
      </c>
      <c r="O326" s="93">
        <v>0.2</v>
      </c>
      <c r="P326" s="93">
        <v>0.1</v>
      </c>
      <c r="Q326" s="93">
        <v>0.1</v>
      </c>
      <c r="R326" s="93">
        <v>0.2</v>
      </c>
      <c r="S326" s="93">
        <v>1.95</v>
      </c>
    </row>
    <row r="327" spans="1:20">
      <c r="A327" s="295"/>
      <c r="B327" s="243" t="s">
        <v>90</v>
      </c>
      <c r="C327" s="196"/>
      <c r="D327" s="94">
        <v>52</v>
      </c>
      <c r="E327" s="95">
        <v>46.4</v>
      </c>
      <c r="F327" s="95">
        <v>0.41</v>
      </c>
      <c r="G327" s="95">
        <v>102</v>
      </c>
      <c r="H327" s="95">
        <v>0.95</v>
      </c>
      <c r="I327" s="95">
        <v>2.2000000000000002</v>
      </c>
      <c r="J327" s="95">
        <v>11.3</v>
      </c>
      <c r="K327" s="95">
        <v>26.6</v>
      </c>
      <c r="L327" s="95">
        <v>37.5</v>
      </c>
      <c r="M327" s="95">
        <v>20.2</v>
      </c>
      <c r="N327" s="95">
        <v>1.8</v>
      </c>
      <c r="O327" s="95">
        <v>0.1</v>
      </c>
      <c r="P327" s="95">
        <v>0.2</v>
      </c>
      <c r="Q327" s="95">
        <v>0.1</v>
      </c>
      <c r="R327" s="95">
        <v>0.3</v>
      </c>
      <c r="S327" s="95">
        <v>1.97</v>
      </c>
    </row>
    <row r="328" spans="1:20">
      <c r="A328" s="295">
        <v>45927</v>
      </c>
      <c r="B328" s="243" t="s">
        <v>88</v>
      </c>
      <c r="C328" s="196"/>
      <c r="D328" s="168">
        <v>42</v>
      </c>
      <c r="E328" s="167">
        <v>46.41</v>
      </c>
      <c r="F328" s="167">
        <v>0.39</v>
      </c>
      <c r="G328" s="169">
        <v>106</v>
      </c>
      <c r="H328" s="167">
        <v>0.91</v>
      </c>
      <c r="I328" s="167">
        <v>1.2</v>
      </c>
      <c r="J328" s="167">
        <v>7.7</v>
      </c>
      <c r="K328" s="167">
        <v>19.8</v>
      </c>
      <c r="L328" s="167">
        <v>40.4</v>
      </c>
      <c r="M328" s="167">
        <v>26.6</v>
      </c>
      <c r="N328" s="167">
        <v>4.3</v>
      </c>
      <c r="O328" s="167">
        <v>0.5</v>
      </c>
      <c r="P328" s="167">
        <v>0.4</v>
      </c>
      <c r="Q328" s="167">
        <v>0.2</v>
      </c>
      <c r="R328" s="167">
        <v>0.6</v>
      </c>
      <c r="S328" s="167">
        <v>1.86</v>
      </c>
    </row>
    <row r="329" spans="1:20">
      <c r="A329" s="295"/>
      <c r="B329" s="243" t="s">
        <v>89</v>
      </c>
      <c r="C329" s="196"/>
      <c r="D329" s="168">
        <v>61</v>
      </c>
      <c r="E329" s="167">
        <v>46.42</v>
      </c>
      <c r="F329" s="167">
        <v>0.36</v>
      </c>
      <c r="G329" s="169">
        <v>100</v>
      </c>
      <c r="H329" s="167">
        <v>0.95</v>
      </c>
      <c r="I329" s="167">
        <v>1.5</v>
      </c>
      <c r="J329" s="167">
        <v>9.1</v>
      </c>
      <c r="K329" s="167">
        <v>25.7</v>
      </c>
      <c r="L329" s="167">
        <v>39.299999999999997</v>
      </c>
      <c r="M329" s="167">
        <v>21.2</v>
      </c>
      <c r="N329" s="167">
        <v>2.7</v>
      </c>
      <c r="O329" s="167">
        <v>0.2</v>
      </c>
      <c r="P329" s="167">
        <v>0.2</v>
      </c>
      <c r="Q329" s="167">
        <v>0.1</v>
      </c>
      <c r="R329" s="167">
        <v>0.3</v>
      </c>
      <c r="S329" s="167">
        <v>1.93</v>
      </c>
    </row>
    <row r="330" spans="1:20">
      <c r="A330" s="295"/>
      <c r="B330" s="243" t="s">
        <v>90</v>
      </c>
      <c r="C330" s="196"/>
      <c r="D330" s="170">
        <v>54</v>
      </c>
      <c r="E330" s="171">
        <v>46.4</v>
      </c>
      <c r="F330" s="171">
        <v>0.4</v>
      </c>
      <c r="G330" s="172">
        <v>104</v>
      </c>
      <c r="H330" s="171">
        <v>0.94</v>
      </c>
      <c r="I330" s="171">
        <v>2.8</v>
      </c>
      <c r="J330" s="171">
        <v>12.6</v>
      </c>
      <c r="K330" s="171">
        <v>26.1</v>
      </c>
      <c r="L330" s="171">
        <v>40.4</v>
      </c>
      <c r="M330" s="171">
        <v>16</v>
      </c>
      <c r="N330" s="171">
        <v>1.2</v>
      </c>
      <c r="O330" s="171">
        <v>0.1</v>
      </c>
      <c r="P330" s="171">
        <v>0.1</v>
      </c>
      <c r="Q330" s="171">
        <v>0.1</v>
      </c>
      <c r="R330" s="171">
        <v>0.2</v>
      </c>
      <c r="S330" s="171">
        <v>2.0099999999999998</v>
      </c>
    </row>
    <row r="331" spans="1:20">
      <c r="A331" s="295">
        <v>45928</v>
      </c>
      <c r="B331" s="243" t="s">
        <v>88</v>
      </c>
      <c r="C331" s="196"/>
      <c r="D331" s="78">
        <v>46</v>
      </c>
      <c r="E331" s="80">
        <v>46.42</v>
      </c>
      <c r="F331" s="80">
        <v>0.38</v>
      </c>
      <c r="G331" s="80">
        <v>108</v>
      </c>
      <c r="H331" s="80">
        <v>0.94</v>
      </c>
      <c r="I331" s="80">
        <v>1</v>
      </c>
      <c r="J331" s="80">
        <v>7.6</v>
      </c>
      <c r="K331" s="80">
        <v>21.6</v>
      </c>
      <c r="L331" s="80">
        <v>39.200000000000003</v>
      </c>
      <c r="M331" s="80">
        <v>25.8</v>
      </c>
      <c r="N331" s="80">
        <v>3.8</v>
      </c>
      <c r="O331" s="80">
        <v>0.5</v>
      </c>
      <c r="P331" s="80">
        <v>0.4</v>
      </c>
      <c r="Q331" s="80">
        <v>0.1</v>
      </c>
      <c r="R331" s="80">
        <v>0.5</v>
      </c>
      <c r="S331" s="80">
        <v>1.88</v>
      </c>
    </row>
    <row r="332" spans="1:20">
      <c r="A332" s="295"/>
      <c r="B332" s="243" t="s">
        <v>89</v>
      </c>
      <c r="C332" s="196"/>
      <c r="D332" s="92">
        <v>54</v>
      </c>
      <c r="E332" s="93">
        <v>46.4</v>
      </c>
      <c r="F332" s="93">
        <v>0.4</v>
      </c>
      <c r="G332" s="93">
        <v>112</v>
      </c>
      <c r="H332" s="93">
        <v>0.97</v>
      </c>
      <c r="I332" s="93">
        <v>1.6</v>
      </c>
      <c r="J332" s="93">
        <v>7.7</v>
      </c>
      <c r="K332" s="93">
        <v>23.6</v>
      </c>
      <c r="L332" s="93">
        <v>37.5</v>
      </c>
      <c r="M332" s="93">
        <v>24.8</v>
      </c>
      <c r="N332" s="93">
        <v>3.7</v>
      </c>
      <c r="O332" s="93">
        <v>0.5</v>
      </c>
      <c r="P332" s="93">
        <v>0.4</v>
      </c>
      <c r="Q332" s="93">
        <v>0.2</v>
      </c>
      <c r="R332" s="93">
        <v>0.6</v>
      </c>
      <c r="S332" s="93">
        <v>1.89</v>
      </c>
    </row>
    <row r="333" spans="1:20">
      <c r="A333" s="295"/>
      <c r="B333" s="243" t="s">
        <v>90</v>
      </c>
      <c r="C333" s="196"/>
      <c r="D333" s="94">
        <v>58</v>
      </c>
      <c r="E333" s="95">
        <v>46.4</v>
      </c>
      <c r="F333" s="95">
        <v>0.42</v>
      </c>
      <c r="G333" s="95">
        <v>106</v>
      </c>
      <c r="H333" s="95">
        <v>0.95</v>
      </c>
      <c r="I333" s="95">
        <v>4.0999999999999996</v>
      </c>
      <c r="J333" s="95">
        <v>15.4</v>
      </c>
      <c r="K333" s="95">
        <v>31.7</v>
      </c>
      <c r="L333" s="95">
        <v>32.6</v>
      </c>
      <c r="M333" s="95">
        <v>14.6</v>
      </c>
      <c r="N333" s="95">
        <v>1.3</v>
      </c>
      <c r="O333" s="95">
        <v>0.1</v>
      </c>
      <c r="P333" s="95">
        <v>0.1</v>
      </c>
      <c r="Q333" s="95">
        <v>0.1</v>
      </c>
      <c r="R333" s="95">
        <v>0.2</v>
      </c>
      <c r="S333" s="95">
        <v>2.06</v>
      </c>
    </row>
    <row r="334" spans="1:20">
      <c r="A334" s="295">
        <v>45929</v>
      </c>
      <c r="B334" s="243" t="s">
        <v>88</v>
      </c>
      <c r="C334" s="196"/>
      <c r="D334" s="78">
        <v>42</v>
      </c>
      <c r="E334" s="80">
        <v>46.39</v>
      </c>
      <c r="F334" s="80">
        <v>0.44</v>
      </c>
      <c r="G334" s="80">
        <v>102</v>
      </c>
      <c r="H334" s="80">
        <v>0.95</v>
      </c>
      <c r="I334" s="80">
        <v>1.3</v>
      </c>
      <c r="J334" s="80">
        <v>7.6</v>
      </c>
      <c r="K334" s="80">
        <v>22.8</v>
      </c>
      <c r="L334" s="80">
        <v>38.6</v>
      </c>
      <c r="M334" s="80">
        <v>24.8</v>
      </c>
      <c r="N334" s="80">
        <v>3.8</v>
      </c>
      <c r="O334" s="80">
        <v>0.4</v>
      </c>
      <c r="P334" s="80">
        <v>0.5</v>
      </c>
      <c r="Q334" s="80">
        <v>0.2</v>
      </c>
      <c r="R334" s="80">
        <v>0.4</v>
      </c>
      <c r="S334" s="80">
        <v>1.89</v>
      </c>
    </row>
    <row r="335" spans="1:20">
      <c r="A335" s="295"/>
      <c r="B335" s="243" t="s">
        <v>89</v>
      </c>
      <c r="C335" s="196"/>
      <c r="D335" s="92">
        <v>39</v>
      </c>
      <c r="E335" s="93">
        <v>46.4</v>
      </c>
      <c r="F335" s="93">
        <v>0.41</v>
      </c>
      <c r="G335" s="93">
        <v>106</v>
      </c>
      <c r="H335" s="93">
        <v>0.94</v>
      </c>
      <c r="I335" s="93">
        <v>1.8</v>
      </c>
      <c r="J335" s="93">
        <v>7.8</v>
      </c>
      <c r="K335" s="93">
        <v>23.2</v>
      </c>
      <c r="L335" s="93">
        <v>38.799999999999997</v>
      </c>
      <c r="M335" s="93">
        <v>23.8</v>
      </c>
      <c r="N335" s="93">
        <v>3.8</v>
      </c>
      <c r="O335" s="93">
        <v>0.4</v>
      </c>
      <c r="P335" s="93">
        <v>0.3</v>
      </c>
      <c r="Q335" s="93">
        <v>0.1</v>
      </c>
      <c r="R335" s="93">
        <v>0.4</v>
      </c>
      <c r="S335" s="93">
        <v>1.9</v>
      </c>
    </row>
    <row r="336" spans="1:20">
      <c r="A336" s="295"/>
      <c r="B336" s="243" t="s">
        <v>90</v>
      </c>
      <c r="C336" s="196"/>
      <c r="D336" s="94">
        <v>60</v>
      </c>
      <c r="E336" s="95">
        <v>46.4</v>
      </c>
      <c r="F336" s="95">
        <v>0.4</v>
      </c>
      <c r="G336" s="95">
        <v>112</v>
      </c>
      <c r="H336" s="95">
        <v>0.92</v>
      </c>
      <c r="I336" s="95">
        <v>2.6</v>
      </c>
      <c r="J336" s="95">
        <v>12.6</v>
      </c>
      <c r="K336" s="95">
        <v>28.2</v>
      </c>
      <c r="L336" s="95">
        <v>37.5</v>
      </c>
      <c r="M336" s="95">
        <v>17.100000000000001</v>
      </c>
      <c r="N336" s="95">
        <v>1.6</v>
      </c>
      <c r="O336" s="95">
        <v>0.1</v>
      </c>
      <c r="P336" s="95">
        <v>0.2</v>
      </c>
      <c r="Q336" s="95">
        <v>0.1</v>
      </c>
      <c r="R336" s="95">
        <v>0.2</v>
      </c>
      <c r="S336" s="95">
        <v>2</v>
      </c>
    </row>
    <row r="337" spans="1:19">
      <c r="A337" s="295">
        <v>45930</v>
      </c>
      <c r="B337" s="243" t="s">
        <v>88</v>
      </c>
      <c r="C337" s="196"/>
      <c r="D337" s="78">
        <v>42</v>
      </c>
      <c r="E337" s="80">
        <v>46.4</v>
      </c>
      <c r="F337" s="80">
        <v>0.41</v>
      </c>
      <c r="G337" s="80">
        <v>108</v>
      </c>
      <c r="H337" s="80">
        <v>0.95</v>
      </c>
      <c r="I337" s="80">
        <v>1.2</v>
      </c>
      <c r="J337" s="80">
        <v>7.1</v>
      </c>
      <c r="K337" s="80">
        <v>22.6</v>
      </c>
      <c r="L337" s="80">
        <v>38.4</v>
      </c>
      <c r="M337" s="80">
        <v>24.9</v>
      </c>
      <c r="N337" s="80">
        <v>4.4000000000000004</v>
      </c>
      <c r="O337" s="80">
        <v>0.6</v>
      </c>
      <c r="P337" s="80">
        <v>0.5</v>
      </c>
      <c r="Q337" s="80">
        <v>0.3</v>
      </c>
      <c r="R337" s="80">
        <v>0.8</v>
      </c>
      <c r="S337" s="80">
        <v>1.87</v>
      </c>
    </row>
    <row r="338" spans="1:19">
      <c r="A338" s="295"/>
      <c r="B338" s="243" t="s">
        <v>89</v>
      </c>
      <c r="C338" s="196"/>
      <c r="D338" s="92">
        <v>57</v>
      </c>
      <c r="E338" s="93">
        <v>46.4</v>
      </c>
      <c r="F338" s="93">
        <v>0.4</v>
      </c>
      <c r="G338" s="93">
        <v>102</v>
      </c>
      <c r="H338" s="93">
        <v>0.93</v>
      </c>
      <c r="I338" s="93">
        <v>1.6</v>
      </c>
      <c r="J338" s="93">
        <v>7.2</v>
      </c>
      <c r="K338" s="93">
        <v>23.2</v>
      </c>
      <c r="L338" s="93">
        <v>35.9</v>
      </c>
      <c r="M338" s="93">
        <v>25.7</v>
      </c>
      <c r="N338" s="93">
        <v>4.5999999999999996</v>
      </c>
      <c r="O338" s="93">
        <v>0.7</v>
      </c>
      <c r="P338" s="93">
        <v>0.7</v>
      </c>
      <c r="Q338" s="93">
        <v>0.4</v>
      </c>
      <c r="R338" s="93">
        <v>1.1000000000000001</v>
      </c>
      <c r="S338" s="93">
        <v>1.87</v>
      </c>
    </row>
    <row r="339" spans="1:19">
      <c r="A339" s="295"/>
      <c r="B339" s="243" t="s">
        <v>90</v>
      </c>
      <c r="C339" s="196"/>
      <c r="D339" s="94">
        <v>56</v>
      </c>
      <c r="E339" s="95">
        <v>46.4</v>
      </c>
      <c r="F339" s="95">
        <v>0.42</v>
      </c>
      <c r="G339" s="95">
        <v>108</v>
      </c>
      <c r="H339" s="95">
        <v>0.91</v>
      </c>
      <c r="I339" s="95">
        <v>4.0999999999999996</v>
      </c>
      <c r="J339" s="95">
        <v>16.8</v>
      </c>
      <c r="K339" s="95">
        <v>28.1</v>
      </c>
      <c r="L339" s="95">
        <v>36.799999999999997</v>
      </c>
      <c r="M339" s="95">
        <v>12.5</v>
      </c>
      <c r="N339" s="95">
        <v>1</v>
      </c>
      <c r="O339" s="95">
        <v>0.2</v>
      </c>
      <c r="P339" s="95">
        <v>0.3</v>
      </c>
      <c r="Q339" s="95">
        <v>0.2</v>
      </c>
      <c r="R339" s="95">
        <v>0.5</v>
      </c>
      <c r="S339" s="95">
        <v>2.06</v>
      </c>
    </row>
    <row r="340" spans="1:19">
      <c r="A340" s="295">
        <v>45931</v>
      </c>
      <c r="B340" s="243" t="s">
        <v>88</v>
      </c>
      <c r="C340" s="196"/>
      <c r="D340" s="78">
        <v>42</v>
      </c>
      <c r="E340" s="80">
        <v>46.4</v>
      </c>
      <c r="F340" s="80">
        <v>0.4</v>
      </c>
      <c r="G340" s="80">
        <v>110</v>
      </c>
      <c r="H340" s="80">
        <v>0.92</v>
      </c>
      <c r="I340" s="80">
        <v>1.3</v>
      </c>
      <c r="J340" s="80">
        <v>7.3</v>
      </c>
      <c r="K340" s="80">
        <v>23.5</v>
      </c>
      <c r="L340" s="80">
        <v>39.9</v>
      </c>
      <c r="M340" s="80">
        <v>23.2</v>
      </c>
      <c r="N340" s="122">
        <v>3.8</v>
      </c>
      <c r="O340" s="80">
        <v>0.5</v>
      </c>
      <c r="P340" s="80">
        <v>0.4</v>
      </c>
      <c r="Q340" s="80">
        <v>0.1</v>
      </c>
      <c r="R340" s="80">
        <v>0.5</v>
      </c>
      <c r="S340" s="80">
        <v>1.89</v>
      </c>
    </row>
    <row r="341" spans="1:19">
      <c r="A341" s="295"/>
      <c r="B341" s="243" t="s">
        <v>89</v>
      </c>
      <c r="C341" s="196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</row>
    <row r="342" spans="1:19">
      <c r="A342" s="295"/>
      <c r="B342" s="243" t="s">
        <v>90</v>
      </c>
      <c r="C342" s="196"/>
      <c r="D342" s="123">
        <v>50</v>
      </c>
      <c r="E342" s="124">
        <v>46.39</v>
      </c>
      <c r="F342" s="124">
        <v>0.4</v>
      </c>
      <c r="G342" s="124">
        <v>124</v>
      </c>
      <c r="H342" s="124">
        <v>0.97</v>
      </c>
      <c r="I342" s="124">
        <v>4.3</v>
      </c>
      <c r="J342" s="124">
        <v>16.100000000000001</v>
      </c>
      <c r="K342" s="124">
        <v>29</v>
      </c>
      <c r="L342" s="124">
        <v>32.1</v>
      </c>
      <c r="M342" s="124">
        <v>16.5</v>
      </c>
      <c r="N342" s="124">
        <v>1.5</v>
      </c>
      <c r="O342" s="124">
        <v>0.2</v>
      </c>
      <c r="P342" s="124">
        <v>0.2</v>
      </c>
      <c r="Q342" s="124">
        <v>0.1</v>
      </c>
      <c r="R342" s="124">
        <v>0.3</v>
      </c>
      <c r="S342" s="124">
        <v>2.0499999999999998</v>
      </c>
    </row>
    <row r="343" spans="1:19">
      <c r="A343" s="295">
        <v>45932</v>
      </c>
      <c r="B343" s="243" t="s">
        <v>88</v>
      </c>
      <c r="C343" s="196"/>
      <c r="D343" s="78">
        <v>48</v>
      </c>
      <c r="E343" s="80">
        <v>46.4</v>
      </c>
      <c r="F343" s="80">
        <v>0.41</v>
      </c>
      <c r="G343" s="80">
        <v>112</v>
      </c>
      <c r="H343" s="80">
        <v>0.96</v>
      </c>
      <c r="I343" s="80">
        <v>1.2</v>
      </c>
      <c r="J343" s="80">
        <v>7.2</v>
      </c>
      <c r="K343" s="80">
        <v>22.3</v>
      </c>
      <c r="L343" s="80">
        <v>39.299999999999997</v>
      </c>
      <c r="M343" s="80">
        <v>25.6</v>
      </c>
      <c r="N343" s="80">
        <v>3.9</v>
      </c>
      <c r="O343" s="80">
        <v>0.3</v>
      </c>
      <c r="P343" s="80">
        <v>0.1</v>
      </c>
      <c r="Q343" s="80">
        <v>0.1</v>
      </c>
      <c r="R343" s="80">
        <v>0.2</v>
      </c>
      <c r="S343" s="80">
        <v>1.88</v>
      </c>
    </row>
    <row r="344" spans="1:19">
      <c r="A344" s="295"/>
      <c r="B344" s="243" t="s">
        <v>89</v>
      </c>
      <c r="C344" s="196"/>
      <c r="D344" s="92">
        <v>44</v>
      </c>
      <c r="E344" s="93">
        <v>46.37</v>
      </c>
      <c r="F344" s="93">
        <v>0.48</v>
      </c>
      <c r="G344" s="93">
        <v>106</v>
      </c>
      <c r="H344" s="93">
        <v>0.91</v>
      </c>
      <c r="I344" s="93">
        <v>1.5</v>
      </c>
      <c r="J344" s="93">
        <v>7.1</v>
      </c>
      <c r="K344" s="93">
        <v>24.6</v>
      </c>
      <c r="L344" s="93">
        <v>40.1</v>
      </c>
      <c r="M344" s="93">
        <v>22</v>
      </c>
      <c r="N344" s="93">
        <v>3.8</v>
      </c>
      <c r="O344" s="93">
        <v>0.5</v>
      </c>
      <c r="P344" s="93">
        <v>0.3</v>
      </c>
      <c r="Q344" s="93">
        <v>0.1</v>
      </c>
      <c r="R344" s="93">
        <v>0.4</v>
      </c>
      <c r="S344" s="93">
        <v>1.9</v>
      </c>
    </row>
    <row r="345" spans="1:19">
      <c r="A345" s="295"/>
      <c r="B345" s="243" t="s">
        <v>90</v>
      </c>
      <c r="C345" s="196"/>
      <c r="D345" s="94">
        <v>46</v>
      </c>
      <c r="E345" s="95">
        <v>46.4</v>
      </c>
      <c r="F345" s="95">
        <v>0.43</v>
      </c>
      <c r="G345" s="95">
        <v>109</v>
      </c>
      <c r="H345" s="95">
        <v>0.93</v>
      </c>
      <c r="I345" s="95">
        <v>1.5</v>
      </c>
      <c r="J345" s="95">
        <v>7.4</v>
      </c>
      <c r="K345" s="95">
        <v>23.1</v>
      </c>
      <c r="L345" s="95">
        <v>39.5</v>
      </c>
      <c r="M345" s="95">
        <v>23.6</v>
      </c>
      <c r="N345" s="95">
        <v>3.9</v>
      </c>
      <c r="O345" s="95">
        <v>0.4</v>
      </c>
      <c r="P345" s="95">
        <v>0.4</v>
      </c>
      <c r="Q345" s="95">
        <v>0.2</v>
      </c>
      <c r="R345" s="95">
        <v>0.6</v>
      </c>
      <c r="S345" s="95">
        <v>1.89</v>
      </c>
    </row>
    <row r="346" spans="1:19">
      <c r="A346" s="295">
        <v>45933</v>
      </c>
      <c r="B346" s="243" t="s">
        <v>88</v>
      </c>
      <c r="C346" s="196"/>
      <c r="D346" s="78">
        <v>50</v>
      </c>
      <c r="E346" s="80">
        <v>46.39</v>
      </c>
      <c r="F346" s="80">
        <v>0.43</v>
      </c>
      <c r="G346" s="80">
        <v>114</v>
      </c>
      <c r="H346" s="80">
        <v>0.92</v>
      </c>
      <c r="I346" s="80">
        <v>1.5</v>
      </c>
      <c r="J346" s="80">
        <v>8.4</v>
      </c>
      <c r="K346" s="80">
        <v>23.5</v>
      </c>
      <c r="L346" s="80">
        <v>41.1</v>
      </c>
      <c r="M346" s="80">
        <v>21.8</v>
      </c>
      <c r="N346" s="80">
        <v>3.1</v>
      </c>
      <c r="O346" s="80">
        <v>0.3</v>
      </c>
      <c r="P346" s="80">
        <v>0.2</v>
      </c>
      <c r="Q346" s="80">
        <v>0.1</v>
      </c>
      <c r="R346" s="80">
        <v>0.3</v>
      </c>
      <c r="S346" s="80">
        <v>1.92</v>
      </c>
    </row>
    <row r="347" spans="1:19">
      <c r="A347" s="295"/>
      <c r="B347" s="243" t="s">
        <v>89</v>
      </c>
      <c r="C347" s="196"/>
      <c r="D347" s="92">
        <v>54</v>
      </c>
      <c r="E347" s="93">
        <v>46.38</v>
      </c>
      <c r="F347" s="93">
        <v>0.46</v>
      </c>
      <c r="G347" s="93">
        <v>110</v>
      </c>
      <c r="H347" s="93">
        <v>0.97</v>
      </c>
      <c r="I347" s="93">
        <v>1.2</v>
      </c>
      <c r="J347" s="93">
        <v>6.6</v>
      </c>
      <c r="K347" s="93">
        <v>23.1</v>
      </c>
      <c r="L347" s="93">
        <v>42.2</v>
      </c>
      <c r="M347" s="93">
        <v>22.6</v>
      </c>
      <c r="N347" s="93">
        <v>3.5</v>
      </c>
      <c r="O347" s="93">
        <v>0.4</v>
      </c>
      <c r="P347" s="93">
        <v>0.3</v>
      </c>
      <c r="Q347" s="93">
        <v>0.1</v>
      </c>
      <c r="R347" s="93">
        <v>0.4</v>
      </c>
      <c r="S347" s="93">
        <v>1.89</v>
      </c>
    </row>
    <row r="348" spans="1:19">
      <c r="A348" s="295"/>
      <c r="B348" s="243" t="s">
        <v>90</v>
      </c>
      <c r="C348" s="196"/>
      <c r="D348" s="94">
        <v>47</v>
      </c>
      <c r="E348" s="95">
        <v>46.39</v>
      </c>
      <c r="F348" s="95">
        <v>0.44</v>
      </c>
      <c r="G348" s="95">
        <v>108</v>
      </c>
      <c r="H348" s="95">
        <v>0.94</v>
      </c>
      <c r="I348" s="95">
        <v>1.2</v>
      </c>
      <c r="J348" s="95">
        <v>6.5</v>
      </c>
      <c r="K348" s="95">
        <v>24.4</v>
      </c>
      <c r="L348" s="95">
        <v>41.4</v>
      </c>
      <c r="M348" s="95">
        <v>21</v>
      </c>
      <c r="N348" s="95">
        <v>3.6</v>
      </c>
      <c r="O348" s="95">
        <v>0.4</v>
      </c>
      <c r="P348" s="95">
        <v>0.3</v>
      </c>
      <c r="Q348" s="95">
        <v>0.2</v>
      </c>
      <c r="R348" s="95">
        <v>0.5</v>
      </c>
      <c r="S348" s="95">
        <v>1.9</v>
      </c>
    </row>
    <row r="349" spans="1:19">
      <c r="A349" s="295">
        <v>45934</v>
      </c>
      <c r="B349" s="243" t="s">
        <v>88</v>
      </c>
      <c r="C349" s="196"/>
      <c r="D349" s="78">
        <v>51</v>
      </c>
      <c r="E349" s="80">
        <v>46.38</v>
      </c>
      <c r="F349" s="80">
        <v>0.46</v>
      </c>
      <c r="G349" s="80">
        <v>102</v>
      </c>
      <c r="H349" s="80">
        <v>0.96</v>
      </c>
      <c r="I349" s="80">
        <v>0.9</v>
      </c>
      <c r="J349" s="80">
        <v>7.5</v>
      </c>
      <c r="K349" s="80">
        <v>22.9</v>
      </c>
      <c r="L349" s="80">
        <v>42.2</v>
      </c>
      <c r="M349" s="80">
        <v>22.1</v>
      </c>
      <c r="N349" s="80">
        <v>3.6</v>
      </c>
      <c r="O349" s="80">
        <v>0.3</v>
      </c>
      <c r="P349" s="80">
        <v>0.3</v>
      </c>
      <c r="Q349" s="80">
        <v>0.2</v>
      </c>
      <c r="R349" s="80">
        <v>0.5</v>
      </c>
      <c r="S349" s="80">
        <v>1.89</v>
      </c>
    </row>
    <row r="350" spans="1:19">
      <c r="A350" s="295"/>
      <c r="B350" s="243" t="s">
        <v>89</v>
      </c>
      <c r="C350" s="196"/>
      <c r="D350" s="92">
        <v>40</v>
      </c>
      <c r="E350" s="93">
        <v>46.4</v>
      </c>
      <c r="F350" s="93">
        <v>0.47</v>
      </c>
      <c r="G350" s="93">
        <v>106</v>
      </c>
      <c r="H350" s="93">
        <v>0.93</v>
      </c>
      <c r="I350" s="93">
        <v>1.1000000000000001</v>
      </c>
      <c r="J350" s="93">
        <v>7.2</v>
      </c>
      <c r="K350" s="93">
        <v>23.5</v>
      </c>
      <c r="L350" s="93">
        <v>43.5</v>
      </c>
      <c r="M350" s="93">
        <v>21.3</v>
      </c>
      <c r="N350" s="93">
        <v>2.9</v>
      </c>
      <c r="O350" s="93">
        <v>0.2</v>
      </c>
      <c r="P350" s="93">
        <v>0.2</v>
      </c>
      <c r="Q350" s="93">
        <v>0.1</v>
      </c>
      <c r="R350" s="93">
        <v>0.3</v>
      </c>
      <c r="S350" s="93">
        <v>1.91</v>
      </c>
    </row>
    <row r="351" spans="1:19">
      <c r="A351" s="295"/>
      <c r="B351" s="243" t="s">
        <v>90</v>
      </c>
      <c r="C351" s="196"/>
      <c r="D351" s="94">
        <v>38</v>
      </c>
      <c r="E351" s="95">
        <v>46.38</v>
      </c>
      <c r="F351" s="95">
        <v>0.45</v>
      </c>
      <c r="G351" s="95">
        <v>104</v>
      </c>
      <c r="H351" s="95">
        <v>0.94</v>
      </c>
      <c r="I351" s="95">
        <v>1</v>
      </c>
      <c r="J351" s="95">
        <v>7.6</v>
      </c>
      <c r="K351" s="95">
        <v>26.4</v>
      </c>
      <c r="L351" s="95">
        <v>41.1</v>
      </c>
      <c r="M351" s="95">
        <v>20.2</v>
      </c>
      <c r="N351" s="95">
        <v>3.1</v>
      </c>
      <c r="O351" s="95">
        <v>0.3</v>
      </c>
      <c r="P351" s="95">
        <v>0.2</v>
      </c>
      <c r="Q351" s="95">
        <v>0.1</v>
      </c>
      <c r="R351" s="95">
        <v>0.3</v>
      </c>
      <c r="S351" s="95">
        <v>1.92</v>
      </c>
    </row>
    <row r="352" spans="1:19">
      <c r="A352" s="295">
        <v>45935</v>
      </c>
      <c r="B352" s="243" t="s">
        <v>88</v>
      </c>
      <c r="C352" s="196"/>
      <c r="D352" s="78">
        <v>36</v>
      </c>
      <c r="E352" s="80">
        <v>46.39</v>
      </c>
      <c r="F352" s="80">
        <v>0.44</v>
      </c>
      <c r="G352" s="80">
        <v>108</v>
      </c>
      <c r="H352" s="80">
        <v>0.91</v>
      </c>
      <c r="I352" s="80">
        <v>0.8</v>
      </c>
      <c r="J352" s="80">
        <v>6.3</v>
      </c>
      <c r="K352" s="80">
        <v>23.1</v>
      </c>
      <c r="L352" s="80">
        <v>42.4</v>
      </c>
      <c r="M352" s="80">
        <v>24</v>
      </c>
      <c r="N352" s="80">
        <v>3</v>
      </c>
      <c r="O352" s="80">
        <v>0.2</v>
      </c>
      <c r="P352" s="80">
        <v>0.1</v>
      </c>
      <c r="Q352" s="80">
        <v>0.1</v>
      </c>
      <c r="R352" s="80">
        <v>0.2</v>
      </c>
      <c r="S352" s="80">
        <v>1.89</v>
      </c>
    </row>
    <row r="353" spans="1:19">
      <c r="A353" s="295"/>
      <c r="B353" s="243" t="s">
        <v>89</v>
      </c>
      <c r="C353" s="196"/>
      <c r="D353" s="92">
        <v>34</v>
      </c>
      <c r="E353" s="93">
        <v>46.4</v>
      </c>
      <c r="F353" s="93">
        <v>0.4</v>
      </c>
      <c r="G353" s="93">
        <v>110</v>
      </c>
      <c r="H353" s="93">
        <v>0.94</v>
      </c>
      <c r="I353" s="93">
        <v>1</v>
      </c>
      <c r="J353" s="93">
        <v>7.2</v>
      </c>
      <c r="K353" s="93">
        <v>24.2</v>
      </c>
      <c r="L353" s="93">
        <v>43.9</v>
      </c>
      <c r="M353" s="93">
        <v>20.3</v>
      </c>
      <c r="N353" s="93">
        <v>2.8</v>
      </c>
      <c r="O353" s="93">
        <v>0.3</v>
      </c>
      <c r="P353" s="93">
        <v>0.2</v>
      </c>
      <c r="Q353" s="93">
        <v>0.1</v>
      </c>
      <c r="R353" s="93">
        <v>0.3</v>
      </c>
      <c r="S353" s="93">
        <v>1.91</v>
      </c>
    </row>
    <row r="354" spans="1:19">
      <c r="A354" s="295"/>
      <c r="B354" s="243" t="s">
        <v>90</v>
      </c>
      <c r="C354" s="196"/>
      <c r="D354" s="94">
        <v>31</v>
      </c>
      <c r="E354" s="95">
        <v>46.4</v>
      </c>
      <c r="F354" s="95">
        <v>0.41</v>
      </c>
      <c r="G354" s="95">
        <v>112</v>
      </c>
      <c r="H354" s="95">
        <v>0.92</v>
      </c>
      <c r="I354" s="95">
        <v>0.9</v>
      </c>
      <c r="J354" s="95">
        <v>7.6</v>
      </c>
      <c r="K354" s="95">
        <v>24.2</v>
      </c>
      <c r="L354" s="95">
        <v>41.4</v>
      </c>
      <c r="M354" s="95">
        <v>21.8</v>
      </c>
      <c r="N354" s="95">
        <v>3.3</v>
      </c>
      <c r="O354" s="95">
        <v>0.4</v>
      </c>
      <c r="P354" s="95">
        <v>0.3</v>
      </c>
      <c r="Q354" s="95">
        <v>0.1</v>
      </c>
      <c r="R354" s="95">
        <v>0.4</v>
      </c>
      <c r="S354" s="95">
        <v>1.9</v>
      </c>
    </row>
    <row r="355" spans="1:19">
      <c r="A355" s="295">
        <v>45936</v>
      </c>
      <c r="B355" s="243" t="s">
        <v>88</v>
      </c>
      <c r="C355" s="196"/>
      <c r="D355" s="78">
        <v>28</v>
      </c>
      <c r="E355" s="80">
        <v>46.42</v>
      </c>
      <c r="F355" s="80">
        <v>0.37</v>
      </c>
      <c r="G355" s="80">
        <v>106</v>
      </c>
      <c r="H355" s="80">
        <v>0.95</v>
      </c>
      <c r="I355" s="80">
        <v>0.6</v>
      </c>
      <c r="J355" s="80">
        <v>5.6</v>
      </c>
      <c r="K355" s="80">
        <v>24.1</v>
      </c>
      <c r="L355" s="80">
        <v>43.7</v>
      </c>
      <c r="M355" s="80">
        <v>21.8</v>
      </c>
      <c r="N355" s="80">
        <v>3.6</v>
      </c>
      <c r="O355" s="80">
        <v>0.3</v>
      </c>
      <c r="P355" s="80">
        <v>0.2</v>
      </c>
      <c r="Q355" s="80">
        <v>0.1</v>
      </c>
      <c r="R355" s="80">
        <v>0.3</v>
      </c>
      <c r="S355" s="80">
        <v>1.88</v>
      </c>
    </row>
    <row r="356" spans="1:19">
      <c r="A356" s="295"/>
      <c r="B356" s="243" t="s">
        <v>89</v>
      </c>
      <c r="C356" s="196"/>
      <c r="D356" s="92">
        <v>30</v>
      </c>
      <c r="E356" s="93">
        <v>46.4</v>
      </c>
      <c r="F356" s="93">
        <v>0.42</v>
      </c>
      <c r="G356" s="93">
        <v>102</v>
      </c>
      <c r="H356" s="93">
        <v>0.92</v>
      </c>
      <c r="I356" s="93">
        <v>0.7</v>
      </c>
      <c r="J356" s="93">
        <v>7.7</v>
      </c>
      <c r="K356" s="93">
        <v>23.5</v>
      </c>
      <c r="L356" s="93">
        <v>44.6</v>
      </c>
      <c r="M356" s="93">
        <v>20.6</v>
      </c>
      <c r="N356" s="93">
        <v>2.4</v>
      </c>
      <c r="O356" s="93">
        <v>0.2</v>
      </c>
      <c r="P356" s="93">
        <v>0.2</v>
      </c>
      <c r="Q356" s="93">
        <v>0.1</v>
      </c>
      <c r="R356" s="93">
        <v>0.3</v>
      </c>
      <c r="S356" s="93">
        <v>1.91</v>
      </c>
    </row>
    <row r="357" spans="1:19">
      <c r="A357" s="295"/>
      <c r="B357" s="243" t="s">
        <v>90</v>
      </c>
      <c r="C357" s="196"/>
      <c r="D357" s="94">
        <v>29</v>
      </c>
      <c r="E357" s="95">
        <v>46.39</v>
      </c>
      <c r="F357" s="95">
        <v>0.43</v>
      </c>
      <c r="G357" s="95">
        <v>105</v>
      </c>
      <c r="H357" s="95">
        <v>0.93</v>
      </c>
      <c r="I357" s="95">
        <v>1</v>
      </c>
      <c r="J357" s="95">
        <v>7.8</v>
      </c>
      <c r="K357" s="95">
        <v>26.9</v>
      </c>
      <c r="L357" s="95">
        <v>42</v>
      </c>
      <c r="M357" s="95">
        <v>18.7</v>
      </c>
      <c r="N357" s="95">
        <v>2.9</v>
      </c>
      <c r="O357" s="95">
        <v>0.3</v>
      </c>
      <c r="P357" s="95">
        <v>0.2</v>
      </c>
      <c r="Q357" s="95">
        <v>0.2</v>
      </c>
      <c r="R357" s="95">
        <v>0.4</v>
      </c>
      <c r="S357" s="95">
        <v>1.92</v>
      </c>
    </row>
    <row r="358" spans="1:19">
      <c r="A358" s="295">
        <v>45937</v>
      </c>
      <c r="B358" s="243" t="s">
        <v>88</v>
      </c>
      <c r="C358" s="196"/>
      <c r="D358" s="78">
        <v>40</v>
      </c>
      <c r="E358" s="80">
        <v>46.39</v>
      </c>
      <c r="F358" s="80">
        <v>0.44</v>
      </c>
      <c r="G358" s="80">
        <v>100</v>
      </c>
      <c r="H358" s="80">
        <v>0.92</v>
      </c>
      <c r="I358" s="80">
        <v>0.7</v>
      </c>
      <c r="J358" s="80">
        <v>5.7</v>
      </c>
      <c r="K358" s="80">
        <v>25.2</v>
      </c>
      <c r="L358" s="80">
        <v>41.9</v>
      </c>
      <c r="M358" s="80">
        <v>22.2</v>
      </c>
      <c r="N358" s="80">
        <v>3.7</v>
      </c>
      <c r="O358" s="80">
        <v>0.3</v>
      </c>
      <c r="P358" s="80">
        <v>0.2</v>
      </c>
      <c r="Q358" s="80">
        <v>0.1</v>
      </c>
      <c r="R358" s="80">
        <v>0.3</v>
      </c>
      <c r="S358" s="80">
        <v>1.89</v>
      </c>
    </row>
    <row r="359" spans="1:19">
      <c r="A359" s="295"/>
      <c r="B359" s="243" t="s">
        <v>89</v>
      </c>
      <c r="C359" s="196"/>
      <c r="D359" s="92">
        <v>0</v>
      </c>
      <c r="E359" s="93">
        <v>0</v>
      </c>
      <c r="F359" s="93">
        <v>0</v>
      </c>
      <c r="G359" s="93">
        <v>0</v>
      </c>
      <c r="H359" s="126">
        <v>0</v>
      </c>
      <c r="I359" s="126">
        <v>0</v>
      </c>
      <c r="J359" s="126">
        <v>0</v>
      </c>
      <c r="K359" s="126">
        <v>0</v>
      </c>
      <c r="L359" s="126">
        <v>0</v>
      </c>
      <c r="M359" s="126">
        <v>0</v>
      </c>
      <c r="N359" s="126">
        <v>0</v>
      </c>
      <c r="O359" s="126">
        <v>0</v>
      </c>
      <c r="P359" s="126">
        <v>0</v>
      </c>
      <c r="Q359" s="126">
        <v>0</v>
      </c>
      <c r="R359" s="126">
        <v>0</v>
      </c>
      <c r="S359" s="126">
        <v>0</v>
      </c>
    </row>
    <row r="360" spans="1:19">
      <c r="A360" s="295"/>
      <c r="B360" s="243" t="s">
        <v>90</v>
      </c>
      <c r="C360" s="196"/>
      <c r="D360" s="94">
        <v>37</v>
      </c>
      <c r="E360" s="95">
        <v>46.4</v>
      </c>
      <c r="F360" s="95">
        <v>0.42</v>
      </c>
      <c r="G360" s="95">
        <v>103</v>
      </c>
      <c r="H360" s="95">
        <v>0.93</v>
      </c>
      <c r="I360" s="95">
        <v>1.9</v>
      </c>
      <c r="J360" s="95">
        <v>9.6999999999999993</v>
      </c>
      <c r="K360" s="95">
        <v>26</v>
      </c>
      <c r="L360" s="95">
        <v>40.1</v>
      </c>
      <c r="M360" s="95">
        <v>19.399999999999999</v>
      </c>
      <c r="N360" s="95">
        <v>2.2999999999999998</v>
      </c>
      <c r="O360" s="95">
        <v>0.3</v>
      </c>
      <c r="P360" s="95">
        <v>0.3</v>
      </c>
      <c r="Q360" s="95">
        <v>0.1</v>
      </c>
      <c r="R360" s="95">
        <v>0.4</v>
      </c>
      <c r="S360" s="95">
        <v>1.95</v>
      </c>
    </row>
    <row r="361" spans="1:19">
      <c r="A361" s="295">
        <v>45938</v>
      </c>
      <c r="B361" s="243" t="s">
        <v>88</v>
      </c>
      <c r="C361" s="196"/>
      <c r="D361" s="78">
        <v>36</v>
      </c>
      <c r="E361" s="80">
        <v>46.4</v>
      </c>
      <c r="F361" s="80">
        <v>0.42</v>
      </c>
      <c r="G361" s="80">
        <v>108</v>
      </c>
      <c r="H361" s="80">
        <v>0.9</v>
      </c>
      <c r="I361" s="80">
        <v>0.8</v>
      </c>
      <c r="J361" s="80">
        <v>6.7</v>
      </c>
      <c r="K361" s="80">
        <v>24.9</v>
      </c>
      <c r="L361" s="80">
        <v>43.1</v>
      </c>
      <c r="M361" s="80">
        <v>20.399999999999999</v>
      </c>
      <c r="N361" s="80">
        <v>3.5</v>
      </c>
      <c r="O361" s="80">
        <v>0.3</v>
      </c>
      <c r="P361" s="80">
        <v>0.2</v>
      </c>
      <c r="Q361" s="80">
        <v>0.1</v>
      </c>
      <c r="R361" s="80">
        <v>0.3</v>
      </c>
      <c r="S361" s="80">
        <v>1.9</v>
      </c>
    </row>
    <row r="362" spans="1:19">
      <c r="A362" s="295"/>
      <c r="B362" s="243" t="s">
        <v>89</v>
      </c>
      <c r="C362" s="196"/>
      <c r="D362" s="92">
        <v>34</v>
      </c>
      <c r="E362" s="93">
        <v>46.4</v>
      </c>
      <c r="F362" s="93">
        <v>0.43</v>
      </c>
      <c r="G362" s="93">
        <v>116</v>
      </c>
      <c r="H362" s="93">
        <v>0.93</v>
      </c>
      <c r="I362" s="93">
        <v>1.1000000000000001</v>
      </c>
      <c r="J362" s="93">
        <v>10.4</v>
      </c>
      <c r="K362" s="93">
        <v>28.4</v>
      </c>
      <c r="L362" s="93">
        <v>43</v>
      </c>
      <c r="M362" s="93">
        <v>15.2</v>
      </c>
      <c r="N362" s="93">
        <v>1.6</v>
      </c>
      <c r="O362" s="93">
        <v>0.1</v>
      </c>
      <c r="P362" s="93">
        <v>0.1</v>
      </c>
      <c r="Q362" s="93">
        <v>0.1</v>
      </c>
      <c r="R362" s="93">
        <v>0.2</v>
      </c>
      <c r="S362" s="93">
        <v>1.97</v>
      </c>
    </row>
    <row r="363" spans="1:19">
      <c r="A363" s="295"/>
      <c r="B363" s="243" t="s">
        <v>90</v>
      </c>
      <c r="C363" s="196"/>
      <c r="D363" s="94">
        <v>48</v>
      </c>
      <c r="E363" s="95">
        <v>46.4</v>
      </c>
      <c r="F363" s="95">
        <v>0.42</v>
      </c>
      <c r="G363" s="95">
        <v>108</v>
      </c>
      <c r="H363" s="95">
        <v>0.91</v>
      </c>
      <c r="I363" s="95">
        <v>1.1000000000000001</v>
      </c>
      <c r="J363" s="95">
        <v>9.1</v>
      </c>
      <c r="K363" s="95">
        <v>27.7</v>
      </c>
      <c r="L363" s="95">
        <v>44.6</v>
      </c>
      <c r="M363" s="95">
        <v>15.1</v>
      </c>
      <c r="N363" s="95">
        <v>2</v>
      </c>
      <c r="O363" s="95">
        <v>0.2</v>
      </c>
      <c r="P363" s="95">
        <v>0.1</v>
      </c>
      <c r="Q363" s="95">
        <v>0.1</v>
      </c>
      <c r="R363" s="95">
        <v>0.2</v>
      </c>
      <c r="S363" s="95">
        <v>1.96</v>
      </c>
    </row>
    <row r="364" spans="1:19">
      <c r="A364" s="295">
        <v>45939</v>
      </c>
      <c r="B364" s="243" t="s">
        <v>88</v>
      </c>
      <c r="C364" s="196"/>
      <c r="D364" s="78">
        <v>52</v>
      </c>
      <c r="E364" s="80">
        <v>46.4</v>
      </c>
      <c r="F364" s="80">
        <v>0.41</v>
      </c>
      <c r="G364" s="80">
        <v>110</v>
      </c>
      <c r="H364" s="80">
        <v>0.92</v>
      </c>
      <c r="I364" s="80">
        <v>0.8</v>
      </c>
      <c r="J364" s="80">
        <v>6.3</v>
      </c>
      <c r="K364" s="80">
        <v>22.2</v>
      </c>
      <c r="L364" s="80">
        <v>44.3</v>
      </c>
      <c r="M364" s="80">
        <v>21.9</v>
      </c>
      <c r="N364" s="80">
        <v>3.9</v>
      </c>
      <c r="O364" s="80">
        <v>0.4</v>
      </c>
      <c r="P364" s="80">
        <v>0.1</v>
      </c>
      <c r="Q364" s="80">
        <v>0.1</v>
      </c>
      <c r="R364" s="80">
        <v>0.2</v>
      </c>
      <c r="S364" s="80">
        <v>1.88</v>
      </c>
    </row>
    <row r="365" spans="1:19">
      <c r="A365" s="295"/>
      <c r="B365" s="243" t="s">
        <v>89</v>
      </c>
      <c r="C365" s="196"/>
      <c r="D365" s="92">
        <v>46</v>
      </c>
      <c r="E365" s="93">
        <v>46.42</v>
      </c>
      <c r="F365" s="93">
        <v>0.37</v>
      </c>
      <c r="G365" s="93">
        <v>112</v>
      </c>
      <c r="H365" s="93">
        <v>0.9</v>
      </c>
      <c r="I365" s="93">
        <v>0.8</v>
      </c>
      <c r="J365" s="93">
        <v>8.8000000000000007</v>
      </c>
      <c r="K365" s="93">
        <v>26.9</v>
      </c>
      <c r="L365" s="93">
        <v>42.7</v>
      </c>
      <c r="M365" s="93">
        <v>18.399999999999999</v>
      </c>
      <c r="N365" s="93">
        <v>2.1</v>
      </c>
      <c r="O365" s="93">
        <v>0.1</v>
      </c>
      <c r="P365" s="93">
        <v>0.1</v>
      </c>
      <c r="Q365" s="93">
        <v>0.1</v>
      </c>
      <c r="R365" s="93">
        <v>0.2</v>
      </c>
      <c r="S365" s="93">
        <v>1.94</v>
      </c>
    </row>
    <row r="366" spans="1:19">
      <c r="A366" s="295"/>
      <c r="B366" s="243" t="s">
        <v>90</v>
      </c>
      <c r="C366" s="196"/>
      <c r="D366" s="94">
        <v>41</v>
      </c>
      <c r="E366" s="95">
        <v>46.42</v>
      </c>
      <c r="F366" s="95">
        <v>0.38</v>
      </c>
      <c r="G366" s="95">
        <v>106</v>
      </c>
      <c r="H366" s="95">
        <v>0.89</v>
      </c>
      <c r="I366" s="95">
        <v>0.5</v>
      </c>
      <c r="J366" s="95">
        <v>5.9</v>
      </c>
      <c r="K366" s="95">
        <v>23.2</v>
      </c>
      <c r="L366" s="95">
        <v>44.3</v>
      </c>
      <c r="M366" s="95">
        <v>22.4</v>
      </c>
      <c r="N366" s="95">
        <v>3.2</v>
      </c>
      <c r="O366" s="95">
        <v>0.2</v>
      </c>
      <c r="P366" s="95">
        <v>0.2</v>
      </c>
      <c r="Q366" s="95">
        <v>0.1</v>
      </c>
      <c r="R366" s="95">
        <v>0.3</v>
      </c>
      <c r="S366" s="95">
        <v>1.88</v>
      </c>
    </row>
    <row r="367" spans="1:19">
      <c r="A367" s="295">
        <v>45940</v>
      </c>
      <c r="B367" s="243" t="s">
        <v>88</v>
      </c>
      <c r="C367" s="196"/>
      <c r="D367" s="177">
        <v>35</v>
      </c>
      <c r="E367" s="176">
        <v>46.4</v>
      </c>
      <c r="F367" s="176">
        <v>0.43</v>
      </c>
      <c r="G367" s="178">
        <v>104</v>
      </c>
      <c r="H367" s="176">
        <v>0.91</v>
      </c>
      <c r="I367" s="176">
        <v>0.4</v>
      </c>
      <c r="J367" s="176">
        <v>5.2</v>
      </c>
      <c r="K367" s="176">
        <v>21.3</v>
      </c>
      <c r="L367" s="176">
        <v>40.5</v>
      </c>
      <c r="M367" s="176">
        <v>27.1</v>
      </c>
      <c r="N367" s="176">
        <v>4.5</v>
      </c>
      <c r="O367" s="176">
        <v>0.5</v>
      </c>
      <c r="P367" s="176">
        <v>0.4</v>
      </c>
      <c r="Q367" s="176">
        <v>0.1</v>
      </c>
      <c r="R367" s="176">
        <v>0.5</v>
      </c>
      <c r="S367" s="176">
        <v>1.84</v>
      </c>
    </row>
    <row r="368" spans="1:19">
      <c r="A368" s="295"/>
      <c r="B368" s="243" t="s">
        <v>89</v>
      </c>
      <c r="C368" s="196"/>
      <c r="D368" s="177">
        <v>36</v>
      </c>
      <c r="E368" s="176">
        <v>46.39</v>
      </c>
      <c r="F368" s="176">
        <v>0.44</v>
      </c>
      <c r="G368" s="178">
        <v>107</v>
      </c>
      <c r="H368" s="176">
        <v>0.94</v>
      </c>
      <c r="I368" s="176">
        <v>0.2</v>
      </c>
      <c r="J368" s="176">
        <v>4.7</v>
      </c>
      <c r="K368" s="176">
        <v>24.5</v>
      </c>
      <c r="L368" s="176">
        <v>42.5</v>
      </c>
      <c r="M368" s="176">
        <v>24.3</v>
      </c>
      <c r="N368" s="176">
        <v>3.3</v>
      </c>
      <c r="O368" s="176">
        <v>0.1</v>
      </c>
      <c r="P368" s="176">
        <v>0.2</v>
      </c>
      <c r="Q368" s="176">
        <v>0.2</v>
      </c>
      <c r="R368" s="176">
        <v>0.4</v>
      </c>
      <c r="S368" s="176">
        <v>1.87</v>
      </c>
    </row>
    <row r="369" spans="1:19">
      <c r="A369" s="295"/>
      <c r="B369" s="243" t="s">
        <v>90</v>
      </c>
      <c r="C369" s="196"/>
      <c r="D369" s="179">
        <v>38</v>
      </c>
      <c r="E369" s="180">
        <v>46.41</v>
      </c>
      <c r="F369" s="180">
        <v>0.4</v>
      </c>
      <c r="G369" s="181">
        <v>110</v>
      </c>
      <c r="H369" s="180">
        <v>0.9</v>
      </c>
      <c r="I369" s="180">
        <v>0.2</v>
      </c>
      <c r="J369" s="180">
        <v>5.4</v>
      </c>
      <c r="K369" s="180">
        <v>22.9</v>
      </c>
      <c r="L369" s="180">
        <v>41</v>
      </c>
      <c r="M369" s="180">
        <v>25.7</v>
      </c>
      <c r="N369" s="180">
        <v>4.2</v>
      </c>
      <c r="O369" s="180">
        <v>0.3</v>
      </c>
      <c r="P369" s="180">
        <v>0.2</v>
      </c>
      <c r="Q369" s="180">
        <v>0.1</v>
      </c>
      <c r="R369" s="180">
        <v>0.3</v>
      </c>
      <c r="S369" s="180">
        <v>1.86</v>
      </c>
    </row>
    <row r="370" spans="1:19">
      <c r="A370" s="295">
        <v>45941</v>
      </c>
      <c r="B370" s="243" t="s">
        <v>88</v>
      </c>
      <c r="C370" s="196"/>
      <c r="D370" s="177">
        <v>36</v>
      </c>
      <c r="E370" s="176">
        <v>46.38</v>
      </c>
      <c r="F370" s="176">
        <v>0.46</v>
      </c>
      <c r="G370" s="178">
        <v>98</v>
      </c>
      <c r="H370" s="176">
        <v>0.9</v>
      </c>
      <c r="I370" s="176">
        <v>0.2</v>
      </c>
      <c r="J370" s="176">
        <v>5.9</v>
      </c>
      <c r="K370" s="176">
        <v>23.2</v>
      </c>
      <c r="L370" s="176">
        <v>39.299999999999997</v>
      </c>
      <c r="M370" s="176">
        <v>26.2</v>
      </c>
      <c r="N370" s="176">
        <v>4.4000000000000004</v>
      </c>
      <c r="O370" s="176">
        <v>0.4</v>
      </c>
      <c r="P370" s="176">
        <v>0.3</v>
      </c>
      <c r="Q370" s="176">
        <v>0.1</v>
      </c>
      <c r="R370" s="176">
        <v>0.4</v>
      </c>
      <c r="S370" s="176">
        <v>1.86</v>
      </c>
    </row>
    <row r="371" spans="1:19">
      <c r="A371" s="295"/>
      <c r="B371" s="243" t="s">
        <v>89</v>
      </c>
      <c r="C371" s="196"/>
      <c r="D371" s="177">
        <v>37</v>
      </c>
      <c r="E371" s="176">
        <v>46.4</v>
      </c>
      <c r="F371" s="176">
        <v>0.43</v>
      </c>
      <c r="G371" s="178">
        <v>103</v>
      </c>
      <c r="H371" s="176">
        <v>0.88</v>
      </c>
      <c r="I371" s="176">
        <v>0.2</v>
      </c>
      <c r="J371" s="176">
        <v>5.5</v>
      </c>
      <c r="K371" s="176">
        <v>23.5</v>
      </c>
      <c r="L371" s="176">
        <v>40.6</v>
      </c>
      <c r="M371" s="176">
        <v>25.7</v>
      </c>
      <c r="N371" s="176">
        <v>3.6</v>
      </c>
      <c r="O371" s="176">
        <v>0.4</v>
      </c>
      <c r="P371" s="176">
        <v>0.3</v>
      </c>
      <c r="Q371" s="176">
        <v>0.2</v>
      </c>
      <c r="R371" s="176">
        <v>0.5</v>
      </c>
      <c r="S371" s="176">
        <v>1.86</v>
      </c>
    </row>
    <row r="372" spans="1:19">
      <c r="A372" s="295"/>
      <c r="B372" s="243" t="s">
        <v>90</v>
      </c>
      <c r="C372" s="196"/>
      <c r="D372" s="179">
        <v>35</v>
      </c>
      <c r="E372" s="180">
        <v>46.4</v>
      </c>
      <c r="F372" s="180">
        <v>0.42</v>
      </c>
      <c r="G372" s="181">
        <v>108</v>
      </c>
      <c r="H372" s="180">
        <v>0.89</v>
      </c>
      <c r="I372" s="180">
        <v>0.4</v>
      </c>
      <c r="J372" s="180">
        <v>6.1</v>
      </c>
      <c r="K372" s="180">
        <v>24.9</v>
      </c>
      <c r="L372" s="180">
        <v>43.6</v>
      </c>
      <c r="M372" s="180">
        <v>22</v>
      </c>
      <c r="N372" s="180">
        <v>2.6</v>
      </c>
      <c r="O372" s="180">
        <v>0.2</v>
      </c>
      <c r="P372" s="180">
        <v>0.1</v>
      </c>
      <c r="Q372" s="180">
        <v>0.1</v>
      </c>
      <c r="R372" s="180">
        <v>0.2</v>
      </c>
      <c r="S372" s="180">
        <v>1.89</v>
      </c>
    </row>
    <row r="373" spans="1:19">
      <c r="A373" s="295">
        <v>45942</v>
      </c>
      <c r="B373" s="243" t="s">
        <v>88</v>
      </c>
      <c r="C373" s="196"/>
      <c r="D373" s="78">
        <v>34</v>
      </c>
      <c r="E373" s="80">
        <v>46.4</v>
      </c>
      <c r="F373" s="80">
        <v>0.43</v>
      </c>
      <c r="G373" s="80">
        <v>102</v>
      </c>
      <c r="H373" s="80">
        <v>0.91</v>
      </c>
      <c r="I373" s="80">
        <v>0.1</v>
      </c>
      <c r="J373" s="80">
        <v>4</v>
      </c>
      <c r="K373" s="80">
        <v>20.2</v>
      </c>
      <c r="L373" s="80">
        <v>42.8</v>
      </c>
      <c r="M373" s="80">
        <v>28.4</v>
      </c>
      <c r="N373" s="80">
        <v>3.9</v>
      </c>
      <c r="O373" s="80">
        <v>0.3</v>
      </c>
      <c r="P373" s="80">
        <v>0.2</v>
      </c>
      <c r="Q373" s="80">
        <v>0.1</v>
      </c>
      <c r="R373" s="80">
        <v>0.3</v>
      </c>
      <c r="S373" s="80">
        <v>1.83</v>
      </c>
    </row>
    <row r="374" spans="1:19">
      <c r="A374" s="295"/>
      <c r="B374" s="243" t="s">
        <v>89</v>
      </c>
      <c r="C374" s="196"/>
      <c r="D374" s="92">
        <v>35</v>
      </c>
      <c r="E374" s="93">
        <v>46.41</v>
      </c>
      <c r="F374" s="93">
        <v>0.41</v>
      </c>
      <c r="G374" s="93">
        <v>96</v>
      </c>
      <c r="H374" s="93">
        <v>0.89</v>
      </c>
      <c r="I374" s="93">
        <v>0.4</v>
      </c>
      <c r="J374" s="93">
        <v>7.2</v>
      </c>
      <c r="K374" s="93">
        <v>23.9</v>
      </c>
      <c r="L374" s="93">
        <v>41.8</v>
      </c>
      <c r="M374" s="93">
        <v>23.3</v>
      </c>
      <c r="N374" s="93">
        <v>2.8</v>
      </c>
      <c r="O374" s="93">
        <v>0.2</v>
      </c>
      <c r="P374" s="93">
        <v>0.2</v>
      </c>
      <c r="Q374" s="93">
        <v>0.2</v>
      </c>
      <c r="R374" s="93">
        <v>0.4</v>
      </c>
      <c r="S374" s="93">
        <v>1.89</v>
      </c>
    </row>
    <row r="375" spans="1:19">
      <c r="A375" s="295"/>
      <c r="B375" s="243" t="s">
        <v>90</v>
      </c>
      <c r="C375" s="196"/>
      <c r="D375" s="94">
        <v>38</v>
      </c>
      <c r="E375" s="95">
        <v>46.39</v>
      </c>
      <c r="F375" s="95">
        <v>0.44</v>
      </c>
      <c r="G375" s="95">
        <v>106</v>
      </c>
      <c r="H375" s="95">
        <v>0.91</v>
      </c>
      <c r="I375" s="95">
        <v>0.7</v>
      </c>
      <c r="J375" s="95">
        <v>8.6999999999999993</v>
      </c>
      <c r="K375" s="95">
        <v>26.7</v>
      </c>
      <c r="L375" s="95">
        <v>41.8</v>
      </c>
      <c r="M375" s="95">
        <v>20</v>
      </c>
      <c r="N375" s="95">
        <v>1.7</v>
      </c>
      <c r="O375" s="95">
        <v>0.2</v>
      </c>
      <c r="P375" s="95">
        <v>0.1</v>
      </c>
      <c r="Q375" s="95">
        <v>0.1</v>
      </c>
      <c r="R375" s="95">
        <v>0.2</v>
      </c>
      <c r="S375" s="95">
        <v>1.93</v>
      </c>
    </row>
    <row r="376" spans="1:19">
      <c r="A376" s="295">
        <v>45943</v>
      </c>
      <c r="B376" s="243" t="s">
        <v>88</v>
      </c>
      <c r="C376" s="196"/>
      <c r="D376" s="78">
        <v>34</v>
      </c>
      <c r="E376" s="80">
        <v>46.41</v>
      </c>
      <c r="F376" s="80">
        <v>0.39</v>
      </c>
      <c r="G376" s="80">
        <v>102</v>
      </c>
      <c r="H376" s="80">
        <v>0.98</v>
      </c>
      <c r="I376" s="80">
        <v>0.4</v>
      </c>
      <c r="J376" s="80">
        <v>5.3</v>
      </c>
      <c r="K376" s="80">
        <v>22.6</v>
      </c>
      <c r="L376" s="80">
        <v>42.4</v>
      </c>
      <c r="M376" s="80">
        <v>25.4</v>
      </c>
      <c r="N376" s="80">
        <v>3.4</v>
      </c>
      <c r="O376" s="80">
        <v>0.3</v>
      </c>
      <c r="P376" s="80">
        <v>0.2</v>
      </c>
      <c r="Q376" s="80">
        <v>0.3</v>
      </c>
      <c r="R376" s="80">
        <v>0.2</v>
      </c>
      <c r="S376" s="80">
        <v>1.86</v>
      </c>
    </row>
    <row r="377" spans="1:19">
      <c r="A377" s="295"/>
      <c r="B377" s="243" t="s">
        <v>89</v>
      </c>
      <c r="C377" s="196"/>
      <c r="D377" s="92">
        <v>40</v>
      </c>
      <c r="E377" s="93">
        <v>46.4</v>
      </c>
      <c r="F377" s="93">
        <v>0.42</v>
      </c>
      <c r="G377" s="93">
        <v>108</v>
      </c>
      <c r="H377" s="93">
        <v>0.95</v>
      </c>
      <c r="I377" s="93">
        <v>0.4</v>
      </c>
      <c r="J377" s="93">
        <v>5.2</v>
      </c>
      <c r="K377" s="93">
        <v>21.8</v>
      </c>
      <c r="L377" s="93">
        <v>44.6</v>
      </c>
      <c r="M377" s="93">
        <v>24.5</v>
      </c>
      <c r="N377" s="93">
        <v>3</v>
      </c>
      <c r="O377" s="93">
        <v>0.1</v>
      </c>
      <c r="P377" s="93">
        <v>0.1</v>
      </c>
      <c r="Q377" s="93">
        <v>0.1</v>
      </c>
      <c r="R377" s="93">
        <v>0.2</v>
      </c>
      <c r="S377" s="93">
        <v>1.87</v>
      </c>
    </row>
    <row r="378" spans="1:19">
      <c r="A378" s="295"/>
      <c r="B378" s="243" t="s">
        <v>90</v>
      </c>
      <c r="C378" s="196"/>
      <c r="D378" s="94">
        <v>37</v>
      </c>
      <c r="E378" s="95">
        <v>46.41</v>
      </c>
      <c r="F378" s="95">
        <v>0.4</v>
      </c>
      <c r="G378" s="95">
        <v>95</v>
      </c>
      <c r="H378" s="95">
        <v>0.92</v>
      </c>
      <c r="I378" s="95">
        <v>0.6</v>
      </c>
      <c r="J378" s="95">
        <v>8.3000000000000007</v>
      </c>
      <c r="K378" s="95">
        <v>28.3</v>
      </c>
      <c r="L378" s="95">
        <v>41.3</v>
      </c>
      <c r="M378" s="95">
        <v>19.399999999999999</v>
      </c>
      <c r="N378" s="95">
        <v>1.6</v>
      </c>
      <c r="O378" s="95">
        <v>0.2</v>
      </c>
      <c r="P378" s="95">
        <v>0.1</v>
      </c>
      <c r="Q378" s="95">
        <v>0.2</v>
      </c>
      <c r="R378" s="95">
        <v>0.3</v>
      </c>
      <c r="S378" s="95">
        <v>1.94</v>
      </c>
    </row>
    <row r="379" spans="1:19">
      <c r="A379" s="295">
        <v>45944</v>
      </c>
      <c r="B379" s="243" t="s">
        <v>88</v>
      </c>
      <c r="C379" s="196"/>
      <c r="D379" s="78">
        <v>54</v>
      </c>
      <c r="E379" s="80">
        <v>46.4</v>
      </c>
      <c r="F379" s="80">
        <v>0.41</v>
      </c>
      <c r="G379" s="80">
        <v>106</v>
      </c>
      <c r="H379" s="80">
        <v>0.92</v>
      </c>
      <c r="I379" s="80">
        <v>0.3</v>
      </c>
      <c r="J379" s="80">
        <v>4.9000000000000004</v>
      </c>
      <c r="K379" s="80">
        <v>21</v>
      </c>
      <c r="L379" s="80">
        <v>47.5</v>
      </c>
      <c r="M379" s="80">
        <v>23.4</v>
      </c>
      <c r="N379" s="80">
        <v>2.4</v>
      </c>
      <c r="O379" s="80">
        <v>0.2</v>
      </c>
      <c r="P379" s="80">
        <v>0.2</v>
      </c>
      <c r="Q379" s="80">
        <v>0.1</v>
      </c>
      <c r="R379" s="80">
        <v>0.3</v>
      </c>
      <c r="S379" s="80">
        <v>1.87</v>
      </c>
    </row>
    <row r="380" spans="1:19">
      <c r="A380" s="295"/>
      <c r="B380" s="243" t="s">
        <v>89</v>
      </c>
      <c r="C380" s="196"/>
      <c r="D380" s="92">
        <v>38</v>
      </c>
      <c r="E380" s="93">
        <v>46.4</v>
      </c>
      <c r="F380" s="93">
        <v>0.43</v>
      </c>
      <c r="G380" s="93">
        <v>102</v>
      </c>
      <c r="H380" s="93">
        <v>0.9</v>
      </c>
      <c r="I380" s="93">
        <v>0.3</v>
      </c>
      <c r="J380" s="93">
        <v>4.7</v>
      </c>
      <c r="K380" s="93">
        <v>24.6</v>
      </c>
      <c r="L380" s="93">
        <v>43.5</v>
      </c>
      <c r="M380" s="93">
        <v>23.7</v>
      </c>
      <c r="N380" s="93">
        <v>2.6</v>
      </c>
      <c r="O380" s="93">
        <v>0.2</v>
      </c>
      <c r="P380" s="93">
        <v>0.3</v>
      </c>
      <c r="Q380" s="93">
        <v>0.1</v>
      </c>
      <c r="R380" s="93">
        <v>0.4</v>
      </c>
      <c r="S380" s="93">
        <v>1.87</v>
      </c>
    </row>
    <row r="381" spans="1:19">
      <c r="A381" s="295"/>
      <c r="B381" s="243" t="s">
        <v>90</v>
      </c>
      <c r="C381" s="196"/>
      <c r="D381" s="94">
        <v>44</v>
      </c>
      <c r="E381" s="95">
        <v>46.4</v>
      </c>
      <c r="F381" s="95">
        <v>0.4</v>
      </c>
      <c r="G381" s="95">
        <v>108</v>
      </c>
      <c r="H381" s="95">
        <v>0.95</v>
      </c>
      <c r="I381" s="95">
        <v>3.9</v>
      </c>
      <c r="J381" s="95">
        <v>10.7</v>
      </c>
      <c r="K381" s="95">
        <v>32.5</v>
      </c>
      <c r="L381" s="95">
        <v>37.700000000000003</v>
      </c>
      <c r="M381" s="95">
        <v>14.2</v>
      </c>
      <c r="N381" s="95">
        <v>0.9</v>
      </c>
      <c r="O381" s="95">
        <v>0.1</v>
      </c>
      <c r="P381" s="95">
        <v>0.1</v>
      </c>
      <c r="Q381" s="95">
        <v>0.1</v>
      </c>
      <c r="R381" s="95">
        <v>0.2</v>
      </c>
      <c r="S381" s="95">
        <v>2.0299999999999998</v>
      </c>
    </row>
    <row r="382" spans="1:19">
      <c r="A382" s="295">
        <v>45945</v>
      </c>
      <c r="B382" s="243" t="s">
        <v>88</v>
      </c>
      <c r="C382" s="196"/>
      <c r="D382" s="78">
        <v>48</v>
      </c>
      <c r="E382" s="80">
        <v>46.41</v>
      </c>
      <c r="F382" s="80">
        <v>0.38</v>
      </c>
      <c r="G382" s="80">
        <v>106</v>
      </c>
      <c r="H382" s="80">
        <v>0.92</v>
      </c>
      <c r="I382" s="80">
        <v>0.5</v>
      </c>
      <c r="J382" s="80">
        <v>7.7</v>
      </c>
      <c r="K382" s="80">
        <v>25.8</v>
      </c>
      <c r="L382" s="80">
        <v>44.1</v>
      </c>
      <c r="M382" s="80">
        <v>19.899999999999999</v>
      </c>
      <c r="N382" s="80">
        <v>1.6</v>
      </c>
      <c r="O382" s="80">
        <v>0.2</v>
      </c>
      <c r="P382" s="80">
        <v>0.1</v>
      </c>
      <c r="Q382" s="80">
        <v>0.1</v>
      </c>
      <c r="R382" s="80">
        <v>0.2</v>
      </c>
      <c r="S382" s="80">
        <v>1.92</v>
      </c>
    </row>
    <row r="383" spans="1:19">
      <c r="A383" s="295"/>
      <c r="B383" s="243" t="s">
        <v>89</v>
      </c>
      <c r="C383" s="196"/>
      <c r="D383" s="92">
        <v>39</v>
      </c>
      <c r="E383" s="93">
        <v>46.4</v>
      </c>
      <c r="F383" s="93">
        <v>0.4</v>
      </c>
      <c r="G383" s="93">
        <v>109</v>
      </c>
      <c r="H383" s="93">
        <v>0.88</v>
      </c>
      <c r="I383" s="93">
        <v>0.4</v>
      </c>
      <c r="J383" s="93">
        <v>6.2</v>
      </c>
      <c r="K383" s="93">
        <v>25.3</v>
      </c>
      <c r="L383" s="93">
        <v>43.3</v>
      </c>
      <c r="M383" s="93">
        <v>22.3</v>
      </c>
      <c r="N383" s="93">
        <v>2.1</v>
      </c>
      <c r="O383" s="93">
        <v>0.1</v>
      </c>
      <c r="P383" s="93">
        <v>0.02</v>
      </c>
      <c r="Q383" s="93">
        <v>0.1</v>
      </c>
      <c r="R383" s="93">
        <v>0.3</v>
      </c>
      <c r="S383" s="93">
        <v>1.9</v>
      </c>
    </row>
    <row r="384" spans="1:19">
      <c r="A384" s="295"/>
      <c r="B384" s="243" t="s">
        <v>90</v>
      </c>
      <c r="C384" s="196"/>
      <c r="D384" s="94">
        <v>48</v>
      </c>
      <c r="E384" s="95">
        <v>46.4</v>
      </c>
      <c r="F384" s="95">
        <v>0.43</v>
      </c>
      <c r="G384" s="95">
        <v>100</v>
      </c>
      <c r="H384" s="95">
        <v>0.93</v>
      </c>
      <c r="I384" s="95">
        <v>0.7</v>
      </c>
      <c r="J384" s="95">
        <v>8.3000000000000007</v>
      </c>
      <c r="K384" s="95">
        <v>29.8</v>
      </c>
      <c r="L384" s="95">
        <v>41.3</v>
      </c>
      <c r="M384" s="95">
        <v>18</v>
      </c>
      <c r="N384" s="95">
        <v>1.6</v>
      </c>
      <c r="O384" s="95">
        <v>0.1</v>
      </c>
      <c r="P384" s="95">
        <v>0.1</v>
      </c>
      <c r="Q384" s="95">
        <v>0.1</v>
      </c>
      <c r="R384" s="95">
        <v>0.2</v>
      </c>
      <c r="S384" s="95">
        <v>1.95</v>
      </c>
    </row>
    <row r="385" spans="1:19">
      <c r="A385" s="295">
        <v>45946</v>
      </c>
      <c r="B385" s="243" t="s">
        <v>88</v>
      </c>
      <c r="C385" s="196"/>
      <c r="D385" s="78">
        <v>38</v>
      </c>
      <c r="E385" s="80">
        <v>46.38</v>
      </c>
      <c r="F385" s="80">
        <v>0.45</v>
      </c>
      <c r="G385" s="80">
        <v>116</v>
      </c>
      <c r="H385" s="80">
        <v>0.9</v>
      </c>
      <c r="I385" s="80">
        <v>0.2</v>
      </c>
      <c r="J385" s="80">
        <v>5.2</v>
      </c>
      <c r="K385" s="80">
        <v>22</v>
      </c>
      <c r="L385" s="80">
        <v>46.2</v>
      </c>
      <c r="M385" s="80">
        <v>23.7</v>
      </c>
      <c r="N385" s="80">
        <v>2.2999999999999998</v>
      </c>
      <c r="O385" s="80">
        <v>0.2</v>
      </c>
      <c r="P385" s="80">
        <v>0.1</v>
      </c>
      <c r="Q385" s="80">
        <v>0.1</v>
      </c>
      <c r="R385" s="80">
        <v>0.2</v>
      </c>
      <c r="S385" s="80">
        <v>1.87</v>
      </c>
    </row>
    <row r="386" spans="1:19">
      <c r="A386" s="295"/>
      <c r="B386" s="243" t="s">
        <v>89</v>
      </c>
      <c r="C386" s="196"/>
      <c r="D386" s="92">
        <v>43</v>
      </c>
      <c r="E386" s="93">
        <v>46.4</v>
      </c>
      <c r="F386" s="93">
        <v>0.43</v>
      </c>
      <c r="G386" s="93">
        <v>110</v>
      </c>
      <c r="H386" s="93">
        <v>0.92</v>
      </c>
      <c r="I386" s="93">
        <v>0.3</v>
      </c>
      <c r="J386" s="93">
        <v>5.4</v>
      </c>
      <c r="K386" s="93">
        <v>21.2</v>
      </c>
      <c r="L386" s="93">
        <v>43.2</v>
      </c>
      <c r="M386" s="93">
        <v>25.5</v>
      </c>
      <c r="N386" s="93">
        <v>3.7</v>
      </c>
      <c r="O386" s="93">
        <v>0.4</v>
      </c>
      <c r="P386" s="93">
        <v>0.2</v>
      </c>
      <c r="Q386" s="93">
        <v>0.1</v>
      </c>
      <c r="R386" s="93">
        <v>0.3</v>
      </c>
      <c r="S386" s="93">
        <v>1.86</v>
      </c>
    </row>
    <row r="387" spans="1:19">
      <c r="A387" s="295"/>
      <c r="B387" s="243" t="s">
        <v>90</v>
      </c>
      <c r="C387" s="196"/>
      <c r="D387" s="94">
        <v>35</v>
      </c>
      <c r="E387" s="95">
        <v>46.38</v>
      </c>
      <c r="F387" s="95">
        <v>0.45</v>
      </c>
      <c r="G387" s="95">
        <v>156</v>
      </c>
      <c r="H387" s="95">
        <v>0.95</v>
      </c>
      <c r="I387" s="95">
        <v>0.2</v>
      </c>
      <c r="J387" s="95">
        <v>4.5999999999999996</v>
      </c>
      <c r="K387" s="95">
        <v>21.4</v>
      </c>
      <c r="L387" s="95">
        <v>43.9</v>
      </c>
      <c r="M387" s="95">
        <v>26.3</v>
      </c>
      <c r="N387" s="95">
        <v>3.1</v>
      </c>
      <c r="O387" s="95">
        <v>0.3</v>
      </c>
      <c r="P387" s="95">
        <v>0.1</v>
      </c>
      <c r="Q387" s="95">
        <v>0.1</v>
      </c>
      <c r="R387" s="95">
        <v>0.2</v>
      </c>
      <c r="S387" s="95">
        <v>1.85</v>
      </c>
    </row>
    <row r="388" spans="1:19">
      <c r="A388" s="295">
        <v>45947</v>
      </c>
      <c r="B388" s="243" t="s">
        <v>88</v>
      </c>
      <c r="C388" s="196"/>
      <c r="D388" s="78">
        <v>42</v>
      </c>
      <c r="E388" s="80">
        <v>46.39</v>
      </c>
      <c r="F388" s="80">
        <v>0.44</v>
      </c>
      <c r="G388" s="80">
        <v>140</v>
      </c>
      <c r="H388" s="80">
        <v>0.93</v>
      </c>
      <c r="I388" s="80">
        <v>0.8</v>
      </c>
      <c r="J388" s="80">
        <v>10.3</v>
      </c>
      <c r="K388" s="80">
        <v>31.6</v>
      </c>
      <c r="L388" s="80">
        <v>41.9</v>
      </c>
      <c r="M388" s="80">
        <v>14.3</v>
      </c>
      <c r="N388" s="80">
        <v>0.8</v>
      </c>
      <c r="O388" s="80">
        <v>0.1</v>
      </c>
      <c r="P388" s="80">
        <v>0.1</v>
      </c>
      <c r="Q388" s="80">
        <v>0.1</v>
      </c>
      <c r="R388" s="80">
        <v>0.2</v>
      </c>
      <c r="S388" s="80">
        <v>1.99</v>
      </c>
    </row>
    <row r="389" spans="1:19">
      <c r="A389" s="295"/>
      <c r="B389" s="243" t="s">
        <v>89</v>
      </c>
      <c r="C389" s="196"/>
      <c r="D389" s="92">
        <v>45</v>
      </c>
      <c r="E389" s="93">
        <v>46.4</v>
      </c>
      <c r="F389" s="93">
        <v>0.42</v>
      </c>
      <c r="G389" s="93">
        <v>126</v>
      </c>
      <c r="H389" s="93">
        <v>0.91</v>
      </c>
      <c r="I389" s="93">
        <v>0.6</v>
      </c>
      <c r="J389" s="93">
        <v>5.6</v>
      </c>
      <c r="K389" s="93">
        <v>21.3</v>
      </c>
      <c r="L389" s="93">
        <v>42.9</v>
      </c>
      <c r="M389" s="93">
        <v>26.1</v>
      </c>
      <c r="N389" s="93">
        <v>3.2</v>
      </c>
      <c r="O389" s="93">
        <v>0.3</v>
      </c>
      <c r="P389" s="93">
        <v>0.2</v>
      </c>
      <c r="Q389" s="93">
        <v>0.1</v>
      </c>
      <c r="R389" s="93">
        <v>0.3</v>
      </c>
      <c r="S389" s="93">
        <v>1.86</v>
      </c>
    </row>
    <row r="390" spans="1:19">
      <c r="A390" s="295"/>
      <c r="B390" s="243" t="s">
        <v>90</v>
      </c>
      <c r="C390" s="196"/>
      <c r="D390" s="94">
        <v>45</v>
      </c>
      <c r="E390" s="95">
        <v>46.38</v>
      </c>
      <c r="F390" s="95">
        <v>0.45</v>
      </c>
      <c r="G390" s="95">
        <v>138</v>
      </c>
      <c r="H390" s="95">
        <v>0.92</v>
      </c>
      <c r="I390" s="95">
        <v>0.3</v>
      </c>
      <c r="J390" s="95">
        <v>3.6</v>
      </c>
      <c r="K390" s="95">
        <v>19</v>
      </c>
      <c r="L390" s="95">
        <v>44.9</v>
      </c>
      <c r="M390" s="95">
        <v>28</v>
      </c>
      <c r="N390" s="95">
        <v>3.8</v>
      </c>
      <c r="O390" s="95">
        <v>0.3</v>
      </c>
      <c r="P390" s="95">
        <v>0.1</v>
      </c>
      <c r="Q390" s="95">
        <v>0.1</v>
      </c>
      <c r="R390" s="95">
        <v>0.2</v>
      </c>
      <c r="S390" s="95">
        <v>1.83</v>
      </c>
    </row>
    <row r="391" spans="1:19">
      <c r="A391" s="295">
        <v>45948</v>
      </c>
      <c r="B391" s="243" t="s">
        <v>88</v>
      </c>
      <c r="C391" s="196"/>
      <c r="D391" s="78">
        <v>43</v>
      </c>
      <c r="E391" s="80">
        <v>46.39</v>
      </c>
      <c r="F391" s="80">
        <v>0.43</v>
      </c>
      <c r="G391" s="80">
        <v>129</v>
      </c>
      <c r="H391" s="80">
        <v>0.93</v>
      </c>
      <c r="I391" s="80">
        <v>0.2</v>
      </c>
      <c r="J391" s="80">
        <v>4.8</v>
      </c>
      <c r="K391" s="80">
        <v>22.9</v>
      </c>
      <c r="L391" s="80">
        <v>44.4</v>
      </c>
      <c r="M391" s="80">
        <v>24.1</v>
      </c>
      <c r="N391" s="80">
        <v>2.8</v>
      </c>
      <c r="O391" s="80">
        <v>0.2</v>
      </c>
      <c r="P391" s="80">
        <v>0.1</v>
      </c>
      <c r="Q391" s="80">
        <v>0.1</v>
      </c>
      <c r="R391" s="80">
        <v>0.2</v>
      </c>
      <c r="S391" s="80">
        <v>1.87</v>
      </c>
    </row>
    <row r="392" spans="1:19">
      <c r="A392" s="295"/>
      <c r="B392" s="243" t="s">
        <v>89</v>
      </c>
      <c r="C392" s="196"/>
      <c r="D392" s="92">
        <v>40</v>
      </c>
      <c r="E392" s="93">
        <v>46.39</v>
      </c>
      <c r="F392" s="93">
        <v>0.44</v>
      </c>
      <c r="G392" s="93">
        <v>134</v>
      </c>
      <c r="H392" s="93">
        <v>0.95</v>
      </c>
      <c r="I392" s="93">
        <v>0.2</v>
      </c>
      <c r="J392" s="93">
        <v>4</v>
      </c>
      <c r="K392" s="93">
        <v>19.600000000000001</v>
      </c>
      <c r="L392" s="93">
        <v>44</v>
      </c>
      <c r="M392" s="93">
        <v>27.8</v>
      </c>
      <c r="N392" s="93">
        <v>3.9</v>
      </c>
      <c r="O392" s="93">
        <v>0.3</v>
      </c>
      <c r="P392" s="93">
        <v>0.2</v>
      </c>
      <c r="Q392" s="93">
        <v>0</v>
      </c>
      <c r="R392" s="93">
        <v>0.2</v>
      </c>
      <c r="S392" s="93">
        <v>1.83</v>
      </c>
    </row>
    <row r="393" spans="1:19">
      <c r="A393" s="295"/>
      <c r="B393" s="243" t="s">
        <v>90</v>
      </c>
      <c r="C393" s="196"/>
      <c r="D393" s="94">
        <v>36</v>
      </c>
      <c r="E393" s="95">
        <v>46.38</v>
      </c>
      <c r="F393" s="95">
        <v>0.46</v>
      </c>
      <c r="G393" s="95">
        <v>142</v>
      </c>
      <c r="H393" s="95">
        <v>0.92</v>
      </c>
      <c r="I393" s="95">
        <v>0.4</v>
      </c>
      <c r="J393" s="95">
        <v>4.9000000000000004</v>
      </c>
      <c r="K393" s="95">
        <v>20.399999999999999</v>
      </c>
      <c r="L393" s="95">
        <v>43.1</v>
      </c>
      <c r="M393" s="95">
        <v>26.9</v>
      </c>
      <c r="N393" s="95">
        <v>3.7</v>
      </c>
      <c r="O393" s="95">
        <v>0.4</v>
      </c>
      <c r="P393" s="95">
        <v>0.2</v>
      </c>
      <c r="Q393" s="95">
        <v>0.1</v>
      </c>
      <c r="R393" s="95">
        <v>0.3</v>
      </c>
      <c r="S393" s="95">
        <v>1.85</v>
      </c>
    </row>
    <row r="394" spans="1:19">
      <c r="A394" s="295">
        <v>45949</v>
      </c>
      <c r="B394" s="243" t="s">
        <v>88</v>
      </c>
      <c r="C394" s="196"/>
      <c r="D394" s="78">
        <v>37</v>
      </c>
      <c r="E394" s="80">
        <v>46.38</v>
      </c>
      <c r="F394" s="80">
        <v>0.45</v>
      </c>
      <c r="G394" s="80">
        <v>134</v>
      </c>
      <c r="H394" s="80">
        <v>0.96</v>
      </c>
      <c r="I394" s="80">
        <v>0.4</v>
      </c>
      <c r="J394" s="80">
        <v>6.7</v>
      </c>
      <c r="K394" s="80">
        <v>27.5</v>
      </c>
      <c r="L394" s="80">
        <v>45.5</v>
      </c>
      <c r="M394" s="80">
        <v>18.3</v>
      </c>
      <c r="N394" s="80">
        <v>1.1000000000000001</v>
      </c>
      <c r="O394" s="80">
        <v>0.1</v>
      </c>
      <c r="P394" s="80">
        <v>0.2</v>
      </c>
      <c r="Q394" s="80">
        <v>0.2</v>
      </c>
      <c r="R394" s="80">
        <v>0.4</v>
      </c>
      <c r="S394" s="80">
        <v>1.93</v>
      </c>
    </row>
    <row r="395" spans="1:19">
      <c r="A395" s="295"/>
      <c r="B395" s="243" t="s">
        <v>89</v>
      </c>
      <c r="C395" s="196"/>
      <c r="D395" s="92">
        <v>52</v>
      </c>
      <c r="E395" s="93">
        <v>46.38</v>
      </c>
      <c r="F395" s="93">
        <v>0.46</v>
      </c>
      <c r="G395" s="93">
        <v>141</v>
      </c>
      <c r="H395" s="93">
        <v>0.91</v>
      </c>
      <c r="I395" s="93">
        <v>0.6</v>
      </c>
      <c r="J395" s="93">
        <v>4.5</v>
      </c>
      <c r="K395" s="93">
        <v>20</v>
      </c>
      <c r="L395" s="93">
        <v>42.8</v>
      </c>
      <c r="M395" s="93">
        <v>28.2</v>
      </c>
      <c r="N395" s="93">
        <v>3.6</v>
      </c>
      <c r="O395" s="93">
        <v>0.3</v>
      </c>
      <c r="P395" s="93">
        <v>0.2</v>
      </c>
      <c r="Q395" s="93">
        <v>0.1</v>
      </c>
      <c r="R395" s="93">
        <v>0.3</v>
      </c>
      <c r="S395" s="93">
        <v>1.84</v>
      </c>
    </row>
    <row r="396" spans="1:19">
      <c r="A396" s="295"/>
      <c r="B396" s="243" t="s">
        <v>90</v>
      </c>
      <c r="C396" s="196"/>
      <c r="D396" s="94">
        <v>43</v>
      </c>
      <c r="E396" s="95">
        <v>46.39</v>
      </c>
      <c r="F396" s="95">
        <v>0.43</v>
      </c>
      <c r="G396" s="95">
        <v>128</v>
      </c>
      <c r="H396" s="95">
        <v>0.93</v>
      </c>
      <c r="I396" s="95">
        <v>2.8</v>
      </c>
      <c r="J396" s="95">
        <v>10.9</v>
      </c>
      <c r="K396" s="95">
        <v>24.6</v>
      </c>
      <c r="L396" s="95">
        <v>35.200000000000003</v>
      </c>
      <c r="M396" s="95">
        <v>21.5</v>
      </c>
      <c r="N396" s="95">
        <v>4.0999999999999996</v>
      </c>
      <c r="O396" s="95">
        <v>0.4</v>
      </c>
      <c r="P396" s="95">
        <v>0.4</v>
      </c>
      <c r="Q396" s="95">
        <v>0.1</v>
      </c>
      <c r="R396" s="95">
        <v>0.5</v>
      </c>
      <c r="S396" s="95">
        <v>1.94</v>
      </c>
    </row>
    <row r="397" spans="1:19">
      <c r="A397" s="295">
        <v>45950</v>
      </c>
      <c r="B397" s="243" t="s">
        <v>88</v>
      </c>
      <c r="C397" s="196"/>
      <c r="D397" s="78">
        <v>30</v>
      </c>
      <c r="E397" s="80">
        <v>46.39</v>
      </c>
      <c r="F397" s="80">
        <v>0.44</v>
      </c>
      <c r="G397" s="80">
        <v>131</v>
      </c>
      <c r="H397" s="80">
        <v>0.93</v>
      </c>
      <c r="I397" s="80">
        <v>1.4</v>
      </c>
      <c r="J397" s="80">
        <v>8.5</v>
      </c>
      <c r="K397" s="80">
        <v>28.3</v>
      </c>
      <c r="L397" s="80">
        <v>40.200000000000003</v>
      </c>
      <c r="M397" s="80">
        <v>18.8</v>
      </c>
      <c r="N397" s="80">
        <v>2.4</v>
      </c>
      <c r="O397" s="80">
        <v>0.1</v>
      </c>
      <c r="P397" s="80">
        <v>0.2</v>
      </c>
      <c r="Q397" s="80">
        <v>0.1</v>
      </c>
      <c r="R397" s="80">
        <v>0.3</v>
      </c>
      <c r="S397" s="80">
        <v>1.95</v>
      </c>
    </row>
    <row r="398" spans="1:19">
      <c r="A398" s="295"/>
      <c r="B398" s="243" t="s">
        <v>89</v>
      </c>
      <c r="C398" s="196"/>
      <c r="D398" s="92">
        <v>38</v>
      </c>
      <c r="E398" s="93">
        <v>46.4</v>
      </c>
      <c r="F398" s="93">
        <v>0.42</v>
      </c>
      <c r="G398" s="93">
        <v>124</v>
      </c>
      <c r="H398" s="93">
        <v>0.91</v>
      </c>
      <c r="I398" s="93">
        <v>1.8</v>
      </c>
      <c r="J398" s="93">
        <v>11.3</v>
      </c>
      <c r="K398" s="93">
        <v>28</v>
      </c>
      <c r="L398" s="93">
        <v>40.4</v>
      </c>
      <c r="M398" s="93">
        <v>16.100000000000001</v>
      </c>
      <c r="N398" s="93">
        <v>2</v>
      </c>
      <c r="O398" s="93">
        <v>0.2</v>
      </c>
      <c r="P398" s="93">
        <v>0.1</v>
      </c>
      <c r="Q398" s="93">
        <v>0.1</v>
      </c>
      <c r="R398" s="93">
        <v>0.2</v>
      </c>
      <c r="S398" s="93">
        <v>1.98</v>
      </c>
    </row>
    <row r="399" spans="1:19">
      <c r="A399" s="295"/>
      <c r="B399" s="243" t="s">
        <v>90</v>
      </c>
      <c r="C399" s="196"/>
      <c r="D399" s="94">
        <v>46</v>
      </c>
      <c r="E399" s="95">
        <v>46.39</v>
      </c>
      <c r="F399" s="95">
        <v>0.42</v>
      </c>
      <c r="G399" s="95">
        <v>126</v>
      </c>
      <c r="H399" s="95">
        <v>0.92</v>
      </c>
      <c r="I399" s="95">
        <v>0.8</v>
      </c>
      <c r="J399" s="95">
        <v>6.3</v>
      </c>
      <c r="K399" s="95">
        <v>23.1</v>
      </c>
      <c r="L399" s="95">
        <v>40.6</v>
      </c>
      <c r="M399" s="95">
        <v>23.9</v>
      </c>
      <c r="N399" s="95">
        <v>4.5999999999999996</v>
      </c>
      <c r="O399" s="95">
        <v>0.4</v>
      </c>
      <c r="P399" s="95">
        <v>0.2</v>
      </c>
      <c r="Q399" s="95">
        <v>0.1</v>
      </c>
      <c r="R399" s="95">
        <v>0.3</v>
      </c>
      <c r="S399" s="95">
        <v>1.87</v>
      </c>
    </row>
    <row r="400" spans="1:19">
      <c r="A400" s="295">
        <v>45951</v>
      </c>
      <c r="B400" s="243" t="s">
        <v>88</v>
      </c>
      <c r="C400" s="196"/>
      <c r="D400" s="78">
        <v>52</v>
      </c>
      <c r="E400" s="80">
        <v>46.39</v>
      </c>
      <c r="F400" s="80">
        <v>0.43</v>
      </c>
      <c r="G400" s="80">
        <v>129</v>
      </c>
      <c r="H400" s="80">
        <v>0.94</v>
      </c>
      <c r="I400" s="80">
        <v>0.5</v>
      </c>
      <c r="J400" s="80">
        <v>5.7</v>
      </c>
      <c r="K400" s="80">
        <v>20.8</v>
      </c>
      <c r="L400" s="80">
        <v>43.2</v>
      </c>
      <c r="M400" s="80">
        <v>24.8</v>
      </c>
      <c r="N400" s="80">
        <v>4.4000000000000004</v>
      </c>
      <c r="O400" s="80">
        <v>0.3</v>
      </c>
      <c r="P400" s="80">
        <v>0.1</v>
      </c>
      <c r="Q400" s="80">
        <v>0.2</v>
      </c>
      <c r="R400" s="80">
        <v>0.3</v>
      </c>
      <c r="S400" s="80">
        <v>1.86</v>
      </c>
    </row>
    <row r="401" spans="1:19">
      <c r="A401" s="295"/>
      <c r="B401" s="243" t="s">
        <v>89</v>
      </c>
      <c r="C401" s="196"/>
      <c r="D401" s="92">
        <v>44</v>
      </c>
      <c r="E401" s="93">
        <v>46.4</v>
      </c>
      <c r="F401" s="93">
        <v>0.41</v>
      </c>
      <c r="G401" s="93">
        <v>126</v>
      </c>
      <c r="H401" s="93">
        <v>0.92</v>
      </c>
      <c r="I401" s="93">
        <v>0.5</v>
      </c>
      <c r="J401" s="93">
        <v>6.4</v>
      </c>
      <c r="K401" s="93">
        <v>23.6</v>
      </c>
      <c r="L401" s="93">
        <v>41.5</v>
      </c>
      <c r="M401" s="93">
        <v>22.1</v>
      </c>
      <c r="N401" s="93">
        <v>5</v>
      </c>
      <c r="O401" s="93">
        <v>0.5</v>
      </c>
      <c r="P401" s="93">
        <v>0.3</v>
      </c>
      <c r="Q401" s="93">
        <v>0.1</v>
      </c>
      <c r="R401" s="93">
        <v>0.4</v>
      </c>
      <c r="S401" s="93">
        <v>1.87</v>
      </c>
    </row>
    <row r="402" spans="1:19">
      <c r="A402" s="295"/>
      <c r="B402" s="243" t="s">
        <v>90</v>
      </c>
      <c r="C402" s="196"/>
      <c r="D402" s="94">
        <v>40</v>
      </c>
      <c r="E402" s="95">
        <v>46.38</v>
      </c>
      <c r="F402" s="95">
        <v>0.45</v>
      </c>
      <c r="G402" s="95">
        <v>134</v>
      </c>
      <c r="H402" s="95">
        <v>0.93</v>
      </c>
      <c r="I402" s="95">
        <v>0.7</v>
      </c>
      <c r="J402" s="95">
        <v>7.1</v>
      </c>
      <c r="K402" s="95">
        <v>27.2</v>
      </c>
      <c r="L402" s="95">
        <v>42</v>
      </c>
      <c r="M402" s="95">
        <v>19.100000000000001</v>
      </c>
      <c r="N402" s="95">
        <v>3.5</v>
      </c>
      <c r="O402" s="95">
        <v>0.2</v>
      </c>
      <c r="P402" s="95">
        <v>0.1</v>
      </c>
      <c r="Q402" s="95">
        <v>0.1</v>
      </c>
      <c r="R402" s="95">
        <v>0.2</v>
      </c>
      <c r="S402" s="95">
        <v>1.92</v>
      </c>
    </row>
    <row r="403" spans="1:19">
      <c r="A403" s="295">
        <v>45952</v>
      </c>
      <c r="B403" s="243" t="s">
        <v>88</v>
      </c>
      <c r="C403" s="196"/>
      <c r="D403" s="78">
        <v>46</v>
      </c>
      <c r="E403" s="80">
        <v>46.41</v>
      </c>
      <c r="F403" s="80">
        <v>0.39</v>
      </c>
      <c r="G403" s="80">
        <v>130</v>
      </c>
      <c r="H403" s="80">
        <v>0.94</v>
      </c>
      <c r="I403" s="80">
        <v>0.9</v>
      </c>
      <c r="J403" s="80">
        <v>8.3000000000000007</v>
      </c>
      <c r="K403" s="80">
        <v>27.5</v>
      </c>
      <c r="L403" s="80">
        <v>41.1</v>
      </c>
      <c r="M403" s="80">
        <v>18.3</v>
      </c>
      <c r="N403" s="80">
        <v>3.5</v>
      </c>
      <c r="O403" s="80">
        <v>0.2</v>
      </c>
      <c r="P403" s="80">
        <v>0.1</v>
      </c>
      <c r="Q403" s="80">
        <v>0.1</v>
      </c>
      <c r="R403" s="80">
        <v>0.2</v>
      </c>
      <c r="S403" s="80">
        <v>1.93</v>
      </c>
    </row>
    <row r="404" spans="1:19">
      <c r="A404" s="295"/>
      <c r="B404" s="243" t="s">
        <v>89</v>
      </c>
      <c r="C404" s="196"/>
      <c r="D404" s="92">
        <v>45</v>
      </c>
      <c r="E404" s="93">
        <v>46.38</v>
      </c>
      <c r="F404" s="93">
        <v>0.45</v>
      </c>
      <c r="G404" s="93">
        <v>148</v>
      </c>
      <c r="H404" s="93">
        <v>0.95</v>
      </c>
      <c r="I404" s="93">
        <v>0.6</v>
      </c>
      <c r="J404" s="93">
        <v>7.2</v>
      </c>
      <c r="K404" s="93">
        <v>28.6</v>
      </c>
      <c r="L404" s="93">
        <v>42</v>
      </c>
      <c r="M404" s="93">
        <v>18</v>
      </c>
      <c r="N404" s="93">
        <v>3.2</v>
      </c>
      <c r="O404" s="93">
        <v>0.2</v>
      </c>
      <c r="P404" s="93">
        <v>0.1</v>
      </c>
      <c r="Q404" s="93">
        <v>0.1</v>
      </c>
      <c r="R404" s="93">
        <v>0.2</v>
      </c>
      <c r="S404" s="93">
        <v>1.92</v>
      </c>
    </row>
    <row r="405" spans="1:19">
      <c r="A405" s="295"/>
      <c r="B405" s="243" t="s">
        <v>90</v>
      </c>
      <c r="C405" s="196"/>
      <c r="D405" s="94">
        <v>46</v>
      </c>
      <c r="E405" s="95">
        <v>46.38</v>
      </c>
      <c r="F405" s="95">
        <v>0.45</v>
      </c>
      <c r="G405" s="95">
        <v>144</v>
      </c>
      <c r="H405" s="95">
        <v>0.9</v>
      </c>
      <c r="I405" s="95">
        <v>0.6</v>
      </c>
      <c r="J405" s="95">
        <v>7</v>
      </c>
      <c r="K405" s="95">
        <v>26.6</v>
      </c>
      <c r="L405" s="95">
        <v>40.799999999999997</v>
      </c>
      <c r="M405" s="95">
        <v>19.5</v>
      </c>
      <c r="N405" s="95">
        <v>4.5999999999999996</v>
      </c>
      <c r="O405" s="95">
        <v>0.5</v>
      </c>
      <c r="P405" s="95">
        <v>0.3</v>
      </c>
      <c r="Q405" s="95">
        <v>0.1</v>
      </c>
      <c r="R405" s="95">
        <v>0.4</v>
      </c>
      <c r="S405" s="95">
        <v>1.9</v>
      </c>
    </row>
    <row r="406" spans="1:19">
      <c r="A406" s="295">
        <v>45953</v>
      </c>
      <c r="B406" s="243" t="s">
        <v>88</v>
      </c>
      <c r="C406" s="196"/>
      <c r="D406" s="78">
        <v>45</v>
      </c>
      <c r="E406" s="80">
        <v>46.39</v>
      </c>
      <c r="F406" s="80">
        <v>0.43</v>
      </c>
      <c r="G406" s="80">
        <v>136</v>
      </c>
      <c r="H406" s="80">
        <v>0.92</v>
      </c>
      <c r="I406" s="80">
        <v>0.6</v>
      </c>
      <c r="J406" s="80">
        <v>8.5</v>
      </c>
      <c r="K406" s="80">
        <v>29.3</v>
      </c>
      <c r="L406" s="80">
        <v>41.4</v>
      </c>
      <c r="M406" s="80">
        <v>16.7</v>
      </c>
      <c r="N406" s="80">
        <v>2.9</v>
      </c>
      <c r="O406" s="80">
        <v>0.2</v>
      </c>
      <c r="P406" s="80">
        <v>0.2</v>
      </c>
      <c r="Q406" s="80">
        <v>0.2</v>
      </c>
      <c r="R406" s="80">
        <v>0.4</v>
      </c>
      <c r="S406" s="80">
        <v>1.94</v>
      </c>
    </row>
    <row r="407" spans="1:19">
      <c r="A407" s="295"/>
      <c r="B407" s="243" t="s">
        <v>89</v>
      </c>
      <c r="C407" s="196"/>
      <c r="D407" s="92">
        <v>52</v>
      </c>
      <c r="E407" s="93">
        <v>46.4</v>
      </c>
      <c r="F407" s="93">
        <v>0.41</v>
      </c>
      <c r="G407" s="93">
        <v>147</v>
      </c>
      <c r="H407" s="93">
        <v>0.94</v>
      </c>
      <c r="I407" s="93">
        <v>0.4</v>
      </c>
      <c r="J407" s="93">
        <v>6.7</v>
      </c>
      <c r="K407" s="93">
        <v>26</v>
      </c>
      <c r="L407" s="93">
        <v>42.8</v>
      </c>
      <c r="M407" s="93">
        <v>18.899999999999999</v>
      </c>
      <c r="N407" s="93">
        <v>4.5</v>
      </c>
      <c r="O407" s="93">
        <v>0.4</v>
      </c>
      <c r="P407" s="93">
        <v>0.2</v>
      </c>
      <c r="Q407" s="93">
        <v>0.1</v>
      </c>
      <c r="R407" s="93">
        <v>0.3</v>
      </c>
      <c r="S407" s="93">
        <v>1.9</v>
      </c>
    </row>
    <row r="408" spans="1:19">
      <c r="A408" s="295"/>
      <c r="B408" s="243" t="s">
        <v>90</v>
      </c>
      <c r="C408" s="196"/>
      <c r="D408" s="94">
        <v>48</v>
      </c>
      <c r="E408" s="95">
        <v>46.39</v>
      </c>
      <c r="F408" s="95">
        <v>0.42</v>
      </c>
      <c r="G408" s="95">
        <v>128</v>
      </c>
      <c r="H408" s="95">
        <v>0.92</v>
      </c>
      <c r="I408" s="95">
        <v>0.5</v>
      </c>
      <c r="J408" s="95">
        <v>7</v>
      </c>
      <c r="K408" s="95">
        <v>27.2</v>
      </c>
      <c r="L408" s="95">
        <v>41.1</v>
      </c>
      <c r="M408" s="95">
        <v>18.399999999999999</v>
      </c>
      <c r="N408" s="95">
        <v>4.7</v>
      </c>
      <c r="O408" s="95">
        <v>0.6</v>
      </c>
      <c r="P408" s="95">
        <v>0.4</v>
      </c>
      <c r="Q408" s="95">
        <v>0.1</v>
      </c>
      <c r="R408" s="95">
        <v>0.5</v>
      </c>
      <c r="S408" s="95">
        <v>1.9</v>
      </c>
    </row>
    <row r="409" spans="1:19">
      <c r="A409" s="295">
        <v>45954</v>
      </c>
      <c r="B409" s="243" t="s">
        <v>88</v>
      </c>
      <c r="C409" s="196"/>
      <c r="D409" s="78">
        <v>35</v>
      </c>
      <c r="E409" s="80">
        <v>46.39</v>
      </c>
      <c r="F409" s="80">
        <v>0.44</v>
      </c>
      <c r="G409" s="80">
        <v>130</v>
      </c>
      <c r="H409" s="80">
        <v>0.94</v>
      </c>
      <c r="I409" s="80">
        <v>0.5</v>
      </c>
      <c r="J409" s="80">
        <v>6.9</v>
      </c>
      <c r="K409" s="80">
        <v>24.1</v>
      </c>
      <c r="L409" s="80">
        <v>43.1</v>
      </c>
      <c r="M409" s="80">
        <v>20.9</v>
      </c>
      <c r="N409" s="80">
        <v>4.0999999999999996</v>
      </c>
      <c r="O409" s="80">
        <v>0.3</v>
      </c>
      <c r="P409" s="80">
        <v>0.1</v>
      </c>
      <c r="Q409" s="80">
        <v>0.1</v>
      </c>
      <c r="R409" s="80">
        <v>0.2</v>
      </c>
      <c r="S409" s="80">
        <v>1.89</v>
      </c>
    </row>
    <row r="410" spans="1:19">
      <c r="A410" s="295"/>
      <c r="B410" s="243" t="s">
        <v>89</v>
      </c>
      <c r="C410" s="196"/>
      <c r="D410" s="92">
        <v>37</v>
      </c>
      <c r="E410" s="93">
        <v>46.4</v>
      </c>
      <c r="F410" s="93">
        <v>0.42</v>
      </c>
      <c r="G410" s="93">
        <v>124</v>
      </c>
      <c r="H410" s="93">
        <v>0.92</v>
      </c>
      <c r="I410" s="93">
        <v>0.6</v>
      </c>
      <c r="J410" s="93">
        <v>6.9</v>
      </c>
      <c r="K410" s="93">
        <v>24.9</v>
      </c>
      <c r="L410" s="93">
        <v>43.4</v>
      </c>
      <c r="M410" s="93">
        <v>19.600000000000001</v>
      </c>
      <c r="N410" s="93">
        <v>4</v>
      </c>
      <c r="O410" s="93">
        <v>0.4</v>
      </c>
      <c r="P410" s="93">
        <v>0.1</v>
      </c>
      <c r="Q410" s="93">
        <v>0.1</v>
      </c>
      <c r="R410" s="93">
        <v>0.2</v>
      </c>
      <c r="S410" s="93">
        <v>1.9</v>
      </c>
    </row>
    <row r="411" spans="1:19">
      <c r="A411" s="295"/>
      <c r="B411" s="243" t="s">
        <v>90</v>
      </c>
      <c r="C411" s="196"/>
      <c r="D411" s="94">
        <v>34</v>
      </c>
      <c r="E411" s="95">
        <v>46.38</v>
      </c>
      <c r="F411" s="95">
        <v>0.46</v>
      </c>
      <c r="G411" s="95">
        <v>136</v>
      </c>
      <c r="H411" s="95">
        <v>0.95</v>
      </c>
      <c r="I411" s="95">
        <v>0.7</v>
      </c>
      <c r="J411" s="95">
        <v>8.5</v>
      </c>
      <c r="K411" s="95">
        <v>33.1</v>
      </c>
      <c r="L411" s="95">
        <v>39.299999999999997</v>
      </c>
      <c r="M411" s="95">
        <v>15.8</v>
      </c>
      <c r="N411" s="95">
        <v>2.2000000000000002</v>
      </c>
      <c r="O411" s="95">
        <v>0.2</v>
      </c>
      <c r="P411" s="95">
        <v>0.1</v>
      </c>
      <c r="Q411" s="95">
        <v>0.1</v>
      </c>
      <c r="R411" s="95">
        <v>0.2</v>
      </c>
      <c r="S411" s="95">
        <v>1.96</v>
      </c>
    </row>
    <row r="412" spans="1:19">
      <c r="A412" s="295">
        <v>45955</v>
      </c>
      <c r="B412" s="243" t="s">
        <v>88</v>
      </c>
      <c r="C412" s="196"/>
      <c r="D412" s="78">
        <v>37</v>
      </c>
      <c r="E412" s="80">
        <v>46.38</v>
      </c>
      <c r="F412" s="80">
        <v>0.46</v>
      </c>
      <c r="G412" s="80">
        <v>128</v>
      </c>
      <c r="H412" s="80">
        <v>0.97</v>
      </c>
      <c r="I412" s="80">
        <v>0.5</v>
      </c>
      <c r="J412" s="80">
        <v>6.4</v>
      </c>
      <c r="K412" s="80">
        <v>23.8</v>
      </c>
      <c r="L412" s="80">
        <v>43.6</v>
      </c>
      <c r="M412" s="80">
        <v>20.5</v>
      </c>
      <c r="N412" s="80">
        <v>4.5</v>
      </c>
      <c r="O412" s="80">
        <v>0.4</v>
      </c>
      <c r="P412" s="80">
        <v>0.2</v>
      </c>
      <c r="Q412" s="80">
        <v>0.1</v>
      </c>
      <c r="R412" s="80">
        <v>0.3</v>
      </c>
      <c r="S412" s="80">
        <v>1.88</v>
      </c>
    </row>
    <row r="413" spans="1:19">
      <c r="A413" s="295"/>
      <c r="B413" s="243" t="s">
        <v>89</v>
      </c>
      <c r="C413" s="196"/>
      <c r="D413" s="92">
        <v>36</v>
      </c>
      <c r="E413" s="93">
        <v>46.38</v>
      </c>
      <c r="F413" s="93">
        <v>0.45</v>
      </c>
      <c r="G413" s="93">
        <v>130</v>
      </c>
      <c r="H413" s="93">
        <v>0.91</v>
      </c>
      <c r="I413" s="93">
        <v>0.7</v>
      </c>
      <c r="J413" s="93">
        <v>8.8000000000000007</v>
      </c>
      <c r="K413" s="93">
        <v>27.1</v>
      </c>
      <c r="L413" s="93">
        <v>43.6</v>
      </c>
      <c r="M413" s="93">
        <v>16.899999999999999</v>
      </c>
      <c r="N413" s="93">
        <v>2.5</v>
      </c>
      <c r="O413" s="93">
        <v>0.2</v>
      </c>
      <c r="P413" s="93">
        <v>0.1</v>
      </c>
      <c r="Q413" s="93">
        <v>0.1</v>
      </c>
      <c r="R413" s="93">
        <v>0.2</v>
      </c>
      <c r="S413" s="93">
        <v>1.9</v>
      </c>
    </row>
    <row r="414" spans="1:19">
      <c r="A414" s="295"/>
      <c r="B414" s="243" t="s">
        <v>90</v>
      </c>
      <c r="C414" s="196"/>
      <c r="D414" s="94">
        <v>34</v>
      </c>
      <c r="E414" s="95">
        <v>46.38</v>
      </c>
      <c r="F414" s="95">
        <v>0.44</v>
      </c>
      <c r="G414" s="95">
        <v>132</v>
      </c>
      <c r="H414" s="95">
        <v>0.96</v>
      </c>
      <c r="I414" s="95">
        <v>0.7</v>
      </c>
      <c r="J414" s="95">
        <v>7.1</v>
      </c>
      <c r="K414" s="95">
        <v>27.2</v>
      </c>
      <c r="L414" s="95">
        <v>41.9</v>
      </c>
      <c r="M414" s="95">
        <v>19.3</v>
      </c>
      <c r="N414" s="95">
        <v>3.2</v>
      </c>
      <c r="O414" s="95">
        <v>0.3</v>
      </c>
      <c r="P414" s="95">
        <v>0.2</v>
      </c>
      <c r="Q414" s="95">
        <v>0.1</v>
      </c>
      <c r="R414" s="95">
        <v>0.3</v>
      </c>
      <c r="S414" s="95">
        <v>1.91</v>
      </c>
    </row>
    <row r="415" spans="1:19">
      <c r="A415" s="295">
        <v>45956</v>
      </c>
      <c r="B415" s="243" t="s">
        <v>88</v>
      </c>
      <c r="C415" s="196"/>
      <c r="D415" s="78">
        <v>42</v>
      </c>
      <c r="E415" s="80">
        <v>46.39</v>
      </c>
      <c r="F415" s="80">
        <v>0.42</v>
      </c>
      <c r="G415" s="80">
        <v>126</v>
      </c>
      <c r="H415" s="80">
        <v>0.95</v>
      </c>
      <c r="I415" s="215">
        <v>0.4</v>
      </c>
      <c r="J415" s="215">
        <v>5.8</v>
      </c>
      <c r="K415" s="215">
        <v>23.2</v>
      </c>
      <c r="L415" s="215">
        <v>41.1</v>
      </c>
      <c r="M415" s="215">
        <v>22.7</v>
      </c>
      <c r="N415" s="215">
        <v>5.6</v>
      </c>
      <c r="O415" s="215">
        <v>0.7</v>
      </c>
      <c r="P415" s="215">
        <v>0.4</v>
      </c>
      <c r="Q415" s="215">
        <v>0.1</v>
      </c>
      <c r="R415" s="215">
        <v>0.5</v>
      </c>
      <c r="S415" s="216">
        <v>1.86</v>
      </c>
    </row>
    <row r="416" spans="1:19">
      <c r="A416" s="295"/>
      <c r="B416" s="243" t="s">
        <v>89</v>
      </c>
      <c r="C416" s="196"/>
      <c r="D416" s="78">
        <v>35</v>
      </c>
      <c r="E416" s="80">
        <v>46.39</v>
      </c>
      <c r="F416" s="80">
        <v>0.43</v>
      </c>
      <c r="G416" s="80">
        <v>129</v>
      </c>
      <c r="H416" s="80">
        <v>0.93</v>
      </c>
      <c r="I416" s="80">
        <v>0.6</v>
      </c>
      <c r="J416" s="80">
        <v>5.8</v>
      </c>
      <c r="K416" s="80">
        <v>26.6</v>
      </c>
      <c r="L416" s="80">
        <v>43.6</v>
      </c>
      <c r="M416" s="80">
        <v>18.600000000000001</v>
      </c>
      <c r="N416" s="80">
        <v>3.9</v>
      </c>
      <c r="O416" s="80">
        <v>0.5</v>
      </c>
      <c r="P416" s="80">
        <v>0.3</v>
      </c>
      <c r="Q416" s="80">
        <v>0.1</v>
      </c>
      <c r="R416" s="80">
        <v>0.4</v>
      </c>
      <c r="S416" s="80">
        <v>1.9</v>
      </c>
    </row>
    <row r="417" spans="1:20">
      <c r="A417" s="295"/>
      <c r="B417" s="243" t="s">
        <v>90</v>
      </c>
      <c r="C417" s="196"/>
      <c r="D417" s="217">
        <v>40</v>
      </c>
      <c r="E417" s="217">
        <v>46.39</v>
      </c>
      <c r="F417" s="217">
        <v>0.43</v>
      </c>
      <c r="G417" s="217">
        <v>121</v>
      </c>
      <c r="H417" s="217">
        <v>0.94</v>
      </c>
      <c r="I417" s="217">
        <v>0.9</v>
      </c>
      <c r="J417" s="217">
        <v>8.6</v>
      </c>
      <c r="K417" s="217">
        <v>27.4</v>
      </c>
      <c r="L417" s="217">
        <v>46.5</v>
      </c>
      <c r="M417" s="217">
        <v>14.6</v>
      </c>
      <c r="N417" s="217">
        <v>1.7</v>
      </c>
      <c r="O417" s="217">
        <v>0.1</v>
      </c>
      <c r="P417" s="217">
        <v>0.1</v>
      </c>
      <c r="Q417" s="217">
        <v>0.1</v>
      </c>
      <c r="R417" s="217">
        <v>0.2</v>
      </c>
      <c r="S417" s="217">
        <v>1.96</v>
      </c>
    </row>
    <row r="418" spans="1:20">
      <c r="A418" s="295">
        <v>45957</v>
      </c>
      <c r="B418" s="243" t="s">
        <v>88</v>
      </c>
      <c r="C418" s="196"/>
      <c r="D418" s="78">
        <v>36</v>
      </c>
      <c r="E418" s="80">
        <v>46.4</v>
      </c>
      <c r="F418" s="80">
        <v>0.41</v>
      </c>
      <c r="G418" s="80">
        <v>124</v>
      </c>
      <c r="H418" s="80">
        <v>0.92</v>
      </c>
      <c r="I418" s="80">
        <v>0.5</v>
      </c>
      <c r="J418" s="80">
        <v>5.2</v>
      </c>
      <c r="K418" s="80">
        <v>22.7</v>
      </c>
      <c r="L418" s="80">
        <v>43.5</v>
      </c>
      <c r="M418" s="80">
        <v>22.7</v>
      </c>
      <c r="N418" s="122">
        <v>4.8</v>
      </c>
      <c r="O418" s="80">
        <v>0.4</v>
      </c>
      <c r="P418" s="80">
        <v>0.1</v>
      </c>
      <c r="Q418" s="80">
        <v>0.1</v>
      </c>
      <c r="R418" s="80">
        <v>0.2</v>
      </c>
      <c r="S418" s="80">
        <v>1.86</v>
      </c>
    </row>
    <row r="419" spans="1:20">
      <c r="A419" s="295"/>
      <c r="B419" s="243" t="s">
        <v>89</v>
      </c>
      <c r="C419" s="196"/>
      <c r="D419" s="217">
        <v>48</v>
      </c>
      <c r="E419" s="215">
        <v>46.39</v>
      </c>
      <c r="F419" s="215">
        <v>0.43</v>
      </c>
      <c r="G419" s="215">
        <v>128</v>
      </c>
      <c r="H419" s="215">
        <v>0.96</v>
      </c>
      <c r="I419" s="215">
        <v>0.6</v>
      </c>
      <c r="J419" s="215">
        <v>6</v>
      </c>
      <c r="K419" s="215">
        <v>25.7</v>
      </c>
      <c r="L419" s="215">
        <v>43.6</v>
      </c>
      <c r="M419" s="215">
        <v>19</v>
      </c>
      <c r="N419" s="215">
        <v>4.2</v>
      </c>
      <c r="O419" s="215">
        <v>0.5</v>
      </c>
      <c r="P419" s="215">
        <v>0.3</v>
      </c>
      <c r="Q419" s="215">
        <v>0.1</v>
      </c>
      <c r="R419" s="215">
        <v>0.4</v>
      </c>
      <c r="S419" s="215">
        <v>1.89</v>
      </c>
    </row>
    <row r="420" spans="1:20">
      <c r="A420" s="295"/>
      <c r="B420" s="243" t="s">
        <v>90</v>
      </c>
      <c r="C420" s="196"/>
      <c r="D420" s="220">
        <v>42</v>
      </c>
      <c r="E420" s="221">
        <v>46.39</v>
      </c>
      <c r="F420" s="221">
        <v>0.42</v>
      </c>
      <c r="G420" s="221">
        <v>131</v>
      </c>
      <c r="H420" s="221">
        <v>0.94</v>
      </c>
      <c r="I420" s="221">
        <v>0.6</v>
      </c>
      <c r="J420" s="221">
        <v>7.2</v>
      </c>
      <c r="K420" s="221">
        <v>31.5</v>
      </c>
      <c r="L420" s="221">
        <v>41.3</v>
      </c>
      <c r="M420" s="221">
        <v>16.8</v>
      </c>
      <c r="N420" s="221">
        <v>2.2999999999999998</v>
      </c>
      <c r="O420" s="221">
        <v>0.1</v>
      </c>
      <c r="P420" s="221">
        <v>0.1</v>
      </c>
      <c r="Q420" s="221">
        <v>0.1</v>
      </c>
      <c r="R420" s="221">
        <v>0.2</v>
      </c>
      <c r="S420" s="221">
        <v>1.94</v>
      </c>
    </row>
    <row r="421" spans="1:20">
      <c r="A421" s="295">
        <v>45958</v>
      </c>
      <c r="B421" s="243" t="s">
        <v>88</v>
      </c>
      <c r="C421" s="196"/>
      <c r="D421" s="78">
        <v>39</v>
      </c>
      <c r="E421" s="80">
        <v>46.39</v>
      </c>
      <c r="F421" s="80">
        <v>0.44</v>
      </c>
      <c r="G421" s="80">
        <v>122</v>
      </c>
      <c r="H421" s="80">
        <v>0.92</v>
      </c>
      <c r="I421" s="80">
        <v>0.5</v>
      </c>
      <c r="J421" s="80">
        <v>5.6</v>
      </c>
      <c r="K421" s="80">
        <v>25.1</v>
      </c>
      <c r="L421" s="80">
        <v>40.799999999999997</v>
      </c>
      <c r="M421" s="80">
        <v>22.3</v>
      </c>
      <c r="N421" s="80">
        <v>4.7</v>
      </c>
      <c r="O421" s="80">
        <v>0.6</v>
      </c>
      <c r="P421" s="80">
        <v>0.3</v>
      </c>
      <c r="Q421" s="80">
        <v>0.1</v>
      </c>
      <c r="R421" s="80">
        <v>0.4</v>
      </c>
      <c r="S421" s="80">
        <v>1.87</v>
      </c>
    </row>
    <row r="422" spans="1:20">
      <c r="A422" s="295"/>
      <c r="B422" s="243" t="s">
        <v>89</v>
      </c>
      <c r="C422" s="196"/>
      <c r="D422" s="92">
        <v>50</v>
      </c>
      <c r="E422" s="93">
        <v>46.38</v>
      </c>
      <c r="F422" s="93">
        <v>0.46</v>
      </c>
      <c r="G422" s="93">
        <v>132</v>
      </c>
      <c r="H422" s="93">
        <v>0.94</v>
      </c>
      <c r="I422" s="93">
        <v>1.6</v>
      </c>
      <c r="J422" s="93">
        <v>9.6</v>
      </c>
      <c r="K422" s="93">
        <v>25.7</v>
      </c>
      <c r="L422" s="93">
        <v>40.9</v>
      </c>
      <c r="M422" s="93">
        <v>19.3</v>
      </c>
      <c r="N422" s="93">
        <v>2.5</v>
      </c>
      <c r="O422" s="93">
        <v>0.2</v>
      </c>
      <c r="P422" s="93">
        <v>0.1</v>
      </c>
      <c r="Q422" s="93">
        <v>0.1</v>
      </c>
      <c r="R422" s="93">
        <v>0.2</v>
      </c>
      <c r="S422" s="93">
        <v>1.95</v>
      </c>
    </row>
    <row r="423" spans="1:20">
      <c r="A423" s="295"/>
      <c r="B423" s="243" t="s">
        <v>90</v>
      </c>
      <c r="C423" s="196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41" t="s">
        <v>96</v>
      </c>
    </row>
    <row r="424" spans="1:20">
      <c r="A424" s="295">
        <v>45959</v>
      </c>
      <c r="B424" s="243" t="s">
        <v>88</v>
      </c>
      <c r="C424" s="196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</row>
    <row r="425" spans="1:20">
      <c r="A425" s="295"/>
      <c r="B425" s="243" t="s">
        <v>89</v>
      </c>
      <c r="C425" s="196"/>
      <c r="D425" s="78">
        <v>52</v>
      </c>
      <c r="E425" s="80">
        <v>46.34</v>
      </c>
      <c r="F425" s="80">
        <v>0.5</v>
      </c>
      <c r="G425" s="80">
        <v>104</v>
      </c>
      <c r="H425" s="80">
        <v>1.27</v>
      </c>
      <c r="I425" s="80">
        <v>1.4</v>
      </c>
      <c r="J425" s="80">
        <v>7.4</v>
      </c>
      <c r="K425" s="80">
        <v>19.600000000000001</v>
      </c>
      <c r="L425" s="80">
        <v>38.1</v>
      </c>
      <c r="M425" s="80">
        <v>28</v>
      </c>
      <c r="N425" s="80">
        <v>4.8</v>
      </c>
      <c r="O425" s="80">
        <v>0.4</v>
      </c>
      <c r="P425" s="80">
        <v>0.2</v>
      </c>
      <c r="Q425" s="80">
        <v>0.1</v>
      </c>
      <c r="R425" s="80">
        <v>0.3</v>
      </c>
      <c r="S425" s="80">
        <v>1.86</v>
      </c>
    </row>
    <row r="426" spans="1:20">
      <c r="A426" s="295"/>
      <c r="B426" s="243" t="s">
        <v>90</v>
      </c>
      <c r="C426" s="196"/>
      <c r="D426" s="94">
        <v>32</v>
      </c>
      <c r="E426" s="95">
        <v>46.38</v>
      </c>
      <c r="F426" s="95">
        <v>0.47</v>
      </c>
      <c r="G426" s="95">
        <v>110</v>
      </c>
      <c r="H426" s="95">
        <v>0.96</v>
      </c>
      <c r="I426" s="95">
        <v>1.9</v>
      </c>
      <c r="J426" s="95">
        <v>8</v>
      </c>
      <c r="K426" s="95">
        <v>22.9</v>
      </c>
      <c r="L426" s="95">
        <v>40.1</v>
      </c>
      <c r="M426" s="95">
        <v>23.9</v>
      </c>
      <c r="N426" s="95">
        <v>2.7</v>
      </c>
      <c r="O426" s="95">
        <v>0.2</v>
      </c>
      <c r="P426" s="95">
        <v>0.2</v>
      </c>
      <c r="Q426" s="95">
        <v>0.1</v>
      </c>
      <c r="R426" s="95">
        <v>0.3</v>
      </c>
      <c r="S426" s="95">
        <v>1.91</v>
      </c>
    </row>
    <row r="427" spans="1:20">
      <c r="A427" s="295">
        <v>45960</v>
      </c>
      <c r="B427" s="243" t="s">
        <v>88</v>
      </c>
      <c r="C427" s="196"/>
      <c r="D427" s="78">
        <v>36</v>
      </c>
      <c r="E427" s="80">
        <v>46.4</v>
      </c>
      <c r="F427" s="80">
        <v>0.43</v>
      </c>
      <c r="G427" s="80">
        <v>118</v>
      </c>
      <c r="H427" s="80">
        <v>0.9</v>
      </c>
      <c r="I427" s="80">
        <v>1.2</v>
      </c>
      <c r="J427" s="80">
        <v>7.9</v>
      </c>
      <c r="K427" s="80">
        <v>22.6</v>
      </c>
      <c r="L427" s="80">
        <v>41.2</v>
      </c>
      <c r="M427" s="80">
        <v>23.1</v>
      </c>
      <c r="N427" s="80">
        <v>3.2</v>
      </c>
      <c r="O427" s="80">
        <v>0.4</v>
      </c>
      <c r="P427" s="80">
        <v>0.3</v>
      </c>
      <c r="Q427" s="80">
        <v>0.1</v>
      </c>
      <c r="R427" s="80">
        <v>0.4</v>
      </c>
      <c r="S427" s="80">
        <v>1.9</v>
      </c>
    </row>
    <row r="428" spans="1:20">
      <c r="A428" s="295"/>
      <c r="B428" s="243" t="s">
        <v>89</v>
      </c>
      <c r="C428" s="196"/>
      <c r="D428" s="92">
        <v>38</v>
      </c>
      <c r="E428" s="93">
        <v>46.38</v>
      </c>
      <c r="F428" s="93">
        <v>0.46</v>
      </c>
      <c r="G428" s="93">
        <v>130</v>
      </c>
      <c r="H428" s="93">
        <v>0.89</v>
      </c>
      <c r="I428" s="93">
        <v>1.3</v>
      </c>
      <c r="J428" s="93">
        <v>9.3000000000000007</v>
      </c>
      <c r="K428" s="93">
        <v>26.8</v>
      </c>
      <c r="L428" s="93">
        <v>43.6</v>
      </c>
      <c r="M428" s="93">
        <v>17.100000000000001</v>
      </c>
      <c r="N428" s="93">
        <v>1.6</v>
      </c>
      <c r="O428" s="93">
        <v>0.1</v>
      </c>
      <c r="P428" s="93">
        <v>0.1</v>
      </c>
      <c r="Q428" s="93">
        <v>0.1</v>
      </c>
      <c r="R428" s="93">
        <v>0.2</v>
      </c>
      <c r="S428" s="93">
        <v>1.96</v>
      </c>
    </row>
    <row r="429" spans="1:20">
      <c r="A429" s="295"/>
      <c r="B429" s="243" t="s">
        <v>90</v>
      </c>
      <c r="C429" s="196"/>
      <c r="D429" s="94">
        <v>50</v>
      </c>
      <c r="E429" s="95">
        <v>46.39</v>
      </c>
      <c r="F429" s="95">
        <v>0.43</v>
      </c>
      <c r="G429" s="95">
        <v>114</v>
      </c>
      <c r="H429" s="95">
        <v>0.92</v>
      </c>
      <c r="I429" s="95">
        <v>2.2000000000000002</v>
      </c>
      <c r="J429" s="95">
        <v>9.6999999999999993</v>
      </c>
      <c r="K429" s="95">
        <v>28.2</v>
      </c>
      <c r="L429" s="95">
        <v>41.8</v>
      </c>
      <c r="M429" s="95">
        <v>16.100000000000001</v>
      </c>
      <c r="N429" s="95">
        <v>1.6</v>
      </c>
      <c r="O429" s="95">
        <v>0.2</v>
      </c>
      <c r="P429" s="95">
        <v>0.1</v>
      </c>
      <c r="Q429" s="95">
        <v>0.1</v>
      </c>
      <c r="R429" s="95">
        <v>0.2</v>
      </c>
      <c r="S429" s="95">
        <v>1.98</v>
      </c>
    </row>
    <row r="430" spans="1:20">
      <c r="A430" s="295">
        <v>45961</v>
      </c>
      <c r="B430" s="243" t="s">
        <v>88</v>
      </c>
      <c r="C430" s="196"/>
      <c r="D430" s="78">
        <v>40</v>
      </c>
      <c r="E430" s="80">
        <v>46.4</v>
      </c>
      <c r="F430" s="80">
        <v>0.42</v>
      </c>
      <c r="G430" s="80">
        <v>102</v>
      </c>
      <c r="H430" s="80">
        <v>0.96</v>
      </c>
      <c r="I430" s="80">
        <v>1.7</v>
      </c>
      <c r="J430" s="80">
        <v>7.1</v>
      </c>
      <c r="K430" s="80">
        <v>27.2</v>
      </c>
      <c r="L430" s="80">
        <v>41.9</v>
      </c>
      <c r="M430" s="80">
        <v>18.8</v>
      </c>
      <c r="N430" s="80">
        <v>2.7</v>
      </c>
      <c r="O430" s="80">
        <v>0.3</v>
      </c>
      <c r="P430" s="80">
        <v>0.2</v>
      </c>
      <c r="Q430" s="80">
        <v>0.1</v>
      </c>
      <c r="R430" s="80">
        <v>0.3</v>
      </c>
      <c r="S430" s="80">
        <v>1.93</v>
      </c>
    </row>
    <row r="431" spans="1:20">
      <c r="A431" s="295"/>
      <c r="B431" s="243" t="s">
        <v>89</v>
      </c>
      <c r="C431" s="196"/>
      <c r="D431" s="92">
        <v>34</v>
      </c>
      <c r="E431" s="93">
        <v>46.4</v>
      </c>
      <c r="F431" s="93">
        <v>0.4</v>
      </c>
      <c r="G431" s="93">
        <v>106</v>
      </c>
      <c r="H431" s="93">
        <v>0.98</v>
      </c>
      <c r="I431" s="93">
        <v>3.1</v>
      </c>
      <c r="J431" s="93">
        <v>14.4</v>
      </c>
      <c r="K431" s="93">
        <v>30.8</v>
      </c>
      <c r="L431" s="93">
        <v>38.299999999999997</v>
      </c>
      <c r="M431" s="93">
        <v>12</v>
      </c>
      <c r="N431" s="93">
        <v>1.1000000000000001</v>
      </c>
      <c r="O431" s="93">
        <v>0.1</v>
      </c>
      <c r="P431" s="93">
        <v>0.1</v>
      </c>
      <c r="Q431" s="93">
        <v>0.1</v>
      </c>
      <c r="R431" s="93">
        <v>0.2</v>
      </c>
      <c r="S431" s="93">
        <v>2.0499999999999998</v>
      </c>
    </row>
    <row r="432" spans="1:20">
      <c r="A432" s="295"/>
      <c r="B432" s="243" t="s">
        <v>90</v>
      </c>
      <c r="C432" s="196"/>
      <c r="D432" s="94">
        <v>36</v>
      </c>
      <c r="E432" s="95">
        <v>46.39</v>
      </c>
      <c r="F432" s="95">
        <v>0.43</v>
      </c>
      <c r="G432" s="95">
        <v>108</v>
      </c>
      <c r="H432" s="95">
        <v>0.95</v>
      </c>
      <c r="I432" s="95">
        <v>1.6</v>
      </c>
      <c r="J432" s="95">
        <v>9.6</v>
      </c>
      <c r="K432" s="95">
        <v>25.1</v>
      </c>
      <c r="L432" s="95">
        <v>40.9</v>
      </c>
      <c r="M432" s="95">
        <v>20</v>
      </c>
      <c r="N432" s="95">
        <v>1.9</v>
      </c>
      <c r="O432" s="95">
        <v>0.5</v>
      </c>
      <c r="P432" s="95">
        <v>0.3</v>
      </c>
      <c r="Q432" s="95">
        <v>0.1</v>
      </c>
      <c r="R432" s="95">
        <v>0.4</v>
      </c>
      <c r="S432" s="95">
        <v>1.94</v>
      </c>
    </row>
    <row r="433" spans="1:19">
      <c r="A433" s="295">
        <v>45962</v>
      </c>
      <c r="B433" s="243" t="s">
        <v>88</v>
      </c>
      <c r="C433" s="196"/>
      <c r="D433" s="78">
        <v>45</v>
      </c>
      <c r="E433" s="80">
        <v>46.41</v>
      </c>
      <c r="F433" s="80">
        <v>0.4</v>
      </c>
      <c r="G433" s="80">
        <v>114</v>
      </c>
      <c r="H433" s="80">
        <v>0.97</v>
      </c>
      <c r="I433" s="80">
        <v>1.3</v>
      </c>
      <c r="J433" s="80">
        <v>7.8</v>
      </c>
      <c r="K433" s="80">
        <v>25.6</v>
      </c>
      <c r="L433" s="80">
        <v>41.3</v>
      </c>
      <c r="M433" s="80">
        <v>20</v>
      </c>
      <c r="N433" s="80">
        <v>3.1</v>
      </c>
      <c r="O433" s="80">
        <v>0.4</v>
      </c>
      <c r="P433" s="80">
        <v>0.3</v>
      </c>
      <c r="Q433" s="80">
        <v>0.2</v>
      </c>
      <c r="R433" s="80">
        <v>0.5</v>
      </c>
      <c r="S433" s="80">
        <v>1.92</v>
      </c>
    </row>
    <row r="434" spans="1:19">
      <c r="A434" s="295"/>
      <c r="B434" s="243" t="s">
        <v>89</v>
      </c>
      <c r="C434" s="196"/>
      <c r="D434" s="92">
        <v>38</v>
      </c>
      <c r="E434" s="93">
        <v>46.4</v>
      </c>
      <c r="F434" s="93">
        <v>0.41</v>
      </c>
      <c r="G434" s="93">
        <v>108</v>
      </c>
      <c r="H434" s="93">
        <v>0.98</v>
      </c>
      <c r="I434" s="93">
        <v>1.1000000000000001</v>
      </c>
      <c r="J434" s="93">
        <v>7.5</v>
      </c>
      <c r="K434" s="93">
        <v>23.9</v>
      </c>
      <c r="L434" s="93">
        <v>46.2</v>
      </c>
      <c r="M434" s="93">
        <v>18.3</v>
      </c>
      <c r="N434" s="93">
        <v>2.6</v>
      </c>
      <c r="O434" s="93">
        <v>0.2</v>
      </c>
      <c r="P434" s="93">
        <v>0.2</v>
      </c>
      <c r="Q434" s="93">
        <v>0.1</v>
      </c>
      <c r="R434" s="93">
        <v>0.3</v>
      </c>
      <c r="S434" s="93">
        <v>1.92</v>
      </c>
    </row>
    <row r="435" spans="1:19">
      <c r="A435" s="295"/>
      <c r="B435" s="243" t="s">
        <v>90</v>
      </c>
      <c r="C435" s="196"/>
      <c r="D435" s="94">
        <v>46</v>
      </c>
      <c r="E435" s="95">
        <v>46.38</v>
      </c>
      <c r="F435" s="95">
        <v>0.44</v>
      </c>
      <c r="G435" s="95">
        <v>112</v>
      </c>
      <c r="H435" s="95">
        <v>0.96</v>
      </c>
      <c r="I435" s="95">
        <v>1.8</v>
      </c>
      <c r="J435" s="95">
        <v>10.199999999999999</v>
      </c>
      <c r="K435" s="95">
        <v>30.3</v>
      </c>
      <c r="L435" s="95">
        <v>42.3</v>
      </c>
      <c r="M435" s="95">
        <v>13.7</v>
      </c>
      <c r="N435" s="95">
        <v>1.3</v>
      </c>
      <c r="O435" s="95">
        <v>0.2</v>
      </c>
      <c r="P435" s="95">
        <v>0.1</v>
      </c>
      <c r="Q435" s="95">
        <v>0.1</v>
      </c>
      <c r="R435" s="95">
        <v>0.2</v>
      </c>
      <c r="S435" s="95">
        <v>1.99</v>
      </c>
    </row>
    <row r="436" spans="1:19">
      <c r="A436" s="295">
        <v>45963</v>
      </c>
      <c r="B436" s="243" t="s">
        <v>88</v>
      </c>
      <c r="C436" s="196"/>
      <c r="D436" s="78">
        <v>40</v>
      </c>
      <c r="E436" s="80">
        <v>46.39</v>
      </c>
      <c r="F436" s="80">
        <v>0.43</v>
      </c>
      <c r="G436" s="80">
        <v>110</v>
      </c>
      <c r="H436" s="80">
        <v>0.97</v>
      </c>
      <c r="I436" s="80">
        <v>1.1000000000000001</v>
      </c>
      <c r="J436" s="80">
        <v>8.6999999999999993</v>
      </c>
      <c r="K436" s="80">
        <v>29.2</v>
      </c>
      <c r="L436" s="80">
        <v>40.200000000000003</v>
      </c>
      <c r="M436" s="80">
        <v>17.5</v>
      </c>
      <c r="N436" s="80">
        <v>2.7</v>
      </c>
      <c r="O436" s="80">
        <v>0.3</v>
      </c>
      <c r="P436" s="80">
        <v>0.2</v>
      </c>
      <c r="Q436" s="80">
        <v>0.1</v>
      </c>
      <c r="R436" s="80">
        <v>0.3</v>
      </c>
      <c r="S436" s="80">
        <v>1.95</v>
      </c>
    </row>
    <row r="437" spans="1:19">
      <c r="A437" s="295"/>
      <c r="B437" s="243" t="s">
        <v>89</v>
      </c>
      <c r="C437" s="196"/>
      <c r="D437" s="92">
        <v>54</v>
      </c>
      <c r="E437" s="93">
        <v>46.38</v>
      </c>
      <c r="F437" s="93">
        <v>0.44</v>
      </c>
      <c r="G437" s="93">
        <v>106</v>
      </c>
      <c r="H437" s="93">
        <v>0.98</v>
      </c>
      <c r="I437" s="93">
        <v>0.6</v>
      </c>
      <c r="J437" s="93">
        <v>11.2</v>
      </c>
      <c r="K437" s="93">
        <v>28.7</v>
      </c>
      <c r="L437" s="93">
        <v>43.1</v>
      </c>
      <c r="M437" s="93">
        <v>14.4</v>
      </c>
      <c r="N437" s="93">
        <v>1.6</v>
      </c>
      <c r="O437" s="93">
        <v>0.2</v>
      </c>
      <c r="P437" s="93">
        <v>0.1</v>
      </c>
      <c r="Q437" s="93">
        <v>0.1</v>
      </c>
      <c r="R437" s="93">
        <v>0.2</v>
      </c>
      <c r="S437" s="93">
        <v>1.98</v>
      </c>
    </row>
    <row r="438" spans="1:19">
      <c r="A438" s="295"/>
      <c r="B438" s="243" t="s">
        <v>90</v>
      </c>
      <c r="C438" s="196"/>
      <c r="D438" s="94">
        <v>46</v>
      </c>
      <c r="E438" s="95">
        <v>46.38</v>
      </c>
      <c r="F438" s="95">
        <v>0.45</v>
      </c>
      <c r="G438" s="95">
        <v>112</v>
      </c>
      <c r="H438" s="95">
        <v>0.93</v>
      </c>
      <c r="I438" s="95">
        <v>1.1000000000000001</v>
      </c>
      <c r="J438" s="95">
        <v>9.3000000000000007</v>
      </c>
      <c r="K438" s="95">
        <v>29.2</v>
      </c>
      <c r="L438" s="95">
        <v>43</v>
      </c>
      <c r="M438" s="95">
        <v>15.3</v>
      </c>
      <c r="N438" s="95">
        <v>1.7</v>
      </c>
      <c r="O438" s="95">
        <v>0.2</v>
      </c>
      <c r="P438" s="95">
        <v>0.1</v>
      </c>
      <c r="Q438" s="95">
        <v>0.1</v>
      </c>
      <c r="R438" s="95">
        <v>0.2</v>
      </c>
      <c r="S438" s="95">
        <v>1.97</v>
      </c>
    </row>
    <row r="439" spans="1:19">
      <c r="A439" s="295">
        <v>45964</v>
      </c>
      <c r="B439" s="243" t="s">
        <v>88</v>
      </c>
      <c r="C439" s="196"/>
      <c r="D439" s="78">
        <v>51</v>
      </c>
      <c r="E439" s="80">
        <v>46.41</v>
      </c>
      <c r="F439" s="80">
        <v>0.39</v>
      </c>
      <c r="G439" s="80">
        <v>108</v>
      </c>
      <c r="H439" s="80">
        <v>0.98</v>
      </c>
      <c r="I439" s="80">
        <v>1</v>
      </c>
      <c r="J439" s="80">
        <v>8.4</v>
      </c>
      <c r="K439" s="80">
        <v>26.2</v>
      </c>
      <c r="L439" s="80">
        <v>43.3</v>
      </c>
      <c r="M439" s="80">
        <v>17.5</v>
      </c>
      <c r="N439" s="80">
        <v>2.8</v>
      </c>
      <c r="O439" s="80">
        <v>0.4</v>
      </c>
      <c r="P439" s="80">
        <v>0.3</v>
      </c>
      <c r="Q439" s="80">
        <v>0.1</v>
      </c>
      <c r="R439" s="80">
        <v>0.4</v>
      </c>
      <c r="S439" s="80">
        <v>1.93</v>
      </c>
    </row>
    <row r="440" spans="1:19">
      <c r="A440" s="295"/>
      <c r="B440" s="243" t="s">
        <v>89</v>
      </c>
      <c r="C440" s="196"/>
      <c r="D440" s="92">
        <v>36</v>
      </c>
      <c r="E440" s="93">
        <v>46.4</v>
      </c>
      <c r="F440" s="93">
        <v>0.42</v>
      </c>
      <c r="G440" s="93">
        <v>105</v>
      </c>
      <c r="H440" s="93">
        <v>0.97</v>
      </c>
      <c r="I440" s="93">
        <v>1.1000000000000001</v>
      </c>
      <c r="J440" s="93">
        <v>11.4</v>
      </c>
      <c r="K440" s="93">
        <v>31.5</v>
      </c>
      <c r="L440" s="93">
        <v>41.1</v>
      </c>
      <c r="M440" s="93">
        <v>13</v>
      </c>
      <c r="N440" s="93">
        <v>1.6</v>
      </c>
      <c r="O440" s="93">
        <v>0.1</v>
      </c>
      <c r="P440" s="93">
        <v>0.1</v>
      </c>
      <c r="Q440" s="93">
        <v>0.1</v>
      </c>
      <c r="R440" s="93">
        <v>0.2</v>
      </c>
      <c r="S440" s="93">
        <v>2</v>
      </c>
    </row>
    <row r="441" spans="1:19">
      <c r="A441" s="295"/>
      <c r="B441" s="243" t="s">
        <v>90</v>
      </c>
      <c r="C441" s="196"/>
      <c r="D441" s="94">
        <v>43</v>
      </c>
      <c r="E441" s="95">
        <v>46.39</v>
      </c>
      <c r="F441" s="95">
        <v>0.43</v>
      </c>
      <c r="G441" s="95">
        <v>114</v>
      </c>
      <c r="H441" s="95">
        <v>0.94</v>
      </c>
      <c r="I441" s="95">
        <v>0.9</v>
      </c>
      <c r="J441" s="95">
        <v>8.4</v>
      </c>
      <c r="K441" s="95">
        <v>26.4</v>
      </c>
      <c r="L441" s="95">
        <v>41.9</v>
      </c>
      <c r="M441" s="95">
        <v>18.399999999999999</v>
      </c>
      <c r="N441" s="95">
        <v>3.3</v>
      </c>
      <c r="O441" s="95">
        <v>0.4</v>
      </c>
      <c r="P441" s="95">
        <v>0.2</v>
      </c>
      <c r="Q441" s="95">
        <v>0.1</v>
      </c>
      <c r="R441" s="95">
        <v>0.3</v>
      </c>
      <c r="S441" s="95">
        <v>1.93</v>
      </c>
    </row>
    <row r="442" spans="1:19">
      <c r="A442" s="295">
        <v>45965</v>
      </c>
      <c r="B442" s="243" t="s">
        <v>88</v>
      </c>
      <c r="C442" s="196"/>
      <c r="D442" s="78">
        <v>50</v>
      </c>
      <c r="E442" s="80">
        <v>46.39</v>
      </c>
      <c r="F442" s="80">
        <v>0.43</v>
      </c>
      <c r="G442" s="80">
        <v>122</v>
      </c>
      <c r="H442" s="80">
        <v>0.98</v>
      </c>
      <c r="I442" s="80">
        <v>0.8</v>
      </c>
      <c r="J442" s="80">
        <v>8.6999999999999993</v>
      </c>
      <c r="K442" s="80">
        <v>28.1</v>
      </c>
      <c r="L442" s="80">
        <v>43.4</v>
      </c>
      <c r="M442" s="80">
        <v>15.8</v>
      </c>
      <c r="N442" s="80">
        <v>2.7</v>
      </c>
      <c r="O442" s="80">
        <v>0.3</v>
      </c>
      <c r="P442" s="80">
        <v>0.2</v>
      </c>
      <c r="Q442" s="80">
        <v>0.1</v>
      </c>
      <c r="R442" s="80">
        <v>0.3</v>
      </c>
      <c r="S442" s="80">
        <v>1.95</v>
      </c>
    </row>
    <row r="443" spans="1:19">
      <c r="A443" s="295"/>
      <c r="B443" s="243" t="s">
        <v>89</v>
      </c>
      <c r="C443" s="196"/>
      <c r="D443" s="92">
        <v>41</v>
      </c>
      <c r="E443" s="93">
        <v>46.4</v>
      </c>
      <c r="F443" s="93">
        <v>0.41</v>
      </c>
      <c r="G443" s="93">
        <v>126</v>
      </c>
      <c r="H443" s="93">
        <v>0.95</v>
      </c>
      <c r="I443" s="93">
        <v>1.6</v>
      </c>
      <c r="J443" s="93">
        <v>12.1</v>
      </c>
      <c r="K443" s="93">
        <v>33.200000000000003</v>
      </c>
      <c r="L443" s="93">
        <v>38.4</v>
      </c>
      <c r="M443" s="93">
        <v>12.9</v>
      </c>
      <c r="N443" s="93">
        <v>1.4</v>
      </c>
      <c r="O443" s="93">
        <v>0.2</v>
      </c>
      <c r="P443" s="93">
        <v>0.1</v>
      </c>
      <c r="Q443" s="93">
        <v>0.1</v>
      </c>
      <c r="R443" s="93">
        <v>0.2</v>
      </c>
      <c r="S443" s="93">
        <v>2.02</v>
      </c>
    </row>
    <row r="444" spans="1:19">
      <c r="A444" s="295"/>
      <c r="B444" s="243" t="s">
        <v>90</v>
      </c>
      <c r="C444" s="196"/>
      <c r="D444" s="94">
        <v>36</v>
      </c>
      <c r="E444" s="95">
        <v>46.4</v>
      </c>
      <c r="F444" s="95">
        <v>0.4</v>
      </c>
      <c r="G444" s="95">
        <v>118</v>
      </c>
      <c r="H444" s="95">
        <v>0.95</v>
      </c>
      <c r="I444" s="95">
        <v>0.7</v>
      </c>
      <c r="J444" s="95">
        <v>8.9</v>
      </c>
      <c r="K444" s="95">
        <v>27.5</v>
      </c>
      <c r="L444" s="95">
        <v>43.3</v>
      </c>
      <c r="M444" s="95">
        <v>16.3</v>
      </c>
      <c r="N444" s="95">
        <v>2.9</v>
      </c>
      <c r="O444" s="95">
        <v>0.2</v>
      </c>
      <c r="P444" s="95">
        <v>0.1</v>
      </c>
      <c r="Q444" s="95">
        <v>0.1</v>
      </c>
      <c r="R444" s="95">
        <v>0.2</v>
      </c>
      <c r="S444" s="95">
        <v>1.94</v>
      </c>
    </row>
    <row r="445" spans="1:19">
      <c r="A445" s="295">
        <v>45966</v>
      </c>
      <c r="B445" s="243" t="s">
        <v>88</v>
      </c>
      <c r="C445" s="196"/>
      <c r="D445" s="222" t="s">
        <v>97</v>
      </c>
      <c r="E445" s="223" t="s">
        <v>98</v>
      </c>
      <c r="F445" s="223" t="s">
        <v>99</v>
      </c>
      <c r="G445" s="223" t="s">
        <v>100</v>
      </c>
      <c r="H445" s="223" t="s">
        <v>101</v>
      </c>
      <c r="I445" s="223" t="s">
        <v>102</v>
      </c>
      <c r="J445" s="223" t="s">
        <v>103</v>
      </c>
      <c r="K445" s="223" t="s">
        <v>104</v>
      </c>
      <c r="L445" s="223" t="s">
        <v>105</v>
      </c>
      <c r="M445" s="223" t="s">
        <v>106</v>
      </c>
      <c r="N445" s="223" t="s">
        <v>107</v>
      </c>
      <c r="O445" s="223" t="s">
        <v>108</v>
      </c>
      <c r="P445" s="223" t="s">
        <v>109</v>
      </c>
      <c r="Q445" s="223">
        <v>0</v>
      </c>
      <c r="R445" s="223" t="s">
        <v>109</v>
      </c>
      <c r="S445" s="223" t="s">
        <v>110</v>
      </c>
    </row>
    <row r="446" spans="1:19">
      <c r="A446" s="295"/>
      <c r="B446" s="243" t="s">
        <v>89</v>
      </c>
      <c r="C446" s="196"/>
      <c r="D446" s="224">
        <v>29</v>
      </c>
      <c r="E446" s="225">
        <v>46.4</v>
      </c>
      <c r="F446" s="225">
        <v>0.4</v>
      </c>
      <c r="G446" s="225">
        <v>106</v>
      </c>
      <c r="H446" s="225">
        <v>0.95</v>
      </c>
      <c r="I446" s="225">
        <v>4.5999999999999996</v>
      </c>
      <c r="J446" s="225">
        <v>13.6</v>
      </c>
      <c r="K446" s="225">
        <v>26.8</v>
      </c>
      <c r="L446" s="225">
        <v>30.6</v>
      </c>
      <c r="M446" s="225">
        <v>20.6</v>
      </c>
      <c r="N446" s="225">
        <v>3</v>
      </c>
      <c r="O446" s="225">
        <v>0.4</v>
      </c>
      <c r="P446" s="225">
        <v>0.3</v>
      </c>
      <c r="Q446" s="225">
        <v>0.1</v>
      </c>
      <c r="R446" s="225">
        <v>0.4</v>
      </c>
      <c r="S446" s="225">
        <v>2</v>
      </c>
    </row>
    <row r="447" spans="1:19">
      <c r="A447" s="295"/>
      <c r="B447" s="243" t="s">
        <v>90</v>
      </c>
      <c r="C447" s="196"/>
      <c r="D447" s="226">
        <v>50</v>
      </c>
      <c r="E447" s="227">
        <v>46.4</v>
      </c>
      <c r="F447" s="227">
        <v>0.42</v>
      </c>
      <c r="G447" s="227">
        <v>102</v>
      </c>
      <c r="H447" s="227">
        <v>0.96</v>
      </c>
      <c r="I447" s="227">
        <v>3.3</v>
      </c>
      <c r="J447" s="227">
        <v>12.6</v>
      </c>
      <c r="K447" s="227">
        <v>24.8</v>
      </c>
      <c r="L447" s="227">
        <v>30.5</v>
      </c>
      <c r="M447" s="227">
        <v>23.6</v>
      </c>
      <c r="N447" s="227">
        <v>4</v>
      </c>
      <c r="O447" s="227">
        <v>0.6</v>
      </c>
      <c r="P447" s="227">
        <v>0.5</v>
      </c>
      <c r="Q447" s="227">
        <v>0.1</v>
      </c>
      <c r="R447" s="227">
        <v>0.6</v>
      </c>
      <c r="S447" s="227">
        <v>1.95</v>
      </c>
    </row>
    <row r="448" spans="1:19">
      <c r="A448" s="295">
        <v>45967</v>
      </c>
      <c r="B448" s="243" t="s">
        <v>88</v>
      </c>
      <c r="C448" s="196"/>
      <c r="D448" s="78" t="s">
        <v>111</v>
      </c>
      <c r="E448" s="80" t="s">
        <v>112</v>
      </c>
      <c r="F448" s="80" t="s">
        <v>113</v>
      </c>
      <c r="G448" s="80" t="s">
        <v>114</v>
      </c>
      <c r="H448" s="80" t="s">
        <v>115</v>
      </c>
      <c r="I448" s="80" t="s">
        <v>116</v>
      </c>
      <c r="J448" s="80" t="s">
        <v>117</v>
      </c>
      <c r="K448" s="80" t="s">
        <v>118</v>
      </c>
      <c r="L448" s="80" t="s">
        <v>119</v>
      </c>
      <c r="M448" s="80" t="s">
        <v>120</v>
      </c>
      <c r="N448" s="80" t="s">
        <v>121</v>
      </c>
      <c r="O448" s="80" t="s">
        <v>108</v>
      </c>
      <c r="P448" s="80" t="s">
        <v>109</v>
      </c>
      <c r="Q448" s="80" t="s">
        <v>122</v>
      </c>
      <c r="R448" s="80" t="s">
        <v>108</v>
      </c>
      <c r="S448" s="80" t="s">
        <v>123</v>
      </c>
    </row>
    <row r="449" spans="1:19">
      <c r="A449" s="295"/>
      <c r="B449" s="243" t="s">
        <v>89</v>
      </c>
      <c r="C449" s="196"/>
      <c r="D449" s="92">
        <v>51</v>
      </c>
      <c r="E449" s="93">
        <v>46.38</v>
      </c>
      <c r="F449" s="93">
        <v>0.45</v>
      </c>
      <c r="G449" s="93">
        <v>140</v>
      </c>
      <c r="H449" s="93">
        <v>0.93</v>
      </c>
      <c r="I449" s="93">
        <v>11</v>
      </c>
      <c r="J449" s="93">
        <v>23.8</v>
      </c>
      <c r="K449" s="93">
        <v>29.1</v>
      </c>
      <c r="L449" s="93">
        <v>26.7</v>
      </c>
      <c r="M449" s="93">
        <v>8.4</v>
      </c>
      <c r="N449" s="93">
        <v>0.7</v>
      </c>
      <c r="O449" s="93">
        <v>0.1</v>
      </c>
      <c r="P449" s="93">
        <v>0.1</v>
      </c>
      <c r="Q449" s="93">
        <v>0.1</v>
      </c>
      <c r="R449" s="93">
        <v>0.2</v>
      </c>
      <c r="S449" s="93">
        <v>2.2200000000000002</v>
      </c>
    </row>
    <row r="450" spans="1:19">
      <c r="A450" s="295"/>
      <c r="B450" s="243" t="s">
        <v>90</v>
      </c>
      <c r="C450" s="196"/>
      <c r="D450" s="94">
        <v>42</v>
      </c>
      <c r="E450" s="95">
        <v>46.39</v>
      </c>
      <c r="F450" s="95">
        <v>0.43</v>
      </c>
      <c r="G450" s="95">
        <v>136</v>
      </c>
      <c r="H450" s="95">
        <v>0.92</v>
      </c>
      <c r="I450" s="95">
        <v>5.7</v>
      </c>
      <c r="J450" s="95">
        <v>16.7</v>
      </c>
      <c r="K450" s="95">
        <v>26.9</v>
      </c>
      <c r="L450" s="95">
        <v>32.9</v>
      </c>
      <c r="M450" s="95">
        <v>15.2</v>
      </c>
      <c r="N450" s="95">
        <v>2.1</v>
      </c>
      <c r="O450" s="95">
        <v>0.3</v>
      </c>
      <c r="P450" s="95">
        <v>0.1</v>
      </c>
      <c r="Q450" s="95">
        <v>0.1</v>
      </c>
      <c r="R450" s="95">
        <v>0.2</v>
      </c>
      <c r="S450" s="95">
        <v>2.0699999999999998</v>
      </c>
    </row>
    <row r="451" spans="1:19">
      <c r="A451" s="295">
        <v>45968</v>
      </c>
      <c r="B451" s="243" t="s">
        <v>88</v>
      </c>
      <c r="C451" s="196"/>
      <c r="D451" s="78">
        <v>52</v>
      </c>
      <c r="E451" s="80">
        <v>46.4</v>
      </c>
      <c r="F451" s="80">
        <v>0.39</v>
      </c>
      <c r="G451" s="80">
        <v>142</v>
      </c>
      <c r="H451" s="80">
        <v>0.92</v>
      </c>
      <c r="I451" s="80">
        <v>5.4</v>
      </c>
      <c r="J451" s="80">
        <v>18.7</v>
      </c>
      <c r="K451" s="80">
        <v>29.6</v>
      </c>
      <c r="L451" s="80">
        <v>31.5</v>
      </c>
      <c r="M451" s="80">
        <v>13.3</v>
      </c>
      <c r="N451" s="80">
        <v>1.2</v>
      </c>
      <c r="O451" s="80">
        <v>0.1</v>
      </c>
      <c r="P451" s="80">
        <v>0.1</v>
      </c>
      <c r="Q451" s="80">
        <v>0.1</v>
      </c>
      <c r="R451" s="80">
        <v>0.2</v>
      </c>
      <c r="S451" s="80">
        <v>2.1</v>
      </c>
    </row>
    <row r="452" spans="1:19">
      <c r="A452" s="295"/>
      <c r="B452" s="243" t="s">
        <v>89</v>
      </c>
      <c r="C452" s="196"/>
      <c r="D452" s="92">
        <v>46</v>
      </c>
      <c r="E452" s="93">
        <v>46.38</v>
      </c>
      <c r="F452" s="93">
        <v>0.44</v>
      </c>
      <c r="G452" s="93">
        <v>144</v>
      </c>
      <c r="H452" s="93">
        <v>0.94</v>
      </c>
      <c r="I452" s="93">
        <v>4.8</v>
      </c>
      <c r="J452" s="93">
        <v>16.600000000000001</v>
      </c>
      <c r="K452" s="93">
        <v>27.4</v>
      </c>
      <c r="L452" s="93">
        <v>33.700000000000003</v>
      </c>
      <c r="M452" s="93">
        <v>15.3</v>
      </c>
      <c r="N452" s="93">
        <v>1.8</v>
      </c>
      <c r="O452" s="93">
        <v>0.2</v>
      </c>
      <c r="P452" s="93">
        <v>0.1</v>
      </c>
      <c r="Q452" s="93">
        <v>0.1</v>
      </c>
      <c r="R452" s="93">
        <v>0.2</v>
      </c>
      <c r="S452" s="93">
        <v>2.06</v>
      </c>
    </row>
    <row r="453" spans="1:19">
      <c r="A453" s="295"/>
      <c r="B453" s="243" t="s">
        <v>90</v>
      </c>
      <c r="C453" s="196"/>
      <c r="D453" s="94">
        <v>44</v>
      </c>
      <c r="E453" s="95">
        <v>46.4</v>
      </c>
      <c r="F453" s="95">
        <v>0.41</v>
      </c>
      <c r="G453" s="95">
        <v>138</v>
      </c>
      <c r="H453" s="95">
        <v>0.93</v>
      </c>
      <c r="I453" s="95">
        <v>6.4</v>
      </c>
      <c r="J453" s="95">
        <v>16.2</v>
      </c>
      <c r="K453" s="95">
        <v>26.7</v>
      </c>
      <c r="L453" s="95">
        <v>32.700000000000003</v>
      </c>
      <c r="M453" s="95">
        <v>15.3</v>
      </c>
      <c r="N453" s="95">
        <v>2</v>
      </c>
      <c r="O453" s="95">
        <v>0.3</v>
      </c>
      <c r="P453" s="95">
        <v>0.2</v>
      </c>
      <c r="Q453" s="95">
        <v>0.2</v>
      </c>
      <c r="R453" s="95">
        <v>0.4</v>
      </c>
      <c r="S453" s="95">
        <v>2.0699999999999998</v>
      </c>
    </row>
    <row r="454" spans="1:19">
      <c r="A454" s="295">
        <v>45969</v>
      </c>
      <c r="B454" s="243" t="s">
        <v>88</v>
      </c>
      <c r="C454" s="196"/>
      <c r="D454" s="78">
        <v>53</v>
      </c>
      <c r="E454" s="80">
        <v>46.41</v>
      </c>
      <c r="F454" s="80">
        <v>0.4</v>
      </c>
      <c r="G454" s="80">
        <v>140</v>
      </c>
      <c r="H454" s="80">
        <v>0.9</v>
      </c>
      <c r="I454" s="80">
        <v>6.2</v>
      </c>
      <c r="J454" s="80">
        <v>17.2</v>
      </c>
      <c r="K454" s="80">
        <v>27.8</v>
      </c>
      <c r="L454" s="80">
        <v>32</v>
      </c>
      <c r="M454" s="80">
        <v>14.6</v>
      </c>
      <c r="N454" s="80">
        <v>1.7</v>
      </c>
      <c r="O454" s="80">
        <v>0.2</v>
      </c>
      <c r="P454" s="80">
        <v>0.2</v>
      </c>
      <c r="Q454" s="80">
        <v>0.1</v>
      </c>
      <c r="R454" s="80">
        <v>0.3</v>
      </c>
      <c r="S454" s="80">
        <v>2.08</v>
      </c>
    </row>
    <row r="455" spans="1:19">
      <c r="A455" s="295"/>
      <c r="B455" s="243" t="s">
        <v>89</v>
      </c>
      <c r="C455" s="196"/>
      <c r="D455" s="92">
        <v>60</v>
      </c>
      <c r="E455" s="93">
        <v>46.4</v>
      </c>
      <c r="F455" s="93">
        <v>0.39</v>
      </c>
      <c r="G455" s="93">
        <v>134</v>
      </c>
      <c r="H455" s="93">
        <v>0.92</v>
      </c>
      <c r="I455" s="93">
        <v>8.6999999999999993</v>
      </c>
      <c r="J455" s="93">
        <v>21.7</v>
      </c>
      <c r="K455" s="93">
        <v>31.4</v>
      </c>
      <c r="L455" s="93">
        <v>26.5</v>
      </c>
      <c r="M455" s="93">
        <v>10.5</v>
      </c>
      <c r="N455" s="93">
        <v>0.9</v>
      </c>
      <c r="O455" s="93">
        <v>0.1</v>
      </c>
      <c r="P455" s="93">
        <v>0.1</v>
      </c>
      <c r="Q455" s="93">
        <v>0.1</v>
      </c>
      <c r="R455" s="93">
        <v>0.2</v>
      </c>
      <c r="S455" s="93">
        <v>2.1800000000000002</v>
      </c>
    </row>
    <row r="456" spans="1:19">
      <c r="A456" s="295"/>
      <c r="B456" s="243" t="s">
        <v>90</v>
      </c>
      <c r="C456" s="196"/>
      <c r="D456" s="94">
        <v>47</v>
      </c>
      <c r="E456" s="95">
        <v>46.39</v>
      </c>
      <c r="F456" s="95">
        <v>0.41</v>
      </c>
      <c r="G456" s="95">
        <v>182</v>
      </c>
      <c r="H456" s="95">
        <v>0.97</v>
      </c>
      <c r="I456" s="95">
        <v>9.6999999999999993</v>
      </c>
      <c r="J456" s="95">
        <v>22.4</v>
      </c>
      <c r="K456" s="95">
        <v>30</v>
      </c>
      <c r="L456" s="95">
        <v>26.9</v>
      </c>
      <c r="M456" s="95">
        <v>9.6</v>
      </c>
      <c r="N456" s="95">
        <v>0.9</v>
      </c>
      <c r="O456" s="95">
        <v>0.4</v>
      </c>
      <c r="P456" s="95">
        <v>0.1</v>
      </c>
      <c r="Q456" s="95">
        <v>0</v>
      </c>
      <c r="R456" s="95">
        <v>0.1</v>
      </c>
      <c r="S456" s="95">
        <v>2.19</v>
      </c>
    </row>
    <row r="457" spans="1:19">
      <c r="A457" s="295">
        <v>45970</v>
      </c>
      <c r="B457" s="243" t="s">
        <v>88</v>
      </c>
      <c r="C457" s="196"/>
      <c r="D457" s="228">
        <v>48</v>
      </c>
      <c r="E457" s="228">
        <v>46.41</v>
      </c>
      <c r="F457" s="228">
        <v>0.38</v>
      </c>
      <c r="G457" s="228">
        <v>148</v>
      </c>
      <c r="H457" s="228">
        <v>0.92</v>
      </c>
      <c r="I457" s="228">
        <v>5</v>
      </c>
      <c r="J457" s="228">
        <v>14.7</v>
      </c>
      <c r="K457" s="228">
        <v>26.2</v>
      </c>
      <c r="L457" s="228">
        <v>33.9</v>
      </c>
      <c r="M457" s="228">
        <v>17.100000000000001</v>
      </c>
      <c r="N457" s="228">
        <v>2.5</v>
      </c>
      <c r="O457" s="228">
        <v>0.3</v>
      </c>
      <c r="P457" s="228">
        <v>0.2</v>
      </c>
      <c r="Q457" s="228">
        <v>0.1</v>
      </c>
      <c r="R457" s="228">
        <v>0.3</v>
      </c>
      <c r="S457" s="228">
        <v>2.0299999999999998</v>
      </c>
    </row>
    <row r="458" spans="1:19">
      <c r="A458" s="295"/>
      <c r="B458" s="243" t="s">
        <v>89</v>
      </c>
      <c r="C458" s="196"/>
      <c r="D458" s="228">
        <v>44</v>
      </c>
      <c r="E458" s="228">
        <v>46.4</v>
      </c>
      <c r="F458" s="228">
        <v>0.39</v>
      </c>
      <c r="G458" s="228">
        <v>136</v>
      </c>
      <c r="H458" s="228">
        <v>0.96</v>
      </c>
      <c r="I458" s="228">
        <v>6</v>
      </c>
      <c r="J458" s="228">
        <v>18.100000000000001</v>
      </c>
      <c r="K458" s="228">
        <v>29.1</v>
      </c>
      <c r="L458" s="228">
        <v>33.700000000000003</v>
      </c>
      <c r="M458" s="228">
        <v>11.8</v>
      </c>
      <c r="N458" s="228">
        <v>1.1000000000000001</v>
      </c>
      <c r="O458" s="228">
        <v>0.1</v>
      </c>
      <c r="P458" s="228">
        <v>0.1</v>
      </c>
      <c r="Q458" s="228">
        <v>0</v>
      </c>
      <c r="R458" s="228">
        <v>0.1</v>
      </c>
      <c r="S458" s="228">
        <v>2.11</v>
      </c>
    </row>
    <row r="459" spans="1:19">
      <c r="A459" s="295"/>
      <c r="B459" s="243" t="s">
        <v>90</v>
      </c>
      <c r="C459" s="196"/>
      <c r="D459" s="228">
        <v>45</v>
      </c>
      <c r="E459" s="228">
        <v>46.39</v>
      </c>
      <c r="F459" s="228">
        <v>0.42</v>
      </c>
      <c r="G459" s="228">
        <v>140</v>
      </c>
      <c r="H459" s="228">
        <v>0.95</v>
      </c>
      <c r="I459" s="228">
        <v>5.5</v>
      </c>
      <c r="J459" s="228">
        <v>15.2</v>
      </c>
      <c r="K459" s="228">
        <v>28.2</v>
      </c>
      <c r="L459" s="228">
        <v>32</v>
      </c>
      <c r="M459" s="228">
        <v>16.399999999999999</v>
      </c>
      <c r="N459" s="228">
        <v>2.2000000000000002</v>
      </c>
      <c r="O459" s="228">
        <v>0.3</v>
      </c>
      <c r="P459" s="228">
        <v>0.2</v>
      </c>
      <c r="Q459" s="228">
        <v>0.1</v>
      </c>
      <c r="R459" s="228">
        <v>0.3</v>
      </c>
      <c r="S459" s="228">
        <v>2.0499999999999998</v>
      </c>
    </row>
    <row r="460" spans="1:19">
      <c r="A460" s="295">
        <v>45971</v>
      </c>
      <c r="B460" s="243" t="s">
        <v>88</v>
      </c>
      <c r="C460" s="196"/>
      <c r="D460" s="78">
        <v>54</v>
      </c>
      <c r="E460" s="80">
        <v>46.43</v>
      </c>
      <c r="F460" s="80">
        <v>0.35</v>
      </c>
      <c r="G460" s="80">
        <v>146</v>
      </c>
      <c r="H460" s="80">
        <v>0.92</v>
      </c>
      <c r="I460" s="80">
        <v>8.4</v>
      </c>
      <c r="J460" s="80">
        <v>20.7</v>
      </c>
      <c r="K460" s="80">
        <v>29.6</v>
      </c>
      <c r="L460" s="80">
        <v>28.7</v>
      </c>
      <c r="M460" s="80">
        <v>11.2</v>
      </c>
      <c r="N460" s="80">
        <v>1</v>
      </c>
      <c r="O460" s="80">
        <v>0.2</v>
      </c>
      <c r="P460" s="80">
        <v>0.1</v>
      </c>
      <c r="Q460" s="80">
        <v>0.1</v>
      </c>
      <c r="R460" s="80">
        <v>0.2</v>
      </c>
      <c r="S460" s="80">
        <v>2.16</v>
      </c>
    </row>
    <row r="461" spans="1:19">
      <c r="A461" s="295"/>
      <c r="B461" s="243" t="s">
        <v>89</v>
      </c>
      <c r="C461" s="196"/>
      <c r="D461" s="92">
        <v>50</v>
      </c>
      <c r="E461" s="93">
        <v>46.42</v>
      </c>
      <c r="F461" s="93">
        <v>0.37</v>
      </c>
      <c r="G461" s="93">
        <v>134</v>
      </c>
      <c r="H461" s="93">
        <v>0.94</v>
      </c>
      <c r="I461" s="93">
        <v>4.5</v>
      </c>
      <c r="J461" s="93">
        <v>14.9</v>
      </c>
      <c r="K461" s="93">
        <v>25.9</v>
      </c>
      <c r="L461" s="93">
        <v>34</v>
      </c>
      <c r="M461" s="93">
        <v>17.3</v>
      </c>
      <c r="N461" s="93">
        <v>2.6</v>
      </c>
      <c r="O461" s="93">
        <v>0.4</v>
      </c>
      <c r="P461" s="93">
        <v>0.3</v>
      </c>
      <c r="Q461" s="93">
        <v>0.1</v>
      </c>
      <c r="R461" s="93">
        <v>0.4</v>
      </c>
      <c r="S461" s="93">
        <v>2.02</v>
      </c>
    </row>
    <row r="462" spans="1:19">
      <c r="A462" s="295"/>
      <c r="B462" s="243" t="s">
        <v>90</v>
      </c>
      <c r="C462" s="196"/>
      <c r="D462" s="94">
        <v>46</v>
      </c>
      <c r="E462" s="95">
        <v>46.43</v>
      </c>
      <c r="F462" s="95">
        <v>0.35</v>
      </c>
      <c r="G462" s="95">
        <v>130</v>
      </c>
      <c r="H462" s="95">
        <v>0.95</v>
      </c>
      <c r="I462" s="95">
        <v>7.3</v>
      </c>
      <c r="J462" s="95">
        <v>15.8</v>
      </c>
      <c r="K462" s="95">
        <v>27.6</v>
      </c>
      <c r="L462" s="95">
        <v>30.9</v>
      </c>
      <c r="M462" s="95">
        <v>15.6</v>
      </c>
      <c r="N462" s="95">
        <v>2.2000000000000002</v>
      </c>
      <c r="O462" s="95">
        <v>0.3</v>
      </c>
      <c r="P462" s="95">
        <v>0.2</v>
      </c>
      <c r="Q462" s="95">
        <v>0.1</v>
      </c>
      <c r="R462" s="95">
        <v>0.3</v>
      </c>
      <c r="S462" s="95">
        <v>2.08</v>
      </c>
    </row>
    <row r="463" spans="1:19">
      <c r="A463" s="295">
        <v>45972</v>
      </c>
      <c r="B463" s="243" t="s">
        <v>88</v>
      </c>
      <c r="C463" s="196"/>
      <c r="D463" s="78">
        <v>50</v>
      </c>
      <c r="E463" s="80">
        <v>46.43</v>
      </c>
      <c r="F463" s="80">
        <v>0.36</v>
      </c>
      <c r="G463" s="80">
        <v>136</v>
      </c>
      <c r="H463" s="80">
        <v>0.93</v>
      </c>
      <c r="I463" s="80">
        <v>3.9</v>
      </c>
      <c r="J463" s="80">
        <v>14.7</v>
      </c>
      <c r="K463" s="80">
        <v>29.7</v>
      </c>
      <c r="L463" s="80">
        <v>33</v>
      </c>
      <c r="M463" s="80">
        <v>16.2</v>
      </c>
      <c r="N463" s="80">
        <v>2.1</v>
      </c>
      <c r="O463" s="80">
        <v>0.2</v>
      </c>
      <c r="P463" s="80">
        <v>0.1</v>
      </c>
      <c r="Q463" s="80">
        <v>0.1</v>
      </c>
      <c r="R463" s="80">
        <v>0.2</v>
      </c>
      <c r="S463" s="80">
        <v>2.04</v>
      </c>
    </row>
    <row r="464" spans="1:19">
      <c r="A464" s="295"/>
      <c r="B464" s="243" t="s">
        <v>89</v>
      </c>
      <c r="C464" s="196"/>
      <c r="D464" s="92">
        <v>47</v>
      </c>
      <c r="E464" s="93">
        <v>46.43</v>
      </c>
      <c r="F464" s="93">
        <v>0.35</v>
      </c>
      <c r="G464" s="93">
        <v>132</v>
      </c>
      <c r="H464" s="93">
        <v>0.94</v>
      </c>
      <c r="I464" s="93">
        <v>6.3</v>
      </c>
      <c r="J464" s="93">
        <v>17.5</v>
      </c>
      <c r="K464" s="93">
        <v>26.9</v>
      </c>
      <c r="L464" s="93">
        <v>31.6</v>
      </c>
      <c r="M464" s="93">
        <v>14.6</v>
      </c>
      <c r="N464" s="93">
        <v>2.2999999999999998</v>
      </c>
      <c r="O464" s="93">
        <v>0.4</v>
      </c>
      <c r="P464" s="93">
        <v>0.3</v>
      </c>
      <c r="Q464" s="93">
        <v>0.1</v>
      </c>
      <c r="R464" s="93">
        <v>0.4</v>
      </c>
      <c r="S464" s="93">
        <v>2.08</v>
      </c>
    </row>
    <row r="465" spans="1:20">
      <c r="A465" s="295"/>
      <c r="B465" s="243" t="s">
        <v>90</v>
      </c>
      <c r="C465" s="196"/>
      <c r="D465" s="94">
        <v>44</v>
      </c>
      <c r="E465" s="95">
        <v>46.43</v>
      </c>
      <c r="F465" s="95">
        <v>0.35</v>
      </c>
      <c r="G465" s="95">
        <v>128</v>
      </c>
      <c r="H465" s="95">
        <v>0.95</v>
      </c>
      <c r="I465" s="95">
        <v>8</v>
      </c>
      <c r="J465" s="95">
        <v>16.899999999999999</v>
      </c>
      <c r="K465" s="95">
        <v>28.9</v>
      </c>
      <c r="L465" s="95">
        <v>29.3</v>
      </c>
      <c r="M465" s="95">
        <v>14.3</v>
      </c>
      <c r="N465" s="95">
        <v>2</v>
      </c>
      <c r="O465" s="95">
        <v>0.3</v>
      </c>
      <c r="P465" s="95">
        <v>0.2</v>
      </c>
      <c r="Q465" s="95">
        <v>0.1</v>
      </c>
      <c r="R465" s="95">
        <v>0.3</v>
      </c>
      <c r="S465" s="95">
        <v>2.1</v>
      </c>
    </row>
    <row r="466" spans="1:20">
      <c r="A466" s="295">
        <v>45973</v>
      </c>
      <c r="B466" s="243" t="s">
        <v>88</v>
      </c>
      <c r="C466" s="196"/>
      <c r="D466" s="78">
        <v>42</v>
      </c>
      <c r="E466" s="80">
        <v>46.42</v>
      </c>
      <c r="F466" s="80">
        <v>0.37</v>
      </c>
      <c r="G466" s="80">
        <v>131</v>
      </c>
      <c r="H466" s="80">
        <v>0.94</v>
      </c>
      <c r="I466" s="80">
        <v>6.2</v>
      </c>
      <c r="J466" s="80">
        <v>15.9</v>
      </c>
      <c r="K466" s="80">
        <v>26.8</v>
      </c>
      <c r="L466" s="80">
        <v>34.799999999999997</v>
      </c>
      <c r="M466" s="80">
        <v>14.1</v>
      </c>
      <c r="N466" s="80">
        <v>2</v>
      </c>
      <c r="O466" s="80">
        <v>0.2</v>
      </c>
      <c r="P466" s="80">
        <v>0.1</v>
      </c>
      <c r="Q466" s="80">
        <v>0.1</v>
      </c>
      <c r="R466" s="80">
        <v>0.2</v>
      </c>
      <c r="S466" s="80">
        <v>2.0699999999999998</v>
      </c>
    </row>
    <row r="467" spans="1:20">
      <c r="A467" s="295"/>
      <c r="B467" s="243" t="s">
        <v>89</v>
      </c>
      <c r="C467" s="196"/>
      <c r="D467" s="92">
        <v>45</v>
      </c>
      <c r="E467" s="93">
        <v>46.43</v>
      </c>
      <c r="F467" s="93">
        <v>0.36</v>
      </c>
      <c r="G467" s="93">
        <v>128</v>
      </c>
      <c r="H467" s="93">
        <v>0.93</v>
      </c>
      <c r="I467" s="93">
        <v>7.8</v>
      </c>
      <c r="J467" s="93">
        <v>19</v>
      </c>
      <c r="K467" s="93">
        <v>28.1</v>
      </c>
      <c r="L467" s="93">
        <v>31.8</v>
      </c>
      <c r="M467" s="93">
        <v>11.8</v>
      </c>
      <c r="N467" s="93">
        <v>1.2</v>
      </c>
      <c r="O467" s="93">
        <v>0.2</v>
      </c>
      <c r="P467" s="93">
        <v>0.1</v>
      </c>
      <c r="Q467" s="93">
        <v>0</v>
      </c>
      <c r="R467" s="93">
        <v>0.1</v>
      </c>
      <c r="S467" s="93">
        <v>2.13</v>
      </c>
    </row>
    <row r="468" spans="1:20">
      <c r="A468" s="295"/>
      <c r="B468" s="243" t="s">
        <v>90</v>
      </c>
      <c r="C468" s="196"/>
      <c r="D468" s="94">
        <v>41</v>
      </c>
      <c r="E468" s="95">
        <v>46.43</v>
      </c>
      <c r="F468" s="95">
        <v>0.35</v>
      </c>
      <c r="G468" s="95">
        <v>138</v>
      </c>
      <c r="H468" s="95">
        <v>0.94</v>
      </c>
      <c r="I468" s="95">
        <v>6.4</v>
      </c>
      <c r="J468" s="95">
        <v>15.3</v>
      </c>
      <c r="K468" s="95">
        <v>27.7</v>
      </c>
      <c r="L468" s="95">
        <v>30.7</v>
      </c>
      <c r="M468" s="95">
        <v>16.5</v>
      </c>
      <c r="N468" s="95">
        <v>2.6</v>
      </c>
      <c r="O468" s="95">
        <v>0.4</v>
      </c>
      <c r="P468" s="95">
        <v>0.3</v>
      </c>
      <c r="Q468" s="95">
        <v>0.1</v>
      </c>
      <c r="R468" s="95">
        <v>0.4</v>
      </c>
      <c r="S468" s="95">
        <v>2.06</v>
      </c>
    </row>
    <row r="469" spans="1:20">
      <c r="A469" s="295">
        <v>45974</v>
      </c>
      <c r="B469" s="243" t="s">
        <v>88</v>
      </c>
      <c r="C469" s="196"/>
      <c r="D469" s="78">
        <v>0</v>
      </c>
      <c r="E469" s="80">
        <v>0</v>
      </c>
      <c r="F469" s="80">
        <v>0</v>
      </c>
      <c r="G469" s="125" t="s">
        <v>48</v>
      </c>
      <c r="H469" s="125" t="s">
        <v>48</v>
      </c>
      <c r="I469" s="125" t="s">
        <v>48</v>
      </c>
      <c r="J469" s="125" t="s">
        <v>48</v>
      </c>
      <c r="K469" s="125" t="s">
        <v>48</v>
      </c>
      <c r="L469" s="125" t="s">
        <v>48</v>
      </c>
      <c r="M469" s="125" t="s">
        <v>48</v>
      </c>
      <c r="N469" s="125" t="s">
        <v>48</v>
      </c>
      <c r="O469" s="125" t="s">
        <v>48</v>
      </c>
      <c r="P469" s="125" t="s">
        <v>48</v>
      </c>
      <c r="Q469" s="125" t="s">
        <v>48</v>
      </c>
      <c r="R469" s="125" t="s">
        <v>48</v>
      </c>
      <c r="S469" s="125" t="s">
        <v>48</v>
      </c>
    </row>
    <row r="470" spans="1:20">
      <c r="A470" s="295"/>
      <c r="B470" s="243" t="s">
        <v>89</v>
      </c>
      <c r="C470" s="196"/>
      <c r="D470" s="92">
        <v>43</v>
      </c>
      <c r="E470" s="93">
        <v>46.43</v>
      </c>
      <c r="F470" s="93">
        <v>0.35</v>
      </c>
      <c r="G470" s="93">
        <v>132</v>
      </c>
      <c r="H470" s="93">
        <v>0.92</v>
      </c>
      <c r="I470" s="93">
        <v>2.2000000000000002</v>
      </c>
      <c r="J470" s="93">
        <v>11.8</v>
      </c>
      <c r="K470" s="93">
        <v>31.1</v>
      </c>
      <c r="L470" s="93">
        <v>37.1</v>
      </c>
      <c r="M470" s="93">
        <v>15.2</v>
      </c>
      <c r="N470" s="93">
        <v>2</v>
      </c>
      <c r="O470" s="93">
        <v>0.3</v>
      </c>
      <c r="P470" s="93">
        <v>0.2</v>
      </c>
      <c r="Q470" s="93">
        <v>0.1</v>
      </c>
      <c r="R470" s="93">
        <v>0.3</v>
      </c>
      <c r="S470" s="93">
        <v>2</v>
      </c>
    </row>
    <row r="471" spans="1:20">
      <c r="A471" s="295"/>
      <c r="B471" s="243" t="s">
        <v>90</v>
      </c>
      <c r="C471" s="196"/>
      <c r="D471" s="94">
        <v>44</v>
      </c>
      <c r="E471" s="95">
        <v>46.44</v>
      </c>
      <c r="F471" s="95">
        <v>0.32</v>
      </c>
      <c r="G471" s="95">
        <v>138</v>
      </c>
      <c r="H471" s="95">
        <v>0.93</v>
      </c>
      <c r="I471" s="95">
        <v>1</v>
      </c>
      <c r="J471" s="95">
        <v>9.8000000000000007</v>
      </c>
      <c r="K471" s="95">
        <v>31.5</v>
      </c>
      <c r="L471" s="95">
        <v>41.6</v>
      </c>
      <c r="M471" s="95">
        <v>13.4</v>
      </c>
      <c r="N471" s="95">
        <v>2.1</v>
      </c>
      <c r="O471" s="95">
        <v>0.3</v>
      </c>
      <c r="P471" s="95">
        <v>0.2</v>
      </c>
      <c r="Q471" s="95">
        <v>0.1</v>
      </c>
      <c r="R471" s="95">
        <v>0.3</v>
      </c>
      <c r="S471" s="95">
        <v>1.98</v>
      </c>
    </row>
    <row r="472" spans="1:20">
      <c r="A472" s="295">
        <v>45975</v>
      </c>
      <c r="B472" s="243" t="s">
        <v>88</v>
      </c>
      <c r="C472" s="196"/>
      <c r="D472" s="78">
        <v>46</v>
      </c>
      <c r="E472" s="80">
        <v>46.45</v>
      </c>
      <c r="F472" s="80">
        <v>0.3</v>
      </c>
      <c r="G472" s="80">
        <v>120</v>
      </c>
      <c r="H472" s="80">
        <v>0.94</v>
      </c>
      <c r="I472" s="80">
        <v>1</v>
      </c>
      <c r="J472" s="80">
        <v>9.5</v>
      </c>
      <c r="K472" s="80">
        <v>27.8</v>
      </c>
      <c r="L472" s="80">
        <v>42.9</v>
      </c>
      <c r="M472" s="80">
        <v>16.399999999999999</v>
      </c>
      <c r="N472" s="80">
        <v>2</v>
      </c>
      <c r="O472" s="80">
        <v>0.2</v>
      </c>
      <c r="P472" s="80">
        <v>0.1</v>
      </c>
      <c r="Q472" s="80">
        <v>0.1</v>
      </c>
      <c r="R472" s="80">
        <v>0.2</v>
      </c>
      <c r="S472" s="80">
        <v>1.96</v>
      </c>
    </row>
    <row r="473" spans="1:20">
      <c r="A473" s="295"/>
      <c r="B473" s="243" t="s">
        <v>89</v>
      </c>
      <c r="C473" s="196"/>
      <c r="D473" s="92">
        <v>40</v>
      </c>
      <c r="E473" s="93">
        <v>46.43</v>
      </c>
      <c r="F473" s="93">
        <v>0.33</v>
      </c>
      <c r="G473" s="93">
        <v>128</v>
      </c>
      <c r="H473" s="93">
        <v>0.91</v>
      </c>
      <c r="I473" s="93">
        <v>1.1000000000000001</v>
      </c>
      <c r="J473" s="93">
        <v>8.6999999999999993</v>
      </c>
      <c r="K473" s="93">
        <v>26.4</v>
      </c>
      <c r="L473" s="93">
        <v>43.5</v>
      </c>
      <c r="M473" s="93">
        <v>17.100000000000001</v>
      </c>
      <c r="N473" s="93">
        <v>2.6</v>
      </c>
      <c r="O473" s="93">
        <v>0.3</v>
      </c>
      <c r="P473" s="93">
        <v>0.2</v>
      </c>
      <c r="Q473" s="93">
        <v>0.1</v>
      </c>
      <c r="R473" s="93">
        <v>0.3</v>
      </c>
      <c r="S473" s="93">
        <v>1.94</v>
      </c>
    </row>
    <row r="474" spans="1:20">
      <c r="A474" s="295"/>
      <c r="B474" s="243" t="s">
        <v>90</v>
      </c>
      <c r="C474" s="196"/>
      <c r="D474" s="94">
        <v>45</v>
      </c>
      <c r="E474" s="95">
        <v>46.44</v>
      </c>
      <c r="F474" s="95">
        <v>0.31</v>
      </c>
      <c r="G474" s="95">
        <v>124</v>
      </c>
      <c r="H474" s="95">
        <v>0.92</v>
      </c>
      <c r="I474" s="95">
        <v>1</v>
      </c>
      <c r="J474" s="95">
        <v>9.5</v>
      </c>
      <c r="K474" s="95">
        <v>27.8</v>
      </c>
      <c r="L474" s="95">
        <v>42.9</v>
      </c>
      <c r="M474" s="95">
        <v>16.399999999999999</v>
      </c>
      <c r="N474" s="95">
        <v>2</v>
      </c>
      <c r="O474" s="95">
        <v>0.2</v>
      </c>
      <c r="P474" s="95">
        <v>0.1</v>
      </c>
      <c r="Q474" s="95">
        <v>0.1</v>
      </c>
      <c r="R474" s="95">
        <v>0.2</v>
      </c>
      <c r="S474" s="95">
        <v>1.96</v>
      </c>
    </row>
    <row r="475" spans="1:20">
      <c r="A475" s="295">
        <v>45976</v>
      </c>
      <c r="B475" s="243" t="s">
        <v>88</v>
      </c>
      <c r="C475" s="196">
        <v>110</v>
      </c>
      <c r="D475" s="222">
        <v>41</v>
      </c>
      <c r="E475" s="223">
        <v>46.44</v>
      </c>
      <c r="F475" s="223">
        <v>0.32</v>
      </c>
      <c r="G475" s="223">
        <v>118</v>
      </c>
      <c r="H475" s="223">
        <v>0.88</v>
      </c>
      <c r="I475" s="223">
        <v>0.7</v>
      </c>
      <c r="J475" s="223">
        <v>8.3000000000000007</v>
      </c>
      <c r="K475" s="223">
        <v>29.4</v>
      </c>
      <c r="L475" s="223">
        <v>40.6</v>
      </c>
      <c r="M475" s="223">
        <v>17.399999999999999</v>
      </c>
      <c r="N475" s="223">
        <v>2.8</v>
      </c>
      <c r="O475" s="223">
        <v>0.4</v>
      </c>
      <c r="P475" s="223">
        <v>0.3</v>
      </c>
      <c r="Q475" s="223">
        <v>0.1</v>
      </c>
      <c r="R475" s="223">
        <v>0.4</v>
      </c>
      <c r="S475" s="223">
        <v>1.94</v>
      </c>
    </row>
    <row r="476" spans="1:20">
      <c r="A476" s="295"/>
      <c r="B476" s="243" t="s">
        <v>89</v>
      </c>
      <c r="C476" s="196">
        <v>110</v>
      </c>
      <c r="D476" s="222">
        <v>44</v>
      </c>
      <c r="E476" s="223">
        <v>46.45</v>
      </c>
      <c r="F476" s="223">
        <v>0.3</v>
      </c>
      <c r="G476" s="223">
        <v>136</v>
      </c>
      <c r="H476" s="223">
        <v>0.94</v>
      </c>
      <c r="I476" s="223">
        <v>0.8</v>
      </c>
      <c r="J476" s="223">
        <v>9.6</v>
      </c>
      <c r="K476" s="223">
        <v>32.9</v>
      </c>
      <c r="L476" s="223">
        <v>40.4</v>
      </c>
      <c r="M476" s="223">
        <v>13.6</v>
      </c>
      <c r="N476" s="223">
        <v>2.1</v>
      </c>
      <c r="O476" s="223">
        <v>0.3</v>
      </c>
      <c r="P476" s="223">
        <v>0.2</v>
      </c>
      <c r="Q476" s="223">
        <v>0.1</v>
      </c>
      <c r="R476" s="223">
        <v>0.3</v>
      </c>
      <c r="S476" s="223">
        <v>1.98</v>
      </c>
    </row>
    <row r="477" spans="1:20">
      <c r="A477" s="295"/>
      <c r="B477" s="243" t="s">
        <v>90</v>
      </c>
      <c r="C477" s="196">
        <v>110</v>
      </c>
      <c r="D477" s="226">
        <v>42</v>
      </c>
      <c r="E477" s="227">
        <v>46.45</v>
      </c>
      <c r="F477" s="227">
        <v>0.3</v>
      </c>
      <c r="G477" s="227">
        <v>132</v>
      </c>
      <c r="H477" s="227">
        <v>0.95</v>
      </c>
      <c r="I477" s="227">
        <v>0.6</v>
      </c>
      <c r="J477" s="227">
        <v>8.6</v>
      </c>
      <c r="K477" s="227">
        <v>29.7</v>
      </c>
      <c r="L477" s="227">
        <v>42.6</v>
      </c>
      <c r="M477" s="227">
        <v>16</v>
      </c>
      <c r="N477" s="227">
        <v>2.1</v>
      </c>
      <c r="O477" s="227">
        <v>0.2</v>
      </c>
      <c r="P477" s="227">
        <v>0.1</v>
      </c>
      <c r="Q477" s="227">
        <v>0.1</v>
      </c>
      <c r="R477" s="227">
        <v>0.2</v>
      </c>
      <c r="S477" s="227">
        <v>1.95</v>
      </c>
    </row>
    <row r="478" spans="1:20">
      <c r="A478" s="295">
        <v>45977</v>
      </c>
      <c r="B478" s="243" t="s">
        <v>88</v>
      </c>
      <c r="C478" s="196">
        <v>110</v>
      </c>
      <c r="D478" s="78">
        <v>32</v>
      </c>
      <c r="E478" s="80">
        <v>46.45</v>
      </c>
      <c r="F478" s="80">
        <v>0.31</v>
      </c>
      <c r="G478" s="80">
        <v>130</v>
      </c>
      <c r="H478" s="80">
        <v>0.93</v>
      </c>
      <c r="I478" s="80">
        <v>0.8</v>
      </c>
      <c r="J478" s="80">
        <v>9.3000000000000007</v>
      </c>
      <c r="K478" s="80">
        <v>30.5</v>
      </c>
      <c r="L478" s="80">
        <v>42.6</v>
      </c>
      <c r="M478" s="80">
        <v>14.6</v>
      </c>
      <c r="N478" s="80">
        <v>1.8</v>
      </c>
      <c r="O478" s="80">
        <v>0.2</v>
      </c>
      <c r="P478" s="80">
        <v>0.1</v>
      </c>
      <c r="Q478" s="80">
        <v>0.1</v>
      </c>
      <c r="R478" s="80">
        <v>0.2</v>
      </c>
      <c r="S478" s="80">
        <v>1.93</v>
      </c>
      <c r="T478" s="241" t="s">
        <v>124</v>
      </c>
    </row>
    <row r="479" spans="1:20">
      <c r="A479" s="295"/>
      <c r="B479" s="243" t="s">
        <v>89</v>
      </c>
      <c r="C479" s="196"/>
      <c r="D479" s="92">
        <v>33</v>
      </c>
      <c r="E479" s="93">
        <v>46.45</v>
      </c>
      <c r="F479" s="93">
        <v>0.28999999999999998</v>
      </c>
      <c r="G479" s="93">
        <v>128</v>
      </c>
      <c r="H479" s="93">
        <v>0.95</v>
      </c>
      <c r="I479" s="93">
        <v>1</v>
      </c>
      <c r="J479" s="93">
        <v>10</v>
      </c>
      <c r="K479" s="93">
        <v>36</v>
      </c>
      <c r="L479" s="93">
        <v>39</v>
      </c>
      <c r="M479" s="93">
        <v>12.2</v>
      </c>
      <c r="N479" s="93">
        <v>1.5</v>
      </c>
      <c r="O479" s="93">
        <v>0.1</v>
      </c>
      <c r="P479" s="93">
        <v>0.1</v>
      </c>
      <c r="Q479" s="93">
        <v>0.1</v>
      </c>
      <c r="R479" s="93">
        <v>0.2</v>
      </c>
      <c r="S479" s="93">
        <v>2</v>
      </c>
    </row>
    <row r="480" spans="1:20">
      <c r="A480" s="295"/>
      <c r="B480" s="243" t="s">
        <v>90</v>
      </c>
      <c r="C480" s="196"/>
      <c r="D480" s="94">
        <v>46</v>
      </c>
      <c r="E480" s="95">
        <v>46.44</v>
      </c>
      <c r="F480" s="95">
        <v>0.34</v>
      </c>
      <c r="G480" s="95">
        <v>142</v>
      </c>
      <c r="H480" s="95">
        <v>0.92</v>
      </c>
      <c r="I480" s="95">
        <v>0.8</v>
      </c>
      <c r="J480" s="95">
        <v>9.6</v>
      </c>
      <c r="K480" s="95">
        <v>31.8</v>
      </c>
      <c r="L480" s="95">
        <v>39</v>
      </c>
      <c r="M480" s="95">
        <v>15.4</v>
      </c>
      <c r="N480" s="95">
        <v>2.8</v>
      </c>
      <c r="O480" s="95">
        <v>0.3</v>
      </c>
      <c r="P480" s="95">
        <v>0.2</v>
      </c>
      <c r="Q480" s="95">
        <v>0.1</v>
      </c>
      <c r="R480" s="95">
        <v>0.3</v>
      </c>
      <c r="S480" s="95">
        <v>1.96</v>
      </c>
    </row>
    <row r="481" spans="1:20">
      <c r="A481" s="295">
        <v>45978</v>
      </c>
      <c r="B481" s="243" t="s">
        <v>88</v>
      </c>
      <c r="C481" s="196"/>
      <c r="D481" s="78">
        <v>30</v>
      </c>
      <c r="E481" s="80">
        <v>46.43</v>
      </c>
      <c r="F481" s="80">
        <v>0.35</v>
      </c>
      <c r="G481" s="80">
        <v>138</v>
      </c>
      <c r="H481" s="80">
        <v>0.94</v>
      </c>
      <c r="I481" s="80">
        <v>0.7</v>
      </c>
      <c r="J481" s="80">
        <v>8.6999999999999993</v>
      </c>
      <c r="K481" s="80">
        <v>28.9</v>
      </c>
      <c r="L481" s="80">
        <v>42.5</v>
      </c>
      <c r="M481" s="80">
        <v>15.6</v>
      </c>
      <c r="N481" s="80">
        <v>3.1</v>
      </c>
      <c r="O481" s="80">
        <v>0.3</v>
      </c>
      <c r="P481" s="80">
        <v>0.2</v>
      </c>
      <c r="Q481" s="80">
        <v>0</v>
      </c>
      <c r="R481" s="80">
        <v>0.2</v>
      </c>
      <c r="S481" s="80">
        <v>1.95</v>
      </c>
    </row>
    <row r="482" spans="1:20">
      <c r="A482" s="295"/>
      <c r="B482" s="243" t="s">
        <v>89</v>
      </c>
      <c r="C482" s="196"/>
      <c r="D482" s="92">
        <v>42</v>
      </c>
      <c r="E482" s="93">
        <v>46.44</v>
      </c>
      <c r="F482" s="93">
        <v>0.34</v>
      </c>
      <c r="G482" s="93">
        <v>130</v>
      </c>
      <c r="H482" s="93">
        <v>0.93</v>
      </c>
      <c r="I482" s="93">
        <v>0.8</v>
      </c>
      <c r="J482" s="93">
        <v>8.9</v>
      </c>
      <c r="K482" s="93">
        <v>27.3</v>
      </c>
      <c r="L482" s="93">
        <v>42</v>
      </c>
      <c r="M482" s="93">
        <v>17.2</v>
      </c>
      <c r="N482" s="93">
        <v>3.1</v>
      </c>
      <c r="O482" s="93">
        <v>0.4</v>
      </c>
      <c r="P482" s="93">
        <v>0.2</v>
      </c>
      <c r="Q482" s="93">
        <v>0.1</v>
      </c>
      <c r="R482" s="93">
        <v>0.3</v>
      </c>
      <c r="S482" s="93">
        <v>1.94</v>
      </c>
    </row>
    <row r="483" spans="1:20">
      <c r="A483" s="295"/>
      <c r="B483" s="243" t="s">
        <v>90</v>
      </c>
      <c r="C483" s="196"/>
      <c r="D483" s="94">
        <v>45</v>
      </c>
      <c r="E483" s="95">
        <v>46.43</v>
      </c>
      <c r="F483" s="95">
        <v>0.34</v>
      </c>
      <c r="G483" s="95">
        <v>134</v>
      </c>
      <c r="H483" s="95">
        <v>0.94</v>
      </c>
      <c r="I483" s="95">
        <v>0.7</v>
      </c>
      <c r="J483" s="95">
        <v>9.1999999999999993</v>
      </c>
      <c r="K483" s="95">
        <v>29.6</v>
      </c>
      <c r="L483" s="95">
        <v>42.4</v>
      </c>
      <c r="M483" s="95">
        <v>16</v>
      </c>
      <c r="N483" s="95">
        <v>2</v>
      </c>
      <c r="O483" s="95">
        <v>0.1</v>
      </c>
      <c r="P483" s="95">
        <v>0.1</v>
      </c>
      <c r="Q483" s="95">
        <v>0.1</v>
      </c>
      <c r="R483" s="95">
        <v>0.2</v>
      </c>
      <c r="S483" s="95">
        <v>1.96</v>
      </c>
    </row>
    <row r="484" spans="1:20">
      <c r="A484" s="295">
        <v>45979</v>
      </c>
      <c r="B484" s="243" t="s">
        <v>88</v>
      </c>
      <c r="C484" s="196"/>
      <c r="D484" s="78">
        <v>39</v>
      </c>
      <c r="E484" s="80">
        <v>46.44</v>
      </c>
      <c r="F484" s="80">
        <v>0.32</v>
      </c>
      <c r="G484" s="80">
        <v>136</v>
      </c>
      <c r="H484" s="80">
        <v>0.93</v>
      </c>
      <c r="I484" s="80">
        <v>0.5</v>
      </c>
      <c r="J484" s="80">
        <v>9.1999999999999993</v>
      </c>
      <c r="K484" s="80">
        <v>27.8</v>
      </c>
      <c r="L484" s="80">
        <v>41.4</v>
      </c>
      <c r="M484" s="80">
        <v>18</v>
      </c>
      <c r="N484" s="80">
        <v>2.8</v>
      </c>
      <c r="O484" s="80">
        <v>0.2</v>
      </c>
      <c r="P484" s="80">
        <v>0.1</v>
      </c>
      <c r="Q484" s="80">
        <v>0</v>
      </c>
      <c r="R484" s="80">
        <v>0.1</v>
      </c>
      <c r="S484" s="80">
        <v>1.94</v>
      </c>
    </row>
    <row r="485" spans="1:20">
      <c r="A485" s="295"/>
      <c r="B485" s="243" t="s">
        <v>89</v>
      </c>
      <c r="C485" s="196"/>
      <c r="D485" s="92">
        <v>31</v>
      </c>
      <c r="E485" s="93">
        <v>46.45</v>
      </c>
      <c r="F485" s="93">
        <v>0.3</v>
      </c>
      <c r="G485" s="93">
        <v>128</v>
      </c>
      <c r="H485" s="93">
        <v>0.95</v>
      </c>
      <c r="I485" s="93">
        <v>0.7</v>
      </c>
      <c r="J485" s="93">
        <v>8.6</v>
      </c>
      <c r="K485" s="93">
        <v>32.6</v>
      </c>
      <c r="L485" s="93">
        <v>37.700000000000003</v>
      </c>
      <c r="M485" s="93">
        <v>16.600000000000001</v>
      </c>
      <c r="N485" s="93">
        <v>2.9</v>
      </c>
      <c r="O485" s="93">
        <v>0.4</v>
      </c>
      <c r="P485" s="93">
        <v>0.3</v>
      </c>
      <c r="Q485" s="93">
        <v>0.2</v>
      </c>
      <c r="R485" s="93">
        <v>0.5</v>
      </c>
      <c r="S485" s="93">
        <v>1.95</v>
      </c>
    </row>
    <row r="486" spans="1:20">
      <c r="A486" s="295"/>
      <c r="B486" s="243" t="s">
        <v>90</v>
      </c>
      <c r="C486" s="196"/>
      <c r="D486" s="94">
        <v>0</v>
      </c>
      <c r="E486" s="95">
        <v>0</v>
      </c>
      <c r="F486" s="95">
        <v>0</v>
      </c>
      <c r="G486" s="229" t="s">
        <v>48</v>
      </c>
      <c r="H486" s="229" t="s">
        <v>48</v>
      </c>
      <c r="I486" s="229" t="s">
        <v>48</v>
      </c>
      <c r="J486" s="229" t="s">
        <v>48</v>
      </c>
      <c r="K486" s="229" t="s">
        <v>48</v>
      </c>
      <c r="L486" s="229" t="s">
        <v>48</v>
      </c>
      <c r="M486" s="229" t="s">
        <v>48</v>
      </c>
      <c r="N486" s="229" t="s">
        <v>48</v>
      </c>
      <c r="O486" s="229" t="s">
        <v>48</v>
      </c>
      <c r="P486" s="229" t="s">
        <v>48</v>
      </c>
      <c r="Q486" s="229" t="s">
        <v>48</v>
      </c>
      <c r="R486" s="229" t="s">
        <v>48</v>
      </c>
      <c r="S486" s="229" t="s">
        <v>48</v>
      </c>
    </row>
    <row r="487" spans="1:20">
      <c r="A487" s="295">
        <v>45980</v>
      </c>
      <c r="B487" s="243" t="s">
        <v>88</v>
      </c>
      <c r="C487" s="196" t="s">
        <v>125</v>
      </c>
      <c r="D487" s="78">
        <v>38</v>
      </c>
      <c r="E487" s="80">
        <v>46.44</v>
      </c>
      <c r="F487" s="80">
        <v>0.34</v>
      </c>
      <c r="G487" s="80">
        <v>134</v>
      </c>
      <c r="H487" s="80">
        <v>0.96</v>
      </c>
      <c r="I487" s="80">
        <v>0.7</v>
      </c>
      <c r="J487" s="80">
        <v>6.5</v>
      </c>
      <c r="K487" s="80">
        <v>24.3</v>
      </c>
      <c r="L487" s="80">
        <v>47.5</v>
      </c>
      <c r="M487" s="80">
        <v>17.399999999999999</v>
      </c>
      <c r="N487" s="80">
        <v>3.1</v>
      </c>
      <c r="O487" s="80">
        <v>0.3</v>
      </c>
      <c r="P487" s="80">
        <v>0.1</v>
      </c>
      <c r="Q487" s="80">
        <v>0.1</v>
      </c>
      <c r="R487" s="80">
        <v>0.2</v>
      </c>
      <c r="S487" s="80">
        <v>1.91</v>
      </c>
    </row>
    <row r="488" spans="1:20">
      <c r="A488" s="295"/>
      <c r="B488" s="243" t="s">
        <v>89</v>
      </c>
      <c r="C488" s="196" t="s">
        <v>126</v>
      </c>
      <c r="D488" s="92">
        <v>52</v>
      </c>
      <c r="E488" s="93">
        <v>46.44</v>
      </c>
      <c r="F488" s="93">
        <v>0.31</v>
      </c>
      <c r="G488" s="93">
        <v>130</v>
      </c>
      <c r="H488" s="93">
        <v>0.96</v>
      </c>
      <c r="I488" s="93">
        <v>0.7</v>
      </c>
      <c r="J488" s="93">
        <v>11.3</v>
      </c>
      <c r="K488" s="93">
        <v>31</v>
      </c>
      <c r="L488" s="93">
        <v>37.1</v>
      </c>
      <c r="M488" s="93">
        <v>17.5</v>
      </c>
      <c r="N488" s="93">
        <v>1.9</v>
      </c>
      <c r="O488" s="93">
        <v>0.1</v>
      </c>
      <c r="P488" s="93">
        <v>0.1</v>
      </c>
      <c r="Q488" s="93">
        <v>0.1</v>
      </c>
      <c r="R488" s="93">
        <v>0.2</v>
      </c>
      <c r="S488" s="93">
        <v>1.98</v>
      </c>
    </row>
    <row r="489" spans="1:20">
      <c r="A489" s="295"/>
      <c r="B489" s="243" t="s">
        <v>90</v>
      </c>
      <c r="C489" s="196" t="s">
        <v>127</v>
      </c>
      <c r="D489" s="94">
        <v>43</v>
      </c>
      <c r="E489" s="95">
        <v>46.44</v>
      </c>
      <c r="F489" s="95">
        <v>0.32</v>
      </c>
      <c r="G489" s="95">
        <v>126</v>
      </c>
      <c r="H489" s="95">
        <v>0.94</v>
      </c>
      <c r="I489" s="95">
        <v>8.4</v>
      </c>
      <c r="J489" s="95">
        <v>8.4</v>
      </c>
      <c r="K489" s="95">
        <v>29.7</v>
      </c>
      <c r="L489" s="95">
        <v>37.9</v>
      </c>
      <c r="M489" s="95">
        <v>18.899999999999999</v>
      </c>
      <c r="N489" s="95">
        <v>3.6</v>
      </c>
      <c r="O489" s="95">
        <v>0.4</v>
      </c>
      <c r="P489" s="95">
        <v>0.3</v>
      </c>
      <c r="Q489" s="95">
        <v>0.1</v>
      </c>
      <c r="R489" s="95">
        <v>0.4</v>
      </c>
      <c r="S489" s="95">
        <v>1.93</v>
      </c>
      <c r="T489" s="241" t="s">
        <v>128</v>
      </c>
    </row>
    <row r="490" spans="1:20">
      <c r="A490" s="295">
        <v>45981</v>
      </c>
      <c r="B490" s="243" t="s">
        <v>88</v>
      </c>
      <c r="C490" s="196" t="s">
        <v>129</v>
      </c>
      <c r="D490" s="78">
        <v>45</v>
      </c>
      <c r="E490" s="80">
        <v>46.45</v>
      </c>
      <c r="F490" s="80">
        <v>0.31</v>
      </c>
      <c r="G490" s="80">
        <v>132</v>
      </c>
      <c r="H490" s="80">
        <v>0.94</v>
      </c>
      <c r="I490" s="80">
        <v>0.6</v>
      </c>
      <c r="J490" s="80">
        <v>9.1999999999999993</v>
      </c>
      <c r="K490" s="80">
        <v>8.9</v>
      </c>
      <c r="L490" s="80">
        <v>40.700000000000003</v>
      </c>
      <c r="M490" s="80">
        <v>15.8</v>
      </c>
      <c r="N490" s="80">
        <v>2.6</v>
      </c>
      <c r="O490" s="80">
        <v>0.2</v>
      </c>
      <c r="P490" s="80">
        <v>0.1</v>
      </c>
      <c r="Q490" s="80">
        <v>0.1</v>
      </c>
      <c r="R490" s="80">
        <v>0.2</v>
      </c>
      <c r="S490" s="80">
        <v>1.96</v>
      </c>
      <c r="T490" s="241" t="s">
        <v>128</v>
      </c>
    </row>
    <row r="491" spans="1:20">
      <c r="A491" s="295"/>
      <c r="B491" s="243" t="s">
        <v>89</v>
      </c>
      <c r="C491" s="196" t="s">
        <v>130</v>
      </c>
      <c r="D491" s="92">
        <v>32</v>
      </c>
      <c r="E491" s="93">
        <v>46.45</v>
      </c>
      <c r="F491" s="93">
        <v>0.28999999999999998</v>
      </c>
      <c r="G491" s="93">
        <v>138</v>
      </c>
      <c r="H491" s="93">
        <v>0.97</v>
      </c>
      <c r="I491" s="93">
        <v>0.8</v>
      </c>
      <c r="J491" s="93">
        <v>7.9</v>
      </c>
      <c r="K491" s="93">
        <v>26.7</v>
      </c>
      <c r="L491" s="93">
        <v>40.799999999999997</v>
      </c>
      <c r="M491" s="93">
        <v>18.899999999999999</v>
      </c>
      <c r="N491" s="93">
        <v>4.0999999999999996</v>
      </c>
      <c r="O491" s="93">
        <v>0.4</v>
      </c>
      <c r="P491" s="93">
        <v>0.3</v>
      </c>
      <c r="Q491" s="93">
        <v>0.1</v>
      </c>
      <c r="R491" s="93">
        <v>0.4</v>
      </c>
      <c r="S491" s="93">
        <v>1.91</v>
      </c>
    </row>
    <row r="492" spans="1:20">
      <c r="A492" s="295"/>
      <c r="B492" s="243" t="s">
        <v>90</v>
      </c>
      <c r="C492" s="196"/>
      <c r="D492" s="94">
        <v>34</v>
      </c>
      <c r="E492" s="95">
        <v>46.44</v>
      </c>
      <c r="F492" s="95">
        <v>0.32</v>
      </c>
      <c r="G492" s="95">
        <v>134</v>
      </c>
      <c r="H492" s="95">
        <v>0.95</v>
      </c>
      <c r="I492" s="95">
        <v>0.6</v>
      </c>
      <c r="J492" s="229" t="s">
        <v>48</v>
      </c>
      <c r="K492" s="95">
        <v>27.3</v>
      </c>
      <c r="L492" s="95">
        <v>41.6</v>
      </c>
      <c r="M492" s="95">
        <v>17.899999999999999</v>
      </c>
      <c r="N492" s="95">
        <v>3.2</v>
      </c>
      <c r="O492" s="95">
        <v>0.2</v>
      </c>
      <c r="P492" s="95">
        <v>0.2</v>
      </c>
      <c r="Q492" s="95">
        <v>0.1</v>
      </c>
      <c r="R492" s="95">
        <v>0.3</v>
      </c>
      <c r="S492" s="95">
        <v>1.93</v>
      </c>
    </row>
    <row r="493" spans="1:20">
      <c r="A493" s="295">
        <v>45982</v>
      </c>
      <c r="B493" s="243" t="s">
        <v>88</v>
      </c>
      <c r="C493" s="196"/>
      <c r="D493" s="78">
        <v>39</v>
      </c>
      <c r="E493" s="80">
        <v>46.45</v>
      </c>
      <c r="F493" s="80">
        <v>0.31</v>
      </c>
      <c r="G493" s="80">
        <v>126</v>
      </c>
      <c r="H493" s="80">
        <v>0.93</v>
      </c>
      <c r="I493" s="80">
        <v>0.4</v>
      </c>
      <c r="J493" s="80">
        <v>8.5</v>
      </c>
      <c r="K493" s="80">
        <v>26.8</v>
      </c>
      <c r="L493" s="80">
        <v>40.200000000000003</v>
      </c>
      <c r="M493" s="80">
        <v>20.2</v>
      </c>
      <c r="N493" s="80">
        <v>3.4</v>
      </c>
      <c r="O493" s="80">
        <v>0.3</v>
      </c>
      <c r="P493" s="80">
        <v>0.1</v>
      </c>
      <c r="Q493" s="80">
        <v>0.1</v>
      </c>
      <c r="R493" s="80">
        <v>0.2</v>
      </c>
      <c r="S493" s="80">
        <v>1.92</v>
      </c>
    </row>
    <row r="494" spans="1:20">
      <c r="A494" s="295"/>
      <c r="B494" s="243" t="s">
        <v>89</v>
      </c>
      <c r="C494" s="196"/>
      <c r="D494" s="92">
        <v>46</v>
      </c>
      <c r="E494" s="93">
        <v>46.43</v>
      </c>
      <c r="F494" s="93">
        <v>0.35</v>
      </c>
      <c r="G494" s="93">
        <v>136</v>
      </c>
      <c r="H494" s="93">
        <v>0.92</v>
      </c>
      <c r="I494" s="93">
        <v>0.6</v>
      </c>
      <c r="J494" s="93">
        <v>9.3000000000000007</v>
      </c>
      <c r="K494" s="93">
        <v>26.8</v>
      </c>
      <c r="L494" s="93">
        <v>40.5</v>
      </c>
      <c r="M494" s="93">
        <v>18.899999999999999</v>
      </c>
      <c r="N494" s="93">
        <v>3.3</v>
      </c>
      <c r="O494" s="93">
        <v>0.3</v>
      </c>
      <c r="P494" s="93">
        <v>0.2</v>
      </c>
      <c r="Q494" s="93">
        <v>0.1</v>
      </c>
      <c r="R494" s="93">
        <v>0.3</v>
      </c>
      <c r="S494" s="93">
        <v>1.93</v>
      </c>
    </row>
    <row r="495" spans="1:20">
      <c r="A495" s="295"/>
      <c r="B495" s="243" t="s">
        <v>90</v>
      </c>
      <c r="C495" s="196"/>
      <c r="D495" s="94">
        <v>40</v>
      </c>
      <c r="E495" s="95">
        <v>46.44</v>
      </c>
      <c r="F495" s="95">
        <v>0.33</v>
      </c>
      <c r="G495" s="95">
        <v>131</v>
      </c>
      <c r="H495" s="95">
        <v>0.91</v>
      </c>
      <c r="I495" s="95">
        <v>0.8</v>
      </c>
      <c r="J495" s="95">
        <v>8.6</v>
      </c>
      <c r="K495" s="95">
        <v>27.1</v>
      </c>
      <c r="L495" s="95">
        <v>41.9</v>
      </c>
      <c r="M495" s="95">
        <v>17.3</v>
      </c>
      <c r="N495" s="95">
        <v>3.7</v>
      </c>
      <c r="O495" s="95">
        <v>0.2</v>
      </c>
      <c r="P495" s="95">
        <v>0.2</v>
      </c>
      <c r="Q495" s="95">
        <v>0.2</v>
      </c>
      <c r="R495" s="95">
        <v>0.4</v>
      </c>
      <c r="S495" s="95">
        <v>1.93</v>
      </c>
    </row>
    <row r="496" spans="1:20">
      <c r="A496" s="295">
        <v>45983</v>
      </c>
      <c r="B496" s="243" t="s">
        <v>88</v>
      </c>
      <c r="C496" s="196"/>
      <c r="D496" s="78">
        <v>42</v>
      </c>
      <c r="E496" s="80">
        <v>46.45</v>
      </c>
      <c r="F496" s="80">
        <v>0.3</v>
      </c>
      <c r="G496" s="80">
        <v>134</v>
      </c>
      <c r="H496" s="80">
        <v>0.93</v>
      </c>
      <c r="I496" s="80">
        <v>0.9</v>
      </c>
      <c r="J496" s="80">
        <v>8.6999999999999993</v>
      </c>
      <c r="K496" s="80">
        <v>27.9</v>
      </c>
      <c r="L496" s="80">
        <v>39.4</v>
      </c>
      <c r="M496" s="80">
        <v>18.5</v>
      </c>
      <c r="N496" s="80">
        <v>4</v>
      </c>
      <c r="O496" s="80">
        <v>0.3</v>
      </c>
      <c r="P496" s="80">
        <v>0.2</v>
      </c>
      <c r="Q496" s="80">
        <v>0.1</v>
      </c>
      <c r="R496" s="80">
        <v>0.3</v>
      </c>
      <c r="S496" s="80">
        <v>1.93</v>
      </c>
      <c r="T496" s="241" t="s">
        <v>128</v>
      </c>
    </row>
    <row r="497" spans="1:20">
      <c r="A497" s="295"/>
      <c r="B497" s="243" t="s">
        <v>89</v>
      </c>
      <c r="C497" s="196"/>
      <c r="D497" s="92">
        <v>46</v>
      </c>
      <c r="E497" s="93">
        <v>46.44</v>
      </c>
      <c r="F497" s="93">
        <v>0.32</v>
      </c>
      <c r="G497" s="93">
        <v>140</v>
      </c>
      <c r="H497" s="93">
        <v>0.92</v>
      </c>
      <c r="I497" s="93">
        <v>0.5</v>
      </c>
      <c r="J497" s="93">
        <v>8.9</v>
      </c>
      <c r="K497" s="93">
        <v>28.7</v>
      </c>
      <c r="L497" s="93">
        <v>40.4</v>
      </c>
      <c r="M497" s="93">
        <v>18.100000000000001</v>
      </c>
      <c r="N497" s="93">
        <v>3</v>
      </c>
      <c r="O497" s="93">
        <v>0.2</v>
      </c>
      <c r="P497" s="93">
        <v>0.1</v>
      </c>
      <c r="Q497" s="93">
        <v>0.1</v>
      </c>
      <c r="R497" s="93">
        <v>0.2</v>
      </c>
      <c r="S497" s="93">
        <v>1.94</v>
      </c>
    </row>
    <row r="498" spans="1:20">
      <c r="A498" s="295"/>
      <c r="B498" s="243" t="s">
        <v>90</v>
      </c>
      <c r="C498" s="196"/>
      <c r="D498" s="94">
        <v>40</v>
      </c>
      <c r="E498" s="95">
        <v>46.45</v>
      </c>
      <c r="F498" s="95">
        <v>0.3</v>
      </c>
      <c r="G498" s="95">
        <v>132</v>
      </c>
      <c r="H498" s="95">
        <v>0.91</v>
      </c>
      <c r="I498" s="95">
        <v>0.7</v>
      </c>
      <c r="J498" s="95">
        <v>10.3</v>
      </c>
      <c r="K498" s="95">
        <v>29</v>
      </c>
      <c r="L498" s="95">
        <v>36.6</v>
      </c>
      <c r="M498" s="95">
        <v>18.399999999999999</v>
      </c>
      <c r="N498" s="95">
        <v>4.0999999999999996</v>
      </c>
      <c r="O498" s="95">
        <v>0.4</v>
      </c>
      <c r="P498" s="95">
        <v>0.1</v>
      </c>
      <c r="Q498" s="95">
        <v>0.4</v>
      </c>
      <c r="R498" s="95">
        <v>0.5</v>
      </c>
      <c r="S498" s="95">
        <v>1.94</v>
      </c>
    </row>
    <row r="499" spans="1:20">
      <c r="A499" s="295">
        <v>45984</v>
      </c>
      <c r="B499" s="243" t="s">
        <v>88</v>
      </c>
      <c r="C499" s="196"/>
      <c r="D499" s="78">
        <v>45</v>
      </c>
      <c r="E499" s="80">
        <v>46.44</v>
      </c>
      <c r="F499" s="80">
        <v>0.33</v>
      </c>
      <c r="G499" s="80">
        <v>138</v>
      </c>
      <c r="H499" s="80">
        <v>0.93</v>
      </c>
      <c r="I499" s="80">
        <v>0.5</v>
      </c>
      <c r="J499" s="80">
        <v>7.8</v>
      </c>
      <c r="K499" s="80">
        <v>26.2</v>
      </c>
      <c r="L499" s="80">
        <v>39.200000000000003</v>
      </c>
      <c r="M499" s="80">
        <v>21.1</v>
      </c>
      <c r="N499" s="80">
        <v>4.3</v>
      </c>
      <c r="O499" s="80">
        <v>0.5</v>
      </c>
      <c r="P499" s="80">
        <v>0.3</v>
      </c>
      <c r="Q499" s="80">
        <v>0.1</v>
      </c>
      <c r="R499" s="80">
        <v>0.4</v>
      </c>
      <c r="S499" s="80">
        <v>1.9</v>
      </c>
    </row>
    <row r="500" spans="1:20">
      <c r="A500" s="295"/>
      <c r="B500" s="243" t="s">
        <v>89</v>
      </c>
      <c r="C500" s="196"/>
      <c r="D500" s="92">
        <v>38</v>
      </c>
      <c r="E500" s="93">
        <v>46.43</v>
      </c>
      <c r="F500" s="93">
        <v>0.34</v>
      </c>
      <c r="G500" s="93">
        <v>142</v>
      </c>
      <c r="H500" s="93">
        <v>0.95</v>
      </c>
      <c r="I500" s="93">
        <v>0.8</v>
      </c>
      <c r="J500" s="93">
        <v>8.6999999999999993</v>
      </c>
      <c r="K500" s="93">
        <v>26.1</v>
      </c>
      <c r="L500" s="93">
        <v>42.7</v>
      </c>
      <c r="M500" s="93">
        <v>18.600000000000001</v>
      </c>
      <c r="N500" s="93">
        <v>2.7</v>
      </c>
      <c r="O500" s="93">
        <v>0.2</v>
      </c>
      <c r="P500" s="93">
        <v>0.1</v>
      </c>
      <c r="Q500" s="93">
        <v>0.1</v>
      </c>
      <c r="R500" s="93">
        <v>0.2</v>
      </c>
      <c r="S500" s="93">
        <v>1.93</v>
      </c>
      <c r="T500" s="241" t="s">
        <v>128</v>
      </c>
    </row>
    <row r="501" spans="1:20">
      <c r="A501" s="295"/>
      <c r="B501" s="243" t="s">
        <v>90</v>
      </c>
      <c r="C501" s="196"/>
      <c r="D501" s="94">
        <v>41</v>
      </c>
      <c r="E501" s="95">
        <v>46.44</v>
      </c>
      <c r="F501" s="95">
        <v>0.32</v>
      </c>
      <c r="G501" s="95">
        <v>140</v>
      </c>
      <c r="H501" s="95">
        <v>0.92</v>
      </c>
      <c r="I501" s="95">
        <v>0.6</v>
      </c>
      <c r="J501" s="95">
        <v>8.3000000000000007</v>
      </c>
      <c r="K501" s="95">
        <v>25.7</v>
      </c>
      <c r="L501" s="95">
        <v>44.2</v>
      </c>
      <c r="M501" s="95">
        <v>19.399999999999999</v>
      </c>
      <c r="N501" s="95">
        <v>3</v>
      </c>
      <c r="O501" s="95">
        <v>0.4</v>
      </c>
      <c r="P501" s="95">
        <v>0.3</v>
      </c>
      <c r="Q501" s="95">
        <v>0.1</v>
      </c>
      <c r="R501" s="95">
        <v>0.4</v>
      </c>
      <c r="S501" s="95">
        <v>1.92</v>
      </c>
    </row>
    <row r="502" spans="1:20">
      <c r="A502" s="295">
        <v>45985</v>
      </c>
      <c r="B502" s="243" t="s">
        <v>88</v>
      </c>
      <c r="C502" s="196"/>
      <c r="D502" s="78">
        <v>33</v>
      </c>
      <c r="E502" s="80">
        <v>46.45</v>
      </c>
      <c r="F502" s="80">
        <v>0.3</v>
      </c>
      <c r="G502" s="80">
        <v>134</v>
      </c>
      <c r="H502" s="80">
        <v>0.95</v>
      </c>
      <c r="I502" s="80">
        <v>0.7</v>
      </c>
      <c r="J502" s="80">
        <v>8.1999999999999993</v>
      </c>
      <c r="K502" s="80">
        <v>29.6</v>
      </c>
      <c r="L502" s="80">
        <v>39.299999999999997</v>
      </c>
      <c r="M502" s="80">
        <v>17.600000000000001</v>
      </c>
      <c r="N502" s="80">
        <v>4.2</v>
      </c>
      <c r="O502" s="80">
        <v>0.1</v>
      </c>
      <c r="P502" s="80">
        <v>0.2</v>
      </c>
      <c r="Q502" s="80">
        <v>0.1</v>
      </c>
      <c r="R502" s="80">
        <v>0.3</v>
      </c>
      <c r="S502" s="80">
        <v>1.93</v>
      </c>
    </row>
    <row r="503" spans="1:20">
      <c r="A503" s="295"/>
      <c r="B503" s="243" t="s">
        <v>89</v>
      </c>
      <c r="C503" s="196"/>
      <c r="D503" s="92">
        <v>43</v>
      </c>
      <c r="E503" s="93">
        <v>46.45</v>
      </c>
      <c r="F503" s="93">
        <v>0.31</v>
      </c>
      <c r="G503" s="93">
        <v>146</v>
      </c>
      <c r="H503" s="93">
        <v>0.92</v>
      </c>
      <c r="I503" s="93">
        <v>0.9</v>
      </c>
      <c r="J503" s="93">
        <v>11.6</v>
      </c>
      <c r="K503" s="93">
        <v>32.6</v>
      </c>
      <c r="L503" s="93">
        <v>38.299999999999997</v>
      </c>
      <c r="M503" s="93">
        <v>13.9</v>
      </c>
      <c r="N503" s="93">
        <v>2.2999999999999998</v>
      </c>
      <c r="O503" s="93">
        <v>0.2</v>
      </c>
      <c r="P503" s="93">
        <v>0.1</v>
      </c>
      <c r="Q503" s="93">
        <v>0.1</v>
      </c>
      <c r="R503" s="93">
        <v>0.2</v>
      </c>
      <c r="S503" s="93">
        <v>1.99</v>
      </c>
    </row>
    <row r="504" spans="1:20">
      <c r="A504" s="295"/>
      <c r="B504" s="243" t="s">
        <v>90</v>
      </c>
      <c r="C504" s="196"/>
      <c r="D504" s="94">
        <v>40</v>
      </c>
      <c r="E504" s="95">
        <v>46.45</v>
      </c>
      <c r="F504" s="95">
        <v>0.28999999999999998</v>
      </c>
      <c r="G504" s="95">
        <v>141</v>
      </c>
      <c r="H504" s="95">
        <v>0.93</v>
      </c>
      <c r="I504" s="95">
        <v>0.8</v>
      </c>
      <c r="J504" s="95">
        <v>11.1</v>
      </c>
      <c r="K504" s="95">
        <v>32.799999999999997</v>
      </c>
      <c r="L504" s="95">
        <v>37.799999999999997</v>
      </c>
      <c r="M504" s="95">
        <v>15</v>
      </c>
      <c r="N504" s="95">
        <v>2.2000000000000002</v>
      </c>
      <c r="O504" s="95">
        <v>0.1</v>
      </c>
      <c r="P504" s="95">
        <v>0.1</v>
      </c>
      <c r="Q504" s="95">
        <v>0.1</v>
      </c>
      <c r="R504" s="95">
        <v>0.2</v>
      </c>
      <c r="S504" s="95">
        <v>1.99</v>
      </c>
    </row>
    <row r="505" spans="1:20">
      <c r="A505" s="295">
        <v>45986</v>
      </c>
      <c r="B505" s="243" t="s">
        <v>88</v>
      </c>
      <c r="C505" s="196"/>
      <c r="D505" s="78">
        <v>45</v>
      </c>
      <c r="E505" s="80">
        <v>46.45</v>
      </c>
      <c r="F505" s="80">
        <v>0.3</v>
      </c>
      <c r="G505" s="80">
        <v>138</v>
      </c>
      <c r="H505" s="80">
        <v>0.94</v>
      </c>
      <c r="I505" s="80">
        <v>0.7</v>
      </c>
      <c r="J505" s="80">
        <v>8.1</v>
      </c>
      <c r="K505" s="80">
        <v>28.9</v>
      </c>
      <c r="L505" s="80">
        <v>40.299999999999997</v>
      </c>
      <c r="M505" s="80">
        <v>17.100000000000001</v>
      </c>
      <c r="N505" s="80">
        <v>4</v>
      </c>
      <c r="O505" s="80">
        <v>0.5</v>
      </c>
      <c r="P505" s="80">
        <v>0.3</v>
      </c>
      <c r="Q505" s="80">
        <v>0.1</v>
      </c>
      <c r="R505" s="80">
        <v>0.4</v>
      </c>
      <c r="S505" s="80">
        <v>1.93</v>
      </c>
    </row>
    <row r="506" spans="1:20">
      <c r="A506" s="295"/>
      <c r="B506" s="243" t="s">
        <v>89</v>
      </c>
      <c r="C506" s="196"/>
      <c r="D506" s="92">
        <v>42</v>
      </c>
      <c r="E506" s="93">
        <v>46.44</v>
      </c>
      <c r="F506" s="93">
        <v>0.33</v>
      </c>
      <c r="G506" s="93">
        <v>142</v>
      </c>
      <c r="H506" s="93">
        <v>0.93</v>
      </c>
      <c r="I506" s="93">
        <v>1</v>
      </c>
      <c r="J506" s="93">
        <v>10.4</v>
      </c>
      <c r="K506" s="93">
        <v>31.7</v>
      </c>
      <c r="L506" s="93">
        <v>39.299999999999997</v>
      </c>
      <c r="M506" s="93">
        <v>14.8</v>
      </c>
      <c r="N506" s="93">
        <v>2.2999999999999998</v>
      </c>
      <c r="O506" s="93">
        <v>0.2</v>
      </c>
      <c r="P506" s="93">
        <v>0.2</v>
      </c>
      <c r="Q506" s="93">
        <v>0.1</v>
      </c>
      <c r="R506" s="93">
        <v>0.3</v>
      </c>
      <c r="S506" s="93">
        <v>1.98</v>
      </c>
    </row>
    <row r="507" spans="1:20">
      <c r="A507" s="295"/>
      <c r="B507" s="243" t="s">
        <v>90</v>
      </c>
      <c r="C507" s="196"/>
      <c r="D507" s="94">
        <v>36</v>
      </c>
      <c r="E507" s="95">
        <v>46.44</v>
      </c>
      <c r="F507" s="95">
        <v>0.32</v>
      </c>
      <c r="G507" s="95">
        <v>134</v>
      </c>
      <c r="H507" s="95">
        <v>0.92</v>
      </c>
      <c r="I507" s="95">
        <v>0.6</v>
      </c>
      <c r="J507" s="95">
        <v>8.1999999999999993</v>
      </c>
      <c r="K507" s="95">
        <v>29</v>
      </c>
      <c r="L507" s="95">
        <v>43</v>
      </c>
      <c r="M507" s="95">
        <v>16.399999999999999</v>
      </c>
      <c r="N507" s="95">
        <v>2.5</v>
      </c>
      <c r="O507" s="95">
        <v>0.2</v>
      </c>
      <c r="P507" s="95">
        <v>0.1</v>
      </c>
      <c r="Q507" s="95">
        <v>0</v>
      </c>
      <c r="R507" s="95">
        <v>0.1</v>
      </c>
      <c r="S507" s="95">
        <v>1.94</v>
      </c>
    </row>
    <row r="508" spans="1:20">
      <c r="A508" s="295">
        <v>45987</v>
      </c>
      <c r="B508" s="243" t="s">
        <v>88</v>
      </c>
      <c r="C508" s="196"/>
      <c r="D508" s="78">
        <v>30</v>
      </c>
      <c r="E508" s="80">
        <v>46.43</v>
      </c>
      <c r="F508" s="80">
        <v>0.34</v>
      </c>
      <c r="G508" s="80">
        <v>137</v>
      </c>
      <c r="H508" s="80">
        <v>0.93</v>
      </c>
      <c r="I508" s="80">
        <v>1.3</v>
      </c>
      <c r="J508" s="80">
        <v>9.1999999999999993</v>
      </c>
      <c r="K508" s="80">
        <v>32.6</v>
      </c>
      <c r="L508" s="80">
        <v>35</v>
      </c>
      <c r="M508" s="80">
        <v>18.2</v>
      </c>
      <c r="N508" s="80">
        <v>3.1</v>
      </c>
      <c r="O508" s="80">
        <v>0.3</v>
      </c>
      <c r="P508" s="80">
        <v>0.2</v>
      </c>
      <c r="Q508" s="80">
        <v>0.1</v>
      </c>
      <c r="R508" s="80">
        <v>0.3</v>
      </c>
      <c r="S508" s="80">
        <v>1.96</v>
      </c>
    </row>
    <row r="509" spans="1:20">
      <c r="A509" s="295"/>
      <c r="B509" s="243" t="s">
        <v>89</v>
      </c>
      <c r="C509" s="196"/>
      <c r="D509" s="92">
        <v>36</v>
      </c>
      <c r="E509" s="93">
        <v>46.44</v>
      </c>
      <c r="F509" s="93">
        <v>0.33</v>
      </c>
      <c r="G509" s="93">
        <v>144</v>
      </c>
      <c r="H509" s="93">
        <v>0.91</v>
      </c>
      <c r="I509" s="93">
        <v>0.5</v>
      </c>
      <c r="J509" s="93">
        <v>8.1</v>
      </c>
      <c r="K509" s="93">
        <v>27.8</v>
      </c>
      <c r="L509" s="93">
        <v>41.2</v>
      </c>
      <c r="M509" s="93">
        <v>18.7</v>
      </c>
      <c r="N509" s="93">
        <v>3.3</v>
      </c>
      <c r="O509" s="93">
        <v>0.2</v>
      </c>
      <c r="P509" s="93">
        <v>0.1</v>
      </c>
      <c r="Q509" s="93">
        <v>0.1</v>
      </c>
      <c r="R509" s="93">
        <v>0.2</v>
      </c>
      <c r="S509" s="93">
        <v>1.92</v>
      </c>
    </row>
    <row r="510" spans="1:20">
      <c r="A510" s="295"/>
      <c r="B510" s="243" t="s">
        <v>90</v>
      </c>
      <c r="C510" s="196"/>
      <c r="D510" s="94">
        <v>34</v>
      </c>
      <c r="E510" s="95">
        <v>46.44</v>
      </c>
      <c r="F510" s="95">
        <v>0.33</v>
      </c>
      <c r="G510" s="95">
        <v>136</v>
      </c>
      <c r="H510" s="95">
        <v>0.92</v>
      </c>
      <c r="I510" s="95">
        <v>1.1000000000000001</v>
      </c>
      <c r="J510" s="95">
        <v>11.5</v>
      </c>
      <c r="K510" s="95">
        <v>31.5</v>
      </c>
      <c r="L510" s="95">
        <v>36.6</v>
      </c>
      <c r="M510" s="95">
        <v>16.5</v>
      </c>
      <c r="N510" s="95">
        <v>2.5</v>
      </c>
      <c r="O510" s="95">
        <v>0.2</v>
      </c>
      <c r="P510" s="95">
        <v>0.1</v>
      </c>
      <c r="Q510" s="95">
        <v>0</v>
      </c>
      <c r="R510" s="95">
        <v>0.1</v>
      </c>
      <c r="S510" s="95">
        <v>1.98</v>
      </c>
    </row>
    <row r="511" spans="1:20">
      <c r="A511" s="295">
        <v>45988</v>
      </c>
      <c r="B511" s="243" t="s">
        <v>88</v>
      </c>
      <c r="C511" s="196"/>
      <c r="D511" s="78">
        <v>28</v>
      </c>
      <c r="E511" s="80">
        <v>46.44</v>
      </c>
      <c r="F511" s="80">
        <v>0.31</v>
      </c>
      <c r="G511" s="80">
        <v>138</v>
      </c>
      <c r="H511" s="80">
        <v>0.92</v>
      </c>
      <c r="I511" s="80">
        <v>0.8</v>
      </c>
      <c r="J511" s="80">
        <v>8.4</v>
      </c>
      <c r="K511" s="80">
        <v>26.2</v>
      </c>
      <c r="L511" s="80">
        <v>41.1</v>
      </c>
      <c r="M511" s="80">
        <v>19.5</v>
      </c>
      <c r="N511" s="80">
        <v>3.5</v>
      </c>
      <c r="O511" s="80">
        <v>0.2</v>
      </c>
      <c r="P511" s="80">
        <v>0.2</v>
      </c>
      <c r="Q511" s="80">
        <v>0.1</v>
      </c>
      <c r="R511" s="80">
        <v>0.3</v>
      </c>
      <c r="S511" s="80">
        <v>1.92</v>
      </c>
    </row>
    <row r="512" spans="1:20">
      <c r="A512" s="295"/>
      <c r="B512" s="243" t="s">
        <v>89</v>
      </c>
      <c r="C512" s="196"/>
      <c r="D512" s="92">
        <v>26</v>
      </c>
      <c r="E512" s="93">
        <v>46.44</v>
      </c>
      <c r="F512" s="93">
        <v>0.32</v>
      </c>
      <c r="G512" s="93">
        <v>130</v>
      </c>
      <c r="H512" s="93">
        <v>0.93</v>
      </c>
      <c r="I512" s="93">
        <v>1.5</v>
      </c>
      <c r="J512" s="93">
        <v>12.2</v>
      </c>
      <c r="K512" s="93">
        <v>31.3</v>
      </c>
      <c r="L512" s="93">
        <v>39.200000000000003</v>
      </c>
      <c r="M512" s="93">
        <v>13.4</v>
      </c>
      <c r="N512" s="93">
        <v>1.9</v>
      </c>
      <c r="O512" s="93">
        <v>0.1</v>
      </c>
      <c r="P512" s="93">
        <v>0.2</v>
      </c>
      <c r="Q512" s="93">
        <v>0.2</v>
      </c>
      <c r="R512" s="93">
        <v>0.4</v>
      </c>
      <c r="S512" s="93">
        <v>2</v>
      </c>
    </row>
    <row r="513" spans="1:19">
      <c r="A513" s="295"/>
      <c r="B513" s="243" t="s">
        <v>90</v>
      </c>
      <c r="C513" s="196"/>
      <c r="D513" s="94">
        <v>33</v>
      </c>
      <c r="E513" s="95">
        <v>46.44</v>
      </c>
      <c r="F513" s="95">
        <v>0.33</v>
      </c>
      <c r="G513" s="95">
        <v>134</v>
      </c>
      <c r="H513" s="95">
        <v>0.92</v>
      </c>
      <c r="I513" s="95">
        <v>1</v>
      </c>
      <c r="J513" s="95">
        <v>10</v>
      </c>
      <c r="K513" s="95">
        <v>32.5</v>
      </c>
      <c r="L513" s="95">
        <v>40.9</v>
      </c>
      <c r="M513" s="95">
        <v>13.9</v>
      </c>
      <c r="N513" s="95">
        <v>1.4</v>
      </c>
      <c r="O513" s="95">
        <v>0.2</v>
      </c>
      <c r="P513" s="95">
        <v>0.1</v>
      </c>
      <c r="Q513" s="95">
        <v>0</v>
      </c>
      <c r="R513" s="95">
        <v>0.1</v>
      </c>
      <c r="S513" s="95">
        <v>1.99</v>
      </c>
    </row>
    <row r="514" spans="1:19">
      <c r="A514" s="295">
        <v>45989</v>
      </c>
      <c r="B514" s="243" t="s">
        <v>88</v>
      </c>
      <c r="C514" s="196"/>
      <c r="D514" s="78">
        <v>34</v>
      </c>
      <c r="E514" s="80">
        <v>46.44</v>
      </c>
      <c r="F514" s="80">
        <v>0.32</v>
      </c>
      <c r="G514" s="80">
        <v>140</v>
      </c>
      <c r="H514" s="80">
        <v>0.93</v>
      </c>
      <c r="I514" s="80">
        <v>1.9</v>
      </c>
      <c r="J514" s="80">
        <v>10.6</v>
      </c>
      <c r="K514" s="80">
        <v>30.9</v>
      </c>
      <c r="L514" s="80">
        <v>37.700000000000003</v>
      </c>
      <c r="M514" s="80">
        <v>16.7</v>
      </c>
      <c r="N514" s="80">
        <v>2.7</v>
      </c>
      <c r="O514" s="80">
        <v>0.2</v>
      </c>
      <c r="P514" s="80">
        <v>0.1</v>
      </c>
      <c r="Q514" s="80">
        <v>0.1</v>
      </c>
      <c r="R514" s="80">
        <v>0.2</v>
      </c>
      <c r="S514" s="80">
        <v>1.97</v>
      </c>
    </row>
    <row r="515" spans="1:19">
      <c r="A515" s="295"/>
      <c r="B515" s="243" t="s">
        <v>89</v>
      </c>
      <c r="C515" s="196"/>
      <c r="D515" s="92">
        <v>31</v>
      </c>
      <c r="E515" s="93">
        <v>46.45</v>
      </c>
      <c r="F515" s="93">
        <v>0.3</v>
      </c>
      <c r="G515" s="93">
        <v>133</v>
      </c>
      <c r="H515" s="93">
        <v>0.91</v>
      </c>
      <c r="I515" s="93">
        <v>1.1000000000000001</v>
      </c>
      <c r="J515" s="93">
        <v>13.3</v>
      </c>
      <c r="K515" s="93">
        <v>34.6</v>
      </c>
      <c r="L515" s="93">
        <v>36.9</v>
      </c>
      <c r="M515" s="93">
        <v>12.6</v>
      </c>
      <c r="N515" s="93">
        <v>1.2</v>
      </c>
      <c r="O515" s="93">
        <v>0.1</v>
      </c>
      <c r="P515" s="93">
        <v>0.1</v>
      </c>
      <c r="Q515" s="93">
        <v>0.1</v>
      </c>
      <c r="R515" s="93">
        <v>0.2</v>
      </c>
      <c r="S515" s="93">
        <v>2.0299999999999998</v>
      </c>
    </row>
    <row r="516" spans="1:19">
      <c r="A516" s="295"/>
      <c r="B516" s="243" t="s">
        <v>90</v>
      </c>
      <c r="C516" s="196"/>
      <c r="D516" s="94">
        <v>30</v>
      </c>
      <c r="E516" s="95">
        <v>46.44</v>
      </c>
      <c r="F516" s="95">
        <v>0.33</v>
      </c>
      <c r="G516" s="95">
        <v>152</v>
      </c>
      <c r="H516" s="95">
        <v>0.92</v>
      </c>
      <c r="I516" s="95">
        <v>1</v>
      </c>
      <c r="J516" s="95">
        <v>12</v>
      </c>
      <c r="K516" s="95">
        <v>32.9</v>
      </c>
      <c r="L516" s="95">
        <v>39.1</v>
      </c>
      <c r="M516" s="95">
        <v>13.8</v>
      </c>
      <c r="N516" s="95">
        <v>1</v>
      </c>
      <c r="O516" s="95">
        <v>0.1</v>
      </c>
      <c r="P516" s="95">
        <v>0.1</v>
      </c>
      <c r="Q516" s="95">
        <v>0</v>
      </c>
      <c r="R516" s="95">
        <v>0.1</v>
      </c>
      <c r="S516" s="95">
        <v>2.0099999999999998</v>
      </c>
    </row>
    <row r="517" spans="1:19">
      <c r="A517" s="295">
        <v>45990</v>
      </c>
      <c r="B517" s="243" t="s">
        <v>88</v>
      </c>
      <c r="C517" s="196"/>
      <c r="D517" s="78">
        <v>32</v>
      </c>
      <c r="E517" s="80">
        <v>46.43</v>
      </c>
      <c r="F517" s="80">
        <v>0.35</v>
      </c>
      <c r="G517" s="80">
        <v>146</v>
      </c>
      <c r="H517" s="80">
        <v>0.9</v>
      </c>
      <c r="I517" s="80">
        <v>0.3</v>
      </c>
      <c r="J517" s="80">
        <v>6.1</v>
      </c>
      <c r="K517" s="80">
        <v>23.7</v>
      </c>
      <c r="L517" s="80">
        <v>42.2</v>
      </c>
      <c r="M517" s="80">
        <v>22.9</v>
      </c>
      <c r="N517" s="80">
        <v>4.3</v>
      </c>
      <c r="O517" s="80">
        <v>0.3</v>
      </c>
      <c r="P517" s="80">
        <v>0.1</v>
      </c>
      <c r="Q517" s="80">
        <v>0.1</v>
      </c>
      <c r="R517" s="80">
        <v>0.2</v>
      </c>
      <c r="S517" s="80">
        <v>1.87</v>
      </c>
    </row>
    <row r="518" spans="1:19">
      <c r="A518" s="295"/>
      <c r="B518" s="243" t="s">
        <v>89</v>
      </c>
      <c r="C518" s="196"/>
      <c r="D518" s="92">
        <v>36</v>
      </c>
      <c r="E518" s="93">
        <v>46.44</v>
      </c>
      <c r="F518" s="93">
        <v>0.34</v>
      </c>
      <c r="G518" s="93">
        <v>140</v>
      </c>
      <c r="H518" s="93">
        <v>0.92</v>
      </c>
      <c r="I518" s="93">
        <v>0.7</v>
      </c>
      <c r="J518" s="93">
        <v>9.6999999999999993</v>
      </c>
      <c r="K518" s="93">
        <v>30.6</v>
      </c>
      <c r="L518" s="93">
        <v>38</v>
      </c>
      <c r="M518" s="93">
        <v>18</v>
      </c>
      <c r="N518" s="93">
        <v>2.6</v>
      </c>
      <c r="O518" s="93">
        <v>0.2</v>
      </c>
      <c r="P518" s="93">
        <v>0.1</v>
      </c>
      <c r="Q518" s="93">
        <v>0.1</v>
      </c>
      <c r="R518" s="93">
        <v>0.2</v>
      </c>
      <c r="S518" s="93">
        <v>1.95</v>
      </c>
    </row>
    <row r="519" spans="1:19">
      <c r="A519" s="295"/>
      <c r="B519" s="243" t="s">
        <v>90</v>
      </c>
      <c r="C519" s="196"/>
      <c r="D519" s="94">
        <v>32</v>
      </c>
      <c r="E519" s="95">
        <v>46.44</v>
      </c>
      <c r="F519" s="95">
        <v>0.33</v>
      </c>
      <c r="G519" s="95">
        <v>134</v>
      </c>
      <c r="H519" s="95">
        <v>0.93</v>
      </c>
      <c r="I519" s="95">
        <v>1</v>
      </c>
      <c r="J519" s="95">
        <v>10.44</v>
      </c>
      <c r="K519" s="95">
        <v>29.6</v>
      </c>
      <c r="L519" s="95">
        <v>38.799999999999997</v>
      </c>
      <c r="M519" s="95">
        <v>17.100000000000001</v>
      </c>
      <c r="N519" s="95">
        <v>2.7</v>
      </c>
      <c r="O519" s="95">
        <v>0.2</v>
      </c>
      <c r="P519" s="95">
        <v>0.1</v>
      </c>
      <c r="Q519" s="95">
        <v>0.1</v>
      </c>
      <c r="R519" s="95">
        <v>0.2</v>
      </c>
      <c r="S519" s="95">
        <v>1.96</v>
      </c>
    </row>
    <row r="520" spans="1:19">
      <c r="A520" s="295">
        <v>45991</v>
      </c>
      <c r="B520" s="243" t="s">
        <v>88</v>
      </c>
      <c r="C520" s="196"/>
      <c r="D520" s="78">
        <v>45</v>
      </c>
      <c r="E520" s="80">
        <v>46.43</v>
      </c>
      <c r="F520" s="80">
        <v>0.36</v>
      </c>
      <c r="G520" s="80">
        <v>148</v>
      </c>
      <c r="H520" s="80">
        <v>0.91</v>
      </c>
      <c r="I520" s="80">
        <v>0.5</v>
      </c>
      <c r="J520" s="80">
        <v>8.8000000000000007</v>
      </c>
      <c r="K520" s="80">
        <v>28.9</v>
      </c>
      <c r="L520" s="80">
        <v>39.700000000000003</v>
      </c>
      <c r="M520" s="80">
        <v>18.899999999999999</v>
      </c>
      <c r="N520" s="80">
        <v>2.7</v>
      </c>
      <c r="O520" s="80">
        <v>0.2</v>
      </c>
      <c r="P520" s="80">
        <v>0.2</v>
      </c>
      <c r="Q520" s="80">
        <v>0.1</v>
      </c>
      <c r="R520" s="80">
        <v>0.3</v>
      </c>
      <c r="S520" s="80">
        <v>1.94</v>
      </c>
    </row>
    <row r="521" spans="1:19">
      <c r="A521" s="295"/>
      <c r="B521" s="243" t="s">
        <v>89</v>
      </c>
      <c r="C521" s="196"/>
      <c r="D521" s="92">
        <v>35</v>
      </c>
      <c r="E521" s="93">
        <v>46.44</v>
      </c>
      <c r="F521" s="93">
        <v>0.34</v>
      </c>
      <c r="G521" s="93">
        <v>150</v>
      </c>
      <c r="H521" s="93">
        <v>0.93</v>
      </c>
      <c r="I521" s="93">
        <v>0.5</v>
      </c>
      <c r="J521" s="93">
        <v>5.7</v>
      </c>
      <c r="K521" s="93">
        <v>25.3</v>
      </c>
      <c r="L521" s="93">
        <v>41.4</v>
      </c>
      <c r="M521" s="93">
        <v>22.3</v>
      </c>
      <c r="N521" s="93">
        <v>4.3</v>
      </c>
      <c r="O521" s="93">
        <v>0.3</v>
      </c>
      <c r="P521" s="93">
        <v>0.1</v>
      </c>
      <c r="Q521" s="93">
        <v>0.1</v>
      </c>
      <c r="R521" s="93">
        <v>0.2</v>
      </c>
      <c r="S521" s="93">
        <v>1.88</v>
      </c>
    </row>
    <row r="522" spans="1:19">
      <c r="A522" s="295"/>
      <c r="B522" s="243" t="s">
        <v>90</v>
      </c>
      <c r="C522" s="196"/>
      <c r="D522" s="94">
        <v>33</v>
      </c>
      <c r="E522" s="95">
        <v>46.43</v>
      </c>
      <c r="F522" s="95">
        <v>0.35</v>
      </c>
      <c r="G522" s="95">
        <v>145</v>
      </c>
      <c r="H522" s="95">
        <v>0.92</v>
      </c>
      <c r="I522" s="95">
        <v>0.6</v>
      </c>
      <c r="J522" s="95">
        <v>7.3</v>
      </c>
      <c r="K522" s="95">
        <v>27.5</v>
      </c>
      <c r="L522" s="95">
        <v>39.799999999999997</v>
      </c>
      <c r="M522" s="95">
        <v>20.3</v>
      </c>
      <c r="N522" s="95">
        <v>3.9</v>
      </c>
      <c r="O522" s="95">
        <v>0.4</v>
      </c>
      <c r="P522" s="95">
        <v>0.2</v>
      </c>
      <c r="Q522" s="95">
        <v>0.1</v>
      </c>
      <c r="R522" s="95">
        <v>0.3</v>
      </c>
      <c r="S522" s="95">
        <v>1.91</v>
      </c>
    </row>
    <row r="523" spans="1:19">
      <c r="A523" s="295">
        <v>45992</v>
      </c>
      <c r="B523" s="243" t="s">
        <v>88</v>
      </c>
      <c r="C523" s="196" t="s">
        <v>131</v>
      </c>
      <c r="D523" s="78">
        <v>46</v>
      </c>
      <c r="E523" s="80">
        <v>46.43</v>
      </c>
      <c r="F523" s="80">
        <v>0.34</v>
      </c>
      <c r="G523" s="80">
        <v>152</v>
      </c>
      <c r="H523" s="80">
        <v>0.93</v>
      </c>
      <c r="I523" s="80">
        <v>0.2</v>
      </c>
      <c r="J523" s="80">
        <v>5.6</v>
      </c>
      <c r="K523" s="80">
        <v>26.9</v>
      </c>
      <c r="L523" s="80">
        <v>40.299999999999997</v>
      </c>
      <c r="M523" s="80">
        <v>23.1</v>
      </c>
      <c r="N523" s="80">
        <v>3.5</v>
      </c>
      <c r="O523" s="80">
        <v>0.2</v>
      </c>
      <c r="P523" s="80">
        <v>0.1</v>
      </c>
      <c r="Q523" s="80">
        <v>0.1</v>
      </c>
      <c r="R523" s="80">
        <v>0.2</v>
      </c>
      <c r="S523" s="80">
        <v>1.89</v>
      </c>
    </row>
    <row r="524" spans="1:19">
      <c r="A524" s="295"/>
      <c r="B524" s="243" t="s">
        <v>89</v>
      </c>
      <c r="C524" s="196" t="s">
        <v>131</v>
      </c>
      <c r="D524" s="92">
        <v>42</v>
      </c>
      <c r="E524" s="93">
        <v>46.43</v>
      </c>
      <c r="F524" s="93">
        <v>0.36</v>
      </c>
      <c r="G524" s="93">
        <v>146</v>
      </c>
      <c r="H524" s="93">
        <v>0.95</v>
      </c>
      <c r="I524" s="93">
        <v>0.9</v>
      </c>
      <c r="J524" s="93">
        <v>8.4</v>
      </c>
      <c r="K524" s="93">
        <v>32.4</v>
      </c>
      <c r="L524" s="93">
        <v>36.700000000000003</v>
      </c>
      <c r="M524" s="93">
        <v>18.899999999999999</v>
      </c>
      <c r="N524" s="93">
        <v>2.4</v>
      </c>
      <c r="O524" s="93">
        <v>0.1</v>
      </c>
      <c r="P524" s="93">
        <v>0.1</v>
      </c>
      <c r="Q524" s="93">
        <v>0.1</v>
      </c>
      <c r="R524" s="93">
        <v>0.2</v>
      </c>
      <c r="S524" s="93">
        <v>1.95</v>
      </c>
    </row>
    <row r="525" spans="1:19">
      <c r="A525" s="295"/>
      <c r="B525" s="243" t="s">
        <v>90</v>
      </c>
      <c r="C525" s="196" t="s">
        <v>131</v>
      </c>
      <c r="D525" s="94">
        <v>39</v>
      </c>
      <c r="E525" s="95">
        <v>46.43</v>
      </c>
      <c r="F525" s="95">
        <v>0.36</v>
      </c>
      <c r="G525" s="95">
        <v>154</v>
      </c>
      <c r="H525" s="95">
        <v>0.93</v>
      </c>
      <c r="I525" s="95">
        <v>0.5</v>
      </c>
      <c r="J525" s="95">
        <v>7.6</v>
      </c>
      <c r="K525" s="95">
        <v>25.5</v>
      </c>
      <c r="L525" s="95">
        <v>40.5</v>
      </c>
      <c r="M525" s="95">
        <v>21.8</v>
      </c>
      <c r="N525" s="95">
        <v>3.6</v>
      </c>
      <c r="O525" s="95">
        <v>0.3</v>
      </c>
      <c r="P525" s="95">
        <v>0.1</v>
      </c>
      <c r="Q525" s="95">
        <v>0.1</v>
      </c>
      <c r="R525" s="95">
        <v>0.2</v>
      </c>
      <c r="S525" s="95">
        <v>1.9</v>
      </c>
    </row>
    <row r="526" spans="1:19">
      <c r="A526" s="295">
        <v>45993</v>
      </c>
      <c r="B526" s="243" t="s">
        <v>88</v>
      </c>
      <c r="C526" s="196" t="s">
        <v>131</v>
      </c>
      <c r="D526" s="78">
        <v>42</v>
      </c>
      <c r="E526" s="80">
        <v>46.43</v>
      </c>
      <c r="F526" s="80">
        <v>0.35</v>
      </c>
      <c r="G526" s="80">
        <v>150</v>
      </c>
      <c r="H526" s="80">
        <v>0.92</v>
      </c>
      <c r="I526" s="80">
        <v>1.3</v>
      </c>
      <c r="J526" s="80">
        <v>10.8</v>
      </c>
      <c r="K526" s="80">
        <v>29.5</v>
      </c>
      <c r="L526" s="80">
        <v>39.799999999999997</v>
      </c>
      <c r="M526" s="80">
        <v>15.9</v>
      </c>
      <c r="N526" s="80">
        <v>2.4</v>
      </c>
      <c r="O526" s="80">
        <v>0.1</v>
      </c>
      <c r="P526" s="80">
        <v>0.1</v>
      </c>
      <c r="Q526" s="80">
        <v>0.1</v>
      </c>
      <c r="R526" s="80">
        <v>0.2</v>
      </c>
      <c r="S526" s="80">
        <v>1.98</v>
      </c>
    </row>
    <row r="527" spans="1:19">
      <c r="A527" s="295"/>
      <c r="B527" s="243" t="s">
        <v>89</v>
      </c>
      <c r="C527" s="196" t="s">
        <v>131</v>
      </c>
      <c r="D527" s="92">
        <v>36</v>
      </c>
      <c r="E527" s="93">
        <v>46.44</v>
      </c>
      <c r="F527" s="93">
        <v>0.33</v>
      </c>
      <c r="G527" s="93">
        <v>142</v>
      </c>
      <c r="H527" s="93">
        <v>0.94</v>
      </c>
      <c r="I527" s="93">
        <v>0.6</v>
      </c>
      <c r="J527" s="93">
        <v>8.5</v>
      </c>
      <c r="K527" s="93">
        <v>25.7</v>
      </c>
      <c r="L527" s="93">
        <v>43.1</v>
      </c>
      <c r="M527" s="93">
        <v>19.100000000000001</v>
      </c>
      <c r="N527" s="93">
        <v>2.7</v>
      </c>
      <c r="O527" s="93">
        <v>0.1</v>
      </c>
      <c r="P527" s="93">
        <v>0.1</v>
      </c>
      <c r="Q527" s="93">
        <v>0.1</v>
      </c>
      <c r="R527" s="93">
        <v>0.2</v>
      </c>
      <c r="S527" s="93">
        <v>1.93</v>
      </c>
    </row>
    <row r="528" spans="1:19">
      <c r="A528" s="295"/>
      <c r="B528" s="243" t="s">
        <v>90</v>
      </c>
      <c r="C528" s="196" t="s">
        <v>131</v>
      </c>
      <c r="D528" s="94">
        <v>39</v>
      </c>
      <c r="E528" s="95">
        <v>46.43</v>
      </c>
      <c r="F528" s="95">
        <v>0.35</v>
      </c>
      <c r="G528" s="95">
        <v>148</v>
      </c>
      <c r="H528" s="95">
        <v>0.91</v>
      </c>
      <c r="I528" s="95">
        <v>0.9</v>
      </c>
      <c r="J528" s="95">
        <v>9.6</v>
      </c>
      <c r="K528" s="95">
        <v>30.3</v>
      </c>
      <c r="L528" s="95">
        <v>41.1</v>
      </c>
      <c r="M528" s="95">
        <v>15.7</v>
      </c>
      <c r="N528" s="95">
        <v>2.1</v>
      </c>
      <c r="O528" s="95">
        <v>0.2</v>
      </c>
      <c r="P528" s="95">
        <v>0.1</v>
      </c>
      <c r="Q528" s="95">
        <v>0</v>
      </c>
      <c r="R528" s="95">
        <v>0.1</v>
      </c>
      <c r="S528" s="95">
        <v>1.97</v>
      </c>
    </row>
    <row r="529" spans="1:19">
      <c r="A529" s="295">
        <v>45994</v>
      </c>
      <c r="B529" s="243" t="s">
        <v>88</v>
      </c>
      <c r="C529" s="196" t="s">
        <v>131</v>
      </c>
      <c r="D529" s="78">
        <v>36</v>
      </c>
      <c r="E529" s="80">
        <v>46.43</v>
      </c>
      <c r="F529" s="80">
        <v>0.35</v>
      </c>
      <c r="G529" s="80">
        <v>152</v>
      </c>
      <c r="H529" s="80">
        <v>0.93</v>
      </c>
      <c r="I529" s="80">
        <v>0.8</v>
      </c>
      <c r="J529" s="80">
        <v>10</v>
      </c>
      <c r="K529" s="80">
        <v>28.1</v>
      </c>
      <c r="L529" s="80">
        <v>40.299999999999997</v>
      </c>
      <c r="M529" s="80">
        <v>18.3</v>
      </c>
      <c r="N529" s="80">
        <v>2.1</v>
      </c>
      <c r="O529" s="80">
        <v>0.2</v>
      </c>
      <c r="P529" s="80">
        <v>0.1</v>
      </c>
      <c r="Q529" s="80">
        <v>0.1</v>
      </c>
      <c r="R529" s="80">
        <v>0.2</v>
      </c>
      <c r="S529" s="80">
        <v>1.95</v>
      </c>
    </row>
    <row r="530" spans="1:19">
      <c r="A530" s="295"/>
      <c r="B530" s="243" t="s">
        <v>89</v>
      </c>
      <c r="C530" s="196" t="s">
        <v>131</v>
      </c>
      <c r="D530" s="92">
        <v>34</v>
      </c>
      <c r="E530" s="93">
        <v>46.44</v>
      </c>
      <c r="F530" s="93">
        <v>0.33</v>
      </c>
      <c r="G530" s="93">
        <v>158</v>
      </c>
      <c r="H530" s="93">
        <v>0.92</v>
      </c>
      <c r="I530" s="93">
        <v>0.3</v>
      </c>
      <c r="J530" s="93">
        <v>7.5</v>
      </c>
      <c r="K530" s="93">
        <v>25.4</v>
      </c>
      <c r="L530" s="93">
        <v>42.6</v>
      </c>
      <c r="M530" s="93">
        <v>20.3</v>
      </c>
      <c r="N530" s="93">
        <v>3.4</v>
      </c>
      <c r="O530" s="93">
        <v>0.3</v>
      </c>
      <c r="P530" s="93">
        <v>0.1</v>
      </c>
      <c r="Q530" s="93">
        <v>0.1</v>
      </c>
      <c r="R530" s="93">
        <v>0.2</v>
      </c>
      <c r="S530" s="93">
        <v>1.9</v>
      </c>
    </row>
    <row r="531" spans="1:19">
      <c r="A531" s="295"/>
      <c r="B531" s="243" t="s">
        <v>90</v>
      </c>
      <c r="C531" s="196" t="s">
        <v>131</v>
      </c>
      <c r="D531" s="94">
        <v>30</v>
      </c>
      <c r="E531" s="95">
        <v>46.43</v>
      </c>
      <c r="F531" s="95">
        <v>0.36</v>
      </c>
      <c r="G531" s="95">
        <v>146</v>
      </c>
      <c r="H531" s="95">
        <v>0.93</v>
      </c>
      <c r="I531" s="95">
        <v>0.8</v>
      </c>
      <c r="J531" s="95">
        <v>7.3</v>
      </c>
      <c r="K531" s="95">
        <v>24.4</v>
      </c>
      <c r="L531" s="95">
        <v>42.1</v>
      </c>
      <c r="M531" s="95">
        <v>21.2</v>
      </c>
      <c r="N531" s="95">
        <v>3.7</v>
      </c>
      <c r="O531" s="95">
        <v>0.3</v>
      </c>
      <c r="P531" s="95">
        <v>0.1</v>
      </c>
      <c r="Q531" s="95">
        <v>0.1</v>
      </c>
      <c r="R531" s="95">
        <v>0.2</v>
      </c>
      <c r="S531" s="95">
        <v>1.9</v>
      </c>
    </row>
    <row r="532" spans="1:19">
      <c r="A532" s="295">
        <v>45995</v>
      </c>
      <c r="B532" s="243" t="s">
        <v>88</v>
      </c>
      <c r="C532" s="196" t="s">
        <v>131</v>
      </c>
      <c r="D532" s="78">
        <v>40</v>
      </c>
      <c r="E532" s="80">
        <v>46.43</v>
      </c>
      <c r="F532" s="80">
        <v>0.35</v>
      </c>
      <c r="G532" s="80">
        <v>154</v>
      </c>
      <c r="H532" s="80">
        <v>0.9</v>
      </c>
      <c r="I532" s="80">
        <v>0.6</v>
      </c>
      <c r="J532" s="80">
        <v>11</v>
      </c>
      <c r="K532" s="80">
        <v>21.4</v>
      </c>
      <c r="L532" s="80">
        <v>49.3</v>
      </c>
      <c r="M532" s="80">
        <v>15.4</v>
      </c>
      <c r="N532" s="80">
        <v>1.9</v>
      </c>
      <c r="O532" s="80">
        <v>0.2</v>
      </c>
      <c r="P532" s="80">
        <v>0.1</v>
      </c>
      <c r="Q532" s="80">
        <v>0.1</v>
      </c>
      <c r="R532" s="80">
        <v>0.2</v>
      </c>
      <c r="S532" s="80">
        <v>1.95</v>
      </c>
    </row>
    <row r="533" spans="1:19">
      <c r="A533" s="295"/>
      <c r="B533" s="243" t="s">
        <v>89</v>
      </c>
      <c r="C533" s="196" t="s">
        <v>131</v>
      </c>
      <c r="D533" s="92">
        <v>36</v>
      </c>
      <c r="E533" s="93">
        <v>46.43</v>
      </c>
      <c r="F533" s="93">
        <v>0.34</v>
      </c>
      <c r="G533" s="93">
        <v>146</v>
      </c>
      <c r="H533" s="93">
        <v>0.89</v>
      </c>
      <c r="I533" s="93">
        <v>0.7</v>
      </c>
      <c r="J533" s="93">
        <v>7.8</v>
      </c>
      <c r="K533" s="93">
        <v>27.7</v>
      </c>
      <c r="L533" s="93">
        <v>27.7</v>
      </c>
      <c r="M533" s="93">
        <v>40.799999999999997</v>
      </c>
      <c r="N533" s="93">
        <v>3.3</v>
      </c>
      <c r="O533" s="93">
        <v>0.2</v>
      </c>
      <c r="P533" s="93">
        <v>0.1</v>
      </c>
      <c r="Q533" s="93">
        <v>0.1</v>
      </c>
      <c r="R533" s="93">
        <v>0.2</v>
      </c>
      <c r="S533" s="93">
        <v>1.92</v>
      </c>
    </row>
    <row r="534" spans="1:19">
      <c r="A534" s="295"/>
      <c r="B534" s="243" t="s">
        <v>90</v>
      </c>
      <c r="C534" s="196" t="s">
        <v>131</v>
      </c>
      <c r="D534" s="94">
        <v>25</v>
      </c>
      <c r="E534" s="95">
        <v>46.43</v>
      </c>
      <c r="F534" s="95">
        <v>0.36</v>
      </c>
      <c r="G534" s="95">
        <v>140</v>
      </c>
      <c r="H534" s="95">
        <v>0.91</v>
      </c>
      <c r="I534" s="95">
        <v>0.4</v>
      </c>
      <c r="J534" s="95">
        <v>6.9</v>
      </c>
      <c r="K534" s="95">
        <v>28.6</v>
      </c>
      <c r="L534" s="95">
        <v>39.9</v>
      </c>
      <c r="M534" s="95">
        <v>20.3</v>
      </c>
      <c r="N534" s="95">
        <v>3.4</v>
      </c>
      <c r="O534" s="95">
        <v>0.3</v>
      </c>
      <c r="P534" s="95">
        <v>0.1</v>
      </c>
      <c r="Q534" s="95">
        <v>0.1</v>
      </c>
      <c r="R534" s="95">
        <v>0.2</v>
      </c>
      <c r="S534" s="95">
        <v>1.91</v>
      </c>
    </row>
    <row r="535" spans="1:19">
      <c r="A535" s="295">
        <v>45996</v>
      </c>
      <c r="B535" s="243" t="s">
        <v>88</v>
      </c>
      <c r="C535" s="196" t="s">
        <v>131</v>
      </c>
      <c r="D535" s="78">
        <v>34</v>
      </c>
      <c r="E535" s="80">
        <v>46.44</v>
      </c>
      <c r="F535" s="80">
        <v>0.34</v>
      </c>
      <c r="G535" s="80">
        <v>148</v>
      </c>
      <c r="H535" s="80">
        <v>0.92</v>
      </c>
      <c r="I535" s="80">
        <v>0.8</v>
      </c>
      <c r="J535" s="80">
        <v>7.6</v>
      </c>
      <c r="K535" s="80">
        <v>24.9</v>
      </c>
      <c r="L535" s="80">
        <v>39.700000000000003</v>
      </c>
      <c r="M535" s="80">
        <v>21.9</v>
      </c>
      <c r="N535" s="80">
        <v>4.5999999999999996</v>
      </c>
      <c r="O535" s="80">
        <v>0.2</v>
      </c>
      <c r="P535" s="80">
        <v>0.2</v>
      </c>
      <c r="Q535" s="80">
        <v>0.1</v>
      </c>
      <c r="R535" s="80">
        <v>0.3</v>
      </c>
      <c r="S535" s="80">
        <v>1.9</v>
      </c>
    </row>
    <row r="536" spans="1:19">
      <c r="A536" s="295"/>
      <c r="B536" s="243" t="s">
        <v>89</v>
      </c>
      <c r="C536" s="196" t="s">
        <v>131</v>
      </c>
      <c r="D536" s="92">
        <v>40</v>
      </c>
      <c r="E536" s="93">
        <v>46.43</v>
      </c>
      <c r="F536" s="93">
        <v>0.35</v>
      </c>
      <c r="G536" s="93">
        <v>152</v>
      </c>
      <c r="H536" s="93">
        <v>0.9</v>
      </c>
      <c r="I536" s="93">
        <v>0.7</v>
      </c>
      <c r="J536" s="93">
        <v>7.8</v>
      </c>
      <c r="K536" s="93">
        <v>27</v>
      </c>
      <c r="L536" s="93">
        <v>41.7</v>
      </c>
      <c r="M536" s="93">
        <v>20</v>
      </c>
      <c r="N536" s="93">
        <v>2.4</v>
      </c>
      <c r="O536" s="93">
        <v>0.2</v>
      </c>
      <c r="P536" s="93">
        <v>0.1</v>
      </c>
      <c r="Q536" s="93">
        <v>0.1</v>
      </c>
      <c r="R536" s="93">
        <v>0.2</v>
      </c>
      <c r="S536" s="93">
        <v>1.92</v>
      </c>
    </row>
    <row r="537" spans="1:19">
      <c r="A537" s="295"/>
      <c r="B537" s="243" t="s">
        <v>90</v>
      </c>
      <c r="C537" s="196" t="s">
        <v>131</v>
      </c>
      <c r="D537" s="94">
        <v>31</v>
      </c>
      <c r="E537" s="95">
        <v>46.44</v>
      </c>
      <c r="F537" s="95">
        <v>0.33</v>
      </c>
      <c r="G537" s="95">
        <v>145</v>
      </c>
      <c r="H537" s="95">
        <v>0.91</v>
      </c>
      <c r="I537" s="95">
        <v>0.3</v>
      </c>
      <c r="J537" s="95">
        <v>7.4</v>
      </c>
      <c r="K537" s="95">
        <v>25.9</v>
      </c>
      <c r="L537" s="95">
        <v>40.700000000000003</v>
      </c>
      <c r="M537" s="95">
        <v>21.9</v>
      </c>
      <c r="N537" s="95">
        <v>3.4</v>
      </c>
      <c r="O537" s="95">
        <v>0.2</v>
      </c>
      <c r="P537" s="95">
        <v>0.1</v>
      </c>
      <c r="Q537" s="95">
        <v>0.1</v>
      </c>
      <c r="R537" s="95">
        <v>0.2</v>
      </c>
      <c r="S537" s="95">
        <v>1.9</v>
      </c>
    </row>
    <row r="538" spans="1:19">
      <c r="A538" s="295">
        <v>45997</v>
      </c>
      <c r="B538" s="243" t="s">
        <v>88</v>
      </c>
      <c r="C538" s="196" t="s">
        <v>131</v>
      </c>
      <c r="D538" s="78">
        <v>34</v>
      </c>
      <c r="E538" s="80">
        <v>46.44</v>
      </c>
      <c r="F538" s="80">
        <v>0.32</v>
      </c>
      <c r="G538" s="80">
        <v>150</v>
      </c>
      <c r="H538" s="80">
        <v>0.93</v>
      </c>
      <c r="I538" s="80">
        <v>0.7</v>
      </c>
      <c r="J538" s="80">
        <v>8.4</v>
      </c>
      <c r="K538" s="80">
        <v>29.8</v>
      </c>
      <c r="L538" s="80">
        <v>41.8</v>
      </c>
      <c r="M538" s="80">
        <v>17.100000000000001</v>
      </c>
      <c r="N538" s="122">
        <v>1.8</v>
      </c>
      <c r="O538" s="80">
        <v>0.1</v>
      </c>
      <c r="P538" s="80">
        <v>0.2</v>
      </c>
      <c r="Q538" s="80">
        <v>0.1</v>
      </c>
      <c r="R538" s="80">
        <v>0.3</v>
      </c>
      <c r="S538" s="80">
        <v>1.95</v>
      </c>
    </row>
    <row r="539" spans="1:19">
      <c r="A539" s="295"/>
      <c r="B539" s="243" t="s">
        <v>89</v>
      </c>
      <c r="C539" s="196" t="s">
        <v>131</v>
      </c>
      <c r="D539" s="217">
        <v>39</v>
      </c>
      <c r="E539" s="217">
        <v>46.44</v>
      </c>
      <c r="F539" s="217">
        <v>0.33</v>
      </c>
      <c r="G539" s="217">
        <v>156</v>
      </c>
      <c r="H539" s="217">
        <v>0.91</v>
      </c>
      <c r="I539" s="217">
        <v>0.6</v>
      </c>
      <c r="J539" s="217">
        <v>9.1999999999999993</v>
      </c>
      <c r="K539" s="217">
        <v>32.6</v>
      </c>
      <c r="L539" s="217">
        <v>39.299999999999997</v>
      </c>
      <c r="M539" s="217">
        <v>16.100000000000001</v>
      </c>
      <c r="N539" s="217">
        <v>1.8</v>
      </c>
      <c r="O539" s="217">
        <v>0.2</v>
      </c>
      <c r="P539" s="217">
        <v>0.1</v>
      </c>
      <c r="Q539" s="217">
        <v>0.1</v>
      </c>
      <c r="R539" s="217">
        <v>0.2</v>
      </c>
      <c r="S539" s="217">
        <v>1.97</v>
      </c>
    </row>
    <row r="540" spans="1:19">
      <c r="A540" s="295"/>
      <c r="B540" s="243" t="s">
        <v>90</v>
      </c>
      <c r="C540" s="196" t="s">
        <v>131</v>
      </c>
      <c r="D540" s="217">
        <v>32</v>
      </c>
      <c r="E540" s="217">
        <v>46.44</v>
      </c>
      <c r="F540" s="217">
        <v>0.34</v>
      </c>
      <c r="G540" s="217">
        <v>146</v>
      </c>
      <c r="H540" s="217">
        <v>0.92</v>
      </c>
      <c r="I540" s="217">
        <v>0.7</v>
      </c>
      <c r="J540" s="217">
        <v>8.6</v>
      </c>
      <c r="K540" s="217">
        <v>32.6</v>
      </c>
      <c r="L540" s="217">
        <v>38.299999999999997</v>
      </c>
      <c r="M540" s="217">
        <v>17.100000000000001</v>
      </c>
      <c r="N540" s="217">
        <v>2.1</v>
      </c>
      <c r="O540" s="217">
        <v>0.1</v>
      </c>
      <c r="P540" s="217">
        <v>0.1</v>
      </c>
      <c r="Q540" s="217">
        <v>0.1</v>
      </c>
      <c r="R540" s="217">
        <v>0.2</v>
      </c>
      <c r="S540" s="217">
        <v>1.96</v>
      </c>
    </row>
    <row r="541" spans="1:19">
      <c r="A541" s="295">
        <v>45998</v>
      </c>
      <c r="B541" s="243" t="s">
        <v>88</v>
      </c>
      <c r="C541" s="196" t="s">
        <v>131</v>
      </c>
      <c r="D541" s="78">
        <v>36</v>
      </c>
      <c r="E541" s="80">
        <v>46.44</v>
      </c>
      <c r="F541" s="80">
        <v>0.34</v>
      </c>
      <c r="G541" s="80">
        <v>142</v>
      </c>
      <c r="H541" s="80">
        <v>0.94</v>
      </c>
      <c r="I541" s="80">
        <v>0.2</v>
      </c>
      <c r="J541" s="80">
        <v>6</v>
      </c>
      <c r="K541" s="80">
        <v>26.1</v>
      </c>
      <c r="L541" s="80">
        <v>43.1</v>
      </c>
      <c r="M541" s="80">
        <v>20.6</v>
      </c>
      <c r="N541" s="80">
        <v>3.3</v>
      </c>
      <c r="O541" s="80">
        <v>0.3</v>
      </c>
      <c r="P541" s="80">
        <v>0.3</v>
      </c>
      <c r="Q541" s="80">
        <v>0.1</v>
      </c>
      <c r="R541" s="80">
        <v>0.4</v>
      </c>
      <c r="S541" s="80">
        <v>1.89</v>
      </c>
    </row>
    <row r="542" spans="1:19">
      <c r="A542" s="295"/>
      <c r="B542" s="243" t="s">
        <v>89</v>
      </c>
      <c r="C542" s="196" t="s">
        <v>131</v>
      </c>
      <c r="D542" s="92">
        <v>40</v>
      </c>
      <c r="E542" s="93">
        <v>46.45</v>
      </c>
      <c r="F542" s="93">
        <v>0.32</v>
      </c>
      <c r="G542" s="93">
        <v>148</v>
      </c>
      <c r="H542" s="93">
        <v>0.92</v>
      </c>
      <c r="I542" s="93">
        <v>0.6</v>
      </c>
      <c r="J542" s="93">
        <v>7.4</v>
      </c>
      <c r="K542" s="93">
        <v>26.9</v>
      </c>
      <c r="L542" s="93">
        <v>39.299999999999997</v>
      </c>
      <c r="M542" s="93">
        <v>21.7</v>
      </c>
      <c r="N542" s="93">
        <v>3.5</v>
      </c>
      <c r="O542" s="93">
        <v>0.3</v>
      </c>
      <c r="P542" s="93">
        <v>0.2</v>
      </c>
      <c r="Q542" s="93">
        <v>0.1</v>
      </c>
      <c r="R542" s="93">
        <v>0.3</v>
      </c>
      <c r="S542" s="93">
        <v>1.91</v>
      </c>
    </row>
    <row r="543" spans="1:19">
      <c r="A543" s="295"/>
      <c r="B543" s="243" t="s">
        <v>90</v>
      </c>
      <c r="C543" s="196" t="s">
        <v>131</v>
      </c>
      <c r="D543" s="94">
        <v>38</v>
      </c>
      <c r="E543" s="95">
        <v>46.44</v>
      </c>
      <c r="F543" s="95">
        <v>0.33</v>
      </c>
      <c r="G543" s="95">
        <v>152</v>
      </c>
      <c r="H543" s="95">
        <v>0.91</v>
      </c>
      <c r="I543" s="95">
        <v>0.5</v>
      </c>
      <c r="J543" s="95">
        <v>8.5</v>
      </c>
      <c r="K543" s="95">
        <v>28.9</v>
      </c>
      <c r="L543" s="95">
        <v>43.5</v>
      </c>
      <c r="M543" s="95">
        <v>16.399999999999999</v>
      </c>
      <c r="N543" s="95">
        <v>1.8</v>
      </c>
      <c r="O543" s="95">
        <v>0.2</v>
      </c>
      <c r="P543" s="95">
        <v>0.1</v>
      </c>
      <c r="Q543" s="95">
        <v>0.1</v>
      </c>
      <c r="R543" s="95">
        <v>0.2</v>
      </c>
      <c r="S543" s="95">
        <v>1.95</v>
      </c>
    </row>
    <row r="544" spans="1:19">
      <c r="A544" s="295">
        <v>45999</v>
      </c>
      <c r="B544" s="243" t="s">
        <v>88</v>
      </c>
      <c r="C544" s="196" t="s">
        <v>131</v>
      </c>
      <c r="D544" s="78">
        <v>42</v>
      </c>
      <c r="E544" s="80">
        <v>46.43</v>
      </c>
      <c r="F544" s="80">
        <v>0.35</v>
      </c>
      <c r="G544" s="80">
        <v>144</v>
      </c>
      <c r="H544" s="80">
        <v>0.93</v>
      </c>
      <c r="I544" s="80">
        <v>0.3</v>
      </c>
      <c r="J544" s="80">
        <v>6.4</v>
      </c>
      <c r="K544" s="80">
        <v>25.8</v>
      </c>
      <c r="L544" s="80">
        <v>44.4</v>
      </c>
      <c r="M544" s="80">
        <v>19.899999999999999</v>
      </c>
      <c r="N544" s="80">
        <v>2.8</v>
      </c>
      <c r="O544" s="80">
        <v>0.2</v>
      </c>
      <c r="P544" s="80">
        <v>0.1</v>
      </c>
      <c r="Q544" s="80">
        <v>0.1</v>
      </c>
      <c r="R544" s="80">
        <v>0.2</v>
      </c>
      <c r="S544" s="80">
        <v>1.9</v>
      </c>
    </row>
    <row r="545" spans="1:22">
      <c r="A545" s="295"/>
      <c r="B545" s="243" t="s">
        <v>89</v>
      </c>
      <c r="C545" s="196" t="s">
        <v>131</v>
      </c>
      <c r="D545" s="92">
        <v>38</v>
      </c>
      <c r="E545" s="93">
        <v>46.44</v>
      </c>
      <c r="F545" s="93">
        <v>0.33</v>
      </c>
      <c r="G545" s="93">
        <v>150</v>
      </c>
      <c r="H545" s="93">
        <v>0.91</v>
      </c>
      <c r="I545" s="93">
        <v>0.4</v>
      </c>
      <c r="J545" s="93">
        <v>6.3</v>
      </c>
      <c r="K545" s="93">
        <v>24.7</v>
      </c>
      <c r="L545" s="93">
        <v>41.7</v>
      </c>
      <c r="M545" s="93">
        <v>22.6</v>
      </c>
      <c r="N545" s="93">
        <v>3.7</v>
      </c>
      <c r="O545" s="93">
        <v>0.3</v>
      </c>
      <c r="P545" s="93">
        <v>0.2</v>
      </c>
      <c r="Q545" s="93">
        <v>0.1</v>
      </c>
      <c r="R545" s="93">
        <v>0.3</v>
      </c>
      <c r="S545" s="93">
        <v>1.88</v>
      </c>
    </row>
    <row r="546" spans="1:22">
      <c r="A546" s="295"/>
      <c r="B546" s="243" t="s">
        <v>90</v>
      </c>
      <c r="C546" s="196" t="s">
        <v>131</v>
      </c>
      <c r="D546" s="94">
        <v>34</v>
      </c>
      <c r="E546" s="95">
        <v>46.43</v>
      </c>
      <c r="F546" s="95">
        <v>0.36</v>
      </c>
      <c r="G546" s="95">
        <v>148</v>
      </c>
      <c r="H546" s="95">
        <v>0.9</v>
      </c>
      <c r="I546" s="95">
        <v>0.4</v>
      </c>
      <c r="J546" s="95">
        <v>6.6</v>
      </c>
      <c r="K546" s="95">
        <v>24.3</v>
      </c>
      <c r="L546" s="95">
        <v>44.5</v>
      </c>
      <c r="M546" s="95">
        <v>20.8</v>
      </c>
      <c r="N546" s="95">
        <v>3</v>
      </c>
      <c r="O546" s="95">
        <v>0.2</v>
      </c>
      <c r="P546" s="95">
        <v>0.1</v>
      </c>
      <c r="Q546" s="95">
        <v>0.1</v>
      </c>
      <c r="R546" s="95">
        <v>0.2</v>
      </c>
      <c r="S546" s="95">
        <v>1.9</v>
      </c>
    </row>
    <row r="547" spans="1:22">
      <c r="A547" s="295">
        <v>46000</v>
      </c>
      <c r="B547" s="243" t="s">
        <v>88</v>
      </c>
      <c r="C547" s="196" t="s">
        <v>131</v>
      </c>
      <c r="D547" s="78">
        <v>38</v>
      </c>
      <c r="E547" s="80">
        <v>46.44</v>
      </c>
      <c r="F547" s="80">
        <v>0.34</v>
      </c>
      <c r="G547" s="80">
        <v>143</v>
      </c>
      <c r="H547" s="80">
        <v>0.88</v>
      </c>
      <c r="I547" s="80">
        <v>0.8</v>
      </c>
      <c r="J547" s="80">
        <v>7.9</v>
      </c>
      <c r="K547" s="80">
        <v>26.8</v>
      </c>
      <c r="L547" s="80">
        <v>41.2</v>
      </c>
      <c r="M547" s="80">
        <v>19.100000000000001</v>
      </c>
      <c r="N547" s="80">
        <v>3.7</v>
      </c>
      <c r="O547" s="80">
        <v>0.2</v>
      </c>
      <c r="P547" s="80">
        <v>0.2</v>
      </c>
      <c r="Q547" s="80">
        <v>0.1</v>
      </c>
      <c r="R547" s="80">
        <v>0.3</v>
      </c>
      <c r="S547" s="255">
        <v>1.92</v>
      </c>
      <c r="T547" s="254"/>
      <c r="U547" s="254"/>
      <c r="V547" s="254"/>
    </row>
    <row r="548" spans="1:22">
      <c r="A548" s="295"/>
      <c r="B548" s="243" t="s">
        <v>89</v>
      </c>
      <c r="C548" s="196" t="s">
        <v>131</v>
      </c>
      <c r="D548" s="92">
        <v>33</v>
      </c>
      <c r="E548" s="93">
        <v>46.43</v>
      </c>
      <c r="F548" s="93">
        <v>0.36</v>
      </c>
      <c r="G548" s="93">
        <v>152</v>
      </c>
      <c r="H548" s="93">
        <v>0.93</v>
      </c>
      <c r="I548" s="93">
        <v>0.3</v>
      </c>
      <c r="J548" s="93">
        <v>6.2</v>
      </c>
      <c r="K548" s="93">
        <v>23.9</v>
      </c>
      <c r="L548" s="93">
        <v>46.2</v>
      </c>
      <c r="M548" s="93">
        <v>20.100000000000001</v>
      </c>
      <c r="N548" s="93">
        <v>2.8</v>
      </c>
      <c r="O548" s="93">
        <v>0.3</v>
      </c>
      <c r="P548" s="93">
        <v>0.2</v>
      </c>
      <c r="Q548" s="93">
        <v>0.1</v>
      </c>
      <c r="R548" s="93">
        <v>0.3</v>
      </c>
      <c r="S548" s="256">
        <v>1.89</v>
      </c>
      <c r="T548" s="254"/>
      <c r="U548" s="254"/>
      <c r="V548" s="254"/>
    </row>
    <row r="549" spans="1:22">
      <c r="A549" s="295"/>
      <c r="B549" s="243" t="s">
        <v>90</v>
      </c>
      <c r="C549" s="196" t="s">
        <v>131</v>
      </c>
      <c r="D549" s="94">
        <v>42</v>
      </c>
      <c r="E549" s="95">
        <v>46.43</v>
      </c>
      <c r="F549" s="95">
        <v>0.34</v>
      </c>
      <c r="G549" s="95">
        <v>156</v>
      </c>
      <c r="H549" s="95">
        <v>0.94</v>
      </c>
      <c r="I549" s="95">
        <v>0.3</v>
      </c>
      <c r="J549" s="95">
        <v>4.5</v>
      </c>
      <c r="K549" s="95">
        <v>20.8</v>
      </c>
      <c r="L549" s="95">
        <v>45.7</v>
      </c>
      <c r="M549" s="95">
        <v>25.5</v>
      </c>
      <c r="N549" s="95">
        <v>3.4</v>
      </c>
      <c r="O549" s="95">
        <v>0.2</v>
      </c>
      <c r="P549" s="95">
        <v>0.1</v>
      </c>
      <c r="Q549" s="95">
        <v>0.1</v>
      </c>
      <c r="R549" s="95">
        <v>0.2</v>
      </c>
      <c r="S549" s="254">
        <v>1.85</v>
      </c>
      <c r="T549" s="254"/>
      <c r="U549" s="254"/>
      <c r="V549" s="254"/>
    </row>
    <row r="550" spans="1:22">
      <c r="A550" s="295">
        <v>46001</v>
      </c>
      <c r="B550" s="243" t="s">
        <v>88</v>
      </c>
      <c r="C550" s="196" t="s">
        <v>131</v>
      </c>
      <c r="D550" s="78">
        <v>44</v>
      </c>
      <c r="E550" s="80">
        <v>46.44</v>
      </c>
      <c r="F550" s="80">
        <v>0.33</v>
      </c>
      <c r="G550" s="80">
        <v>152</v>
      </c>
      <c r="H550" s="80">
        <v>0.93</v>
      </c>
      <c r="I550" s="80">
        <v>0.5</v>
      </c>
      <c r="J550" s="80">
        <v>7.1</v>
      </c>
      <c r="K550" s="80">
        <v>25.4</v>
      </c>
      <c r="L550" s="80">
        <v>41.7</v>
      </c>
      <c r="M550" s="80">
        <v>21.6</v>
      </c>
      <c r="N550" s="80">
        <v>3</v>
      </c>
      <c r="O550" s="80">
        <v>4</v>
      </c>
      <c r="P550" s="80">
        <v>0.2</v>
      </c>
      <c r="Q550" s="80">
        <v>0.1</v>
      </c>
      <c r="R550" s="80">
        <v>0.3</v>
      </c>
      <c r="S550" s="80">
        <v>1.9</v>
      </c>
    </row>
    <row r="551" spans="1:22">
      <c r="A551" s="295"/>
      <c r="B551" s="243" t="s">
        <v>89</v>
      </c>
      <c r="C551" s="196" t="s">
        <v>131</v>
      </c>
      <c r="D551" s="92">
        <v>30</v>
      </c>
      <c r="E551" s="93">
        <v>46.43</v>
      </c>
      <c r="F551" s="93">
        <v>0.34</v>
      </c>
      <c r="G551" s="93">
        <v>146</v>
      </c>
      <c r="H551" s="93">
        <v>0.94</v>
      </c>
      <c r="I551" s="93">
        <v>1.1000000000000001</v>
      </c>
      <c r="J551" s="93">
        <v>9.1999999999999993</v>
      </c>
      <c r="K551" s="93">
        <v>25.7</v>
      </c>
      <c r="L551" s="93">
        <v>43.1</v>
      </c>
      <c r="M551" s="93">
        <v>16.7</v>
      </c>
      <c r="N551" s="93">
        <v>3.4</v>
      </c>
      <c r="O551" s="93">
        <v>0.4</v>
      </c>
      <c r="P551" s="93">
        <v>0.3</v>
      </c>
      <c r="Q551" s="93">
        <v>0.1</v>
      </c>
      <c r="R551" s="93">
        <v>0.4</v>
      </c>
      <c r="S551" s="93">
        <v>1.93</v>
      </c>
    </row>
    <row r="552" spans="1:22">
      <c r="A552" s="295"/>
      <c r="B552" s="243" t="s">
        <v>90</v>
      </c>
      <c r="C552" s="196" t="s">
        <v>131</v>
      </c>
      <c r="D552" s="94">
        <v>38</v>
      </c>
      <c r="E552" s="95">
        <v>46.43</v>
      </c>
      <c r="F552" s="95">
        <v>0.36</v>
      </c>
      <c r="G552" s="95">
        <v>150</v>
      </c>
      <c r="H552" s="95">
        <v>0.92</v>
      </c>
      <c r="I552" s="95">
        <v>0.5</v>
      </c>
      <c r="J552" s="95">
        <v>6.9</v>
      </c>
      <c r="K552" s="95">
        <v>26.4</v>
      </c>
      <c r="L552" s="95">
        <v>48.1</v>
      </c>
      <c r="M552" s="95">
        <v>15.6</v>
      </c>
      <c r="N552" s="95">
        <v>2.2000000000000002</v>
      </c>
      <c r="O552" s="95">
        <v>0.1</v>
      </c>
      <c r="P552" s="95">
        <v>0.1</v>
      </c>
      <c r="Q552" s="95">
        <v>0.1</v>
      </c>
      <c r="R552" s="95">
        <v>0.2</v>
      </c>
      <c r="S552" s="95">
        <v>1.93</v>
      </c>
    </row>
    <row r="553" spans="1:22">
      <c r="A553" s="295">
        <v>46002</v>
      </c>
      <c r="B553" s="243" t="s">
        <v>88</v>
      </c>
      <c r="C553" s="196" t="s">
        <v>131</v>
      </c>
      <c r="D553" s="78">
        <v>30</v>
      </c>
      <c r="E553" s="80">
        <v>46.45</v>
      </c>
      <c r="F553" s="80">
        <v>0.31</v>
      </c>
      <c r="G553" s="80">
        <v>143</v>
      </c>
      <c r="H553" s="80">
        <v>0.94</v>
      </c>
      <c r="I553" s="80">
        <v>0.9</v>
      </c>
      <c r="J553" s="80">
        <v>8.5</v>
      </c>
      <c r="K553" s="80">
        <v>28.6</v>
      </c>
      <c r="L553" s="80">
        <v>42.1</v>
      </c>
      <c r="M553" s="80">
        <v>16.7</v>
      </c>
      <c r="N553" s="80">
        <v>2.8</v>
      </c>
      <c r="O553" s="80">
        <v>0.2</v>
      </c>
      <c r="P553" s="80">
        <v>0.1</v>
      </c>
      <c r="Q553" s="80">
        <v>0.1</v>
      </c>
      <c r="R553" s="80">
        <v>0.2</v>
      </c>
      <c r="S553" s="80">
        <v>1.94</v>
      </c>
    </row>
    <row r="554" spans="1:22">
      <c r="A554" s="295"/>
      <c r="B554" s="243" t="s">
        <v>89</v>
      </c>
      <c r="C554" s="196" t="s">
        <v>131</v>
      </c>
      <c r="D554" s="92">
        <v>32</v>
      </c>
      <c r="E554" s="93">
        <v>46.44</v>
      </c>
      <c r="F554" s="93">
        <v>0.33</v>
      </c>
      <c r="G554" s="93">
        <v>148</v>
      </c>
      <c r="H554" s="93">
        <v>0.92</v>
      </c>
      <c r="I554" s="93">
        <v>1</v>
      </c>
      <c r="J554" s="93">
        <v>10.7</v>
      </c>
      <c r="K554" s="93">
        <v>29.9</v>
      </c>
      <c r="L554" s="93">
        <v>40.9</v>
      </c>
      <c r="M554" s="93">
        <v>14.7</v>
      </c>
      <c r="N554" s="93">
        <v>2.2999999999999998</v>
      </c>
      <c r="O554" s="93">
        <v>0.2</v>
      </c>
      <c r="P554" s="93">
        <v>0.2</v>
      </c>
      <c r="Q554" s="93">
        <v>0.1</v>
      </c>
      <c r="R554" s="93">
        <v>0.3</v>
      </c>
      <c r="S554" s="93">
        <v>1.97</v>
      </c>
    </row>
    <row r="555" spans="1:22">
      <c r="A555" s="295"/>
      <c r="B555" s="243" t="s">
        <v>90</v>
      </c>
      <c r="C555" s="196" t="s">
        <v>131</v>
      </c>
      <c r="D555" s="94">
        <v>30</v>
      </c>
      <c r="E555" s="95">
        <v>46.43</v>
      </c>
      <c r="F555" s="95">
        <v>0.34</v>
      </c>
      <c r="G555" s="95">
        <v>144</v>
      </c>
      <c r="H555" s="95">
        <v>0.93</v>
      </c>
      <c r="I555" s="95">
        <v>0.6</v>
      </c>
      <c r="J555" s="95">
        <v>10.3</v>
      </c>
      <c r="K555" s="95">
        <v>31.4</v>
      </c>
      <c r="L555" s="95">
        <v>42.4</v>
      </c>
      <c r="M555" s="95">
        <v>13.6</v>
      </c>
      <c r="N555" s="95">
        <v>1.5</v>
      </c>
      <c r="O555" s="95">
        <v>0.1</v>
      </c>
      <c r="P555" s="95">
        <v>0.1</v>
      </c>
      <c r="Q555" s="95">
        <v>0.1</v>
      </c>
      <c r="R555" s="95">
        <v>0.2</v>
      </c>
      <c r="S555" s="95">
        <v>1.98</v>
      </c>
    </row>
    <row r="556" spans="1:22">
      <c r="A556" s="295">
        <v>46003</v>
      </c>
      <c r="B556" s="243" t="s">
        <v>88</v>
      </c>
      <c r="C556" s="196" t="s">
        <v>131</v>
      </c>
      <c r="D556" s="78">
        <v>33</v>
      </c>
      <c r="E556" s="80">
        <v>46.44</v>
      </c>
      <c r="F556" s="80">
        <v>0.32</v>
      </c>
      <c r="G556" s="80">
        <v>150</v>
      </c>
      <c r="H556" s="80">
        <v>0.94</v>
      </c>
      <c r="I556" s="80">
        <v>0.7</v>
      </c>
      <c r="J556" s="80">
        <v>10.1</v>
      </c>
      <c r="K556" s="80">
        <v>28.7</v>
      </c>
      <c r="L556" s="80">
        <v>42.4</v>
      </c>
      <c r="M556" s="80">
        <v>15.8</v>
      </c>
      <c r="N556" s="80">
        <v>2.1</v>
      </c>
      <c r="O556" s="80">
        <v>0.1</v>
      </c>
      <c r="P556" s="80">
        <v>0.1</v>
      </c>
      <c r="Q556" s="80">
        <v>0</v>
      </c>
      <c r="R556" s="80">
        <v>0.1</v>
      </c>
      <c r="S556" s="80">
        <v>1.96</v>
      </c>
    </row>
    <row r="557" spans="1:22">
      <c r="A557" s="295"/>
      <c r="B557" s="243" t="s">
        <v>89</v>
      </c>
      <c r="C557" s="196" t="s">
        <v>131</v>
      </c>
      <c r="D557" s="92">
        <v>30</v>
      </c>
      <c r="E557" s="93">
        <v>46.45</v>
      </c>
      <c r="F557" s="93">
        <v>0.31</v>
      </c>
      <c r="G557" s="93">
        <v>146</v>
      </c>
      <c r="H557" s="93">
        <v>0.92</v>
      </c>
      <c r="I557" s="93">
        <v>0.7</v>
      </c>
      <c r="J557" s="93">
        <v>8.6</v>
      </c>
      <c r="K557" s="93">
        <v>29.7</v>
      </c>
      <c r="L557" s="93">
        <v>40.5</v>
      </c>
      <c r="M557" s="93">
        <v>16</v>
      </c>
      <c r="N557" s="93">
        <v>3.3</v>
      </c>
      <c r="O557" s="93">
        <v>0.6</v>
      </c>
      <c r="P557" s="93">
        <v>0.4</v>
      </c>
      <c r="Q557" s="93">
        <v>0.2</v>
      </c>
      <c r="R557" s="93">
        <v>0.6</v>
      </c>
      <c r="S557" s="93">
        <v>1.94</v>
      </c>
    </row>
    <row r="558" spans="1:22">
      <c r="A558" s="295"/>
      <c r="B558" s="243" t="s">
        <v>90</v>
      </c>
      <c r="C558" s="196" t="s">
        <v>131</v>
      </c>
      <c r="D558" s="94">
        <v>35</v>
      </c>
      <c r="E558" s="95">
        <v>46.43</v>
      </c>
      <c r="F558" s="95">
        <v>0.35</v>
      </c>
      <c r="G558" s="95">
        <v>142</v>
      </c>
      <c r="H558" s="95">
        <v>0.93</v>
      </c>
      <c r="I558" s="95">
        <v>0.9</v>
      </c>
      <c r="J558" s="95">
        <v>10</v>
      </c>
      <c r="K558" s="95">
        <v>31.5</v>
      </c>
      <c r="L558" s="95">
        <v>40.4</v>
      </c>
      <c r="M558" s="95">
        <v>15</v>
      </c>
      <c r="N558" s="95">
        <v>1.9</v>
      </c>
      <c r="O558" s="95">
        <v>0.2</v>
      </c>
      <c r="P558" s="95">
        <v>0.1</v>
      </c>
      <c r="Q558" s="95">
        <v>0.1</v>
      </c>
      <c r="R558" s="95">
        <v>0.2</v>
      </c>
      <c r="S558" s="95">
        <v>1.98</v>
      </c>
    </row>
    <row r="559" spans="1:22">
      <c r="A559" s="295">
        <v>46004</v>
      </c>
      <c r="B559" s="243" t="s">
        <v>88</v>
      </c>
      <c r="C559" s="196" t="s">
        <v>131</v>
      </c>
      <c r="D559" s="78">
        <v>32</v>
      </c>
      <c r="E559" s="80">
        <v>46.43</v>
      </c>
      <c r="F559" s="80">
        <v>0.34</v>
      </c>
      <c r="G559" s="80">
        <v>144</v>
      </c>
      <c r="H559" s="80">
        <v>0.94</v>
      </c>
      <c r="I559" s="80">
        <v>0.5</v>
      </c>
      <c r="J559" s="80">
        <v>10.1</v>
      </c>
      <c r="K559" s="80">
        <v>29.7</v>
      </c>
      <c r="L559" s="80">
        <v>39.200000000000003</v>
      </c>
      <c r="M559" s="80">
        <v>17.600000000000001</v>
      </c>
      <c r="N559" s="80">
        <v>2.5</v>
      </c>
      <c r="O559" s="80">
        <v>0.2</v>
      </c>
      <c r="P559" s="80">
        <v>0.1</v>
      </c>
      <c r="Q559" s="80">
        <v>0.1</v>
      </c>
      <c r="R559" s="80">
        <v>0.2</v>
      </c>
      <c r="S559" s="80">
        <v>1.95</v>
      </c>
    </row>
    <row r="560" spans="1:22">
      <c r="A560" s="295"/>
      <c r="B560" s="243" t="s">
        <v>89</v>
      </c>
      <c r="C560" s="196" t="s">
        <v>131</v>
      </c>
      <c r="D560" s="92">
        <v>30</v>
      </c>
      <c r="E560" s="93">
        <v>46.43</v>
      </c>
      <c r="F560" s="93">
        <v>0.34</v>
      </c>
      <c r="G560" s="93">
        <v>140</v>
      </c>
      <c r="H560" s="93">
        <v>0.94</v>
      </c>
      <c r="I560" s="93">
        <v>0.8</v>
      </c>
      <c r="J560" s="93">
        <v>9</v>
      </c>
      <c r="K560" s="93">
        <v>28.2</v>
      </c>
      <c r="L560" s="93">
        <v>39.9</v>
      </c>
      <c r="M560" s="93">
        <v>18</v>
      </c>
      <c r="N560" s="93">
        <v>3.3</v>
      </c>
      <c r="O560" s="93">
        <v>0.4</v>
      </c>
      <c r="P560" s="93">
        <v>0.3</v>
      </c>
      <c r="Q560" s="93">
        <v>0.1</v>
      </c>
      <c r="R560" s="93">
        <v>0.4</v>
      </c>
      <c r="S560" s="93">
        <v>2</v>
      </c>
    </row>
    <row r="561" spans="1:19">
      <c r="A561" s="295"/>
      <c r="B561" s="243" t="s">
        <v>90</v>
      </c>
      <c r="C561" s="196" t="s">
        <v>131</v>
      </c>
      <c r="D561" s="94">
        <v>28</v>
      </c>
      <c r="E561" s="95">
        <v>46.44</v>
      </c>
      <c r="F561" s="95">
        <v>0.33</v>
      </c>
      <c r="G561" s="95">
        <v>148</v>
      </c>
      <c r="H561" s="95">
        <v>0.92</v>
      </c>
      <c r="I561" s="95">
        <v>1</v>
      </c>
      <c r="J561" s="95">
        <v>12.2</v>
      </c>
      <c r="K561" s="95">
        <v>30.6</v>
      </c>
      <c r="L561" s="95">
        <v>37.700000000000003</v>
      </c>
      <c r="M561" s="95">
        <v>15.3</v>
      </c>
      <c r="N561" s="95">
        <v>2.6</v>
      </c>
      <c r="O561" s="95">
        <v>0.3</v>
      </c>
      <c r="P561" s="95">
        <v>0.2</v>
      </c>
      <c r="Q561" s="95">
        <v>0.1</v>
      </c>
      <c r="R561" s="95">
        <v>0.3</v>
      </c>
      <c r="S561" s="95">
        <v>1.98</v>
      </c>
    </row>
    <row r="562" spans="1:19">
      <c r="A562" s="295">
        <v>46005</v>
      </c>
      <c r="B562" s="243" t="s">
        <v>88</v>
      </c>
      <c r="C562" s="196" t="s">
        <v>131</v>
      </c>
      <c r="D562" s="78">
        <v>33</v>
      </c>
      <c r="E562" s="80">
        <v>46.44</v>
      </c>
      <c r="F562" s="80">
        <v>0.33</v>
      </c>
      <c r="G562" s="80">
        <v>144</v>
      </c>
      <c r="H562" s="80">
        <v>0.93</v>
      </c>
      <c r="I562" s="80">
        <v>0.4</v>
      </c>
      <c r="J562" s="80">
        <v>6.6</v>
      </c>
      <c r="K562" s="80">
        <v>24</v>
      </c>
      <c r="L562" s="80">
        <v>43.9</v>
      </c>
      <c r="M562" s="80">
        <v>20.9</v>
      </c>
      <c r="N562" s="80">
        <v>3.6</v>
      </c>
      <c r="O562" s="80">
        <v>0.3</v>
      </c>
      <c r="P562" s="80">
        <v>0.2</v>
      </c>
      <c r="Q562" s="80">
        <v>0.1</v>
      </c>
      <c r="R562" s="80">
        <v>0.3</v>
      </c>
      <c r="S562" s="80">
        <v>1.89</v>
      </c>
    </row>
    <row r="563" spans="1:19">
      <c r="A563" s="295"/>
      <c r="B563" s="243" t="s">
        <v>89</v>
      </c>
      <c r="C563" s="196" t="s">
        <v>131</v>
      </c>
      <c r="D563" s="92">
        <v>29</v>
      </c>
      <c r="E563" s="93">
        <v>46.44</v>
      </c>
      <c r="F563" s="93">
        <v>0.32</v>
      </c>
      <c r="G563" s="93">
        <v>152</v>
      </c>
      <c r="H563" s="93">
        <v>0.91</v>
      </c>
      <c r="I563" s="93">
        <v>0.5</v>
      </c>
      <c r="J563" s="93">
        <v>7.3</v>
      </c>
      <c r="K563" s="93">
        <v>26.1</v>
      </c>
      <c r="L563" s="93">
        <v>39.4</v>
      </c>
      <c r="M563" s="93">
        <v>21.9</v>
      </c>
      <c r="N563" s="93">
        <v>4</v>
      </c>
      <c r="O563" s="93">
        <v>0.4</v>
      </c>
      <c r="P563" s="93">
        <v>0.3</v>
      </c>
      <c r="Q563" s="93">
        <v>0.1</v>
      </c>
      <c r="R563" s="93">
        <v>0.4</v>
      </c>
      <c r="S563" s="93">
        <v>1.9</v>
      </c>
    </row>
    <row r="564" spans="1:19">
      <c r="A564" s="295"/>
      <c r="B564" s="243" t="s">
        <v>90</v>
      </c>
      <c r="C564" s="196" t="s">
        <v>131</v>
      </c>
      <c r="D564" s="94">
        <v>45</v>
      </c>
      <c r="E564" s="95">
        <v>46.44</v>
      </c>
      <c r="F564" s="95">
        <v>0.33</v>
      </c>
      <c r="G564" s="95">
        <v>146</v>
      </c>
      <c r="H564" s="95">
        <v>0.92</v>
      </c>
      <c r="I564" s="95">
        <v>0.5</v>
      </c>
      <c r="J564" s="95">
        <v>7.7</v>
      </c>
      <c r="K564" s="95">
        <v>25.4</v>
      </c>
      <c r="L564" s="95">
        <v>43.8</v>
      </c>
      <c r="M564" s="95">
        <v>19.899999999999999</v>
      </c>
      <c r="N564" s="95">
        <v>2.5</v>
      </c>
      <c r="O564" s="95">
        <v>0.1</v>
      </c>
      <c r="P564" s="95">
        <v>0.1</v>
      </c>
      <c r="Q564" s="95">
        <v>0.1</v>
      </c>
      <c r="R564" s="95">
        <v>0.2</v>
      </c>
      <c r="S564" s="95">
        <v>1.92</v>
      </c>
    </row>
    <row r="565" spans="1:19">
      <c r="A565" s="295">
        <v>46006</v>
      </c>
      <c r="B565" s="243" t="s">
        <v>88</v>
      </c>
      <c r="C565" s="196" t="s">
        <v>131</v>
      </c>
      <c r="D565" s="78">
        <v>29</v>
      </c>
      <c r="E565" s="80">
        <v>46.45</v>
      </c>
      <c r="F565" s="80">
        <v>0.31</v>
      </c>
      <c r="G565" s="80">
        <v>152</v>
      </c>
      <c r="H565" s="80">
        <v>0.93</v>
      </c>
      <c r="I565" s="80">
        <v>1.3</v>
      </c>
      <c r="J565" s="80">
        <v>9.1</v>
      </c>
      <c r="K565" s="80">
        <v>25.6</v>
      </c>
      <c r="L565" s="80">
        <v>41.8</v>
      </c>
      <c r="M565" s="80">
        <v>17.600000000000001</v>
      </c>
      <c r="N565" s="80">
        <v>3.6</v>
      </c>
      <c r="O565" s="80">
        <v>0.4</v>
      </c>
      <c r="P565" s="80">
        <v>0.4</v>
      </c>
      <c r="Q565" s="80">
        <v>0.2</v>
      </c>
      <c r="R565" s="80">
        <v>0.6</v>
      </c>
      <c r="S565" s="80">
        <v>1.93</v>
      </c>
    </row>
    <row r="566" spans="1:19">
      <c r="A566" s="295"/>
      <c r="B566" s="243" t="s">
        <v>89</v>
      </c>
      <c r="C566" s="196" t="s">
        <v>131</v>
      </c>
      <c r="D566" s="92">
        <v>36</v>
      </c>
      <c r="E566" s="93">
        <v>46.44</v>
      </c>
      <c r="F566" s="93">
        <v>0.33</v>
      </c>
      <c r="G566" s="93">
        <v>140</v>
      </c>
      <c r="H566" s="93">
        <v>0.92</v>
      </c>
      <c r="I566" s="93">
        <v>0.9</v>
      </c>
      <c r="J566" s="93">
        <v>10.9</v>
      </c>
      <c r="K566" s="93">
        <v>33.299999999999997</v>
      </c>
      <c r="L566" s="93">
        <v>39</v>
      </c>
      <c r="M566" s="93">
        <v>13.9</v>
      </c>
      <c r="N566" s="93">
        <v>1.7</v>
      </c>
      <c r="O566" s="93">
        <v>0.1</v>
      </c>
      <c r="P566" s="93">
        <v>0.1</v>
      </c>
      <c r="Q566" s="93">
        <v>0.1</v>
      </c>
      <c r="R566" s="93">
        <v>0.2</v>
      </c>
      <c r="S566" s="93">
        <v>1.99</v>
      </c>
    </row>
    <row r="567" spans="1:19">
      <c r="A567" s="295"/>
      <c r="B567" s="243" t="s">
        <v>90</v>
      </c>
      <c r="C567" s="196" t="s">
        <v>131</v>
      </c>
      <c r="D567" s="94">
        <v>39</v>
      </c>
      <c r="E567" s="95">
        <v>46.44</v>
      </c>
      <c r="F567" s="95">
        <v>0.32</v>
      </c>
      <c r="G567" s="95">
        <v>150</v>
      </c>
      <c r="H567" s="95">
        <v>0.93</v>
      </c>
      <c r="I567" s="95">
        <v>0.6</v>
      </c>
      <c r="J567" s="95">
        <v>7.8</v>
      </c>
      <c r="K567" s="95">
        <v>28.5</v>
      </c>
      <c r="L567" s="95">
        <v>41.6</v>
      </c>
      <c r="M567" s="95">
        <v>17.3</v>
      </c>
      <c r="N567" s="95">
        <v>3.6</v>
      </c>
      <c r="O567" s="95">
        <v>0.4</v>
      </c>
      <c r="P567" s="95">
        <v>0.2</v>
      </c>
      <c r="Q567" s="95">
        <v>0.1</v>
      </c>
      <c r="R567" s="95">
        <v>0.3</v>
      </c>
      <c r="S567" s="95">
        <v>1.93</v>
      </c>
    </row>
    <row r="568" spans="1:19">
      <c r="A568" s="295">
        <v>46007</v>
      </c>
      <c r="B568" s="243" t="s">
        <v>88</v>
      </c>
      <c r="C568" s="196" t="s">
        <v>131</v>
      </c>
      <c r="D568" s="78">
        <v>31</v>
      </c>
      <c r="E568" s="80">
        <v>46.44</v>
      </c>
      <c r="F568" s="80">
        <v>0.33</v>
      </c>
      <c r="G568" s="80">
        <v>152</v>
      </c>
      <c r="H568" s="80">
        <v>0.9</v>
      </c>
      <c r="I568" s="80">
        <v>1.8</v>
      </c>
      <c r="J568" s="80">
        <v>11.5</v>
      </c>
      <c r="K568" s="80">
        <v>28</v>
      </c>
      <c r="L568" s="80">
        <v>35.799999999999997</v>
      </c>
      <c r="M568" s="80">
        <v>20.2</v>
      </c>
      <c r="N568" s="80">
        <v>2.2000000000000002</v>
      </c>
      <c r="O568" s="80">
        <v>0.3</v>
      </c>
      <c r="P568" s="80">
        <v>0.1</v>
      </c>
      <c r="Q568" s="80">
        <v>0.1</v>
      </c>
      <c r="R568" s="80">
        <v>0.2</v>
      </c>
      <c r="S568" s="80">
        <v>1.97</v>
      </c>
    </row>
    <row r="569" spans="1:19">
      <c r="A569" s="295"/>
      <c r="B569" s="243" t="s">
        <v>89</v>
      </c>
      <c r="C569" s="196" t="s">
        <v>131</v>
      </c>
      <c r="D569" s="92">
        <v>54</v>
      </c>
      <c r="E569" s="93">
        <v>46.43</v>
      </c>
      <c r="F569" s="93">
        <v>0.35</v>
      </c>
      <c r="G569" s="93">
        <v>154</v>
      </c>
      <c r="H569" s="93">
        <v>0.91</v>
      </c>
      <c r="I569" s="93">
        <v>8.6999999999999993</v>
      </c>
      <c r="J569" s="93">
        <v>23.4</v>
      </c>
      <c r="K569" s="93">
        <v>31.5</v>
      </c>
      <c r="L569" s="93">
        <v>29.1</v>
      </c>
      <c r="M569" s="93">
        <v>6.2</v>
      </c>
      <c r="N569" s="93">
        <v>0.8</v>
      </c>
      <c r="O569" s="93">
        <v>0.1</v>
      </c>
      <c r="P569" s="93">
        <v>0.1</v>
      </c>
      <c r="Q569" s="93">
        <v>0.1</v>
      </c>
      <c r="R569" s="93">
        <v>0.2</v>
      </c>
      <c r="S569" s="93">
        <v>2.2000000000000002</v>
      </c>
    </row>
    <row r="570" spans="1:19">
      <c r="A570" s="295"/>
      <c r="B570" s="243" t="s">
        <v>90</v>
      </c>
      <c r="C570" s="196" t="s">
        <v>131</v>
      </c>
      <c r="D570" s="94">
        <v>50</v>
      </c>
      <c r="E570" s="95">
        <v>46.44</v>
      </c>
      <c r="F570" s="95">
        <v>0.33</v>
      </c>
      <c r="G570" s="95">
        <v>150</v>
      </c>
      <c r="H570" s="95">
        <v>0.92</v>
      </c>
      <c r="I570" s="95">
        <v>8.3000000000000007</v>
      </c>
      <c r="J570" s="95">
        <v>21</v>
      </c>
      <c r="K570" s="95">
        <v>30.6</v>
      </c>
      <c r="L570" s="95">
        <v>30.1</v>
      </c>
      <c r="M570" s="95">
        <v>7.5</v>
      </c>
      <c r="N570" s="95">
        <v>1.2</v>
      </c>
      <c r="O570" s="95">
        <v>0.1</v>
      </c>
      <c r="P570" s="95">
        <v>0.1</v>
      </c>
      <c r="Q570" s="95">
        <v>0.1</v>
      </c>
      <c r="R570" s="95">
        <v>0.2</v>
      </c>
      <c r="S570" s="95">
        <v>2.17</v>
      </c>
    </row>
    <row r="571" spans="1:19">
      <c r="A571" s="295">
        <v>46008</v>
      </c>
      <c r="B571" s="243" t="s">
        <v>88</v>
      </c>
      <c r="C571" s="196" t="s">
        <v>131</v>
      </c>
      <c r="D571" s="78">
        <v>30</v>
      </c>
      <c r="E571" s="80">
        <v>46.43</v>
      </c>
      <c r="F571" s="80">
        <v>0.34</v>
      </c>
      <c r="G571" s="80">
        <v>158</v>
      </c>
      <c r="H571" s="80">
        <v>0.93</v>
      </c>
      <c r="I571" s="80">
        <v>9.1999999999999993</v>
      </c>
      <c r="J571" s="80">
        <v>19.399999999999999</v>
      </c>
      <c r="K571" s="80">
        <v>31.8</v>
      </c>
      <c r="L571" s="80">
        <v>29.5</v>
      </c>
      <c r="M571" s="80">
        <v>7.6</v>
      </c>
      <c r="N571" s="122">
        <v>1.5</v>
      </c>
      <c r="O571" s="80">
        <v>0.4</v>
      </c>
      <c r="P571" s="80">
        <v>0.4</v>
      </c>
      <c r="Q571" s="80">
        <v>0.2</v>
      </c>
      <c r="R571" s="80">
        <v>0.6</v>
      </c>
      <c r="S571" s="80">
        <v>2.17</v>
      </c>
    </row>
    <row r="572" spans="1:19">
      <c r="A572" s="295"/>
      <c r="B572" s="243" t="s">
        <v>89</v>
      </c>
      <c r="C572" s="196" t="s">
        <v>131</v>
      </c>
      <c r="D572" s="78">
        <v>56</v>
      </c>
      <c r="E572" s="80">
        <v>46.43</v>
      </c>
      <c r="F572" s="80">
        <v>0.36</v>
      </c>
      <c r="G572" s="80">
        <v>152</v>
      </c>
      <c r="H572" s="80">
        <v>0.92</v>
      </c>
      <c r="I572" s="80">
        <v>9.6999999999999993</v>
      </c>
      <c r="J572" s="80">
        <v>23.5</v>
      </c>
      <c r="K572" s="80">
        <v>32.4</v>
      </c>
      <c r="L572" s="80">
        <v>28.6</v>
      </c>
      <c r="M572" s="80">
        <v>5.2</v>
      </c>
      <c r="N572" s="80">
        <v>0.3</v>
      </c>
      <c r="O572" s="80">
        <v>0.1</v>
      </c>
      <c r="P572" s="80">
        <v>0.1</v>
      </c>
      <c r="Q572" s="80">
        <v>0.1</v>
      </c>
      <c r="R572" s="80">
        <v>0.2</v>
      </c>
      <c r="S572" s="80">
        <v>2.23</v>
      </c>
    </row>
    <row r="573" spans="1:19">
      <c r="A573" s="295"/>
      <c r="B573" s="243" t="s">
        <v>90</v>
      </c>
      <c r="C573" s="196" t="s">
        <v>131</v>
      </c>
      <c r="D573" s="123">
        <v>51</v>
      </c>
      <c r="E573" s="124">
        <v>46.43</v>
      </c>
      <c r="F573" s="124">
        <v>0.35</v>
      </c>
      <c r="G573" s="124">
        <v>150</v>
      </c>
      <c r="H573" s="124">
        <v>0.93</v>
      </c>
      <c r="I573" s="124">
        <v>9.4</v>
      </c>
      <c r="J573" s="124">
        <v>23.4</v>
      </c>
      <c r="K573" s="124">
        <v>30.9</v>
      </c>
      <c r="L573" s="124">
        <v>29.1</v>
      </c>
      <c r="M573" s="124">
        <v>6.3</v>
      </c>
      <c r="N573" s="124">
        <v>0.6</v>
      </c>
      <c r="O573" s="124">
        <v>0.1</v>
      </c>
      <c r="P573" s="124">
        <v>0.1</v>
      </c>
      <c r="Q573" s="124">
        <v>0.1</v>
      </c>
      <c r="R573" s="124">
        <v>0.2</v>
      </c>
      <c r="S573" s="124">
        <v>2.21</v>
      </c>
    </row>
    <row r="574" spans="1:19">
      <c r="A574" s="295">
        <v>46009</v>
      </c>
      <c r="B574" s="243" t="s">
        <v>88</v>
      </c>
      <c r="C574" s="196" t="s">
        <v>131</v>
      </c>
      <c r="D574" s="78">
        <v>30</v>
      </c>
      <c r="E574" s="80">
        <v>46.45</v>
      </c>
      <c r="F574" s="80">
        <v>0.3</v>
      </c>
      <c r="G574" s="80">
        <v>144</v>
      </c>
      <c r="H574" s="80">
        <v>0.94</v>
      </c>
      <c r="I574" s="80">
        <v>8.5</v>
      </c>
      <c r="J574" s="80">
        <v>19.5</v>
      </c>
      <c r="K574" s="80">
        <v>28.9</v>
      </c>
      <c r="L574" s="80">
        <v>33.6</v>
      </c>
      <c r="M574" s="80">
        <v>7.7</v>
      </c>
      <c r="N574" s="80">
        <v>1.4</v>
      </c>
      <c r="O574" s="80">
        <v>0.2</v>
      </c>
      <c r="P574" s="80">
        <v>0.2</v>
      </c>
      <c r="Q574" s="80">
        <v>0.1</v>
      </c>
      <c r="R574" s="80">
        <v>0.3</v>
      </c>
      <c r="S574" s="80">
        <v>2.16</v>
      </c>
    </row>
    <row r="575" spans="1:19">
      <c r="A575" s="295"/>
      <c r="B575" s="243" t="s">
        <v>89</v>
      </c>
      <c r="C575" s="196" t="s">
        <v>131</v>
      </c>
      <c r="D575" s="92">
        <v>46</v>
      </c>
      <c r="E575" s="93">
        <v>46.43</v>
      </c>
      <c r="F575" s="93">
        <v>0.36</v>
      </c>
      <c r="G575" s="93">
        <v>140</v>
      </c>
      <c r="H575" s="93">
        <v>0.9</v>
      </c>
      <c r="I575" s="93">
        <v>0.8</v>
      </c>
      <c r="J575" s="93">
        <v>6.4</v>
      </c>
      <c r="K575" s="93">
        <v>24.3</v>
      </c>
      <c r="L575" s="93">
        <v>45.4</v>
      </c>
      <c r="M575" s="93">
        <v>20.6</v>
      </c>
      <c r="N575" s="93">
        <v>2.2000000000000002</v>
      </c>
      <c r="O575" s="93">
        <v>0.1</v>
      </c>
      <c r="P575" s="93">
        <v>0.1</v>
      </c>
      <c r="Q575" s="93">
        <v>0.1</v>
      </c>
      <c r="R575" s="93">
        <v>0.2</v>
      </c>
      <c r="S575" s="93">
        <v>1.91</v>
      </c>
    </row>
    <row r="576" spans="1:19">
      <c r="A576" s="295"/>
      <c r="B576" s="243" t="s">
        <v>90</v>
      </c>
      <c r="C576" s="196" t="s">
        <v>131</v>
      </c>
      <c r="D576" s="94">
        <v>48</v>
      </c>
      <c r="E576" s="95">
        <v>46.44</v>
      </c>
      <c r="F576" s="95">
        <v>0.33</v>
      </c>
      <c r="G576" s="95">
        <v>143</v>
      </c>
      <c r="H576" s="95">
        <v>0.92</v>
      </c>
      <c r="I576" s="95">
        <v>1.2</v>
      </c>
      <c r="J576" s="95">
        <v>6.7</v>
      </c>
      <c r="K576" s="95">
        <v>26.3</v>
      </c>
      <c r="L576" s="95">
        <v>41.9</v>
      </c>
      <c r="M576" s="95">
        <v>19.7</v>
      </c>
      <c r="N576" s="95">
        <v>2.2999999999999998</v>
      </c>
      <c r="O576" s="95">
        <v>0.2</v>
      </c>
      <c r="P576" s="95">
        <v>0.1</v>
      </c>
      <c r="Q576" s="95">
        <v>0.1</v>
      </c>
      <c r="R576" s="95">
        <v>0.2</v>
      </c>
      <c r="S576" s="95">
        <v>1.92</v>
      </c>
    </row>
    <row r="577" spans="1:19">
      <c r="A577" s="295">
        <v>46010</v>
      </c>
      <c r="B577" s="243" t="s">
        <v>88</v>
      </c>
      <c r="C577" s="196" t="s">
        <v>131</v>
      </c>
      <c r="D577" s="78">
        <v>29</v>
      </c>
      <c r="E577" s="80">
        <v>46.45</v>
      </c>
      <c r="F577" s="80">
        <v>0.31</v>
      </c>
      <c r="G577" s="80">
        <v>148</v>
      </c>
      <c r="H577" s="80">
        <v>0.93</v>
      </c>
      <c r="I577" s="80">
        <v>1</v>
      </c>
      <c r="J577" s="80">
        <v>8</v>
      </c>
      <c r="K577" s="80">
        <v>27.6</v>
      </c>
      <c r="L577" s="80">
        <v>41</v>
      </c>
      <c r="M577" s="80">
        <v>19.100000000000001</v>
      </c>
      <c r="N577" s="80">
        <v>2.7</v>
      </c>
      <c r="O577" s="80">
        <v>0.3</v>
      </c>
      <c r="P577" s="80">
        <v>0.2</v>
      </c>
      <c r="Q577" s="80">
        <v>0.1</v>
      </c>
      <c r="R577" s="80">
        <v>0.3</v>
      </c>
      <c r="S577" s="80">
        <v>1.93</v>
      </c>
    </row>
    <row r="578" spans="1:19">
      <c r="A578" s="295"/>
      <c r="B578" s="243" t="s">
        <v>89</v>
      </c>
      <c r="C578" s="196" t="s">
        <v>131</v>
      </c>
      <c r="D578" s="92">
        <v>44</v>
      </c>
      <c r="E578" s="93">
        <v>46.44</v>
      </c>
      <c r="F578" s="93">
        <v>0.34</v>
      </c>
      <c r="G578" s="93">
        <v>142</v>
      </c>
      <c r="H578" s="93">
        <v>0.92</v>
      </c>
      <c r="I578" s="93">
        <v>0.9</v>
      </c>
      <c r="J578" s="93">
        <v>6.5</v>
      </c>
      <c r="K578" s="93">
        <v>24.3</v>
      </c>
      <c r="L578" s="93">
        <v>43.5</v>
      </c>
      <c r="M578" s="93">
        <v>20.7</v>
      </c>
      <c r="N578" s="93">
        <v>3.4</v>
      </c>
      <c r="O578" s="93">
        <v>0.4</v>
      </c>
      <c r="P578" s="93">
        <v>0.2</v>
      </c>
      <c r="Q578" s="93">
        <v>0.1</v>
      </c>
      <c r="R578" s="93">
        <v>0.3</v>
      </c>
      <c r="S578" s="93">
        <v>1.9</v>
      </c>
    </row>
    <row r="579" spans="1:19">
      <c r="A579" s="295"/>
      <c r="B579" s="243" t="s">
        <v>90</v>
      </c>
      <c r="C579" s="196" t="s">
        <v>131</v>
      </c>
      <c r="D579" s="94">
        <v>35</v>
      </c>
      <c r="E579" s="95">
        <v>46.44</v>
      </c>
      <c r="F579" s="95">
        <v>0.34</v>
      </c>
      <c r="G579" s="95">
        <v>154</v>
      </c>
      <c r="H579" s="95">
        <v>0.91</v>
      </c>
      <c r="I579" s="95">
        <v>1</v>
      </c>
      <c r="J579" s="95">
        <v>7.7</v>
      </c>
      <c r="K579" s="95">
        <v>24.1</v>
      </c>
      <c r="L579" s="95">
        <v>44.6</v>
      </c>
      <c r="M579" s="95">
        <v>19.899999999999999</v>
      </c>
      <c r="N579" s="95">
        <v>2.2999999999999998</v>
      </c>
      <c r="O579" s="95">
        <v>0.2</v>
      </c>
      <c r="P579" s="95">
        <v>0.1</v>
      </c>
      <c r="Q579" s="95">
        <v>0.1</v>
      </c>
      <c r="R579" s="95">
        <v>0.2</v>
      </c>
      <c r="S579" s="95">
        <v>1.92</v>
      </c>
    </row>
    <row r="580" spans="1:19">
      <c r="A580" s="295">
        <v>46011</v>
      </c>
      <c r="B580" s="243" t="s">
        <v>88</v>
      </c>
      <c r="C580" s="196" t="s">
        <v>131</v>
      </c>
      <c r="D580" s="78">
        <v>31</v>
      </c>
      <c r="E580" s="80">
        <v>46.44</v>
      </c>
      <c r="F580" s="80">
        <v>0.33</v>
      </c>
      <c r="G580" s="80">
        <v>150</v>
      </c>
      <c r="H580" s="80">
        <v>0.93</v>
      </c>
      <c r="I580" s="80">
        <v>1</v>
      </c>
      <c r="J580" s="80">
        <v>7</v>
      </c>
      <c r="K580" s="80">
        <v>27.9</v>
      </c>
      <c r="L580" s="80">
        <v>41.8</v>
      </c>
      <c r="M580" s="80">
        <v>18.5</v>
      </c>
      <c r="N580" s="80">
        <v>2.9</v>
      </c>
      <c r="O580" s="80">
        <v>0.4</v>
      </c>
      <c r="P580" s="80">
        <v>0.4</v>
      </c>
      <c r="Q580" s="80">
        <v>0.1</v>
      </c>
      <c r="R580" s="80">
        <v>0.5</v>
      </c>
      <c r="S580" s="80">
        <v>1.92</v>
      </c>
    </row>
    <row r="581" spans="1:19">
      <c r="A581" s="295"/>
      <c r="B581" s="243" t="s">
        <v>89</v>
      </c>
      <c r="C581" s="196" t="s">
        <v>131</v>
      </c>
      <c r="D581" s="92">
        <v>46</v>
      </c>
      <c r="E581" s="93">
        <v>46.43</v>
      </c>
      <c r="F581" s="93">
        <v>0.36</v>
      </c>
      <c r="G581" s="93">
        <v>146</v>
      </c>
      <c r="H581" s="93">
        <v>0.94</v>
      </c>
      <c r="I581" s="93">
        <v>1</v>
      </c>
      <c r="J581" s="93">
        <v>8.5</v>
      </c>
      <c r="K581" s="93">
        <v>27</v>
      </c>
      <c r="L581" s="93">
        <v>42.7</v>
      </c>
      <c r="M581" s="93">
        <v>18.3</v>
      </c>
      <c r="N581" s="93">
        <v>2.1</v>
      </c>
      <c r="O581" s="93">
        <v>0.2</v>
      </c>
      <c r="P581" s="93">
        <v>0.1</v>
      </c>
      <c r="Q581" s="93">
        <v>0.1</v>
      </c>
      <c r="R581" s="93">
        <v>0.2</v>
      </c>
      <c r="S581" s="93">
        <v>1.94</v>
      </c>
    </row>
    <row r="582" spans="1:19">
      <c r="A582" s="295"/>
      <c r="B582" s="243" t="s">
        <v>90</v>
      </c>
      <c r="C582" s="196" t="s">
        <v>131</v>
      </c>
      <c r="D582" s="94">
        <v>37</v>
      </c>
      <c r="E582" s="95">
        <v>46.44</v>
      </c>
      <c r="F582" s="95">
        <v>0.34</v>
      </c>
      <c r="G582" s="95">
        <v>138</v>
      </c>
      <c r="H582" s="95">
        <v>0.95</v>
      </c>
      <c r="I582" s="95">
        <v>1</v>
      </c>
      <c r="J582" s="95">
        <v>8.3000000000000007</v>
      </c>
      <c r="K582" s="95">
        <v>29.8</v>
      </c>
      <c r="L582" s="95">
        <v>43.4</v>
      </c>
      <c r="M582" s="95">
        <v>15.1</v>
      </c>
      <c r="N582" s="95">
        <v>1.9</v>
      </c>
      <c r="O582" s="95">
        <v>0.2</v>
      </c>
      <c r="P582" s="95">
        <v>0.2</v>
      </c>
      <c r="Q582" s="95">
        <v>0.1</v>
      </c>
      <c r="R582" s="95">
        <v>0.3</v>
      </c>
      <c r="S582" s="95">
        <v>1.96</v>
      </c>
    </row>
    <row r="583" spans="1:19">
      <c r="A583" s="295">
        <v>46012</v>
      </c>
      <c r="B583" s="243" t="s">
        <v>88</v>
      </c>
      <c r="C583" s="196" t="s">
        <v>131</v>
      </c>
      <c r="D583" s="78">
        <v>30</v>
      </c>
      <c r="E583" s="80">
        <v>46.43</v>
      </c>
      <c r="F583" s="80">
        <v>0.35</v>
      </c>
      <c r="G583" s="80">
        <v>142</v>
      </c>
      <c r="H583" s="80">
        <v>0.93</v>
      </c>
      <c r="I583" s="80">
        <v>0.7</v>
      </c>
      <c r="J583" s="80">
        <v>6.3</v>
      </c>
      <c r="K583" s="80">
        <v>26.3</v>
      </c>
      <c r="L583" s="80">
        <v>42.5</v>
      </c>
      <c r="M583" s="80">
        <v>20.2</v>
      </c>
      <c r="N583" s="80">
        <v>3.2</v>
      </c>
      <c r="O583" s="80">
        <v>0.4</v>
      </c>
      <c r="P583" s="80">
        <v>0.3</v>
      </c>
      <c r="Q583" s="80">
        <v>0.1</v>
      </c>
      <c r="R583" s="80">
        <v>0.4</v>
      </c>
      <c r="S583" s="80">
        <v>1.9</v>
      </c>
    </row>
    <row r="584" spans="1:19">
      <c r="A584" s="295"/>
      <c r="B584" s="243" t="s">
        <v>89</v>
      </c>
      <c r="C584" s="196" t="s">
        <v>131</v>
      </c>
      <c r="D584" s="92">
        <v>32</v>
      </c>
      <c r="E584" s="93">
        <v>46.44</v>
      </c>
      <c r="F584" s="93">
        <v>0.34</v>
      </c>
      <c r="G584" s="93">
        <v>139</v>
      </c>
      <c r="H584" s="93">
        <v>0.93</v>
      </c>
      <c r="I584" s="93">
        <v>1.3</v>
      </c>
      <c r="J584" s="93">
        <v>8.1999999999999993</v>
      </c>
      <c r="K584" s="93">
        <v>31.6</v>
      </c>
      <c r="L584" s="93">
        <v>42.8</v>
      </c>
      <c r="M584" s="93">
        <v>14</v>
      </c>
      <c r="N584" s="93">
        <v>1.8</v>
      </c>
      <c r="O584" s="93">
        <v>0.1</v>
      </c>
      <c r="P584" s="93">
        <v>0.1</v>
      </c>
      <c r="Q584" s="93">
        <v>0.1</v>
      </c>
      <c r="R584" s="93">
        <v>0.2</v>
      </c>
      <c r="S584" s="93">
        <v>1.97</v>
      </c>
    </row>
    <row r="585" spans="1:19">
      <c r="A585" s="295"/>
      <c r="B585" s="243" t="s">
        <v>90</v>
      </c>
      <c r="C585" s="196" t="s">
        <v>131</v>
      </c>
      <c r="D585" s="94">
        <v>34</v>
      </c>
      <c r="E585" s="95">
        <v>46.44</v>
      </c>
      <c r="F585" s="95">
        <v>0.33</v>
      </c>
      <c r="G585" s="95">
        <v>146</v>
      </c>
      <c r="H585" s="95">
        <v>0.9</v>
      </c>
      <c r="I585" s="95">
        <v>1.3</v>
      </c>
      <c r="J585" s="95">
        <v>9.9</v>
      </c>
      <c r="K585" s="95">
        <v>27.7</v>
      </c>
      <c r="L585" s="95">
        <v>42.8</v>
      </c>
      <c r="M585" s="95">
        <v>15.7</v>
      </c>
      <c r="N585" s="95">
        <v>2.1</v>
      </c>
      <c r="O585" s="95">
        <v>0.2</v>
      </c>
      <c r="P585" s="95">
        <v>0.2</v>
      </c>
      <c r="Q585" s="95">
        <v>0.1</v>
      </c>
      <c r="R585" s="95">
        <v>0.3</v>
      </c>
      <c r="S585" s="95">
        <v>1.96</v>
      </c>
    </row>
    <row r="586" spans="1:19">
      <c r="A586" s="295">
        <v>46013</v>
      </c>
      <c r="B586" s="243" t="s">
        <v>88</v>
      </c>
      <c r="C586" s="196" t="s">
        <v>131</v>
      </c>
      <c r="D586" s="78">
        <v>30</v>
      </c>
      <c r="E586" s="80">
        <v>46.43</v>
      </c>
      <c r="F586" s="80">
        <v>0.35</v>
      </c>
      <c r="G586" s="80">
        <v>143</v>
      </c>
      <c r="H586" s="80">
        <v>0.93</v>
      </c>
      <c r="I586" s="80">
        <v>0.8</v>
      </c>
      <c r="J586" s="80">
        <v>6.6</v>
      </c>
      <c r="K586" s="80">
        <v>27</v>
      </c>
      <c r="L586" s="80">
        <v>42.6</v>
      </c>
      <c r="M586" s="80">
        <v>18.7</v>
      </c>
      <c r="N586" s="80">
        <v>3.4</v>
      </c>
      <c r="O586" s="80">
        <v>0.4</v>
      </c>
      <c r="P586" s="80">
        <v>0.3</v>
      </c>
      <c r="Q586" s="80">
        <v>0.2</v>
      </c>
      <c r="R586" s="80">
        <v>0.5</v>
      </c>
      <c r="S586" s="80">
        <v>1.91</v>
      </c>
    </row>
    <row r="587" spans="1:19">
      <c r="A587" s="295"/>
      <c r="B587" s="243" t="s">
        <v>89</v>
      </c>
      <c r="C587" s="196" t="s">
        <v>131</v>
      </c>
      <c r="D587" s="92">
        <v>33</v>
      </c>
      <c r="E587" s="93">
        <v>46.44</v>
      </c>
      <c r="F587" s="93">
        <v>0.33</v>
      </c>
      <c r="G587" s="93">
        <v>138</v>
      </c>
      <c r="H587" s="93">
        <v>0.94</v>
      </c>
      <c r="I587" s="93">
        <v>0.4</v>
      </c>
      <c r="J587" s="93">
        <v>7.5</v>
      </c>
      <c r="K587" s="93">
        <v>27</v>
      </c>
      <c r="L587" s="93">
        <v>42.6</v>
      </c>
      <c r="M587" s="93">
        <v>19.5</v>
      </c>
      <c r="N587" s="93">
        <v>2.7</v>
      </c>
      <c r="O587" s="93">
        <v>0.1</v>
      </c>
      <c r="P587" s="93">
        <v>0.1</v>
      </c>
      <c r="Q587" s="93">
        <v>0.1</v>
      </c>
      <c r="R587" s="93">
        <v>0.2</v>
      </c>
      <c r="S587" s="93">
        <v>1.92</v>
      </c>
    </row>
    <row r="588" spans="1:19">
      <c r="A588" s="295"/>
      <c r="B588" s="243" t="s">
        <v>90</v>
      </c>
      <c r="C588" s="196" t="s">
        <v>131</v>
      </c>
      <c r="D588" s="94">
        <v>31</v>
      </c>
      <c r="E588" s="95">
        <v>46.44</v>
      </c>
      <c r="F588" s="95">
        <v>0.34</v>
      </c>
      <c r="G588" s="95">
        <v>140</v>
      </c>
      <c r="H588" s="95">
        <v>0.92</v>
      </c>
      <c r="I588" s="95">
        <v>1</v>
      </c>
      <c r="J588" s="95">
        <v>9.9</v>
      </c>
      <c r="K588" s="95">
        <v>28.1</v>
      </c>
      <c r="L588" s="95">
        <v>37.9</v>
      </c>
      <c r="M588" s="95">
        <v>19.8</v>
      </c>
      <c r="N588" s="95">
        <v>2.9</v>
      </c>
      <c r="O588" s="95">
        <v>0.2</v>
      </c>
      <c r="P588" s="95">
        <v>0.1</v>
      </c>
      <c r="Q588" s="95">
        <v>0.1</v>
      </c>
      <c r="R588" s="95">
        <v>0.2</v>
      </c>
      <c r="S588" s="95">
        <v>1.94</v>
      </c>
    </row>
    <row r="589" spans="1:19">
      <c r="A589" s="295">
        <v>46014</v>
      </c>
      <c r="B589" s="243" t="s">
        <v>88</v>
      </c>
      <c r="C589" s="196" t="s">
        <v>131</v>
      </c>
      <c r="D589" s="78">
        <v>41</v>
      </c>
      <c r="E589" s="80">
        <v>46.44</v>
      </c>
      <c r="F589" s="80">
        <v>0.33</v>
      </c>
      <c r="G589" s="80">
        <v>136</v>
      </c>
      <c r="H589" s="80">
        <v>0.93</v>
      </c>
      <c r="I589" s="80">
        <v>0.6</v>
      </c>
      <c r="J589" s="80">
        <v>6.4</v>
      </c>
      <c r="K589" s="80">
        <v>31.1</v>
      </c>
      <c r="L589" s="80">
        <v>42.3</v>
      </c>
      <c r="M589" s="80">
        <v>16.5</v>
      </c>
      <c r="N589" s="80">
        <v>2.8</v>
      </c>
      <c r="O589" s="80">
        <v>0.2</v>
      </c>
      <c r="P589" s="80">
        <v>0.1</v>
      </c>
      <c r="Q589" s="80">
        <v>0.1</v>
      </c>
      <c r="R589" s="80">
        <v>0.2</v>
      </c>
      <c r="S589" s="80">
        <v>1.93</v>
      </c>
    </row>
    <row r="590" spans="1:19">
      <c r="A590" s="295"/>
      <c r="B590" s="243" t="s">
        <v>89</v>
      </c>
      <c r="C590" s="196" t="s">
        <v>131</v>
      </c>
      <c r="D590" s="92">
        <v>40</v>
      </c>
      <c r="E590" s="93">
        <v>46.45</v>
      </c>
      <c r="F590" s="93">
        <v>0.32</v>
      </c>
      <c r="G590" s="93">
        <v>132</v>
      </c>
      <c r="H590" s="93">
        <v>0.96</v>
      </c>
      <c r="I590" s="93">
        <v>0.6</v>
      </c>
      <c r="J590" s="93">
        <v>9.1</v>
      </c>
      <c r="K590" s="93">
        <v>28.8</v>
      </c>
      <c r="L590" s="93">
        <v>43</v>
      </c>
      <c r="M590" s="93">
        <v>16</v>
      </c>
      <c r="N590" s="93">
        <v>2.2000000000000002</v>
      </c>
      <c r="O590" s="93">
        <v>0.1</v>
      </c>
      <c r="P590" s="93">
        <v>0.1</v>
      </c>
      <c r="Q590" s="93">
        <v>0.1</v>
      </c>
      <c r="R590" s="93">
        <v>0.2</v>
      </c>
      <c r="S590" s="93">
        <v>1.95</v>
      </c>
    </row>
    <row r="591" spans="1:19">
      <c r="A591" s="295"/>
      <c r="B591" s="243" t="s">
        <v>90</v>
      </c>
      <c r="C591" s="196" t="s">
        <v>131</v>
      </c>
      <c r="D591" s="94">
        <v>35</v>
      </c>
      <c r="E591" s="95">
        <v>46.44</v>
      </c>
      <c r="F591" s="95">
        <v>0.34</v>
      </c>
      <c r="G591" s="95">
        <v>138</v>
      </c>
      <c r="H591" s="95">
        <v>0.94</v>
      </c>
      <c r="I591" s="95">
        <v>0.9</v>
      </c>
      <c r="J591" s="95">
        <v>8.1</v>
      </c>
      <c r="K591" s="95">
        <v>27.4</v>
      </c>
      <c r="L591" s="95">
        <v>42.7</v>
      </c>
      <c r="M591" s="95">
        <v>17.100000000000001</v>
      </c>
      <c r="N591" s="95">
        <v>3.2</v>
      </c>
      <c r="O591" s="95">
        <v>0.3</v>
      </c>
      <c r="P591" s="95">
        <v>0.2</v>
      </c>
      <c r="Q591" s="95">
        <v>0.1</v>
      </c>
      <c r="R591" s="95">
        <v>0.3</v>
      </c>
      <c r="S591" s="95">
        <v>1.93</v>
      </c>
    </row>
    <row r="592" spans="1:19">
      <c r="A592" s="295">
        <v>46015</v>
      </c>
      <c r="B592" s="243" t="s">
        <v>88</v>
      </c>
      <c r="C592" s="196" t="s">
        <v>131</v>
      </c>
      <c r="D592" s="78">
        <v>45</v>
      </c>
      <c r="E592" s="80">
        <v>46.44</v>
      </c>
      <c r="F592" s="80">
        <v>0.32</v>
      </c>
      <c r="G592" s="80">
        <v>140</v>
      </c>
      <c r="H592" s="80">
        <v>0.92</v>
      </c>
      <c r="I592" s="80">
        <v>0.5</v>
      </c>
      <c r="J592" s="80">
        <v>9.3000000000000007</v>
      </c>
      <c r="K592" s="80">
        <v>28</v>
      </c>
      <c r="L592" s="80">
        <v>41.8</v>
      </c>
      <c r="M592" s="80">
        <v>17.2</v>
      </c>
      <c r="N592" s="80">
        <v>2.8</v>
      </c>
      <c r="O592" s="80">
        <v>0.2</v>
      </c>
      <c r="P592" s="80">
        <v>0.1</v>
      </c>
      <c r="Q592" s="80">
        <v>0.1</v>
      </c>
      <c r="R592" s="80">
        <v>0.2</v>
      </c>
      <c r="S592" s="80">
        <v>1.94</v>
      </c>
    </row>
    <row r="593" spans="1:19">
      <c r="A593" s="295"/>
      <c r="B593" s="243" t="s">
        <v>89</v>
      </c>
      <c r="C593" s="196" t="s">
        <v>131</v>
      </c>
      <c r="D593" s="92">
        <v>40</v>
      </c>
      <c r="E593" s="93">
        <v>46.44</v>
      </c>
      <c r="F593" s="93">
        <v>0.33</v>
      </c>
      <c r="G593" s="93">
        <v>146</v>
      </c>
      <c r="H593" s="93">
        <v>0.94</v>
      </c>
      <c r="I593" s="93">
        <v>1</v>
      </c>
      <c r="J593" s="93">
        <v>9.9</v>
      </c>
      <c r="K593" s="93">
        <v>32.5</v>
      </c>
      <c r="L593" s="93">
        <v>38.299999999999997</v>
      </c>
      <c r="M593" s="93">
        <v>16</v>
      </c>
      <c r="N593" s="93">
        <v>2</v>
      </c>
      <c r="O593" s="93">
        <v>0.2</v>
      </c>
      <c r="P593" s="93">
        <v>0.1</v>
      </c>
      <c r="Q593" s="93">
        <v>0</v>
      </c>
      <c r="R593" s="93">
        <v>0.1</v>
      </c>
      <c r="S593" s="93">
        <v>1.98</v>
      </c>
    </row>
    <row r="594" spans="1:19">
      <c r="A594" s="295"/>
      <c r="B594" s="243" t="s">
        <v>90</v>
      </c>
      <c r="C594" s="196" t="s">
        <v>131</v>
      </c>
      <c r="D594" s="94">
        <v>38</v>
      </c>
      <c r="E594" s="95">
        <v>46.44</v>
      </c>
      <c r="F594" s="95">
        <v>0.34</v>
      </c>
      <c r="G594" s="95">
        <v>142</v>
      </c>
      <c r="H594" s="95">
        <v>0.93</v>
      </c>
      <c r="I594" s="95">
        <v>0.7</v>
      </c>
      <c r="J594" s="95">
        <v>8.8000000000000007</v>
      </c>
      <c r="K594" s="95">
        <v>29.1</v>
      </c>
      <c r="L594" s="95">
        <v>38.4</v>
      </c>
      <c r="M594" s="95">
        <v>19.3</v>
      </c>
      <c r="N594" s="95">
        <v>3.2</v>
      </c>
      <c r="O594" s="95">
        <v>0.2</v>
      </c>
      <c r="P594" s="95">
        <v>0.2</v>
      </c>
      <c r="Q594" s="95">
        <v>0.1</v>
      </c>
      <c r="R594" s="95">
        <v>0.3</v>
      </c>
      <c r="S594" s="95">
        <v>1.93</v>
      </c>
    </row>
    <row r="595" spans="1:19">
      <c r="A595" s="295">
        <v>46016</v>
      </c>
      <c r="B595" s="243" t="s">
        <v>88</v>
      </c>
      <c r="C595" s="196" t="s">
        <v>131</v>
      </c>
      <c r="D595" s="78">
        <v>46</v>
      </c>
      <c r="E595" s="80">
        <v>46.44</v>
      </c>
      <c r="F595" s="80">
        <v>0.31</v>
      </c>
      <c r="G595" s="80">
        <v>138</v>
      </c>
      <c r="H595" s="80">
        <v>0.96</v>
      </c>
      <c r="I595" s="80">
        <v>0.4</v>
      </c>
      <c r="J595" s="80">
        <v>8.1999999999999993</v>
      </c>
      <c r="K595" s="80">
        <v>30.5</v>
      </c>
      <c r="L595" s="80">
        <v>40.5</v>
      </c>
      <c r="M595" s="80">
        <v>16.8</v>
      </c>
      <c r="N595" s="80">
        <v>3</v>
      </c>
      <c r="O595" s="80">
        <v>0.3</v>
      </c>
      <c r="P595" s="80">
        <v>0.2</v>
      </c>
      <c r="Q595" s="80">
        <v>0.1</v>
      </c>
      <c r="R595" s="80">
        <v>0.3</v>
      </c>
      <c r="S595" s="80">
        <v>1.94</v>
      </c>
    </row>
    <row r="596" spans="1:19">
      <c r="A596" s="295"/>
      <c r="B596" s="243" t="s">
        <v>89</v>
      </c>
      <c r="C596" s="196" t="s">
        <v>131</v>
      </c>
      <c r="D596" s="92">
        <v>42</v>
      </c>
      <c r="E596" s="93">
        <v>46.43</v>
      </c>
      <c r="F596" s="93">
        <v>0.35</v>
      </c>
      <c r="G596" s="93">
        <v>151</v>
      </c>
      <c r="H596" s="93">
        <v>0.95</v>
      </c>
      <c r="I596" s="93">
        <v>0.3</v>
      </c>
      <c r="J596" s="93">
        <v>6.4</v>
      </c>
      <c r="K596" s="93">
        <v>30.3</v>
      </c>
      <c r="L596" s="93">
        <v>40</v>
      </c>
      <c r="M596" s="93">
        <v>19.8</v>
      </c>
      <c r="N596" s="93">
        <v>2.8</v>
      </c>
      <c r="O596" s="93">
        <v>0.2</v>
      </c>
      <c r="P596" s="93">
        <v>0.1</v>
      </c>
      <c r="Q596" s="93">
        <v>0.1</v>
      </c>
      <c r="R596" s="93">
        <v>0.2</v>
      </c>
      <c r="S596" s="93">
        <v>1.92</v>
      </c>
    </row>
    <row r="597" spans="1:19">
      <c r="A597" s="295"/>
      <c r="B597" s="243" t="s">
        <v>90</v>
      </c>
      <c r="C597" s="196" t="s">
        <v>131</v>
      </c>
      <c r="D597" s="94">
        <v>32</v>
      </c>
      <c r="E597" s="95">
        <v>46.44</v>
      </c>
      <c r="F597" s="95">
        <v>0.34</v>
      </c>
      <c r="G597" s="95">
        <v>145</v>
      </c>
      <c r="H597" s="95">
        <v>0.95</v>
      </c>
      <c r="I597" s="95">
        <v>0.5</v>
      </c>
      <c r="J597" s="95">
        <v>6.9</v>
      </c>
      <c r="K597" s="95">
        <v>28.1</v>
      </c>
      <c r="L597" s="95">
        <v>41.8</v>
      </c>
      <c r="M597" s="95">
        <v>18.3</v>
      </c>
      <c r="N597" s="95">
        <v>3.5</v>
      </c>
      <c r="O597" s="95">
        <v>0.5</v>
      </c>
      <c r="P597" s="95">
        <v>0.3</v>
      </c>
      <c r="Q597" s="95">
        <v>0.1</v>
      </c>
      <c r="R597" s="95">
        <v>0.4</v>
      </c>
      <c r="S597" s="95">
        <v>1.91</v>
      </c>
    </row>
    <row r="598" spans="1:19">
      <c r="A598" s="295">
        <v>46017</v>
      </c>
      <c r="B598" s="243" t="s">
        <v>88</v>
      </c>
      <c r="C598" s="196" t="s">
        <v>131</v>
      </c>
      <c r="D598" s="78">
        <v>45</v>
      </c>
      <c r="E598" s="80">
        <v>46.45</v>
      </c>
      <c r="F598" s="80">
        <v>0.3</v>
      </c>
      <c r="G598" s="80">
        <v>146</v>
      </c>
      <c r="H598" s="80">
        <v>0.93</v>
      </c>
      <c r="I598" s="80">
        <v>0.2</v>
      </c>
      <c r="J598" s="80">
        <v>5.0999999999999996</v>
      </c>
      <c r="K598" s="80">
        <v>22.6</v>
      </c>
      <c r="L598" s="80">
        <v>43.9</v>
      </c>
      <c r="M598" s="80">
        <v>24.2</v>
      </c>
      <c r="N598" s="80">
        <v>3.5</v>
      </c>
      <c r="O598" s="80">
        <v>0.3</v>
      </c>
      <c r="P598" s="80">
        <v>0.1</v>
      </c>
      <c r="Q598" s="80">
        <v>0.1</v>
      </c>
      <c r="R598" s="80">
        <v>0.2</v>
      </c>
      <c r="S598" s="80">
        <v>1.86</v>
      </c>
    </row>
    <row r="599" spans="1:19">
      <c r="A599" s="295"/>
      <c r="B599" s="243" t="s">
        <v>89</v>
      </c>
      <c r="C599" s="196" t="s">
        <v>131</v>
      </c>
      <c r="D599" s="92">
        <v>34</v>
      </c>
      <c r="E599" s="93">
        <v>46.44</v>
      </c>
      <c r="F599" s="93">
        <v>0.31</v>
      </c>
      <c r="G599" s="93">
        <v>140</v>
      </c>
      <c r="H599" s="93">
        <v>0.96</v>
      </c>
      <c r="I599" s="93">
        <v>0.7</v>
      </c>
      <c r="J599" s="93">
        <v>8.1999999999999993</v>
      </c>
      <c r="K599" s="93">
        <v>31.3</v>
      </c>
      <c r="L599" s="93">
        <v>40.6</v>
      </c>
      <c r="M599" s="93">
        <v>17.2</v>
      </c>
      <c r="N599" s="93">
        <v>1.9</v>
      </c>
      <c r="O599" s="93">
        <v>0.1</v>
      </c>
      <c r="P599" s="93">
        <v>0.1</v>
      </c>
      <c r="Q599" s="93">
        <v>0.1</v>
      </c>
      <c r="R599" s="93">
        <v>0.2</v>
      </c>
      <c r="S599" s="93">
        <v>1.96</v>
      </c>
    </row>
    <row r="600" spans="1:19">
      <c r="A600" s="295"/>
      <c r="B600" s="243" t="s">
        <v>90</v>
      </c>
      <c r="C600" s="196" t="s">
        <v>131</v>
      </c>
      <c r="D600" s="94">
        <v>32</v>
      </c>
      <c r="E600" s="95">
        <v>46.44</v>
      </c>
      <c r="F600" s="95">
        <v>0.32</v>
      </c>
      <c r="G600" s="95">
        <v>143</v>
      </c>
      <c r="H600" s="95">
        <v>0.94</v>
      </c>
      <c r="I600" s="95">
        <v>0.5</v>
      </c>
      <c r="J600" s="95">
        <v>7.3</v>
      </c>
      <c r="K600" s="95">
        <v>30.1</v>
      </c>
      <c r="L600" s="95">
        <v>40.1</v>
      </c>
      <c r="M600" s="95">
        <v>19.3</v>
      </c>
      <c r="N600" s="95">
        <v>2.2000000000000002</v>
      </c>
      <c r="O600" s="95">
        <v>0.2</v>
      </c>
      <c r="P600" s="95">
        <v>0.2</v>
      </c>
      <c r="Q600" s="95">
        <v>0.1</v>
      </c>
      <c r="R600" s="95">
        <v>0.3</v>
      </c>
      <c r="S600" s="95">
        <v>1.93</v>
      </c>
    </row>
    <row r="601" spans="1:19">
      <c r="A601" s="295">
        <v>46018</v>
      </c>
      <c r="B601" s="259" t="s">
        <v>88</v>
      </c>
      <c r="C601" s="196" t="s">
        <v>131</v>
      </c>
      <c r="D601" s="80">
        <v>40</v>
      </c>
      <c r="E601" s="80">
        <v>46.44</v>
      </c>
      <c r="F601" s="80">
        <v>0.34</v>
      </c>
      <c r="G601" s="80">
        <v>148</v>
      </c>
      <c r="H601" s="80">
        <v>0.92</v>
      </c>
      <c r="I601" s="80">
        <v>0.4</v>
      </c>
      <c r="J601" s="80">
        <v>7.7</v>
      </c>
      <c r="K601" s="80">
        <v>28</v>
      </c>
      <c r="L601" s="80">
        <v>43</v>
      </c>
      <c r="M601" s="80">
        <v>17.899999999999999</v>
      </c>
      <c r="N601" s="80">
        <v>2.5</v>
      </c>
      <c r="O601" s="80">
        <v>0.2</v>
      </c>
      <c r="P601" s="80">
        <v>0.1</v>
      </c>
      <c r="Q601" s="80">
        <v>0.1</v>
      </c>
      <c r="R601" s="80">
        <v>0.2</v>
      </c>
      <c r="S601" s="80">
        <v>1.93</v>
      </c>
    </row>
    <row r="602" spans="1:19">
      <c r="A602" s="295"/>
      <c r="B602" s="259" t="s">
        <v>89</v>
      </c>
      <c r="C602" s="196" t="s">
        <v>131</v>
      </c>
      <c r="D602" s="93">
        <v>37</v>
      </c>
      <c r="E602" s="93">
        <v>46.45</v>
      </c>
      <c r="F602" s="93">
        <v>0.35</v>
      </c>
      <c r="G602" s="93">
        <v>144</v>
      </c>
      <c r="H602" s="93">
        <v>0.94</v>
      </c>
      <c r="I602" s="93">
        <v>0.4</v>
      </c>
      <c r="J602" s="93">
        <v>6.2</v>
      </c>
      <c r="K602" s="93">
        <v>26.1</v>
      </c>
      <c r="L602" s="93">
        <v>43.1</v>
      </c>
      <c r="M602" s="93">
        <v>19.399999999999999</v>
      </c>
      <c r="N602" s="93">
        <v>3.7</v>
      </c>
      <c r="O602" s="93">
        <v>0.5</v>
      </c>
      <c r="P602" s="93">
        <v>0.4</v>
      </c>
      <c r="Q602" s="93">
        <v>0.2</v>
      </c>
      <c r="R602" s="93">
        <v>0.6</v>
      </c>
      <c r="S602" s="93">
        <v>1.89</v>
      </c>
    </row>
    <row r="603" spans="1:19">
      <c r="A603" s="295"/>
      <c r="B603" s="259" t="s">
        <v>90</v>
      </c>
      <c r="C603" s="196" t="s">
        <v>131</v>
      </c>
      <c r="D603" s="95">
        <v>34</v>
      </c>
      <c r="E603" s="95">
        <v>46.44</v>
      </c>
      <c r="F603" s="95">
        <v>0.34</v>
      </c>
      <c r="G603" s="95">
        <v>138</v>
      </c>
      <c r="H603" s="95">
        <v>0.9</v>
      </c>
      <c r="I603" s="95">
        <v>0.5</v>
      </c>
      <c r="J603" s="95">
        <v>6.6</v>
      </c>
      <c r="K603" s="95">
        <v>25.6</v>
      </c>
      <c r="L603" s="95">
        <v>43.2</v>
      </c>
      <c r="M603" s="95">
        <v>19.600000000000001</v>
      </c>
      <c r="N603" s="95">
        <v>3.6</v>
      </c>
      <c r="O603" s="95">
        <v>0.5</v>
      </c>
      <c r="P603" s="95">
        <v>0.3</v>
      </c>
      <c r="Q603" s="95">
        <v>0.1</v>
      </c>
      <c r="R603" s="95">
        <v>0.4</v>
      </c>
      <c r="S603" s="95">
        <v>1.9</v>
      </c>
    </row>
    <row r="604" spans="1:19">
      <c r="A604" s="295">
        <v>46019</v>
      </c>
      <c r="B604" s="243" t="s">
        <v>88</v>
      </c>
      <c r="C604" s="196" t="s">
        <v>131</v>
      </c>
      <c r="D604" s="78">
        <v>41</v>
      </c>
      <c r="E604" s="80">
        <v>46.44</v>
      </c>
      <c r="F604" s="80">
        <v>0.32</v>
      </c>
      <c r="G604" s="80">
        <v>146</v>
      </c>
      <c r="H604" s="80">
        <v>0.94</v>
      </c>
      <c r="I604" s="80">
        <v>0.3</v>
      </c>
      <c r="J604" s="80">
        <v>5.6</v>
      </c>
      <c r="K604" s="80">
        <v>25.8</v>
      </c>
      <c r="L604" s="80">
        <v>44.7</v>
      </c>
      <c r="M604" s="80">
        <v>20.9</v>
      </c>
      <c r="N604" s="80">
        <v>2.2999999999999998</v>
      </c>
      <c r="O604" s="80">
        <v>0.2</v>
      </c>
      <c r="P604" s="80">
        <v>0.1</v>
      </c>
      <c r="Q604" s="80">
        <v>0.1</v>
      </c>
      <c r="R604" s="80">
        <v>0.2</v>
      </c>
      <c r="S604" s="80">
        <v>1.9</v>
      </c>
    </row>
    <row r="605" spans="1:19">
      <c r="A605" s="295"/>
      <c r="B605" s="243" t="s">
        <v>89</v>
      </c>
      <c r="C605" s="196" t="s">
        <v>131</v>
      </c>
      <c r="D605" s="92">
        <v>38</v>
      </c>
      <c r="E605" s="93">
        <v>46.45</v>
      </c>
      <c r="F605" s="93">
        <v>0.31</v>
      </c>
      <c r="G605" s="93">
        <v>142</v>
      </c>
      <c r="H605" s="93">
        <v>0.91</v>
      </c>
      <c r="I605" s="93">
        <v>0.4</v>
      </c>
      <c r="J605" s="93">
        <v>4.8</v>
      </c>
      <c r="K605" s="93">
        <v>28.5</v>
      </c>
      <c r="L605" s="93">
        <v>42.5</v>
      </c>
      <c r="M605" s="93">
        <v>19.5</v>
      </c>
      <c r="N605" s="93">
        <v>3.6</v>
      </c>
      <c r="O605" s="93">
        <v>0.4</v>
      </c>
      <c r="P605" s="93">
        <v>0.2</v>
      </c>
      <c r="Q605" s="93">
        <v>0.1</v>
      </c>
      <c r="R605" s="93">
        <v>0.3</v>
      </c>
      <c r="S605" s="93">
        <v>1.89</v>
      </c>
    </row>
    <row r="606" spans="1:19">
      <c r="A606" s="295"/>
      <c r="B606" s="243" t="s">
        <v>90</v>
      </c>
      <c r="C606" s="196" t="s">
        <v>131</v>
      </c>
      <c r="D606" s="94">
        <v>33</v>
      </c>
      <c r="E606" s="95">
        <v>46.43</v>
      </c>
      <c r="F606" s="95">
        <v>0.34</v>
      </c>
      <c r="G606" s="95">
        <v>140</v>
      </c>
      <c r="H606" s="95">
        <v>0.93</v>
      </c>
      <c r="I606" s="95">
        <v>0.3</v>
      </c>
      <c r="J606" s="95">
        <v>5.2</v>
      </c>
      <c r="K606" s="95">
        <v>24.4</v>
      </c>
      <c r="L606" s="95">
        <v>45.4</v>
      </c>
      <c r="M606" s="95">
        <v>20.8</v>
      </c>
      <c r="N606" s="95">
        <v>3.3</v>
      </c>
      <c r="O606" s="95">
        <v>0.4</v>
      </c>
      <c r="P606" s="95">
        <v>0.2</v>
      </c>
      <c r="Q606" s="95">
        <v>0.1</v>
      </c>
      <c r="R606" s="95">
        <v>0.3</v>
      </c>
      <c r="S606" s="95">
        <v>1.88</v>
      </c>
    </row>
    <row r="607" spans="1:19">
      <c r="A607" s="295">
        <v>46020</v>
      </c>
      <c r="B607" s="243" t="s">
        <v>88</v>
      </c>
      <c r="C607" s="196" t="s">
        <v>131</v>
      </c>
      <c r="D607" s="78">
        <v>38</v>
      </c>
      <c r="E607" s="80">
        <v>46.44</v>
      </c>
      <c r="F607" s="80">
        <v>0.33</v>
      </c>
      <c r="G607" s="80">
        <v>147</v>
      </c>
      <c r="H607" s="80">
        <v>0.94</v>
      </c>
      <c r="I607" s="80">
        <v>1.3</v>
      </c>
      <c r="J607" s="80">
        <v>9.6999999999999993</v>
      </c>
      <c r="K607" s="80">
        <v>29.6</v>
      </c>
      <c r="L607" s="80">
        <v>41</v>
      </c>
      <c r="M607" s="80">
        <v>16.3</v>
      </c>
      <c r="N607" s="80">
        <v>1.8</v>
      </c>
      <c r="O607" s="80">
        <v>0.1</v>
      </c>
      <c r="P607" s="80">
        <v>0.1</v>
      </c>
      <c r="Q607" s="80">
        <v>0.1</v>
      </c>
      <c r="R607" s="80">
        <v>0.2</v>
      </c>
      <c r="S607" s="80">
        <v>1.97</v>
      </c>
    </row>
    <row r="608" spans="1:19">
      <c r="A608" s="295"/>
      <c r="B608" s="243" t="s">
        <v>89</v>
      </c>
      <c r="C608" s="196" t="s">
        <v>131</v>
      </c>
      <c r="D608" s="92">
        <v>36</v>
      </c>
      <c r="E608" s="93">
        <v>46.43</v>
      </c>
      <c r="F608" s="93">
        <v>0.35</v>
      </c>
      <c r="G608" s="93">
        <v>142</v>
      </c>
      <c r="H608" s="93">
        <v>0.93</v>
      </c>
      <c r="I608" s="93">
        <v>0.8</v>
      </c>
      <c r="J608" s="93">
        <v>6.7</v>
      </c>
      <c r="K608" s="93">
        <v>26.1</v>
      </c>
      <c r="L608" s="93">
        <v>42.6</v>
      </c>
      <c r="M608" s="93">
        <v>18.8</v>
      </c>
      <c r="N608" s="93">
        <v>4.0999999999999996</v>
      </c>
      <c r="O608" s="93">
        <v>0.4</v>
      </c>
      <c r="P608" s="93">
        <v>0.3</v>
      </c>
      <c r="Q608" s="93">
        <v>0.2</v>
      </c>
      <c r="R608" s="93">
        <v>0.5</v>
      </c>
      <c r="S608" s="93">
        <v>1.9</v>
      </c>
    </row>
    <row r="609" spans="1:19">
      <c r="A609" s="295"/>
      <c r="B609" s="243" t="s">
        <v>90</v>
      </c>
      <c r="C609" s="196" t="s">
        <v>131</v>
      </c>
      <c r="D609" s="94">
        <v>34</v>
      </c>
      <c r="E609" s="95">
        <v>46.43</v>
      </c>
      <c r="F609" s="95">
        <v>0.36</v>
      </c>
      <c r="G609" s="95">
        <v>144</v>
      </c>
      <c r="H609" s="95">
        <v>0.91</v>
      </c>
      <c r="I609" s="95">
        <v>0.6</v>
      </c>
      <c r="J609" s="95">
        <v>7.3</v>
      </c>
      <c r="K609" s="95">
        <v>25</v>
      </c>
      <c r="L609" s="95">
        <v>42.6</v>
      </c>
      <c r="M609" s="95">
        <v>20.2</v>
      </c>
      <c r="N609" s="95">
        <v>3.7</v>
      </c>
      <c r="O609" s="95">
        <v>0.3</v>
      </c>
      <c r="P609" s="95">
        <v>0.2</v>
      </c>
      <c r="Q609" s="95">
        <v>0.1</v>
      </c>
      <c r="R609" s="95">
        <v>0.3</v>
      </c>
      <c r="S609" s="95">
        <v>1.9</v>
      </c>
    </row>
    <row r="610" spans="1:19">
      <c r="A610" s="295">
        <v>46021</v>
      </c>
      <c r="B610" s="243" t="s">
        <v>88</v>
      </c>
      <c r="C610" s="196" t="s">
        <v>131</v>
      </c>
      <c r="D610" s="78">
        <v>38</v>
      </c>
      <c r="E610" s="80">
        <v>46.43</v>
      </c>
      <c r="F610" s="80">
        <v>0.35</v>
      </c>
      <c r="G610" s="80">
        <v>140</v>
      </c>
      <c r="H610" s="80">
        <v>0.92</v>
      </c>
      <c r="I610" s="80">
        <v>0.6</v>
      </c>
      <c r="J610" s="80">
        <v>5.0999999999999996</v>
      </c>
      <c r="K610" s="80">
        <v>19.8</v>
      </c>
      <c r="L610" s="80">
        <v>48.1</v>
      </c>
      <c r="M610" s="80">
        <v>20.100000000000001</v>
      </c>
      <c r="N610" s="80">
        <v>5.2</v>
      </c>
      <c r="O610" s="80">
        <v>0.6</v>
      </c>
      <c r="P610" s="80">
        <v>0.4</v>
      </c>
      <c r="Q610" s="80">
        <v>0.1</v>
      </c>
      <c r="R610" s="80">
        <v>0.5</v>
      </c>
      <c r="S610" s="80">
        <v>1.85</v>
      </c>
    </row>
    <row r="611" spans="1:19">
      <c r="A611" s="295"/>
      <c r="B611" s="243" t="s">
        <v>89</v>
      </c>
      <c r="C611" s="196" t="s">
        <v>131</v>
      </c>
      <c r="D611" s="92">
        <v>35</v>
      </c>
      <c r="E611" s="93">
        <v>46.44</v>
      </c>
      <c r="F611" s="93">
        <v>0.33</v>
      </c>
      <c r="G611" s="93">
        <v>136</v>
      </c>
      <c r="H611" s="93">
        <v>0.93</v>
      </c>
      <c r="I611" s="93">
        <v>1.8</v>
      </c>
      <c r="J611" s="93">
        <v>9.1999999999999993</v>
      </c>
      <c r="K611" s="93">
        <v>31.1</v>
      </c>
      <c r="L611" s="93">
        <v>39.9</v>
      </c>
      <c r="M611" s="93">
        <v>16.3</v>
      </c>
      <c r="N611" s="93">
        <v>1.6</v>
      </c>
      <c r="O611" s="93">
        <v>0.1</v>
      </c>
      <c r="P611" s="93">
        <v>0.1</v>
      </c>
      <c r="Q611" s="93">
        <v>0.1</v>
      </c>
      <c r="R611" s="93">
        <v>0.2</v>
      </c>
      <c r="S611" s="93">
        <v>1.98</v>
      </c>
    </row>
    <row r="612" spans="1:19">
      <c r="A612" s="295"/>
      <c r="B612" s="243" t="s">
        <v>90</v>
      </c>
      <c r="C612" s="196" t="s">
        <v>131</v>
      </c>
      <c r="D612" s="94">
        <v>33</v>
      </c>
      <c r="E612" s="95">
        <v>46.43</v>
      </c>
      <c r="F612" s="95">
        <v>0.35</v>
      </c>
      <c r="G612" s="95">
        <v>132</v>
      </c>
      <c r="H612" s="95">
        <v>0.92</v>
      </c>
      <c r="I612" s="95">
        <v>1</v>
      </c>
      <c r="J612" s="95">
        <v>6.4</v>
      </c>
      <c r="K612" s="95">
        <v>24</v>
      </c>
      <c r="L612" s="95">
        <v>43.9</v>
      </c>
      <c r="M612" s="95">
        <v>21.2</v>
      </c>
      <c r="N612" s="95">
        <v>3</v>
      </c>
      <c r="O612" s="95">
        <v>0.2</v>
      </c>
      <c r="P612" s="95">
        <v>0.2</v>
      </c>
      <c r="Q612" s="95">
        <v>0.1</v>
      </c>
      <c r="R612" s="95">
        <v>0.3</v>
      </c>
      <c r="S612" s="95">
        <v>1.9</v>
      </c>
    </row>
    <row r="613" spans="1:19">
      <c r="A613" s="295">
        <v>46022</v>
      </c>
      <c r="B613" s="243" t="s">
        <v>88</v>
      </c>
      <c r="C613" s="196" t="s">
        <v>131</v>
      </c>
      <c r="D613" s="78">
        <v>36</v>
      </c>
      <c r="E613" s="80">
        <v>46.43</v>
      </c>
      <c r="F613" s="80">
        <v>0.34</v>
      </c>
      <c r="G613" s="80">
        <v>130</v>
      </c>
      <c r="H613" s="80">
        <v>0.93</v>
      </c>
      <c r="I613" s="80">
        <v>0.6</v>
      </c>
      <c r="J613" s="80">
        <v>7.4</v>
      </c>
      <c r="K613" s="80">
        <v>28.8</v>
      </c>
      <c r="L613" s="80">
        <v>44</v>
      </c>
      <c r="M613" s="80">
        <v>17.5</v>
      </c>
      <c r="N613" s="122">
        <v>1.7</v>
      </c>
      <c r="O613" s="80">
        <v>0.1</v>
      </c>
      <c r="P613" s="80">
        <v>0.1</v>
      </c>
      <c r="Q613" s="80">
        <v>0.1</v>
      </c>
      <c r="R613" s="80">
        <v>0.2</v>
      </c>
      <c r="S613" s="80">
        <v>1.94</v>
      </c>
    </row>
    <row r="614" spans="1:19">
      <c r="A614" s="295"/>
      <c r="B614" s="243" t="s">
        <v>89</v>
      </c>
      <c r="C614" s="196" t="s">
        <v>131</v>
      </c>
      <c r="D614" s="78">
        <v>40</v>
      </c>
      <c r="E614" s="80">
        <v>46.44</v>
      </c>
      <c r="F614" s="80">
        <v>0.34</v>
      </c>
      <c r="G614" s="80">
        <v>134</v>
      </c>
      <c r="H614" s="80">
        <v>0.92</v>
      </c>
      <c r="I614" s="80">
        <v>0.6</v>
      </c>
      <c r="J614" s="80">
        <v>6.5</v>
      </c>
      <c r="K614" s="80">
        <v>25</v>
      </c>
      <c r="L614" s="80">
        <v>45.2</v>
      </c>
      <c r="M614" s="80">
        <v>19.100000000000001</v>
      </c>
      <c r="N614" s="80">
        <v>3.2</v>
      </c>
      <c r="O614" s="80">
        <v>0.2</v>
      </c>
      <c r="P614" s="80">
        <v>0.1</v>
      </c>
      <c r="Q614" s="80">
        <v>0.1</v>
      </c>
      <c r="R614" s="80">
        <v>0.2</v>
      </c>
      <c r="S614" s="80">
        <v>1.9</v>
      </c>
    </row>
    <row r="615" spans="1:19">
      <c r="A615" s="295"/>
      <c r="B615" s="243" t="s">
        <v>90</v>
      </c>
      <c r="C615" s="260" t="s">
        <v>131</v>
      </c>
      <c r="D615" s="123">
        <v>38</v>
      </c>
      <c r="E615" s="124">
        <v>46.41</v>
      </c>
      <c r="F615" s="124">
        <v>0.39</v>
      </c>
      <c r="G615" s="124">
        <v>142</v>
      </c>
      <c r="H615" s="124">
        <v>0.92</v>
      </c>
      <c r="I615" s="124">
        <v>0.4</v>
      </c>
      <c r="J615" s="124">
        <v>6</v>
      </c>
      <c r="K615" s="124">
        <v>23.2</v>
      </c>
      <c r="L615" s="124">
        <v>47</v>
      </c>
      <c r="M615" s="124">
        <v>20.5</v>
      </c>
      <c r="N615" s="124">
        <v>2.5</v>
      </c>
      <c r="O615" s="124">
        <v>0.2</v>
      </c>
      <c r="P615" s="124">
        <v>0.1</v>
      </c>
      <c r="Q615" s="124">
        <v>0.1</v>
      </c>
      <c r="R615" s="124">
        <v>0.2</v>
      </c>
      <c r="S615" s="124">
        <v>1.89</v>
      </c>
    </row>
    <row r="616" spans="1:19">
      <c r="A616" s="295">
        <v>46023</v>
      </c>
      <c r="B616" s="259" t="s">
        <v>88</v>
      </c>
      <c r="C616" s="260" t="s">
        <v>131</v>
      </c>
      <c r="D616" s="78">
        <v>40</v>
      </c>
      <c r="E616" s="80">
        <v>46.43</v>
      </c>
      <c r="F616" s="80">
        <v>0.34</v>
      </c>
      <c r="G616" s="80">
        <v>136</v>
      </c>
      <c r="H616" s="80">
        <v>0.95</v>
      </c>
      <c r="I616" s="80">
        <v>0.9</v>
      </c>
      <c r="J616" s="80">
        <v>7.9</v>
      </c>
      <c r="K616" s="80">
        <v>30.5</v>
      </c>
      <c r="L616" s="80">
        <v>41.7</v>
      </c>
      <c r="M616" s="80">
        <v>15.8</v>
      </c>
      <c r="N616" s="80">
        <v>2.5</v>
      </c>
      <c r="O616" s="80">
        <v>0.3</v>
      </c>
      <c r="P616" s="80">
        <v>0.3</v>
      </c>
      <c r="Q616" s="80">
        <v>0.1</v>
      </c>
      <c r="R616" s="80">
        <v>0.4</v>
      </c>
      <c r="S616" s="80">
        <v>1.95</v>
      </c>
    </row>
    <row r="617" spans="1:19">
      <c r="A617" s="295"/>
      <c r="B617" s="259" t="s">
        <v>89</v>
      </c>
      <c r="C617" s="260" t="s">
        <v>131</v>
      </c>
      <c r="D617" s="94">
        <v>37</v>
      </c>
      <c r="E617" s="95">
        <v>46.43</v>
      </c>
      <c r="F617" s="95">
        <v>0.33</v>
      </c>
      <c r="G617" s="95">
        <v>140</v>
      </c>
      <c r="H617" s="95">
        <v>0.94</v>
      </c>
      <c r="I617" s="95">
        <v>0.6</v>
      </c>
      <c r="J617" s="95">
        <v>6.4</v>
      </c>
      <c r="K617" s="95">
        <v>26.1</v>
      </c>
      <c r="L617" s="95">
        <v>42.7</v>
      </c>
      <c r="M617" s="95">
        <v>20</v>
      </c>
      <c r="N617" s="95">
        <v>3.5</v>
      </c>
      <c r="O617" s="95">
        <v>0.4</v>
      </c>
      <c r="P617" s="95">
        <v>0.2</v>
      </c>
      <c r="Q617" s="95">
        <v>0.1</v>
      </c>
      <c r="R617" s="95">
        <v>0.3</v>
      </c>
      <c r="S617" s="95">
        <v>1.9</v>
      </c>
    </row>
    <row r="618" spans="1:19">
      <c r="A618" s="295"/>
      <c r="B618" s="259" t="s">
        <v>90</v>
      </c>
      <c r="C618" s="262" t="s">
        <v>131</v>
      </c>
      <c r="D618" s="264">
        <v>34</v>
      </c>
      <c r="E618" s="264">
        <v>46.44</v>
      </c>
      <c r="F618" s="264">
        <v>0.34</v>
      </c>
      <c r="G618" s="264">
        <v>146</v>
      </c>
      <c r="H618" s="264">
        <v>0.91</v>
      </c>
      <c r="I618" s="264">
        <v>0.5</v>
      </c>
      <c r="J618" s="264">
        <v>7.4</v>
      </c>
      <c r="K618" s="264">
        <v>27</v>
      </c>
      <c r="L618" s="264">
        <v>44.6</v>
      </c>
      <c r="M618" s="264">
        <v>18.100000000000001</v>
      </c>
      <c r="N618" s="264">
        <v>2.1</v>
      </c>
      <c r="O618" s="264">
        <v>0.1</v>
      </c>
      <c r="P618" s="264">
        <v>0.1</v>
      </c>
      <c r="Q618" s="264">
        <v>0.1</v>
      </c>
      <c r="R618" s="264">
        <v>0.2</v>
      </c>
      <c r="S618" s="264">
        <v>1.93</v>
      </c>
    </row>
    <row r="619" spans="1:19">
      <c r="A619" s="295">
        <v>46024</v>
      </c>
      <c r="B619" s="259" t="s">
        <v>88</v>
      </c>
      <c r="C619" s="263" t="s">
        <v>131</v>
      </c>
      <c r="D619" s="261">
        <v>38</v>
      </c>
      <c r="E619" s="261">
        <v>46.44</v>
      </c>
      <c r="F619" s="261">
        <v>0.32</v>
      </c>
      <c r="G619" s="261">
        <v>148</v>
      </c>
      <c r="H619" s="261">
        <v>0.92</v>
      </c>
      <c r="I619" s="261">
        <v>0.5</v>
      </c>
      <c r="J619" s="261">
        <v>6.6</v>
      </c>
      <c r="K619" s="261">
        <v>28</v>
      </c>
      <c r="L619" s="261">
        <v>44.1</v>
      </c>
      <c r="M619" s="261">
        <v>17.8</v>
      </c>
      <c r="N619" s="261">
        <v>2.6</v>
      </c>
      <c r="O619" s="261">
        <v>0.2</v>
      </c>
      <c r="P619" s="261">
        <v>0.1</v>
      </c>
      <c r="Q619" s="261">
        <v>0.1</v>
      </c>
      <c r="R619" s="261">
        <v>0.2</v>
      </c>
      <c r="S619" s="261">
        <v>1.92</v>
      </c>
    </row>
    <row r="620" spans="1:19">
      <c r="A620" s="295"/>
      <c r="B620" s="259" t="s">
        <v>89</v>
      </c>
      <c r="C620" s="263" t="s">
        <v>131</v>
      </c>
      <c r="D620" s="261">
        <v>32</v>
      </c>
      <c r="E620" s="261">
        <v>46.44</v>
      </c>
      <c r="F620" s="261">
        <v>0.34</v>
      </c>
      <c r="G620" s="261">
        <v>140</v>
      </c>
      <c r="H620" s="261">
        <v>0.89</v>
      </c>
      <c r="I620" s="261">
        <v>0.8</v>
      </c>
      <c r="J620" s="261">
        <v>6.9</v>
      </c>
      <c r="K620" s="261">
        <v>24</v>
      </c>
      <c r="L620" s="261">
        <v>43.8</v>
      </c>
      <c r="M620" s="261">
        <v>20.8</v>
      </c>
      <c r="N620" s="261">
        <v>3.2</v>
      </c>
      <c r="O620" s="261">
        <v>0.3</v>
      </c>
      <c r="P620" s="261">
        <v>0.1</v>
      </c>
      <c r="Q620" s="261">
        <v>0.1</v>
      </c>
      <c r="R620" s="261">
        <v>0.2</v>
      </c>
      <c r="S620" s="261">
        <v>1.9</v>
      </c>
    </row>
    <row r="621" spans="1:19">
      <c r="A621" s="295"/>
      <c r="B621" s="259" t="s">
        <v>90</v>
      </c>
      <c r="C621" s="265" t="s">
        <v>131</v>
      </c>
      <c r="D621" s="266">
        <v>36</v>
      </c>
      <c r="E621" s="266">
        <v>46.44</v>
      </c>
      <c r="F621" s="266">
        <v>0.32</v>
      </c>
      <c r="G621" s="266">
        <v>148</v>
      </c>
      <c r="H621" s="266">
        <v>0.93</v>
      </c>
      <c r="I621" s="266">
        <v>0.6</v>
      </c>
      <c r="J621" s="266">
        <v>6.3</v>
      </c>
      <c r="K621" s="266">
        <v>24.8</v>
      </c>
      <c r="L621" s="266">
        <v>43.3</v>
      </c>
      <c r="M621" s="266">
        <v>20.8</v>
      </c>
      <c r="N621" s="266">
        <v>3.6</v>
      </c>
      <c r="O621" s="266">
        <v>0.3</v>
      </c>
      <c r="P621" s="266">
        <v>0.2</v>
      </c>
      <c r="Q621" s="266">
        <v>0.1</v>
      </c>
      <c r="R621" s="266">
        <v>0.3</v>
      </c>
      <c r="S621" s="266">
        <v>1.89</v>
      </c>
    </row>
    <row r="622" spans="1:19">
      <c r="A622" s="295">
        <v>46025</v>
      </c>
      <c r="B622" s="259" t="s">
        <v>88</v>
      </c>
      <c r="C622" s="265" t="s">
        <v>131</v>
      </c>
      <c r="D622" s="78">
        <v>39</v>
      </c>
      <c r="E622" s="80">
        <v>46.44</v>
      </c>
      <c r="F622" s="80">
        <v>0.34</v>
      </c>
      <c r="G622" s="80">
        <v>152</v>
      </c>
      <c r="H622" s="80">
        <v>0.91</v>
      </c>
      <c r="I622" s="80">
        <v>1.2</v>
      </c>
      <c r="J622" s="80">
        <v>9.6</v>
      </c>
      <c r="K622" s="80">
        <v>28.4</v>
      </c>
      <c r="L622" s="80">
        <v>42.3</v>
      </c>
      <c r="M622" s="80">
        <v>16.3</v>
      </c>
      <c r="N622" s="80">
        <v>1.6</v>
      </c>
      <c r="O622" s="80">
        <v>0.1</v>
      </c>
      <c r="P622" s="80">
        <v>0.4</v>
      </c>
      <c r="Q622" s="80">
        <v>0.1</v>
      </c>
      <c r="R622" s="80">
        <v>0.5</v>
      </c>
      <c r="S622" s="80">
        <v>1.96</v>
      </c>
    </row>
    <row r="623" spans="1:19">
      <c r="A623" s="295"/>
      <c r="B623" s="259" t="s">
        <v>89</v>
      </c>
      <c r="C623" s="265" t="s">
        <v>131</v>
      </c>
      <c r="D623" s="92">
        <v>30</v>
      </c>
      <c r="E623" s="93">
        <v>46.44</v>
      </c>
      <c r="F623" s="93">
        <v>0.34</v>
      </c>
      <c r="G623" s="93">
        <v>146</v>
      </c>
      <c r="H623" s="93">
        <v>0.92</v>
      </c>
      <c r="I623" s="93">
        <v>0.6</v>
      </c>
      <c r="J623" s="93">
        <v>8.8000000000000007</v>
      </c>
      <c r="K623" s="93">
        <v>26.1</v>
      </c>
      <c r="L623" s="93">
        <v>44.9</v>
      </c>
      <c r="M623" s="93">
        <v>17.2</v>
      </c>
      <c r="N623" s="93">
        <v>2.2000000000000002</v>
      </c>
      <c r="O623" s="93">
        <v>0.1</v>
      </c>
      <c r="P623" s="93">
        <v>0.1</v>
      </c>
      <c r="Q623" s="93">
        <v>0.1</v>
      </c>
      <c r="R623" s="93">
        <v>0.2</v>
      </c>
      <c r="S623" s="93">
        <v>1.94</v>
      </c>
    </row>
    <row r="624" spans="1:19">
      <c r="A624" s="296"/>
      <c r="B624" s="267" t="s">
        <v>90</v>
      </c>
      <c r="C624" s="268" t="s">
        <v>131</v>
      </c>
      <c r="D624" s="94">
        <v>32</v>
      </c>
      <c r="E624" s="95">
        <v>46.44</v>
      </c>
      <c r="F624" s="95">
        <v>0.33</v>
      </c>
      <c r="G624" s="95">
        <v>142</v>
      </c>
      <c r="H624" s="95">
        <v>0.92</v>
      </c>
      <c r="I624" s="95">
        <v>0.6</v>
      </c>
      <c r="J624" s="95">
        <v>7</v>
      </c>
      <c r="K624" s="95">
        <v>29.4</v>
      </c>
      <c r="L624" s="95">
        <v>39</v>
      </c>
      <c r="M624" s="95">
        <v>20.100000000000001</v>
      </c>
      <c r="N624" s="95">
        <v>3.5</v>
      </c>
      <c r="O624" s="95">
        <v>0.2</v>
      </c>
      <c r="P624" s="95">
        <v>0.1</v>
      </c>
      <c r="Q624" s="95">
        <v>0.1</v>
      </c>
      <c r="R624" s="95">
        <v>0.2</v>
      </c>
      <c r="S624" s="95">
        <v>1.92</v>
      </c>
    </row>
    <row r="625" spans="1:19">
      <c r="A625" s="295">
        <v>46026</v>
      </c>
      <c r="B625" s="259" t="s">
        <v>88</v>
      </c>
      <c r="C625" s="268" t="s">
        <v>131</v>
      </c>
      <c r="D625" s="78">
        <v>33</v>
      </c>
      <c r="E625" s="80">
        <v>46.44</v>
      </c>
      <c r="F625" s="80">
        <v>0.34</v>
      </c>
      <c r="G625" s="80">
        <v>138</v>
      </c>
      <c r="H625" s="80">
        <v>0.91</v>
      </c>
      <c r="I625" s="80">
        <v>0.4</v>
      </c>
      <c r="J625" s="80">
        <v>8.1999999999999993</v>
      </c>
      <c r="K625" s="80">
        <v>30.5</v>
      </c>
      <c r="L625" s="80">
        <v>39.799999999999997</v>
      </c>
      <c r="M625" s="80">
        <v>18.399999999999999</v>
      </c>
      <c r="N625" s="80">
        <v>2.5</v>
      </c>
      <c r="O625" s="80">
        <v>0.1</v>
      </c>
      <c r="P625" s="80">
        <v>0.1</v>
      </c>
      <c r="Q625" s="80">
        <v>0.1</v>
      </c>
      <c r="R625" s="80">
        <v>0.2</v>
      </c>
      <c r="S625" s="80">
        <v>1.94</v>
      </c>
    </row>
    <row r="626" spans="1:19">
      <c r="A626" s="295"/>
      <c r="B626" s="259" t="s">
        <v>89</v>
      </c>
      <c r="C626" s="268" t="s">
        <v>131</v>
      </c>
      <c r="D626" s="92">
        <v>37</v>
      </c>
      <c r="E626" s="93">
        <v>46.44</v>
      </c>
      <c r="F626" s="93">
        <v>0.34</v>
      </c>
      <c r="G626" s="93">
        <v>134</v>
      </c>
      <c r="H626" s="93">
        <v>0.93</v>
      </c>
      <c r="I626" s="93">
        <v>0.4</v>
      </c>
      <c r="J626" s="93">
        <v>6.6</v>
      </c>
      <c r="K626" s="93">
        <v>25</v>
      </c>
      <c r="L626" s="93">
        <v>41.8</v>
      </c>
      <c r="M626" s="93">
        <v>21.5</v>
      </c>
      <c r="N626" s="93">
        <v>4.2</v>
      </c>
      <c r="O626" s="93">
        <v>0.3</v>
      </c>
      <c r="P626" s="93">
        <v>0.1</v>
      </c>
      <c r="Q626" s="93">
        <v>0.1</v>
      </c>
      <c r="R626" s="93">
        <v>0.2</v>
      </c>
      <c r="S626" s="93">
        <v>1.89</v>
      </c>
    </row>
    <row r="627" spans="1:19">
      <c r="A627" s="296"/>
      <c r="B627" s="267" t="s">
        <v>90</v>
      </c>
      <c r="C627" s="268" t="s">
        <v>131</v>
      </c>
      <c r="D627" s="94">
        <v>38</v>
      </c>
      <c r="E627" s="95">
        <v>46.44</v>
      </c>
      <c r="F627" s="95">
        <v>0.34</v>
      </c>
      <c r="G627" s="95">
        <v>148</v>
      </c>
      <c r="H627" s="95">
        <v>0.94</v>
      </c>
      <c r="I627" s="95">
        <v>0.4</v>
      </c>
      <c r="J627" s="95">
        <v>6.5</v>
      </c>
      <c r="K627" s="95">
        <v>25.1</v>
      </c>
      <c r="L627" s="95">
        <v>43.5</v>
      </c>
      <c r="M627" s="95">
        <v>21.2</v>
      </c>
      <c r="N627" s="95">
        <v>2.9</v>
      </c>
      <c r="O627" s="95">
        <v>0.2</v>
      </c>
      <c r="P627" s="95">
        <v>0.1</v>
      </c>
      <c r="Q627" s="95">
        <v>0.1</v>
      </c>
      <c r="R627" s="95">
        <v>0.2</v>
      </c>
      <c r="S627" s="95">
        <v>1.9</v>
      </c>
    </row>
    <row r="628" spans="1:19">
      <c r="A628" s="295">
        <v>46027</v>
      </c>
      <c r="B628" s="259" t="s">
        <v>88</v>
      </c>
      <c r="C628" s="268" t="s">
        <v>131</v>
      </c>
      <c r="D628" s="78">
        <v>35</v>
      </c>
      <c r="E628" s="80">
        <v>46.44</v>
      </c>
      <c r="F628" s="80">
        <v>0.33</v>
      </c>
      <c r="G628" s="80">
        <v>138</v>
      </c>
      <c r="H628" s="80">
        <v>0.92</v>
      </c>
      <c r="I628" s="80">
        <v>0.6</v>
      </c>
      <c r="J628" s="80">
        <v>7.1</v>
      </c>
      <c r="K628" s="80">
        <v>25.5</v>
      </c>
      <c r="L628" s="80">
        <v>42.3</v>
      </c>
      <c r="M628" s="80">
        <v>20.7</v>
      </c>
      <c r="N628" s="80">
        <v>3.2</v>
      </c>
      <c r="O628" s="80">
        <v>0.3</v>
      </c>
      <c r="P628" s="80">
        <v>0.2</v>
      </c>
      <c r="Q628" s="80">
        <v>0.1</v>
      </c>
      <c r="R628" s="80">
        <v>0.3</v>
      </c>
      <c r="S628" s="80">
        <v>1.9</v>
      </c>
    </row>
    <row r="629" spans="1:19">
      <c r="A629" s="295"/>
      <c r="B629" s="259" t="s">
        <v>89</v>
      </c>
      <c r="C629" s="268" t="s">
        <v>131</v>
      </c>
      <c r="D629" s="92">
        <v>31</v>
      </c>
      <c r="E629" s="93">
        <v>46.44</v>
      </c>
      <c r="F629" s="93">
        <v>0.33</v>
      </c>
      <c r="G629" s="93">
        <v>135</v>
      </c>
      <c r="H629" s="93">
        <v>0.91</v>
      </c>
      <c r="I629" s="93">
        <v>0.2</v>
      </c>
      <c r="J629" s="93">
        <v>5.5</v>
      </c>
      <c r="K629" s="93">
        <v>24.2</v>
      </c>
      <c r="L629" s="93">
        <v>44.8</v>
      </c>
      <c r="M629" s="93">
        <v>22.1</v>
      </c>
      <c r="N629" s="93">
        <v>2.8</v>
      </c>
      <c r="O629" s="93">
        <v>0.2</v>
      </c>
      <c r="P629" s="93">
        <v>0.1</v>
      </c>
      <c r="Q629" s="93">
        <v>0.1</v>
      </c>
      <c r="R629" s="93">
        <v>0.2</v>
      </c>
      <c r="S629" s="93">
        <v>1.88</v>
      </c>
    </row>
    <row r="630" spans="1:19">
      <c r="A630" s="296"/>
      <c r="B630" s="267" t="s">
        <v>90</v>
      </c>
      <c r="C630" s="268" t="s">
        <v>131</v>
      </c>
      <c r="D630" s="94">
        <v>36</v>
      </c>
      <c r="E630" s="95">
        <v>46.44</v>
      </c>
      <c r="F630" s="95">
        <v>0.34</v>
      </c>
      <c r="G630" s="95">
        <v>142</v>
      </c>
      <c r="H630" s="95">
        <v>0.92</v>
      </c>
      <c r="I630" s="95">
        <v>0.3</v>
      </c>
      <c r="J630" s="95">
        <v>4.9000000000000004</v>
      </c>
      <c r="K630" s="95">
        <v>25.1</v>
      </c>
      <c r="L630" s="95">
        <v>43.9</v>
      </c>
      <c r="M630" s="95">
        <v>22.3</v>
      </c>
      <c r="N630" s="95">
        <v>3.1</v>
      </c>
      <c r="O630" s="95">
        <v>0.2</v>
      </c>
      <c r="P630" s="95">
        <v>0.1</v>
      </c>
      <c r="Q630" s="95">
        <v>0.1</v>
      </c>
      <c r="R630" s="95">
        <v>0.2</v>
      </c>
      <c r="S630" s="95">
        <v>1.88</v>
      </c>
    </row>
    <row r="631" spans="1:19">
      <c r="A631" s="295">
        <v>46028</v>
      </c>
      <c r="B631" s="259" t="s">
        <v>88</v>
      </c>
      <c r="C631" s="268" t="s">
        <v>131</v>
      </c>
      <c r="D631" s="78">
        <v>31</v>
      </c>
      <c r="E631" s="80">
        <v>46.44</v>
      </c>
      <c r="F631" s="80">
        <v>0.34</v>
      </c>
      <c r="G631" s="80">
        <v>136</v>
      </c>
      <c r="H631" s="80">
        <v>0.9</v>
      </c>
      <c r="I631" s="80">
        <v>0.4</v>
      </c>
      <c r="J631" s="80">
        <v>5.9</v>
      </c>
      <c r="K631" s="80">
        <v>23.5</v>
      </c>
      <c r="L631" s="80">
        <v>44</v>
      </c>
      <c r="M631" s="80">
        <v>21.9</v>
      </c>
      <c r="N631" s="80">
        <v>3.5</v>
      </c>
      <c r="O631" s="80">
        <v>0.4</v>
      </c>
      <c r="P631" s="80">
        <v>0.3</v>
      </c>
      <c r="Q631" s="80">
        <v>0.1</v>
      </c>
      <c r="R631" s="80">
        <v>0.4</v>
      </c>
      <c r="S631" s="80">
        <v>1.88</v>
      </c>
    </row>
    <row r="632" spans="1:19">
      <c r="A632" s="295"/>
      <c r="B632" s="259" t="s">
        <v>89</v>
      </c>
      <c r="C632" s="268" t="s">
        <v>131</v>
      </c>
      <c r="D632" s="92">
        <v>57</v>
      </c>
      <c r="E632" s="93">
        <v>46.43</v>
      </c>
      <c r="F632" s="93">
        <v>0.35</v>
      </c>
      <c r="G632" s="93">
        <v>138</v>
      </c>
      <c r="H632" s="93">
        <v>0.93</v>
      </c>
      <c r="I632" s="93">
        <v>6.4</v>
      </c>
      <c r="J632" s="93">
        <v>18.7</v>
      </c>
      <c r="K632" s="93">
        <v>34.6</v>
      </c>
      <c r="L632" s="93">
        <v>31.6</v>
      </c>
      <c r="M632" s="93">
        <v>7.2</v>
      </c>
      <c r="N632" s="93">
        <v>1.2</v>
      </c>
      <c r="O632" s="93">
        <v>0.1</v>
      </c>
      <c r="P632" s="93">
        <v>0.1</v>
      </c>
      <c r="Q632" s="93">
        <v>0.1</v>
      </c>
      <c r="R632" s="93">
        <v>0.2</v>
      </c>
      <c r="S632" s="93">
        <v>2.15</v>
      </c>
    </row>
    <row r="633" spans="1:19">
      <c r="A633" s="296"/>
      <c r="B633" s="267" t="s">
        <v>90</v>
      </c>
      <c r="C633" s="268" t="s">
        <v>131</v>
      </c>
      <c r="D633" s="94">
        <v>52</v>
      </c>
      <c r="E633" s="95">
        <v>46.44</v>
      </c>
      <c r="F633" s="95">
        <v>0.33</v>
      </c>
      <c r="G633" s="95">
        <v>132</v>
      </c>
      <c r="H633" s="95">
        <v>0.94</v>
      </c>
      <c r="I633" s="95">
        <v>10.3</v>
      </c>
      <c r="J633" s="95">
        <v>21.7</v>
      </c>
      <c r="K633" s="95">
        <v>31.1</v>
      </c>
      <c r="L633" s="95">
        <v>30</v>
      </c>
      <c r="M633" s="95">
        <v>6.1</v>
      </c>
      <c r="N633" s="95">
        <v>0.5</v>
      </c>
      <c r="O633" s="95">
        <v>0.1</v>
      </c>
      <c r="P633" s="95">
        <v>0.1</v>
      </c>
      <c r="Q633" s="95">
        <v>0.1</v>
      </c>
      <c r="R633" s="95">
        <v>0.2</v>
      </c>
      <c r="S633" s="95">
        <v>2.21</v>
      </c>
    </row>
    <row r="634" spans="1:19">
      <c r="A634" s="295">
        <v>46029</v>
      </c>
      <c r="B634" s="259" t="s">
        <v>88</v>
      </c>
      <c r="C634" s="268" t="s">
        <v>131</v>
      </c>
      <c r="D634" s="261">
        <v>31</v>
      </c>
      <c r="E634" s="261">
        <v>46.44</v>
      </c>
      <c r="F634" s="261">
        <v>0.34</v>
      </c>
      <c r="G634" s="261">
        <v>136</v>
      </c>
      <c r="H634" s="261">
        <v>0.9</v>
      </c>
      <c r="I634" s="261">
        <v>0.4</v>
      </c>
      <c r="J634" s="261">
        <v>5.9</v>
      </c>
      <c r="K634" s="261">
        <v>23.5</v>
      </c>
      <c r="L634" s="261">
        <v>44</v>
      </c>
      <c r="M634" s="261">
        <v>21.9</v>
      </c>
      <c r="N634" s="261">
        <v>3.5</v>
      </c>
      <c r="O634" s="261">
        <v>0.4</v>
      </c>
      <c r="P634" s="261">
        <v>0.3</v>
      </c>
      <c r="Q634" s="261">
        <v>0.1</v>
      </c>
      <c r="R634" s="261">
        <v>0.4</v>
      </c>
      <c r="S634" s="261">
        <v>1.88</v>
      </c>
    </row>
    <row r="635" spans="1:19">
      <c r="A635" s="295"/>
      <c r="B635" s="259" t="s">
        <v>89</v>
      </c>
      <c r="C635" s="268" t="s">
        <v>131</v>
      </c>
      <c r="D635" s="261">
        <v>57</v>
      </c>
      <c r="E635" s="261">
        <v>46.43</v>
      </c>
      <c r="F635" s="261">
        <v>0.35</v>
      </c>
      <c r="G635" s="261">
        <v>138</v>
      </c>
      <c r="H635" s="261">
        <v>0.93</v>
      </c>
      <c r="I635" s="261">
        <v>6.4</v>
      </c>
      <c r="J635" s="261">
        <v>18.7</v>
      </c>
      <c r="K635" s="261">
        <v>34.6</v>
      </c>
      <c r="L635" s="261">
        <v>31.6</v>
      </c>
      <c r="M635" s="261">
        <v>7.2</v>
      </c>
      <c r="N635" s="261">
        <v>1.2</v>
      </c>
      <c r="O635" s="261">
        <v>0.1</v>
      </c>
      <c r="P635" s="261">
        <v>0.1</v>
      </c>
      <c r="Q635" s="261">
        <v>0.1</v>
      </c>
      <c r="R635" s="261">
        <v>0.2</v>
      </c>
      <c r="S635" s="261">
        <v>2.15</v>
      </c>
    </row>
    <row r="636" spans="1:19">
      <c r="A636" s="296"/>
      <c r="B636" s="267" t="s">
        <v>90</v>
      </c>
      <c r="C636" s="268" t="s">
        <v>131</v>
      </c>
      <c r="D636" s="261">
        <v>52</v>
      </c>
      <c r="E636" s="261">
        <v>46.44</v>
      </c>
      <c r="F636" s="261">
        <v>0.33</v>
      </c>
      <c r="G636" s="261">
        <v>132</v>
      </c>
      <c r="H636" s="261">
        <v>0.94</v>
      </c>
      <c r="I636" s="261">
        <v>10.3</v>
      </c>
      <c r="J636" s="261">
        <v>21.7</v>
      </c>
      <c r="K636" s="261">
        <v>31.1</v>
      </c>
      <c r="L636" s="261">
        <v>30</v>
      </c>
      <c r="M636" s="261">
        <v>6.1</v>
      </c>
      <c r="N636" s="261">
        <v>0.5</v>
      </c>
      <c r="O636" s="261">
        <v>0.1</v>
      </c>
      <c r="P636" s="261">
        <v>0.1</v>
      </c>
      <c r="Q636" s="261">
        <v>0.1</v>
      </c>
      <c r="R636" s="261">
        <v>0.2</v>
      </c>
      <c r="S636" s="261">
        <v>2.21</v>
      </c>
    </row>
    <row r="637" spans="1:19">
      <c r="A637" s="295">
        <v>46030</v>
      </c>
      <c r="B637" s="259" t="s">
        <v>88</v>
      </c>
      <c r="C637" s="268" t="s">
        <v>131</v>
      </c>
      <c r="D637" s="78">
        <v>32</v>
      </c>
      <c r="E637" s="80">
        <v>46.44</v>
      </c>
      <c r="F637" s="80">
        <v>0.33</v>
      </c>
      <c r="G637" s="80">
        <v>130</v>
      </c>
      <c r="H637" s="80">
        <v>0.94</v>
      </c>
      <c r="I637" s="80">
        <v>0.6</v>
      </c>
      <c r="J637" s="80">
        <v>7.6</v>
      </c>
      <c r="K637" s="80">
        <v>25.2</v>
      </c>
      <c r="L637" s="80">
        <v>41.3</v>
      </c>
      <c r="M637" s="80">
        <v>20.5</v>
      </c>
      <c r="N637" s="80">
        <v>3.9</v>
      </c>
      <c r="O637" s="80">
        <v>0.5</v>
      </c>
      <c r="P637" s="80">
        <v>0.3</v>
      </c>
      <c r="Q637" s="80">
        <v>0.1</v>
      </c>
      <c r="R637" s="80">
        <v>0.4</v>
      </c>
      <c r="S637" s="80">
        <v>1.9</v>
      </c>
    </row>
    <row r="638" spans="1:19">
      <c r="A638" s="295"/>
      <c r="B638" s="259" t="s">
        <v>89</v>
      </c>
      <c r="C638" s="268" t="s">
        <v>131</v>
      </c>
      <c r="D638" s="92">
        <v>26</v>
      </c>
      <c r="E638" s="93">
        <v>46.44</v>
      </c>
      <c r="F638" s="93">
        <v>0.32</v>
      </c>
      <c r="G638" s="93">
        <v>144</v>
      </c>
      <c r="H638" s="93">
        <v>0.93</v>
      </c>
      <c r="I638" s="93">
        <v>0.5</v>
      </c>
      <c r="J638" s="93">
        <v>5.8</v>
      </c>
      <c r="K638" s="93">
        <v>21</v>
      </c>
      <c r="L638" s="93">
        <v>46.1</v>
      </c>
      <c r="M638" s="93">
        <v>22.2</v>
      </c>
      <c r="N638" s="93">
        <v>3.8</v>
      </c>
      <c r="O638" s="93">
        <v>0.3</v>
      </c>
      <c r="P638" s="93">
        <v>0.2</v>
      </c>
      <c r="Q638" s="93">
        <v>0.1</v>
      </c>
      <c r="R638" s="93">
        <v>0.3</v>
      </c>
      <c r="S638" s="93">
        <v>1.87</v>
      </c>
    </row>
    <row r="639" spans="1:19">
      <c r="A639" s="296"/>
      <c r="B639" s="267" t="s">
        <v>90</v>
      </c>
      <c r="C639" s="268" t="s">
        <v>131</v>
      </c>
      <c r="D639" s="94">
        <v>29</v>
      </c>
      <c r="E639" s="95">
        <v>46.44</v>
      </c>
      <c r="F639" s="95">
        <v>0.33</v>
      </c>
      <c r="G639" s="95">
        <v>140</v>
      </c>
      <c r="H639" s="95">
        <v>0.91</v>
      </c>
      <c r="I639" s="95">
        <v>0.7</v>
      </c>
      <c r="J639" s="95">
        <v>9</v>
      </c>
      <c r="K639" s="95">
        <v>29.4</v>
      </c>
      <c r="L639" s="95">
        <v>40.4</v>
      </c>
      <c r="M639" s="95">
        <v>17.5</v>
      </c>
      <c r="N639" s="95">
        <v>2.7</v>
      </c>
      <c r="O639" s="95">
        <v>0.1</v>
      </c>
      <c r="P639" s="95">
        <v>0.1</v>
      </c>
      <c r="Q639" s="95">
        <v>0.1</v>
      </c>
      <c r="R639" s="95">
        <v>0.2</v>
      </c>
      <c r="S639" s="95">
        <v>1.95</v>
      </c>
    </row>
    <row r="640" spans="1:19">
      <c r="A640" s="295">
        <v>46031</v>
      </c>
      <c r="B640" s="259" t="s">
        <v>88</v>
      </c>
      <c r="C640" s="268" t="s">
        <v>131</v>
      </c>
      <c r="D640" s="78">
        <v>36</v>
      </c>
      <c r="E640" s="80">
        <v>46.45</v>
      </c>
      <c r="F640" s="80">
        <v>0.32</v>
      </c>
      <c r="G640" s="80">
        <v>138</v>
      </c>
      <c r="H640" s="80">
        <v>0.92</v>
      </c>
      <c r="I640" s="80">
        <v>0.5</v>
      </c>
      <c r="J640" s="80">
        <v>5.8</v>
      </c>
      <c r="K640" s="80">
        <v>25</v>
      </c>
      <c r="L640" s="80">
        <v>44.3</v>
      </c>
      <c r="M640" s="80">
        <v>20.399999999999999</v>
      </c>
      <c r="N640" s="80">
        <v>3.4</v>
      </c>
      <c r="O640" s="80">
        <v>0.3</v>
      </c>
      <c r="P640" s="80">
        <v>0.2</v>
      </c>
      <c r="Q640" s="80">
        <v>0.1</v>
      </c>
      <c r="R640" s="80">
        <v>0.3</v>
      </c>
      <c r="S640" s="80">
        <v>1.89</v>
      </c>
    </row>
    <row r="641" spans="1:19">
      <c r="A641" s="295"/>
      <c r="B641" s="259" t="s">
        <v>89</v>
      </c>
      <c r="C641" s="268" t="s">
        <v>131</v>
      </c>
      <c r="D641" s="92">
        <v>32</v>
      </c>
      <c r="E641" s="93">
        <v>46.44</v>
      </c>
      <c r="F641" s="93">
        <v>0.33</v>
      </c>
      <c r="G641" s="93">
        <v>132</v>
      </c>
      <c r="H641" s="93">
        <v>0.9</v>
      </c>
      <c r="I641" s="93">
        <v>1.5</v>
      </c>
      <c r="J641" s="93">
        <v>11.7</v>
      </c>
      <c r="K641" s="93">
        <v>33.299999999999997</v>
      </c>
      <c r="L641" s="93">
        <v>38.700000000000003</v>
      </c>
      <c r="M641" s="93">
        <v>12.8</v>
      </c>
      <c r="N641" s="93">
        <v>1.6</v>
      </c>
      <c r="O641" s="93">
        <v>0.2</v>
      </c>
      <c r="P641" s="93">
        <v>0.1</v>
      </c>
      <c r="Q641" s="93">
        <v>0.1</v>
      </c>
      <c r="R641" s="93">
        <v>0.2</v>
      </c>
      <c r="S641" s="93">
        <v>2.0099999999999998</v>
      </c>
    </row>
    <row r="642" spans="1:19">
      <c r="A642" s="296"/>
      <c r="B642" s="267" t="s">
        <v>90</v>
      </c>
      <c r="C642" s="268" t="s">
        <v>131</v>
      </c>
      <c r="D642" s="94">
        <v>28</v>
      </c>
      <c r="E642" s="95">
        <v>46.44</v>
      </c>
      <c r="F642" s="95">
        <v>0.32</v>
      </c>
      <c r="G642" s="95">
        <v>146</v>
      </c>
      <c r="H642" s="95">
        <v>0.9</v>
      </c>
      <c r="I642" s="95">
        <v>0.6</v>
      </c>
      <c r="J642" s="95">
        <v>7.7</v>
      </c>
      <c r="K642" s="95">
        <v>30.9</v>
      </c>
      <c r="L642" s="95">
        <v>42.2</v>
      </c>
      <c r="M642" s="95">
        <v>16.100000000000001</v>
      </c>
      <c r="N642" s="95">
        <v>2.1</v>
      </c>
      <c r="O642" s="95">
        <v>0.2</v>
      </c>
      <c r="P642" s="95">
        <v>0.1</v>
      </c>
      <c r="Q642" s="95">
        <v>0.1</v>
      </c>
      <c r="R642" s="95">
        <v>0.2</v>
      </c>
      <c r="S642" s="95">
        <v>1.95</v>
      </c>
    </row>
    <row r="643" spans="1:19">
      <c r="A643" s="295">
        <v>46032</v>
      </c>
      <c r="B643" s="259" t="s">
        <v>88</v>
      </c>
      <c r="C643" s="268" t="s">
        <v>131</v>
      </c>
      <c r="D643" s="78">
        <v>33</v>
      </c>
      <c r="E643" s="80">
        <v>46.44</v>
      </c>
      <c r="F643" s="80">
        <v>0.34</v>
      </c>
      <c r="G643" s="80">
        <v>142</v>
      </c>
      <c r="H643" s="80">
        <v>0.88</v>
      </c>
      <c r="I643" s="80">
        <v>0.6</v>
      </c>
      <c r="J643" s="80">
        <v>6.3</v>
      </c>
      <c r="K643" s="80">
        <v>28.5</v>
      </c>
      <c r="L643" s="80">
        <v>41.8</v>
      </c>
      <c r="M643" s="80">
        <v>19.3</v>
      </c>
      <c r="N643" s="80">
        <v>3.1</v>
      </c>
      <c r="O643" s="80">
        <v>0.2</v>
      </c>
      <c r="P643" s="80">
        <v>0.1</v>
      </c>
      <c r="Q643" s="80">
        <v>0.1</v>
      </c>
      <c r="R643" s="80">
        <v>0.2</v>
      </c>
      <c r="S643" s="80">
        <v>1.91</v>
      </c>
    </row>
    <row r="644" spans="1:19">
      <c r="A644" s="295"/>
      <c r="B644" s="259" t="s">
        <v>89</v>
      </c>
      <c r="C644" s="268" t="s">
        <v>131</v>
      </c>
      <c r="D644" s="92">
        <v>38</v>
      </c>
      <c r="E644" s="93">
        <v>46.43</v>
      </c>
      <c r="F644" s="93">
        <v>0.35</v>
      </c>
      <c r="G644" s="93">
        <v>148</v>
      </c>
      <c r="H644" s="93">
        <v>0.89</v>
      </c>
      <c r="I644" s="93">
        <v>0.5</v>
      </c>
      <c r="J644" s="93">
        <v>7.4</v>
      </c>
      <c r="K644" s="93">
        <v>33.799999999999997</v>
      </c>
      <c r="L644" s="93">
        <v>38.799999999999997</v>
      </c>
      <c r="M644" s="93">
        <v>16.3</v>
      </c>
      <c r="N644" s="93">
        <v>2.7</v>
      </c>
      <c r="O644" s="93">
        <v>0.3</v>
      </c>
      <c r="P644" s="93">
        <v>0.1</v>
      </c>
      <c r="Q644" s="93">
        <v>0.1</v>
      </c>
      <c r="R644" s="93">
        <v>0.2</v>
      </c>
      <c r="S644" s="93">
        <v>1.95</v>
      </c>
    </row>
    <row r="645" spans="1:19">
      <c r="A645" s="296"/>
      <c r="B645" s="267" t="s">
        <v>90</v>
      </c>
      <c r="C645" s="268" t="s">
        <v>131</v>
      </c>
      <c r="D645" s="94">
        <v>34</v>
      </c>
      <c r="E645" s="95">
        <v>46.44</v>
      </c>
      <c r="F645" s="95">
        <v>0.33</v>
      </c>
      <c r="G645" s="95">
        <v>140</v>
      </c>
      <c r="H645" s="95">
        <v>0.9</v>
      </c>
      <c r="I645" s="95">
        <v>0.5</v>
      </c>
      <c r="J645" s="95">
        <v>7.1</v>
      </c>
      <c r="K645" s="95">
        <v>27.2</v>
      </c>
      <c r="L645" s="95">
        <v>43.5</v>
      </c>
      <c r="M645" s="95">
        <v>19.2</v>
      </c>
      <c r="N645" s="95">
        <v>2.2000000000000002</v>
      </c>
      <c r="O645" s="95">
        <v>0.2</v>
      </c>
      <c r="P645" s="95">
        <v>0.1</v>
      </c>
      <c r="Q645" s="95">
        <v>0.1</v>
      </c>
      <c r="R645" s="95">
        <v>0.2</v>
      </c>
      <c r="S645" s="95">
        <v>1.92</v>
      </c>
    </row>
    <row r="646" spans="1:19">
      <c r="A646" s="295">
        <v>46033</v>
      </c>
      <c r="B646" s="259" t="s">
        <v>88</v>
      </c>
      <c r="C646" s="268" t="s">
        <v>131</v>
      </c>
      <c r="D646" s="78">
        <v>35</v>
      </c>
      <c r="E646" s="80">
        <v>46.44</v>
      </c>
      <c r="F646" s="80">
        <v>0.32</v>
      </c>
      <c r="G646" s="80">
        <v>136</v>
      </c>
      <c r="H646" s="80">
        <v>0.9</v>
      </c>
      <c r="I646" s="80">
        <v>0.5</v>
      </c>
      <c r="J646" s="80">
        <v>6.1</v>
      </c>
      <c r="K646" s="80">
        <v>31.8</v>
      </c>
      <c r="L646" s="80">
        <v>41.3</v>
      </c>
      <c r="M646" s="80">
        <v>17.100000000000001</v>
      </c>
      <c r="N646" s="80">
        <v>2.6</v>
      </c>
      <c r="O646" s="80">
        <v>0.3</v>
      </c>
      <c r="P646" s="80">
        <v>0.2</v>
      </c>
      <c r="Q646" s="80">
        <v>0.1</v>
      </c>
      <c r="R646" s="80">
        <v>0.3</v>
      </c>
      <c r="S646" s="80">
        <v>1.93</v>
      </c>
    </row>
    <row r="647" spans="1:19">
      <c r="A647" s="295"/>
      <c r="B647" s="259" t="s">
        <v>89</v>
      </c>
      <c r="C647" s="268" t="s">
        <v>131</v>
      </c>
      <c r="D647" s="92">
        <v>36</v>
      </c>
      <c r="E647" s="93">
        <v>46.43</v>
      </c>
      <c r="F647" s="93">
        <v>0.35</v>
      </c>
      <c r="G647" s="93">
        <v>146</v>
      </c>
      <c r="H647" s="93">
        <v>0.94</v>
      </c>
      <c r="I647" s="93">
        <v>0.3</v>
      </c>
      <c r="J647" s="93">
        <v>7.3</v>
      </c>
      <c r="K647" s="93">
        <v>25.9</v>
      </c>
      <c r="L647" s="93">
        <v>44.6</v>
      </c>
      <c r="M647" s="93">
        <v>19.3</v>
      </c>
      <c r="N647" s="93">
        <v>2.2999999999999998</v>
      </c>
      <c r="O647" s="93">
        <v>0.1</v>
      </c>
      <c r="P647" s="93">
        <v>0.1</v>
      </c>
      <c r="Q647" s="93">
        <v>0.1</v>
      </c>
      <c r="R647" s="93">
        <v>0.2</v>
      </c>
      <c r="S647" s="93">
        <v>1.92</v>
      </c>
    </row>
    <row r="648" spans="1:19">
      <c r="A648" s="296"/>
      <c r="B648" s="267" t="s">
        <v>90</v>
      </c>
      <c r="C648" s="268" t="s">
        <v>131</v>
      </c>
      <c r="D648" s="94">
        <v>32</v>
      </c>
      <c r="E648" s="95">
        <v>46.44</v>
      </c>
      <c r="F648" s="95">
        <v>0.33</v>
      </c>
      <c r="G648" s="95">
        <v>141</v>
      </c>
      <c r="H648" s="95">
        <v>0.93</v>
      </c>
      <c r="I648" s="95">
        <v>0.5</v>
      </c>
      <c r="J648" s="95">
        <v>9</v>
      </c>
      <c r="K648" s="95">
        <v>30.3</v>
      </c>
      <c r="L648" s="95">
        <v>41.5</v>
      </c>
      <c r="M648" s="95">
        <v>16.899999999999999</v>
      </c>
      <c r="N648" s="95">
        <v>1.5</v>
      </c>
      <c r="O648" s="95">
        <v>0.1</v>
      </c>
      <c r="P648" s="95">
        <v>0.1</v>
      </c>
      <c r="Q648" s="95">
        <v>0.1</v>
      </c>
      <c r="R648" s="95">
        <v>0.2</v>
      </c>
      <c r="S648" s="95">
        <v>1.96</v>
      </c>
    </row>
    <row r="649" spans="1:19">
      <c r="A649" s="295">
        <v>46034</v>
      </c>
      <c r="B649" s="259" t="s">
        <v>88</v>
      </c>
      <c r="C649" s="268" t="s">
        <v>131</v>
      </c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N649" s="261"/>
      <c r="O649" s="261"/>
      <c r="P649" s="261"/>
      <c r="Q649" s="261"/>
      <c r="R649" s="261"/>
      <c r="S649" s="261"/>
    </row>
    <row r="650" spans="1:19">
      <c r="A650" s="295"/>
      <c r="B650" s="259" t="s">
        <v>89</v>
      </c>
      <c r="C650" s="268" t="s">
        <v>131</v>
      </c>
      <c r="D650" s="261"/>
      <c r="E650" s="261"/>
      <c r="F650" s="261"/>
      <c r="G650" s="261"/>
      <c r="H650" s="261"/>
      <c r="I650" s="261"/>
      <c r="J650" s="261"/>
      <c r="K650" s="261"/>
      <c r="L650" s="261"/>
      <c r="M650" s="261"/>
      <c r="N650" s="261"/>
      <c r="O650" s="261"/>
      <c r="P650" s="261"/>
      <c r="Q650" s="261"/>
      <c r="R650" s="261"/>
      <c r="S650" s="261"/>
    </row>
    <row r="651" spans="1:19">
      <c r="A651" s="296"/>
      <c r="B651" s="267" t="s">
        <v>90</v>
      </c>
      <c r="C651" s="268" t="s">
        <v>131</v>
      </c>
      <c r="D651" s="261"/>
      <c r="E651" s="261"/>
      <c r="F651" s="261"/>
      <c r="G651" s="261"/>
      <c r="H651" s="261"/>
      <c r="I651" s="261"/>
      <c r="J651" s="261"/>
      <c r="K651" s="261"/>
      <c r="L651" s="261"/>
      <c r="M651" s="261"/>
      <c r="N651" s="261"/>
      <c r="O651" s="261"/>
      <c r="P651" s="261"/>
      <c r="Q651" s="261"/>
      <c r="R651" s="261"/>
      <c r="S651" s="261"/>
    </row>
    <row r="652" spans="1:19">
      <c r="A652" s="295">
        <v>46035</v>
      </c>
      <c r="B652" s="259" t="s">
        <v>88</v>
      </c>
      <c r="C652" s="268" t="s">
        <v>131</v>
      </c>
      <c r="D652" s="78">
        <v>37</v>
      </c>
      <c r="E652" s="80">
        <v>46.43</v>
      </c>
      <c r="F652" s="80">
        <v>0.35</v>
      </c>
      <c r="G652" s="80">
        <v>152</v>
      </c>
      <c r="H652" s="80">
        <v>0.9</v>
      </c>
      <c r="I652" s="80">
        <v>0.5</v>
      </c>
      <c r="J652" s="80">
        <v>7.1</v>
      </c>
      <c r="K652" s="80">
        <v>31.5</v>
      </c>
      <c r="L652" s="80">
        <v>39.1</v>
      </c>
      <c r="M652" s="80">
        <v>17.899999999999999</v>
      </c>
      <c r="N652" s="80">
        <v>3.1</v>
      </c>
      <c r="O652" s="80">
        <v>0.3</v>
      </c>
      <c r="P652" s="80">
        <v>0.3</v>
      </c>
      <c r="Q652" s="80">
        <v>0.2</v>
      </c>
      <c r="R652" s="80">
        <v>0.5</v>
      </c>
      <c r="S652" s="80">
        <v>1.93</v>
      </c>
    </row>
    <row r="653" spans="1:19">
      <c r="A653" s="295"/>
      <c r="B653" s="259" t="s">
        <v>89</v>
      </c>
      <c r="C653" s="268" t="s">
        <v>131</v>
      </c>
      <c r="D653" s="92">
        <v>44</v>
      </c>
      <c r="E653" s="93">
        <v>46.43</v>
      </c>
      <c r="F653" s="93">
        <v>0.36</v>
      </c>
      <c r="G653" s="93">
        <v>146</v>
      </c>
      <c r="H653" s="93">
        <v>0.9</v>
      </c>
      <c r="I653" s="93">
        <v>0.4</v>
      </c>
      <c r="J653" s="93">
        <v>7.5</v>
      </c>
      <c r="K653" s="93">
        <v>25.6</v>
      </c>
      <c r="L653" s="93">
        <v>45.4</v>
      </c>
      <c r="M653" s="93">
        <v>18.2</v>
      </c>
      <c r="N653" s="93">
        <v>2.5</v>
      </c>
      <c r="O653" s="93">
        <v>0.2</v>
      </c>
      <c r="P653" s="93">
        <v>0.1</v>
      </c>
      <c r="Q653" s="93">
        <v>0.1</v>
      </c>
      <c r="R653" s="93">
        <v>0.2</v>
      </c>
      <c r="S653" s="93">
        <v>1.92</v>
      </c>
    </row>
    <row r="654" spans="1:19">
      <c r="A654" s="296"/>
      <c r="B654" s="267" t="s">
        <v>90</v>
      </c>
      <c r="C654" s="268" t="s">
        <v>131</v>
      </c>
      <c r="D654" s="94">
        <v>35</v>
      </c>
      <c r="E654" s="95">
        <v>46.44</v>
      </c>
      <c r="F654" s="95">
        <v>0.34</v>
      </c>
      <c r="G654" s="95">
        <v>140</v>
      </c>
      <c r="H654" s="95">
        <v>0.89</v>
      </c>
      <c r="I654" s="95">
        <v>0.5</v>
      </c>
      <c r="J654" s="95">
        <v>7.5</v>
      </c>
      <c r="K654" s="95">
        <v>27.3</v>
      </c>
      <c r="L654" s="95">
        <v>43.4</v>
      </c>
      <c r="M654" s="95">
        <v>18.399999999999999</v>
      </c>
      <c r="N654" s="95">
        <v>2.6</v>
      </c>
      <c r="O654" s="95">
        <v>0.2</v>
      </c>
      <c r="P654" s="95">
        <v>0.1</v>
      </c>
      <c r="Q654" s="95">
        <v>0</v>
      </c>
      <c r="R654" s="95">
        <v>0.1</v>
      </c>
      <c r="S654" s="95">
        <v>1.93</v>
      </c>
    </row>
    <row r="655" spans="1:19">
      <c r="A655" s="295">
        <v>46036</v>
      </c>
      <c r="B655" s="259" t="s">
        <v>88</v>
      </c>
      <c r="C655" s="268" t="s">
        <v>131</v>
      </c>
      <c r="D655" s="78">
        <v>36</v>
      </c>
      <c r="E655" s="80">
        <v>46.44</v>
      </c>
      <c r="F655" s="80">
        <v>0.33</v>
      </c>
      <c r="G655" s="80">
        <v>158</v>
      </c>
      <c r="H655" s="80">
        <v>0.96</v>
      </c>
      <c r="I655" s="80">
        <v>0.8</v>
      </c>
      <c r="J655" s="80">
        <v>8</v>
      </c>
      <c r="K655" s="80">
        <v>25</v>
      </c>
      <c r="L655" s="80">
        <v>44.4</v>
      </c>
      <c r="M655" s="80">
        <v>18.100000000000001</v>
      </c>
      <c r="N655" s="80">
        <v>3.2</v>
      </c>
      <c r="O655" s="80">
        <v>0.3</v>
      </c>
      <c r="P655" s="80">
        <v>0.2</v>
      </c>
      <c r="Q655" s="80">
        <v>0.1</v>
      </c>
      <c r="R655" s="80">
        <v>0.3</v>
      </c>
      <c r="S655" s="80">
        <v>1.92</v>
      </c>
    </row>
    <row r="656" spans="1:19">
      <c r="A656" s="295"/>
      <c r="B656" s="259" t="s">
        <v>89</v>
      </c>
      <c r="C656" s="268" t="s">
        <v>131</v>
      </c>
      <c r="D656" s="92">
        <v>32</v>
      </c>
      <c r="E656" s="93">
        <v>46.43</v>
      </c>
      <c r="F656" s="93">
        <v>0.35</v>
      </c>
      <c r="G656" s="93">
        <v>163</v>
      </c>
      <c r="H656" s="93">
        <v>0.93</v>
      </c>
      <c r="I656" s="93">
        <v>0.7</v>
      </c>
      <c r="J656" s="93">
        <v>8</v>
      </c>
      <c r="K656" s="93">
        <v>31.6</v>
      </c>
      <c r="L656" s="93">
        <v>38.299999999999997</v>
      </c>
      <c r="M656" s="93">
        <v>17.7</v>
      </c>
      <c r="N656" s="93">
        <v>3.4</v>
      </c>
      <c r="O656" s="93">
        <v>0.2</v>
      </c>
      <c r="P656" s="93">
        <v>0.1</v>
      </c>
      <c r="Q656" s="93">
        <v>0</v>
      </c>
      <c r="R656" s="93">
        <v>0.1</v>
      </c>
      <c r="S656" s="93">
        <v>1.94</v>
      </c>
    </row>
    <row r="657" spans="1:19">
      <c r="A657" s="296"/>
      <c r="B657" s="267" t="s">
        <v>90</v>
      </c>
      <c r="C657" s="268" t="s">
        <v>131</v>
      </c>
      <c r="D657" s="94">
        <v>30</v>
      </c>
      <c r="E657" s="95">
        <v>46.44</v>
      </c>
      <c r="F657" s="95">
        <v>0.34</v>
      </c>
      <c r="G657" s="95">
        <v>152</v>
      </c>
      <c r="H657" s="95">
        <v>0.91</v>
      </c>
      <c r="I657" s="95">
        <v>0.4</v>
      </c>
      <c r="J657" s="95">
        <v>7.4</v>
      </c>
      <c r="K657" s="95">
        <v>25.7</v>
      </c>
      <c r="L657" s="95">
        <v>42.8</v>
      </c>
      <c r="M657" s="95">
        <v>20.8</v>
      </c>
      <c r="N657" s="95">
        <v>2.2000000000000002</v>
      </c>
      <c r="O657" s="95">
        <v>0.3</v>
      </c>
      <c r="P657" s="95">
        <v>0.2</v>
      </c>
      <c r="Q657" s="95">
        <v>0.2</v>
      </c>
      <c r="R657" s="95">
        <v>0.4</v>
      </c>
      <c r="S657" s="95">
        <v>1.91</v>
      </c>
    </row>
    <row r="658" spans="1:19">
      <c r="A658" s="295">
        <v>46037</v>
      </c>
      <c r="B658" s="259" t="s">
        <v>88</v>
      </c>
      <c r="C658" s="268" t="s">
        <v>131</v>
      </c>
      <c r="D658" s="78">
        <v>34</v>
      </c>
      <c r="E658" s="80">
        <v>46.44</v>
      </c>
      <c r="F658" s="80">
        <v>0.33</v>
      </c>
      <c r="G658" s="80">
        <v>148</v>
      </c>
      <c r="H658" s="80">
        <v>0.92</v>
      </c>
      <c r="I658" s="80">
        <v>0.4</v>
      </c>
      <c r="J658" s="80">
        <v>6.9</v>
      </c>
      <c r="K658" s="80">
        <v>23.9</v>
      </c>
      <c r="L658" s="80">
        <v>47</v>
      </c>
      <c r="M658" s="80">
        <v>19.8</v>
      </c>
      <c r="N658" s="80">
        <v>1.6</v>
      </c>
      <c r="O658" s="80">
        <v>0.3</v>
      </c>
      <c r="P658" s="80">
        <v>0.1</v>
      </c>
      <c r="Q658" s="80">
        <v>0.1</v>
      </c>
      <c r="R658" s="80">
        <v>0.2</v>
      </c>
      <c r="S658" s="80">
        <v>1.91</v>
      </c>
    </row>
    <row r="659" spans="1:19">
      <c r="A659" s="295"/>
      <c r="B659" s="259" t="s">
        <v>89</v>
      </c>
      <c r="C659" s="268" t="s">
        <v>131</v>
      </c>
      <c r="D659" s="92">
        <v>32</v>
      </c>
      <c r="E659" s="93">
        <v>46.44</v>
      </c>
      <c r="F659" s="93">
        <v>0.32</v>
      </c>
      <c r="G659" s="93">
        <v>156</v>
      </c>
      <c r="H659" s="93">
        <v>0.93</v>
      </c>
      <c r="I659" s="93">
        <v>0.6</v>
      </c>
      <c r="J659" s="93">
        <v>8.6999999999999993</v>
      </c>
      <c r="K659" s="93">
        <v>39.4</v>
      </c>
      <c r="L659" s="93">
        <v>33.200000000000003</v>
      </c>
      <c r="M659" s="93">
        <v>14.7</v>
      </c>
      <c r="N659" s="93">
        <v>3</v>
      </c>
      <c r="O659" s="93">
        <v>0.2</v>
      </c>
      <c r="P659" s="93">
        <v>0.1</v>
      </c>
      <c r="Q659" s="93">
        <v>0.1</v>
      </c>
      <c r="R659" s="93">
        <v>0.2</v>
      </c>
      <c r="S659" s="93">
        <v>1.98</v>
      </c>
    </row>
    <row r="660" spans="1:19">
      <c r="A660" s="296"/>
      <c r="B660" s="267" t="s">
        <v>90</v>
      </c>
      <c r="C660" s="268" t="s">
        <v>131</v>
      </c>
      <c r="D660" s="94">
        <v>35</v>
      </c>
      <c r="E660" s="95">
        <v>46.44</v>
      </c>
      <c r="F660" s="95">
        <v>0.33</v>
      </c>
      <c r="G660" s="95">
        <v>162</v>
      </c>
      <c r="H660" s="95">
        <v>0.91</v>
      </c>
      <c r="I660" s="95">
        <v>0.5</v>
      </c>
      <c r="J660" s="95">
        <v>7.3</v>
      </c>
      <c r="K660" s="95">
        <v>26.2</v>
      </c>
      <c r="L660" s="95">
        <v>39.700000000000003</v>
      </c>
      <c r="M660" s="95">
        <v>21.1</v>
      </c>
      <c r="N660" s="95">
        <v>4.4000000000000004</v>
      </c>
      <c r="O660" s="95">
        <v>0.4</v>
      </c>
      <c r="P660" s="95">
        <v>0.3</v>
      </c>
      <c r="Q660" s="95">
        <v>0.1</v>
      </c>
      <c r="R660" s="95">
        <v>0.4</v>
      </c>
      <c r="S660" s="95">
        <v>1.9</v>
      </c>
    </row>
    <row r="661" spans="1:19">
      <c r="A661" s="295">
        <v>46038</v>
      </c>
      <c r="B661" s="259" t="s">
        <v>88</v>
      </c>
      <c r="C661" s="268" t="s">
        <v>131</v>
      </c>
      <c r="D661" s="78">
        <v>38</v>
      </c>
      <c r="E661" s="80">
        <v>46.44</v>
      </c>
      <c r="F661" s="80">
        <v>0.34</v>
      </c>
      <c r="G661" s="80">
        <v>152</v>
      </c>
      <c r="H661" s="80">
        <v>0.91</v>
      </c>
      <c r="I661" s="80">
        <v>0.6</v>
      </c>
      <c r="J661" s="80">
        <v>8</v>
      </c>
      <c r="K661" s="80">
        <v>27.7</v>
      </c>
      <c r="L661" s="80">
        <v>38</v>
      </c>
      <c r="M661" s="80">
        <v>19.600000000000001</v>
      </c>
      <c r="N661" s="122">
        <v>5</v>
      </c>
      <c r="O661" s="80">
        <v>0.6</v>
      </c>
      <c r="P661" s="80">
        <v>0.4</v>
      </c>
      <c r="Q661" s="80">
        <v>0.1</v>
      </c>
      <c r="R661" s="80">
        <v>0.5</v>
      </c>
      <c r="S661" s="80">
        <v>1.9</v>
      </c>
    </row>
    <row r="662" spans="1:19">
      <c r="A662" s="295"/>
      <c r="B662" s="259" t="s">
        <v>89</v>
      </c>
      <c r="C662" s="268" t="s">
        <v>131</v>
      </c>
      <c r="D662" s="78">
        <v>36</v>
      </c>
      <c r="E662" s="80">
        <v>46.43</v>
      </c>
      <c r="F662" s="80">
        <v>0.35</v>
      </c>
      <c r="G662" s="80">
        <v>157</v>
      </c>
      <c r="H662" s="80">
        <v>0.93</v>
      </c>
      <c r="I662" s="80">
        <v>0.7</v>
      </c>
      <c r="J662" s="80">
        <v>9.8000000000000007</v>
      </c>
      <c r="K662" s="80">
        <v>27.1</v>
      </c>
      <c r="L662" s="80">
        <v>38.299999999999997</v>
      </c>
      <c r="M662" s="80">
        <v>19.600000000000001</v>
      </c>
      <c r="N662" s="80">
        <v>4</v>
      </c>
      <c r="O662" s="80">
        <v>0.3</v>
      </c>
      <c r="P662" s="80">
        <v>0.1</v>
      </c>
      <c r="Q662" s="80">
        <v>0.1</v>
      </c>
      <c r="R662" s="80">
        <v>0.2</v>
      </c>
      <c r="S662" s="80">
        <v>1.93</v>
      </c>
    </row>
    <row r="663" spans="1:19">
      <c r="A663" s="296"/>
      <c r="B663" s="267" t="s">
        <v>90</v>
      </c>
      <c r="C663" s="268" t="s">
        <v>131</v>
      </c>
      <c r="D663" s="123">
        <v>33</v>
      </c>
      <c r="E663" s="124">
        <v>46.44</v>
      </c>
      <c r="F663" s="124">
        <v>0.33</v>
      </c>
      <c r="G663" s="124">
        <v>164</v>
      </c>
      <c r="H663" s="124">
        <v>0.92</v>
      </c>
      <c r="I663" s="124">
        <v>0.5</v>
      </c>
      <c r="J663" s="124">
        <v>7.2</v>
      </c>
      <c r="K663" s="124">
        <v>26.2</v>
      </c>
      <c r="L663" s="124">
        <v>39.4</v>
      </c>
      <c r="M663" s="124">
        <v>21.5</v>
      </c>
      <c r="N663" s="124">
        <v>4.8</v>
      </c>
      <c r="O663" s="124">
        <v>0.2</v>
      </c>
      <c r="P663" s="124">
        <v>0.1</v>
      </c>
      <c r="Q663" s="124">
        <v>0.1</v>
      </c>
      <c r="R663" s="124">
        <v>0.2</v>
      </c>
      <c r="S663" s="124">
        <v>1.89</v>
      </c>
    </row>
    <row r="664" spans="1:19">
      <c r="A664" s="295">
        <v>46039</v>
      </c>
      <c r="B664" s="259" t="s">
        <v>88</v>
      </c>
      <c r="C664" s="268" t="s">
        <v>131</v>
      </c>
      <c r="D664" s="78">
        <v>40</v>
      </c>
      <c r="E664" s="80">
        <v>46.45</v>
      </c>
      <c r="F664" s="80">
        <v>0.3</v>
      </c>
      <c r="G664" s="80">
        <v>148</v>
      </c>
      <c r="H664" s="80">
        <v>0.94</v>
      </c>
      <c r="I664" s="80">
        <v>0.8</v>
      </c>
      <c r="J664" s="80">
        <v>7.9</v>
      </c>
      <c r="K664" s="80">
        <v>31.1</v>
      </c>
      <c r="L664" s="80">
        <v>24.5</v>
      </c>
      <c r="M664" s="80">
        <v>28.5</v>
      </c>
      <c r="N664" s="80">
        <v>6.1</v>
      </c>
      <c r="O664" s="80">
        <v>0.6</v>
      </c>
      <c r="P664" s="80">
        <v>0.3</v>
      </c>
      <c r="Q664" s="80">
        <v>0.2</v>
      </c>
      <c r="R664" s="80">
        <v>0.5</v>
      </c>
      <c r="S664" s="80">
        <v>1.88</v>
      </c>
    </row>
    <row r="665" spans="1:19">
      <c r="A665" s="295"/>
      <c r="B665" s="259" t="s">
        <v>89</v>
      </c>
      <c r="C665" s="268" t="s">
        <v>131</v>
      </c>
      <c r="D665" s="92">
        <v>37</v>
      </c>
      <c r="E665" s="93">
        <v>46.44</v>
      </c>
      <c r="F665" s="93">
        <v>0.34</v>
      </c>
      <c r="G665" s="93">
        <v>155</v>
      </c>
      <c r="H665" s="93">
        <v>0.92</v>
      </c>
      <c r="I665" s="93">
        <v>0.8</v>
      </c>
      <c r="J665" s="93">
        <v>8.1999999999999993</v>
      </c>
      <c r="K665" s="93">
        <v>30.9</v>
      </c>
      <c r="L665" s="93">
        <v>38.200000000000003</v>
      </c>
      <c r="M665" s="93">
        <v>17.3</v>
      </c>
      <c r="N665" s="93">
        <v>3.7</v>
      </c>
      <c r="O665" s="93">
        <v>0.4</v>
      </c>
      <c r="P665" s="93">
        <v>0.3</v>
      </c>
      <c r="Q665" s="93">
        <v>0.2</v>
      </c>
      <c r="R665" s="93">
        <v>0.5</v>
      </c>
      <c r="S665" s="93">
        <v>1.94</v>
      </c>
    </row>
    <row r="666" spans="1:19">
      <c r="A666" s="296"/>
      <c r="B666" s="267" t="s">
        <v>90</v>
      </c>
      <c r="C666" s="268" t="s">
        <v>131</v>
      </c>
      <c r="D666" s="94">
        <v>34</v>
      </c>
      <c r="E666" s="95">
        <v>46.45</v>
      </c>
      <c r="F666" s="95">
        <v>0.32</v>
      </c>
      <c r="G666" s="95">
        <v>146</v>
      </c>
      <c r="H666" s="95">
        <v>0.92</v>
      </c>
      <c r="I666" s="95">
        <v>0.5</v>
      </c>
      <c r="J666" s="95">
        <v>7.1</v>
      </c>
      <c r="K666" s="95">
        <v>25.2</v>
      </c>
      <c r="L666" s="95">
        <v>41.3</v>
      </c>
      <c r="M666" s="95">
        <v>21.1</v>
      </c>
      <c r="N666" s="95">
        <v>4.2</v>
      </c>
      <c r="O666" s="95">
        <v>0.4</v>
      </c>
      <c r="P666" s="95">
        <v>0.2</v>
      </c>
      <c r="Q666" s="95">
        <v>0</v>
      </c>
      <c r="R666" s="95">
        <v>0.2</v>
      </c>
      <c r="S666" s="95">
        <v>1.89</v>
      </c>
    </row>
    <row r="667" spans="1:19">
      <c r="A667" s="295">
        <v>46040</v>
      </c>
      <c r="B667" s="259" t="s">
        <v>88</v>
      </c>
      <c r="C667" s="258"/>
      <c r="D667" s="261"/>
      <c r="E667" s="261"/>
      <c r="F667" s="261"/>
      <c r="G667" s="261"/>
      <c r="H667" s="261"/>
      <c r="I667" s="261"/>
      <c r="J667" s="261"/>
      <c r="K667" s="261"/>
      <c r="L667" s="261"/>
      <c r="M667" s="261"/>
      <c r="N667" s="261"/>
      <c r="O667" s="261"/>
      <c r="P667" s="261"/>
      <c r="Q667" s="261"/>
      <c r="R667" s="261"/>
      <c r="S667" s="261"/>
    </row>
    <row r="668" spans="1:19">
      <c r="A668" s="295"/>
      <c r="B668" s="259" t="s">
        <v>89</v>
      </c>
      <c r="C668" s="258"/>
      <c r="D668" s="261"/>
      <c r="E668" s="261"/>
      <c r="F668" s="261"/>
      <c r="G668" s="261"/>
      <c r="H668" s="261"/>
      <c r="I668" s="261"/>
      <c r="J668" s="261"/>
      <c r="K668" s="261"/>
      <c r="L668" s="261"/>
      <c r="M668" s="261"/>
      <c r="N668" s="261"/>
      <c r="O668" s="261"/>
      <c r="P668" s="261"/>
      <c r="Q668" s="261"/>
      <c r="R668" s="261"/>
      <c r="S668" s="261"/>
    </row>
    <row r="669" spans="1:19">
      <c r="A669" s="296"/>
      <c r="B669" s="267" t="s">
        <v>90</v>
      </c>
      <c r="C669" s="258"/>
      <c r="D669" s="261"/>
      <c r="E669" s="261"/>
      <c r="F669" s="261"/>
      <c r="G669" s="261"/>
      <c r="H669" s="261"/>
      <c r="I669" s="261"/>
      <c r="J669" s="261"/>
      <c r="K669" s="261"/>
      <c r="L669" s="261"/>
      <c r="M669" s="261"/>
      <c r="N669" s="261"/>
      <c r="O669" s="261"/>
      <c r="P669" s="261"/>
      <c r="Q669" s="261"/>
      <c r="R669" s="261"/>
      <c r="S669" s="261"/>
    </row>
    <row r="670" spans="1:19">
      <c r="A670" s="295">
        <v>46041</v>
      </c>
      <c r="B670" s="259" t="s">
        <v>88</v>
      </c>
      <c r="C670" s="258"/>
      <c r="D670" s="261"/>
      <c r="E670" s="261"/>
      <c r="F670" s="261"/>
      <c r="G670" s="261"/>
      <c r="H670" s="261"/>
      <c r="I670" s="261"/>
      <c r="J670" s="261"/>
      <c r="K670" s="261"/>
      <c r="L670" s="261"/>
      <c r="M670" s="261"/>
      <c r="N670" s="261"/>
      <c r="O670" s="261"/>
      <c r="P670" s="261"/>
      <c r="Q670" s="261"/>
      <c r="R670" s="261"/>
      <c r="S670" s="261"/>
    </row>
    <row r="671" spans="1:19">
      <c r="A671" s="295"/>
      <c r="B671" s="259" t="s">
        <v>89</v>
      </c>
      <c r="C671" s="258"/>
      <c r="D671" s="261"/>
      <c r="E671" s="261"/>
      <c r="F671" s="261"/>
      <c r="G671" s="261"/>
      <c r="H671" s="261"/>
      <c r="I671" s="261"/>
      <c r="J671" s="261"/>
      <c r="K671" s="261"/>
      <c r="L671" s="261"/>
      <c r="M671" s="261"/>
      <c r="N671" s="261"/>
      <c r="O671" s="261"/>
      <c r="P671" s="261"/>
      <c r="Q671" s="261"/>
      <c r="R671" s="261"/>
      <c r="S671" s="261"/>
    </row>
    <row r="672" spans="1:19">
      <c r="A672" s="296"/>
      <c r="B672" s="267" t="s">
        <v>90</v>
      </c>
      <c r="C672" s="258"/>
      <c r="D672" s="261"/>
      <c r="E672" s="261"/>
      <c r="F672" s="261"/>
      <c r="G672" s="261"/>
      <c r="H672" s="261"/>
      <c r="I672" s="261"/>
      <c r="J672" s="261"/>
      <c r="K672" s="261"/>
      <c r="L672" s="261"/>
      <c r="M672" s="261"/>
      <c r="N672" s="261"/>
      <c r="O672" s="261"/>
      <c r="P672" s="261"/>
      <c r="Q672" s="261"/>
      <c r="R672" s="261"/>
      <c r="S672" s="261"/>
    </row>
    <row r="673" spans="1:19">
      <c r="A673" s="295">
        <v>46042</v>
      </c>
      <c r="B673" s="259" t="s">
        <v>88</v>
      </c>
      <c r="C673" s="258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1"/>
      <c r="R673" s="261"/>
      <c r="S673" s="261"/>
    </row>
    <row r="674" spans="1:19">
      <c r="A674" s="295"/>
      <c r="B674" s="259" t="s">
        <v>89</v>
      </c>
      <c r="C674" s="258"/>
      <c r="D674" s="261"/>
      <c r="E674" s="261"/>
      <c r="F674" s="261"/>
      <c r="G674" s="261"/>
      <c r="H674" s="261"/>
      <c r="I674" s="261"/>
      <c r="J674" s="261"/>
      <c r="K674" s="261"/>
      <c r="L674" s="261"/>
      <c r="M674" s="261"/>
      <c r="N674" s="261"/>
      <c r="O674" s="261"/>
      <c r="P674" s="261"/>
      <c r="Q674" s="261"/>
      <c r="R674" s="261"/>
      <c r="S674" s="261"/>
    </row>
    <row r="675" spans="1:19">
      <c r="A675" s="296"/>
      <c r="B675" s="267" t="s">
        <v>90</v>
      </c>
      <c r="C675" s="258"/>
      <c r="D675" s="261"/>
      <c r="E675" s="261"/>
      <c r="F675" s="261"/>
      <c r="G675" s="261"/>
      <c r="H675" s="261"/>
      <c r="I675" s="261"/>
      <c r="J675" s="261"/>
      <c r="K675" s="261"/>
      <c r="L675" s="261"/>
      <c r="M675" s="261"/>
      <c r="N675" s="261"/>
      <c r="O675" s="261"/>
      <c r="P675" s="261"/>
      <c r="Q675" s="261"/>
      <c r="R675" s="261"/>
      <c r="S675" s="261"/>
    </row>
    <row r="676" spans="1:19">
      <c r="A676" s="295">
        <v>46043</v>
      </c>
      <c r="B676" s="259" t="s">
        <v>88</v>
      </c>
      <c r="C676" s="258"/>
      <c r="D676" s="261"/>
      <c r="E676" s="261"/>
      <c r="F676" s="261"/>
      <c r="G676" s="261"/>
      <c r="H676" s="261"/>
      <c r="I676" s="261"/>
      <c r="J676" s="261"/>
      <c r="K676" s="261"/>
      <c r="L676" s="261"/>
      <c r="M676" s="261"/>
      <c r="N676" s="261"/>
      <c r="O676" s="261"/>
      <c r="P676" s="261"/>
      <c r="Q676" s="261"/>
      <c r="R676" s="261"/>
      <c r="S676" s="261"/>
    </row>
    <row r="677" spans="1:19">
      <c r="A677" s="295"/>
      <c r="B677" s="259" t="s">
        <v>89</v>
      </c>
      <c r="C677" s="258"/>
      <c r="D677" s="261"/>
      <c r="E677" s="261"/>
      <c r="F677" s="261"/>
      <c r="G677" s="261"/>
      <c r="H677" s="261"/>
      <c r="I677" s="261"/>
      <c r="J677" s="261"/>
      <c r="K677" s="261"/>
      <c r="L677" s="261"/>
      <c r="M677" s="261"/>
      <c r="N677" s="261"/>
      <c r="O677" s="261"/>
      <c r="P677" s="261"/>
      <c r="Q677" s="261"/>
      <c r="R677" s="261"/>
      <c r="S677" s="261"/>
    </row>
    <row r="678" spans="1:19">
      <c r="A678" s="296"/>
      <c r="B678" s="267" t="s">
        <v>90</v>
      </c>
      <c r="C678" s="258"/>
      <c r="D678" s="261"/>
      <c r="E678" s="261"/>
      <c r="F678" s="261"/>
      <c r="G678" s="261"/>
      <c r="H678" s="261"/>
      <c r="I678" s="261"/>
      <c r="J678" s="261"/>
      <c r="K678" s="261"/>
      <c r="L678" s="261"/>
      <c r="M678" s="261"/>
      <c r="N678" s="261"/>
      <c r="O678" s="261"/>
      <c r="P678" s="261"/>
      <c r="Q678" s="261"/>
      <c r="R678" s="261"/>
      <c r="S678" s="261"/>
    </row>
    <row r="679" spans="1:19">
      <c r="A679" s="295">
        <v>46044</v>
      </c>
      <c r="B679" s="259" t="s">
        <v>88</v>
      </c>
      <c r="C679" s="258"/>
      <c r="D679" s="261"/>
      <c r="E679" s="261"/>
      <c r="F679" s="261"/>
      <c r="G679" s="261"/>
      <c r="H679" s="261"/>
      <c r="I679" s="261"/>
      <c r="J679" s="261"/>
      <c r="K679" s="261"/>
      <c r="L679" s="261"/>
      <c r="M679" s="261"/>
      <c r="N679" s="261"/>
      <c r="O679" s="261"/>
      <c r="P679" s="261"/>
      <c r="Q679" s="261"/>
      <c r="R679" s="261"/>
      <c r="S679" s="261"/>
    </row>
    <row r="680" spans="1:19">
      <c r="A680" s="295"/>
      <c r="B680" s="259" t="s">
        <v>89</v>
      </c>
      <c r="C680" s="258"/>
      <c r="D680" s="261"/>
      <c r="E680" s="261"/>
      <c r="F680" s="261"/>
      <c r="G680" s="261"/>
      <c r="H680" s="261"/>
      <c r="I680" s="261"/>
      <c r="J680" s="261"/>
      <c r="K680" s="261"/>
      <c r="L680" s="261"/>
      <c r="M680" s="261"/>
      <c r="N680" s="261"/>
      <c r="O680" s="261"/>
      <c r="P680" s="261"/>
      <c r="Q680" s="261"/>
      <c r="R680" s="261"/>
      <c r="S680" s="261"/>
    </row>
    <row r="681" spans="1:19">
      <c r="A681" s="296"/>
      <c r="B681" s="267" t="s">
        <v>90</v>
      </c>
      <c r="C681" s="258"/>
      <c r="D681" s="261"/>
      <c r="E681" s="261"/>
      <c r="F681" s="261"/>
      <c r="G681" s="261"/>
      <c r="H681" s="261"/>
      <c r="I681" s="261"/>
      <c r="J681" s="261"/>
      <c r="K681" s="261"/>
      <c r="L681" s="261"/>
      <c r="M681" s="261"/>
      <c r="N681" s="261"/>
      <c r="O681" s="261"/>
      <c r="P681" s="261"/>
      <c r="Q681" s="261"/>
      <c r="R681" s="261"/>
      <c r="S681" s="261"/>
    </row>
    <row r="682" spans="1:19">
      <c r="A682" s="295">
        <v>46045</v>
      </c>
      <c r="B682" s="259" t="s">
        <v>88</v>
      </c>
      <c r="C682" s="258"/>
      <c r="D682" s="261"/>
      <c r="E682" s="261"/>
      <c r="F682" s="261"/>
      <c r="G682" s="261"/>
      <c r="H682" s="261"/>
      <c r="I682" s="261"/>
      <c r="J682" s="261"/>
      <c r="K682" s="261"/>
      <c r="L682" s="261"/>
      <c r="M682" s="261"/>
      <c r="N682" s="261"/>
      <c r="O682" s="261"/>
      <c r="P682" s="261"/>
      <c r="Q682" s="261"/>
      <c r="R682" s="261"/>
      <c r="S682" s="261"/>
    </row>
    <row r="683" spans="1:19">
      <c r="A683" s="295"/>
      <c r="B683" s="259" t="s">
        <v>89</v>
      </c>
      <c r="C683" s="258"/>
      <c r="D683" s="261"/>
      <c r="E683" s="261"/>
      <c r="F683" s="261"/>
      <c r="G683" s="261"/>
      <c r="H683" s="261"/>
      <c r="I683" s="261"/>
      <c r="J683" s="261"/>
      <c r="K683" s="261"/>
      <c r="L683" s="261"/>
      <c r="M683" s="261"/>
      <c r="N683" s="261"/>
      <c r="O683" s="261"/>
      <c r="P683" s="261"/>
      <c r="Q683" s="261"/>
      <c r="R683" s="261"/>
      <c r="S683" s="261"/>
    </row>
    <row r="684" spans="1:19">
      <c r="A684" s="296"/>
      <c r="B684" s="267" t="s">
        <v>90</v>
      </c>
      <c r="C684" s="258"/>
      <c r="D684" s="261"/>
      <c r="E684" s="261"/>
      <c r="F684" s="261"/>
      <c r="G684" s="261"/>
      <c r="H684" s="261"/>
      <c r="I684" s="261"/>
      <c r="J684" s="261"/>
      <c r="K684" s="261"/>
      <c r="L684" s="261"/>
      <c r="M684" s="261"/>
      <c r="N684" s="261"/>
      <c r="O684" s="261"/>
      <c r="P684" s="261"/>
      <c r="Q684" s="261"/>
      <c r="R684" s="261"/>
      <c r="S684" s="261"/>
    </row>
    <row r="685" spans="1:19">
      <c r="A685" s="295">
        <v>46046</v>
      </c>
      <c r="B685" s="259" t="s">
        <v>88</v>
      </c>
      <c r="C685" s="258"/>
      <c r="D685" s="261"/>
      <c r="E685" s="261"/>
      <c r="F685" s="261"/>
      <c r="G685" s="261"/>
      <c r="H685" s="261"/>
      <c r="I685" s="261"/>
      <c r="J685" s="261"/>
      <c r="K685" s="261"/>
      <c r="L685" s="261"/>
      <c r="M685" s="261"/>
      <c r="N685" s="261"/>
      <c r="O685" s="261"/>
      <c r="P685" s="261"/>
      <c r="Q685" s="261"/>
      <c r="R685" s="261"/>
      <c r="S685" s="261"/>
    </row>
    <row r="686" spans="1:19">
      <c r="A686" s="295"/>
      <c r="B686" s="259" t="s">
        <v>89</v>
      </c>
      <c r="C686" s="258"/>
      <c r="D686" s="261"/>
      <c r="E686" s="261"/>
      <c r="F686" s="261"/>
      <c r="G686" s="261"/>
      <c r="H686" s="261"/>
      <c r="I686" s="261"/>
      <c r="J686" s="261"/>
      <c r="K686" s="261"/>
      <c r="L686" s="261"/>
      <c r="M686" s="261"/>
      <c r="N686" s="261"/>
      <c r="O686" s="261"/>
      <c r="P686" s="261"/>
      <c r="Q686" s="261"/>
      <c r="R686" s="261"/>
      <c r="S686" s="261"/>
    </row>
    <row r="687" spans="1:19">
      <c r="A687" s="296"/>
      <c r="B687" s="267" t="s">
        <v>90</v>
      </c>
      <c r="C687" s="258"/>
      <c r="D687" s="261"/>
      <c r="E687" s="261"/>
      <c r="F687" s="261"/>
      <c r="G687" s="261"/>
      <c r="H687" s="261"/>
      <c r="I687" s="261"/>
      <c r="J687" s="261"/>
      <c r="K687" s="261"/>
      <c r="L687" s="261"/>
      <c r="M687" s="261"/>
      <c r="N687" s="261"/>
      <c r="O687" s="261"/>
      <c r="P687" s="261"/>
      <c r="Q687" s="261"/>
      <c r="R687" s="261"/>
      <c r="S687" s="261"/>
    </row>
    <row r="688" spans="1:19">
      <c r="A688" s="295">
        <v>46047</v>
      </c>
      <c r="B688" s="259" t="s">
        <v>88</v>
      </c>
      <c r="C688" s="258"/>
      <c r="D688" s="261"/>
      <c r="E688" s="261"/>
      <c r="F688" s="261"/>
      <c r="G688" s="261"/>
      <c r="H688" s="261"/>
      <c r="I688" s="261"/>
      <c r="J688" s="261"/>
      <c r="K688" s="261"/>
      <c r="L688" s="261"/>
      <c r="M688" s="261"/>
      <c r="N688" s="261"/>
      <c r="O688" s="261"/>
      <c r="P688" s="261"/>
      <c r="Q688" s="261"/>
      <c r="R688" s="261"/>
      <c r="S688" s="261"/>
    </row>
    <row r="689" spans="1:19">
      <c r="A689" s="295"/>
      <c r="B689" s="259" t="s">
        <v>89</v>
      </c>
      <c r="C689" s="258"/>
      <c r="D689" s="261"/>
      <c r="E689" s="261"/>
      <c r="F689" s="261"/>
      <c r="G689" s="261"/>
      <c r="H689" s="261"/>
      <c r="I689" s="261"/>
      <c r="J689" s="261"/>
      <c r="K689" s="261"/>
      <c r="L689" s="261"/>
      <c r="M689" s="261"/>
      <c r="N689" s="261"/>
      <c r="O689" s="261"/>
      <c r="P689" s="261"/>
      <c r="Q689" s="261"/>
      <c r="R689" s="261"/>
      <c r="S689" s="261"/>
    </row>
    <row r="690" spans="1:19">
      <c r="A690" s="296"/>
      <c r="B690" s="267" t="s">
        <v>90</v>
      </c>
      <c r="C690" s="258"/>
      <c r="D690" s="261"/>
      <c r="E690" s="261"/>
      <c r="F690" s="261"/>
      <c r="G690" s="261"/>
      <c r="H690" s="261"/>
      <c r="I690" s="261"/>
      <c r="J690" s="261"/>
      <c r="K690" s="261"/>
      <c r="L690" s="261"/>
      <c r="M690" s="261"/>
      <c r="N690" s="261"/>
      <c r="O690" s="261"/>
      <c r="P690" s="261"/>
      <c r="Q690" s="261"/>
      <c r="R690" s="261"/>
      <c r="S690" s="261"/>
    </row>
    <row r="691" spans="1:19">
      <c r="A691" s="295">
        <v>46048</v>
      </c>
      <c r="B691" s="259" t="s">
        <v>88</v>
      </c>
      <c r="C691" s="258"/>
      <c r="D691" s="261"/>
      <c r="E691" s="261"/>
      <c r="F691" s="261"/>
      <c r="G691" s="261"/>
      <c r="H691" s="261"/>
      <c r="I691" s="261"/>
      <c r="J691" s="261"/>
      <c r="K691" s="261"/>
      <c r="L691" s="261"/>
      <c r="M691" s="261"/>
      <c r="N691" s="261"/>
      <c r="O691" s="261"/>
      <c r="P691" s="261"/>
      <c r="Q691" s="261"/>
      <c r="R691" s="261"/>
      <c r="S691" s="261"/>
    </row>
    <row r="692" spans="1:19">
      <c r="A692" s="295"/>
      <c r="B692" s="259" t="s">
        <v>89</v>
      </c>
      <c r="C692" s="258"/>
      <c r="D692" s="261"/>
      <c r="E692" s="261"/>
      <c r="F692" s="261"/>
      <c r="G692" s="261"/>
      <c r="H692" s="261"/>
      <c r="I692" s="261"/>
      <c r="J692" s="261"/>
      <c r="K692" s="261"/>
      <c r="L692" s="261"/>
      <c r="M692" s="261"/>
      <c r="N692" s="261"/>
      <c r="O692" s="261"/>
      <c r="P692" s="261"/>
      <c r="Q692" s="261"/>
      <c r="R692" s="261"/>
      <c r="S692" s="261"/>
    </row>
    <row r="693" spans="1:19">
      <c r="A693" s="296"/>
      <c r="B693" s="267" t="s">
        <v>90</v>
      </c>
      <c r="C693" s="258"/>
      <c r="D693" s="261"/>
      <c r="E693" s="261"/>
      <c r="F693" s="261"/>
      <c r="G693" s="261"/>
      <c r="H693" s="261"/>
      <c r="I693" s="261"/>
      <c r="J693" s="261"/>
      <c r="K693" s="261"/>
      <c r="L693" s="261"/>
      <c r="M693" s="261"/>
      <c r="N693" s="261"/>
      <c r="O693" s="261"/>
      <c r="P693" s="261"/>
      <c r="Q693" s="261"/>
      <c r="R693" s="261"/>
      <c r="S693" s="261"/>
    </row>
    <row r="694" spans="1:19">
      <c r="A694" s="295">
        <v>46049</v>
      </c>
      <c r="B694" s="259" t="s">
        <v>88</v>
      </c>
      <c r="C694" s="258"/>
      <c r="D694" s="261"/>
      <c r="E694" s="261"/>
      <c r="F694" s="261"/>
      <c r="G694" s="261"/>
      <c r="H694" s="261"/>
      <c r="I694" s="261"/>
      <c r="J694" s="261"/>
      <c r="K694" s="261"/>
      <c r="L694" s="261"/>
      <c r="M694" s="261"/>
      <c r="N694" s="261"/>
      <c r="O694" s="261"/>
      <c r="P694" s="261"/>
      <c r="Q694" s="261"/>
      <c r="R694" s="261"/>
      <c r="S694" s="261"/>
    </row>
    <row r="695" spans="1:19">
      <c r="A695" s="295"/>
      <c r="B695" s="259" t="s">
        <v>89</v>
      </c>
      <c r="C695" s="258"/>
      <c r="D695" s="261"/>
      <c r="E695" s="261"/>
      <c r="F695" s="261"/>
      <c r="G695" s="261"/>
      <c r="H695" s="261"/>
      <c r="I695" s="261"/>
      <c r="J695" s="261"/>
      <c r="K695" s="261"/>
      <c r="L695" s="261"/>
      <c r="M695" s="261"/>
      <c r="N695" s="261"/>
      <c r="O695" s="261"/>
      <c r="P695" s="261"/>
      <c r="Q695" s="261"/>
      <c r="R695" s="261"/>
      <c r="S695" s="261"/>
    </row>
    <row r="696" spans="1:19">
      <c r="A696" s="296"/>
      <c r="B696" s="267" t="s">
        <v>90</v>
      </c>
      <c r="C696" s="258"/>
      <c r="D696" s="261"/>
      <c r="E696" s="261"/>
      <c r="F696" s="261"/>
      <c r="G696" s="261"/>
      <c r="H696" s="261"/>
      <c r="I696" s="261"/>
      <c r="J696" s="261"/>
      <c r="K696" s="261"/>
      <c r="L696" s="261"/>
      <c r="M696" s="261"/>
      <c r="N696" s="261"/>
      <c r="O696" s="261"/>
      <c r="P696" s="261"/>
      <c r="Q696" s="261"/>
      <c r="R696" s="261"/>
      <c r="S696" s="261"/>
    </row>
    <row r="697" spans="1:19">
      <c r="A697" s="295">
        <v>46050</v>
      </c>
      <c r="B697" s="259" t="s">
        <v>88</v>
      </c>
      <c r="C697" s="258"/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N697" s="261"/>
      <c r="O697" s="261"/>
      <c r="P697" s="261"/>
      <c r="Q697" s="261"/>
      <c r="R697" s="261"/>
      <c r="S697" s="261"/>
    </row>
    <row r="698" spans="1:19">
      <c r="A698" s="295"/>
      <c r="B698" s="259" t="s">
        <v>89</v>
      </c>
      <c r="C698" s="258"/>
      <c r="D698" s="261"/>
      <c r="E698" s="261"/>
      <c r="F698" s="261"/>
      <c r="G698" s="261"/>
      <c r="H698" s="261"/>
      <c r="I698" s="261"/>
      <c r="J698" s="261"/>
      <c r="K698" s="261"/>
      <c r="L698" s="261"/>
      <c r="M698" s="261"/>
      <c r="N698" s="261"/>
      <c r="O698" s="261"/>
      <c r="P698" s="261"/>
      <c r="Q698" s="261"/>
      <c r="R698" s="261"/>
      <c r="S698" s="261"/>
    </row>
    <row r="699" spans="1:19">
      <c r="A699" s="296"/>
      <c r="B699" s="267" t="s">
        <v>90</v>
      </c>
      <c r="C699" s="258"/>
      <c r="D699" s="261"/>
      <c r="E699" s="261"/>
      <c r="F699" s="261"/>
      <c r="G699" s="261"/>
      <c r="H699" s="261"/>
      <c r="I699" s="261"/>
      <c r="J699" s="261"/>
      <c r="K699" s="261"/>
      <c r="L699" s="261"/>
      <c r="M699" s="261"/>
      <c r="N699" s="261"/>
      <c r="O699" s="261"/>
      <c r="P699" s="261"/>
      <c r="Q699" s="261"/>
      <c r="R699" s="261"/>
      <c r="S699" s="261"/>
    </row>
    <row r="700" spans="1:19">
      <c r="A700" s="295">
        <v>46051</v>
      </c>
      <c r="B700" s="259" t="s">
        <v>88</v>
      </c>
      <c r="C700" s="258"/>
      <c r="D700" s="261"/>
      <c r="E700" s="261"/>
      <c r="F700" s="261"/>
      <c r="G700" s="261"/>
      <c r="H700" s="261"/>
      <c r="I700" s="261"/>
      <c r="J700" s="261"/>
      <c r="K700" s="261"/>
      <c r="L700" s="261"/>
      <c r="M700" s="261"/>
      <c r="N700" s="261"/>
      <c r="O700" s="261"/>
      <c r="P700" s="261"/>
      <c r="Q700" s="261"/>
      <c r="R700" s="261"/>
      <c r="S700" s="261"/>
    </row>
    <row r="701" spans="1:19">
      <c r="A701" s="295"/>
      <c r="B701" s="259" t="s">
        <v>89</v>
      </c>
      <c r="C701" s="258"/>
      <c r="D701" s="261"/>
      <c r="E701" s="261"/>
      <c r="F701" s="261"/>
      <c r="G701" s="261"/>
      <c r="H701" s="261"/>
      <c r="I701" s="261"/>
      <c r="J701" s="261"/>
      <c r="K701" s="261"/>
      <c r="L701" s="261"/>
      <c r="M701" s="261"/>
      <c r="N701" s="261"/>
      <c r="O701" s="261"/>
      <c r="P701" s="261"/>
      <c r="Q701" s="261"/>
      <c r="R701" s="261"/>
      <c r="S701" s="261"/>
    </row>
    <row r="702" spans="1:19">
      <c r="A702" s="296"/>
      <c r="B702" s="267" t="s">
        <v>90</v>
      </c>
      <c r="C702" s="258"/>
      <c r="D702" s="261"/>
      <c r="E702" s="261"/>
      <c r="F702" s="261"/>
      <c r="G702" s="261"/>
      <c r="H702" s="261"/>
      <c r="I702" s="261"/>
      <c r="J702" s="261"/>
      <c r="K702" s="261"/>
      <c r="L702" s="261"/>
      <c r="M702" s="261"/>
      <c r="N702" s="261"/>
      <c r="O702" s="261"/>
      <c r="P702" s="261"/>
      <c r="Q702" s="261"/>
      <c r="R702" s="261"/>
      <c r="S702" s="261"/>
    </row>
    <row r="703" spans="1:19">
      <c r="A703" s="295">
        <v>46052</v>
      </c>
      <c r="B703" s="259" t="s">
        <v>88</v>
      </c>
      <c r="C703" s="258"/>
      <c r="D703" s="261"/>
      <c r="E703" s="261"/>
      <c r="F703" s="261"/>
      <c r="G703" s="261"/>
      <c r="H703" s="261"/>
      <c r="I703" s="261"/>
      <c r="J703" s="261"/>
      <c r="K703" s="261"/>
      <c r="L703" s="261"/>
      <c r="M703" s="261"/>
      <c r="N703" s="261"/>
      <c r="O703" s="261"/>
      <c r="P703" s="261"/>
      <c r="Q703" s="261"/>
      <c r="R703" s="261"/>
      <c r="S703" s="261"/>
    </row>
    <row r="704" spans="1:19">
      <c r="A704" s="295"/>
      <c r="B704" s="259" t="s">
        <v>89</v>
      </c>
      <c r="C704" s="258"/>
      <c r="D704" s="261"/>
      <c r="E704" s="261"/>
      <c r="F704" s="261"/>
      <c r="G704" s="261"/>
      <c r="H704" s="261"/>
      <c r="I704" s="261"/>
      <c r="J704" s="261"/>
      <c r="K704" s="261"/>
      <c r="L704" s="261"/>
      <c r="M704" s="261"/>
      <c r="N704" s="261"/>
      <c r="O704" s="261"/>
      <c r="P704" s="261"/>
      <c r="Q704" s="261"/>
      <c r="R704" s="261"/>
      <c r="S704" s="261"/>
    </row>
    <row r="705" spans="1:19">
      <c r="A705" s="296"/>
      <c r="B705" s="267" t="s">
        <v>90</v>
      </c>
      <c r="C705" s="258"/>
      <c r="D705" s="261"/>
      <c r="E705" s="261"/>
      <c r="F705" s="261"/>
      <c r="G705" s="261"/>
      <c r="H705" s="261"/>
      <c r="I705" s="261"/>
      <c r="J705" s="261"/>
      <c r="K705" s="261"/>
      <c r="L705" s="261"/>
      <c r="M705" s="261"/>
      <c r="N705" s="261"/>
      <c r="O705" s="261"/>
      <c r="P705" s="261"/>
      <c r="Q705" s="261"/>
      <c r="R705" s="261"/>
      <c r="S705" s="261"/>
    </row>
    <row r="706" spans="1:19">
      <c r="A706" s="295">
        <v>46053</v>
      </c>
      <c r="B706" s="259" t="s">
        <v>88</v>
      </c>
      <c r="C706" s="258"/>
      <c r="D706" s="261"/>
      <c r="E706" s="261"/>
      <c r="F706" s="261"/>
      <c r="G706" s="261"/>
      <c r="H706" s="261"/>
      <c r="I706" s="261"/>
      <c r="J706" s="261"/>
      <c r="K706" s="261"/>
      <c r="L706" s="261"/>
      <c r="M706" s="261"/>
      <c r="N706" s="261"/>
      <c r="O706" s="261"/>
      <c r="P706" s="261"/>
      <c r="Q706" s="261"/>
      <c r="R706" s="261"/>
      <c r="S706" s="261"/>
    </row>
    <row r="707" spans="1:19">
      <c r="A707" s="295"/>
      <c r="B707" s="259" t="s">
        <v>89</v>
      </c>
      <c r="C707" s="258"/>
      <c r="D707" s="261"/>
      <c r="E707" s="261"/>
      <c r="F707" s="261"/>
      <c r="G707" s="261"/>
      <c r="H707" s="261"/>
      <c r="I707" s="261"/>
      <c r="J707" s="261"/>
      <c r="K707" s="261"/>
      <c r="L707" s="261"/>
      <c r="M707" s="261"/>
      <c r="N707" s="261"/>
      <c r="O707" s="261"/>
      <c r="P707" s="261"/>
      <c r="Q707" s="261"/>
      <c r="R707" s="261"/>
      <c r="S707" s="261"/>
    </row>
    <row r="708" spans="1:19">
      <c r="A708" s="296"/>
      <c r="B708" s="267" t="s">
        <v>90</v>
      </c>
      <c r="C708" s="258"/>
      <c r="D708" s="261"/>
      <c r="E708" s="261"/>
      <c r="F708" s="261"/>
      <c r="G708" s="261"/>
      <c r="H708" s="261"/>
      <c r="I708" s="261"/>
      <c r="J708" s="261"/>
      <c r="K708" s="261"/>
      <c r="L708" s="261"/>
      <c r="M708" s="261"/>
      <c r="N708" s="261"/>
      <c r="O708" s="261"/>
      <c r="P708" s="261"/>
      <c r="Q708" s="261"/>
      <c r="R708" s="261"/>
      <c r="S708" s="261"/>
    </row>
    <row r="709" spans="1:19">
      <c r="A709" s="295">
        <v>46054</v>
      </c>
      <c r="B709" s="259" t="s">
        <v>88</v>
      </c>
      <c r="C709" s="258"/>
      <c r="D709" s="261"/>
      <c r="E709" s="261"/>
      <c r="F709" s="261"/>
      <c r="G709" s="261"/>
      <c r="H709" s="261"/>
      <c r="I709" s="261"/>
      <c r="J709" s="261"/>
      <c r="K709" s="261"/>
      <c r="L709" s="261"/>
      <c r="M709" s="261"/>
      <c r="N709" s="261"/>
      <c r="O709" s="261"/>
      <c r="P709" s="261"/>
      <c r="Q709" s="261"/>
      <c r="R709" s="261"/>
      <c r="S709" s="261"/>
    </row>
    <row r="710" spans="1:19">
      <c r="A710" s="295"/>
      <c r="B710" s="259" t="s">
        <v>89</v>
      </c>
      <c r="C710" s="258"/>
      <c r="D710" s="261"/>
      <c r="E710" s="261"/>
      <c r="F710" s="261"/>
      <c r="G710" s="261"/>
      <c r="H710" s="261"/>
      <c r="I710" s="261"/>
      <c r="J710" s="261"/>
      <c r="K710" s="261"/>
      <c r="L710" s="261"/>
      <c r="M710" s="261"/>
      <c r="N710" s="261"/>
      <c r="O710" s="261"/>
      <c r="P710" s="261"/>
      <c r="Q710" s="261"/>
      <c r="R710" s="261"/>
      <c r="S710" s="261"/>
    </row>
    <row r="711" spans="1:19">
      <c r="A711" s="296"/>
      <c r="B711" s="267" t="s">
        <v>90</v>
      </c>
      <c r="C711" s="258"/>
      <c r="D711" s="261"/>
      <c r="E711" s="261"/>
      <c r="F711" s="261"/>
      <c r="G711" s="261"/>
      <c r="H711" s="261"/>
      <c r="I711" s="261"/>
      <c r="J711" s="261"/>
      <c r="K711" s="261"/>
      <c r="L711" s="261"/>
      <c r="M711" s="261"/>
      <c r="N711" s="261"/>
      <c r="O711" s="261"/>
      <c r="P711" s="261"/>
      <c r="Q711" s="261"/>
      <c r="R711" s="261"/>
      <c r="S711" s="261"/>
    </row>
    <row r="712" spans="1:19">
      <c r="A712" s="295">
        <v>46055</v>
      </c>
      <c r="B712" s="259" t="s">
        <v>88</v>
      </c>
      <c r="C712" s="258"/>
      <c r="D712" s="261"/>
      <c r="E712" s="261"/>
      <c r="F712" s="261"/>
      <c r="G712" s="261"/>
      <c r="H712" s="261"/>
      <c r="I712" s="261"/>
      <c r="J712" s="261"/>
      <c r="K712" s="261"/>
      <c r="L712" s="261"/>
      <c r="M712" s="261"/>
      <c r="N712" s="261"/>
      <c r="O712" s="261"/>
      <c r="P712" s="261"/>
      <c r="Q712" s="261"/>
      <c r="R712" s="261"/>
      <c r="S712" s="261"/>
    </row>
    <row r="713" spans="1:19">
      <c r="A713" s="295"/>
      <c r="B713" s="259" t="s">
        <v>89</v>
      </c>
      <c r="C713" s="258"/>
      <c r="D713" s="261"/>
      <c r="E713" s="261"/>
      <c r="F713" s="261"/>
      <c r="G713" s="261"/>
      <c r="H713" s="261"/>
      <c r="I713" s="261"/>
      <c r="J713" s="261"/>
      <c r="K713" s="261"/>
      <c r="L713" s="261"/>
      <c r="M713" s="261"/>
      <c r="N713" s="261"/>
      <c r="O713" s="261"/>
      <c r="P713" s="261"/>
      <c r="Q713" s="261"/>
      <c r="R713" s="261"/>
      <c r="S713" s="261"/>
    </row>
    <row r="714" spans="1:19">
      <c r="A714" s="296"/>
      <c r="B714" s="267" t="s">
        <v>90</v>
      </c>
      <c r="C714" s="258"/>
      <c r="D714" s="261"/>
      <c r="E714" s="261"/>
      <c r="F714" s="261"/>
      <c r="G714" s="261"/>
      <c r="H714" s="261"/>
      <c r="I714" s="261"/>
      <c r="J714" s="261"/>
      <c r="K714" s="261"/>
      <c r="L714" s="261"/>
      <c r="M714" s="261"/>
      <c r="N714" s="261"/>
      <c r="O714" s="261"/>
      <c r="P714" s="261"/>
      <c r="Q714" s="261"/>
      <c r="R714" s="261"/>
      <c r="S714" s="261"/>
    </row>
    <row r="715" spans="1:19">
      <c r="A715" s="295">
        <v>46056</v>
      </c>
      <c r="B715" s="259" t="s">
        <v>88</v>
      </c>
      <c r="C715" s="258"/>
      <c r="D715" s="261"/>
      <c r="E715" s="261"/>
      <c r="F715" s="261"/>
      <c r="G715" s="261"/>
      <c r="H715" s="261"/>
      <c r="I715" s="261"/>
      <c r="J715" s="261"/>
      <c r="K715" s="261"/>
      <c r="L715" s="261"/>
      <c r="M715" s="261"/>
      <c r="N715" s="261"/>
      <c r="O715" s="261"/>
      <c r="P715" s="261"/>
      <c r="Q715" s="261"/>
      <c r="R715" s="261"/>
      <c r="S715" s="261"/>
    </row>
    <row r="716" spans="1:19">
      <c r="A716" s="295"/>
      <c r="B716" s="259" t="s">
        <v>89</v>
      </c>
      <c r="C716" s="258"/>
      <c r="D716" s="261"/>
      <c r="E716" s="261"/>
      <c r="F716" s="261"/>
      <c r="G716" s="261"/>
      <c r="H716" s="261"/>
      <c r="I716" s="261"/>
      <c r="J716" s="261"/>
      <c r="K716" s="261"/>
      <c r="L716" s="261"/>
      <c r="M716" s="261"/>
      <c r="N716" s="261"/>
      <c r="O716" s="261"/>
      <c r="P716" s="261"/>
      <c r="Q716" s="261"/>
      <c r="R716" s="261"/>
      <c r="S716" s="261"/>
    </row>
    <row r="717" spans="1:19">
      <c r="A717" s="296"/>
      <c r="B717" s="267" t="s">
        <v>90</v>
      </c>
      <c r="C717" s="258"/>
      <c r="D717" s="261"/>
      <c r="E717" s="261"/>
      <c r="F717" s="261"/>
      <c r="G717" s="261"/>
      <c r="H717" s="261"/>
      <c r="I717" s="261"/>
      <c r="J717" s="261"/>
      <c r="K717" s="261"/>
      <c r="L717" s="261"/>
      <c r="M717" s="261"/>
      <c r="N717" s="261"/>
      <c r="O717" s="261"/>
      <c r="P717" s="261"/>
      <c r="Q717" s="261"/>
      <c r="R717" s="261"/>
      <c r="S717" s="261"/>
    </row>
    <row r="718" spans="1:19">
      <c r="A718" s="295">
        <v>46057</v>
      </c>
      <c r="B718" s="259" t="s">
        <v>88</v>
      </c>
      <c r="C718" s="258"/>
      <c r="D718" s="261"/>
      <c r="E718" s="261"/>
      <c r="F718" s="261"/>
      <c r="G718" s="261"/>
      <c r="H718" s="261"/>
      <c r="I718" s="261"/>
      <c r="J718" s="261"/>
      <c r="K718" s="261"/>
      <c r="L718" s="261"/>
      <c r="M718" s="261"/>
      <c r="N718" s="261"/>
      <c r="O718" s="261"/>
      <c r="P718" s="261"/>
      <c r="Q718" s="261"/>
      <c r="R718" s="261"/>
      <c r="S718" s="261"/>
    </row>
    <row r="719" spans="1:19">
      <c r="A719" s="295"/>
      <c r="B719" s="259" t="s">
        <v>89</v>
      </c>
      <c r="C719" s="258"/>
      <c r="D719" s="261"/>
      <c r="E719" s="261"/>
      <c r="F719" s="261"/>
      <c r="G719" s="261"/>
      <c r="H719" s="261"/>
      <c r="I719" s="261"/>
      <c r="J719" s="261"/>
      <c r="K719" s="261"/>
      <c r="L719" s="261"/>
      <c r="M719" s="261"/>
      <c r="N719" s="261"/>
      <c r="O719" s="261"/>
      <c r="P719" s="261"/>
      <c r="Q719" s="261"/>
      <c r="R719" s="261"/>
      <c r="S719" s="261"/>
    </row>
    <row r="720" spans="1:19">
      <c r="A720" s="296"/>
      <c r="B720" s="267" t="s">
        <v>90</v>
      </c>
      <c r="C720" s="258"/>
      <c r="D720" s="261"/>
      <c r="E720" s="261"/>
      <c r="F720" s="261"/>
      <c r="G720" s="261"/>
      <c r="H720" s="261"/>
      <c r="I720" s="261"/>
      <c r="J720" s="261"/>
      <c r="K720" s="261"/>
      <c r="L720" s="261"/>
      <c r="M720" s="261"/>
      <c r="N720" s="261"/>
      <c r="O720" s="261"/>
      <c r="P720" s="261"/>
      <c r="Q720" s="261"/>
      <c r="R720" s="261"/>
      <c r="S720" s="261"/>
    </row>
    <row r="721" spans="1:19">
      <c r="A721" s="295">
        <v>46058</v>
      </c>
      <c r="B721" s="259" t="s">
        <v>88</v>
      </c>
      <c r="C721" s="258"/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N721" s="261"/>
      <c r="O721" s="261"/>
      <c r="P721" s="261"/>
      <c r="Q721" s="261"/>
      <c r="R721" s="261"/>
      <c r="S721" s="261"/>
    </row>
    <row r="722" spans="1:19">
      <c r="A722" s="295"/>
      <c r="B722" s="259" t="s">
        <v>89</v>
      </c>
      <c r="C722" s="258"/>
      <c r="D722" s="261"/>
      <c r="E722" s="261"/>
      <c r="F722" s="261"/>
      <c r="G722" s="261"/>
      <c r="H722" s="261"/>
      <c r="I722" s="261"/>
      <c r="J722" s="261"/>
      <c r="K722" s="261"/>
      <c r="L722" s="261"/>
      <c r="M722" s="261"/>
      <c r="N722" s="261"/>
      <c r="O722" s="261"/>
      <c r="P722" s="261"/>
      <c r="Q722" s="261"/>
      <c r="R722" s="261"/>
      <c r="S722" s="261"/>
    </row>
    <row r="723" spans="1:19">
      <c r="A723" s="296"/>
      <c r="B723" s="267" t="s">
        <v>90</v>
      </c>
      <c r="C723" s="258"/>
      <c r="D723" s="261"/>
      <c r="E723" s="261"/>
      <c r="F723" s="261"/>
      <c r="G723" s="261"/>
      <c r="H723" s="261"/>
      <c r="I723" s="261"/>
      <c r="J723" s="261"/>
      <c r="K723" s="261"/>
      <c r="L723" s="261"/>
      <c r="M723" s="261"/>
      <c r="N723" s="261"/>
      <c r="O723" s="261"/>
      <c r="P723" s="261"/>
      <c r="Q723" s="261"/>
      <c r="R723" s="261"/>
      <c r="S723" s="261"/>
    </row>
    <row r="724" spans="1:19">
      <c r="A724" s="295">
        <v>46059</v>
      </c>
      <c r="B724" s="259" t="s">
        <v>88</v>
      </c>
      <c r="C724" s="258"/>
      <c r="D724" s="261"/>
      <c r="E724" s="261"/>
      <c r="F724" s="261"/>
      <c r="G724" s="261"/>
      <c r="H724" s="261"/>
      <c r="I724" s="261"/>
      <c r="J724" s="261"/>
      <c r="K724" s="261"/>
      <c r="L724" s="261"/>
      <c r="M724" s="261"/>
      <c r="N724" s="261"/>
      <c r="O724" s="261"/>
      <c r="P724" s="261"/>
      <c r="Q724" s="261"/>
      <c r="R724" s="261"/>
      <c r="S724" s="261"/>
    </row>
    <row r="725" spans="1:19">
      <c r="A725" s="295"/>
      <c r="B725" s="259" t="s">
        <v>89</v>
      </c>
      <c r="C725" s="258"/>
      <c r="D725" s="261"/>
      <c r="E725" s="261"/>
      <c r="F725" s="261"/>
      <c r="G725" s="261"/>
      <c r="H725" s="261"/>
      <c r="I725" s="261"/>
      <c r="J725" s="261"/>
      <c r="K725" s="261"/>
      <c r="L725" s="261"/>
      <c r="M725" s="261"/>
      <c r="N725" s="261"/>
      <c r="O725" s="261"/>
      <c r="P725" s="261"/>
      <c r="Q725" s="261"/>
      <c r="R725" s="261"/>
      <c r="S725" s="261"/>
    </row>
    <row r="726" spans="1:19">
      <c r="A726" s="296"/>
      <c r="B726" s="267" t="s">
        <v>90</v>
      </c>
      <c r="C726" s="258"/>
      <c r="D726" s="261"/>
      <c r="E726" s="261"/>
      <c r="F726" s="261"/>
      <c r="G726" s="261"/>
      <c r="H726" s="261"/>
      <c r="I726" s="261"/>
      <c r="J726" s="261"/>
      <c r="K726" s="261"/>
      <c r="L726" s="261"/>
      <c r="M726" s="261"/>
      <c r="N726" s="261"/>
      <c r="O726" s="261"/>
      <c r="P726" s="261"/>
      <c r="Q726" s="261"/>
      <c r="R726" s="261"/>
      <c r="S726" s="261"/>
    </row>
    <row r="727" spans="1:19">
      <c r="A727" s="295">
        <v>46060</v>
      </c>
      <c r="B727" s="259" t="s">
        <v>88</v>
      </c>
      <c r="C727" s="258"/>
      <c r="D727" s="261"/>
      <c r="E727" s="261"/>
      <c r="F727" s="261"/>
      <c r="G727" s="261"/>
      <c r="H727" s="261"/>
      <c r="I727" s="261"/>
      <c r="J727" s="261"/>
      <c r="K727" s="261"/>
      <c r="L727" s="261"/>
      <c r="M727" s="261"/>
      <c r="N727" s="261"/>
      <c r="O727" s="261"/>
      <c r="P727" s="261"/>
      <c r="Q727" s="261"/>
      <c r="R727" s="261"/>
      <c r="S727" s="261"/>
    </row>
    <row r="728" spans="1:19">
      <c r="A728" s="295"/>
      <c r="B728" s="259" t="s">
        <v>89</v>
      </c>
      <c r="C728" s="258"/>
      <c r="D728" s="261"/>
      <c r="E728" s="261"/>
      <c r="F728" s="261"/>
      <c r="G728" s="261"/>
      <c r="H728" s="261"/>
      <c r="I728" s="261"/>
      <c r="J728" s="261"/>
      <c r="K728" s="261"/>
      <c r="L728" s="261"/>
      <c r="M728" s="261"/>
      <c r="N728" s="261"/>
      <c r="O728" s="261"/>
      <c r="P728" s="261"/>
      <c r="Q728" s="261"/>
      <c r="R728" s="261"/>
      <c r="S728" s="261"/>
    </row>
    <row r="729" spans="1:19">
      <c r="A729" s="296"/>
      <c r="B729" s="267" t="s">
        <v>90</v>
      </c>
      <c r="C729" s="258"/>
      <c r="D729" s="261"/>
      <c r="E729" s="261"/>
      <c r="F729" s="261"/>
      <c r="G729" s="261"/>
      <c r="H729" s="261"/>
      <c r="I729" s="261"/>
      <c r="J729" s="261"/>
      <c r="K729" s="261"/>
      <c r="L729" s="261"/>
      <c r="M729" s="261"/>
      <c r="N729" s="261"/>
      <c r="O729" s="261"/>
      <c r="P729" s="261"/>
      <c r="Q729" s="261"/>
      <c r="R729" s="261"/>
      <c r="S729" s="261"/>
    </row>
    <row r="730" spans="1:19">
      <c r="A730" s="295">
        <v>46061</v>
      </c>
      <c r="B730" s="259" t="s">
        <v>88</v>
      </c>
      <c r="C730" s="258"/>
      <c r="D730" s="261"/>
      <c r="E730" s="261"/>
      <c r="F730" s="261"/>
      <c r="G730" s="261"/>
      <c r="H730" s="261"/>
      <c r="I730" s="261"/>
      <c r="J730" s="261"/>
      <c r="K730" s="261"/>
      <c r="L730" s="261"/>
      <c r="M730" s="261"/>
      <c r="N730" s="261"/>
      <c r="O730" s="261"/>
      <c r="P730" s="261"/>
      <c r="Q730" s="261"/>
      <c r="R730" s="261"/>
      <c r="S730" s="261"/>
    </row>
    <row r="731" spans="1:19">
      <c r="A731" s="295"/>
      <c r="B731" s="259" t="s">
        <v>89</v>
      </c>
      <c r="C731" s="258"/>
      <c r="D731" s="261"/>
      <c r="E731" s="261"/>
      <c r="F731" s="261"/>
      <c r="G731" s="261"/>
      <c r="H731" s="261"/>
      <c r="I731" s="261"/>
      <c r="J731" s="261"/>
      <c r="K731" s="261"/>
      <c r="L731" s="261"/>
      <c r="M731" s="261"/>
      <c r="N731" s="261"/>
      <c r="O731" s="261"/>
      <c r="P731" s="261"/>
      <c r="Q731" s="261"/>
      <c r="R731" s="261"/>
      <c r="S731" s="261"/>
    </row>
    <row r="732" spans="1:19">
      <c r="A732" s="296"/>
      <c r="B732" s="267" t="s">
        <v>90</v>
      </c>
      <c r="C732" s="258"/>
      <c r="D732" s="261"/>
      <c r="E732" s="261"/>
      <c r="F732" s="261"/>
      <c r="G732" s="261"/>
      <c r="H732" s="261"/>
      <c r="I732" s="261"/>
      <c r="J732" s="261"/>
      <c r="K732" s="261"/>
      <c r="L732" s="261"/>
      <c r="M732" s="261"/>
      <c r="N732" s="261"/>
      <c r="O732" s="261"/>
      <c r="P732" s="261"/>
      <c r="Q732" s="261"/>
      <c r="R732" s="261"/>
      <c r="S732" s="261"/>
    </row>
    <row r="733" spans="1:19">
      <c r="A733" s="295">
        <v>46062</v>
      </c>
      <c r="B733" s="259" t="s">
        <v>88</v>
      </c>
      <c r="C733" s="258"/>
      <c r="D733" s="261"/>
      <c r="E733" s="261"/>
      <c r="F733" s="261"/>
      <c r="G733" s="261"/>
      <c r="H733" s="261"/>
      <c r="I733" s="261"/>
      <c r="J733" s="261"/>
      <c r="K733" s="261"/>
      <c r="L733" s="261"/>
      <c r="M733" s="261"/>
      <c r="N733" s="261"/>
      <c r="O733" s="261"/>
      <c r="P733" s="261"/>
      <c r="Q733" s="261"/>
      <c r="R733" s="261"/>
      <c r="S733" s="261"/>
    </row>
    <row r="734" spans="1:19">
      <c r="A734" s="295"/>
      <c r="B734" s="259" t="s">
        <v>89</v>
      </c>
      <c r="C734" s="258"/>
      <c r="D734" s="261"/>
      <c r="E734" s="261"/>
      <c r="F734" s="261"/>
      <c r="G734" s="261"/>
      <c r="H734" s="261"/>
      <c r="I734" s="261"/>
      <c r="J734" s="261"/>
      <c r="K734" s="261"/>
      <c r="L734" s="261"/>
      <c r="M734" s="261"/>
      <c r="N734" s="261"/>
      <c r="O734" s="261"/>
      <c r="P734" s="261"/>
      <c r="Q734" s="261"/>
      <c r="R734" s="261"/>
      <c r="S734" s="261"/>
    </row>
    <row r="735" spans="1:19">
      <c r="A735" s="296"/>
      <c r="B735" s="267" t="s">
        <v>90</v>
      </c>
      <c r="C735" s="258"/>
      <c r="D735" s="261"/>
      <c r="E735" s="261"/>
      <c r="F735" s="261"/>
      <c r="G735" s="261"/>
      <c r="H735" s="261"/>
      <c r="I735" s="261"/>
      <c r="J735" s="261"/>
      <c r="K735" s="261"/>
      <c r="L735" s="261"/>
      <c r="M735" s="261"/>
      <c r="N735" s="261"/>
      <c r="O735" s="261"/>
      <c r="P735" s="261"/>
      <c r="Q735" s="261"/>
      <c r="R735" s="261"/>
      <c r="S735" s="261"/>
    </row>
    <row r="736" spans="1:19">
      <c r="A736" s="295">
        <v>46063</v>
      </c>
      <c r="B736" s="259" t="s">
        <v>88</v>
      </c>
      <c r="C736" s="258"/>
      <c r="D736" s="261"/>
      <c r="E736" s="261"/>
      <c r="F736" s="261"/>
      <c r="G736" s="261"/>
      <c r="H736" s="261"/>
      <c r="I736" s="261"/>
      <c r="J736" s="261"/>
      <c r="K736" s="261"/>
      <c r="L736" s="261"/>
      <c r="M736" s="261"/>
      <c r="N736" s="261"/>
      <c r="O736" s="261"/>
      <c r="P736" s="261"/>
      <c r="Q736" s="261"/>
      <c r="R736" s="261"/>
      <c r="S736" s="261"/>
    </row>
    <row r="737" spans="1:19">
      <c r="A737" s="295"/>
      <c r="B737" s="259" t="s">
        <v>89</v>
      </c>
      <c r="C737" s="258"/>
      <c r="D737" s="261"/>
      <c r="E737" s="261"/>
      <c r="F737" s="261"/>
      <c r="G737" s="261"/>
      <c r="H737" s="261"/>
      <c r="I737" s="261"/>
      <c r="J737" s="261"/>
      <c r="K737" s="261"/>
      <c r="L737" s="261"/>
      <c r="M737" s="261"/>
      <c r="N737" s="261"/>
      <c r="O737" s="261"/>
      <c r="P737" s="261"/>
      <c r="Q737" s="261"/>
      <c r="R737" s="261"/>
      <c r="S737" s="261"/>
    </row>
    <row r="738" spans="1:19">
      <c r="A738" s="296"/>
      <c r="B738" s="267" t="s">
        <v>90</v>
      </c>
      <c r="C738" s="258"/>
      <c r="D738" s="261"/>
      <c r="E738" s="261"/>
      <c r="F738" s="261"/>
      <c r="G738" s="261"/>
      <c r="H738" s="261"/>
      <c r="I738" s="261"/>
      <c r="J738" s="261"/>
      <c r="K738" s="261"/>
      <c r="L738" s="261"/>
      <c r="M738" s="261"/>
      <c r="N738" s="261"/>
      <c r="O738" s="261"/>
      <c r="P738" s="261"/>
      <c r="Q738" s="261"/>
      <c r="R738" s="261"/>
      <c r="S738" s="261"/>
    </row>
    <row r="739" spans="1:19">
      <c r="A739" s="295">
        <v>46064</v>
      </c>
      <c r="B739" s="259" t="s">
        <v>88</v>
      </c>
      <c r="C739" s="258"/>
      <c r="D739" s="261"/>
      <c r="E739" s="261"/>
      <c r="F739" s="261"/>
      <c r="G739" s="261"/>
      <c r="H739" s="261"/>
      <c r="I739" s="261"/>
      <c r="J739" s="261"/>
      <c r="K739" s="261"/>
      <c r="L739" s="261"/>
      <c r="M739" s="261"/>
      <c r="N739" s="261"/>
      <c r="O739" s="261"/>
      <c r="P739" s="261"/>
      <c r="Q739" s="261"/>
      <c r="R739" s="261"/>
      <c r="S739" s="261"/>
    </row>
    <row r="740" spans="1:19">
      <c r="A740" s="295"/>
      <c r="B740" s="259" t="s">
        <v>89</v>
      </c>
      <c r="C740" s="258"/>
      <c r="D740" s="261"/>
      <c r="E740" s="261"/>
      <c r="F740" s="261"/>
      <c r="G740" s="261"/>
      <c r="H740" s="261"/>
      <c r="I740" s="261"/>
      <c r="J740" s="261"/>
      <c r="K740" s="261"/>
      <c r="L740" s="261"/>
      <c r="M740" s="261"/>
      <c r="N740" s="261"/>
      <c r="O740" s="261"/>
      <c r="P740" s="261"/>
      <c r="Q740" s="261"/>
      <c r="R740" s="261"/>
      <c r="S740" s="261"/>
    </row>
    <row r="741" spans="1:19">
      <c r="A741" s="296"/>
      <c r="B741" s="267" t="s">
        <v>90</v>
      </c>
      <c r="C741" s="258"/>
      <c r="D741" s="261"/>
      <c r="E741" s="261"/>
      <c r="F741" s="261"/>
      <c r="G741" s="261"/>
      <c r="H741" s="261"/>
      <c r="I741" s="261"/>
      <c r="J741" s="261"/>
      <c r="K741" s="261"/>
      <c r="L741" s="261"/>
      <c r="M741" s="261"/>
      <c r="N741" s="261"/>
      <c r="O741" s="261"/>
      <c r="P741" s="261"/>
      <c r="Q741" s="261"/>
      <c r="R741" s="261"/>
      <c r="S741" s="261"/>
    </row>
    <row r="742" spans="1:19">
      <c r="A742" s="295">
        <v>46065</v>
      </c>
      <c r="B742" s="259" t="s">
        <v>88</v>
      </c>
      <c r="C742" s="258"/>
      <c r="D742" s="261"/>
      <c r="E742" s="261"/>
      <c r="F742" s="261"/>
      <c r="G742" s="261"/>
      <c r="H742" s="261"/>
      <c r="I742" s="261"/>
      <c r="J742" s="261"/>
      <c r="K742" s="261"/>
      <c r="L742" s="261"/>
      <c r="M742" s="261"/>
      <c r="N742" s="261"/>
      <c r="O742" s="261"/>
      <c r="P742" s="261"/>
      <c r="Q742" s="261"/>
      <c r="R742" s="261"/>
      <c r="S742" s="261"/>
    </row>
    <row r="743" spans="1:19">
      <c r="A743" s="295"/>
      <c r="B743" s="259" t="s">
        <v>89</v>
      </c>
      <c r="C743" s="258"/>
      <c r="D743" s="261"/>
      <c r="E743" s="261"/>
      <c r="F743" s="261"/>
      <c r="G743" s="261"/>
      <c r="H743" s="261"/>
      <c r="I743" s="261"/>
      <c r="J743" s="261"/>
      <c r="K743" s="261"/>
      <c r="L743" s="261"/>
      <c r="M743" s="261"/>
      <c r="N743" s="261"/>
      <c r="O743" s="261"/>
      <c r="P743" s="261"/>
      <c r="Q743" s="261"/>
      <c r="R743" s="261"/>
      <c r="S743" s="261"/>
    </row>
    <row r="744" spans="1:19">
      <c r="A744" s="296"/>
      <c r="B744" s="267" t="s">
        <v>90</v>
      </c>
      <c r="C744" s="258"/>
      <c r="D744" s="261"/>
      <c r="E744" s="261"/>
      <c r="F744" s="261"/>
      <c r="G744" s="261"/>
      <c r="H744" s="261"/>
      <c r="I744" s="261"/>
      <c r="J744" s="261"/>
      <c r="K744" s="261"/>
      <c r="L744" s="261"/>
      <c r="M744" s="261"/>
      <c r="N744" s="261"/>
      <c r="O744" s="261"/>
      <c r="P744" s="261"/>
      <c r="Q744" s="261"/>
      <c r="R744" s="261"/>
      <c r="S744" s="261"/>
    </row>
    <row r="745" spans="1:19">
      <c r="A745" s="295">
        <v>46066</v>
      </c>
      <c r="B745" s="259" t="s">
        <v>88</v>
      </c>
      <c r="C745" s="258"/>
      <c r="D745" s="261"/>
      <c r="E745" s="261"/>
      <c r="F745" s="261"/>
      <c r="G745" s="261"/>
      <c r="H745" s="261"/>
      <c r="I745" s="261"/>
      <c r="J745" s="261"/>
      <c r="K745" s="261"/>
      <c r="L745" s="261"/>
      <c r="M745" s="261"/>
      <c r="N745" s="261"/>
      <c r="O745" s="261"/>
      <c r="P745" s="261"/>
      <c r="Q745" s="261"/>
      <c r="R745" s="261"/>
      <c r="S745" s="261"/>
    </row>
    <row r="746" spans="1:19">
      <c r="A746" s="295"/>
      <c r="B746" s="259" t="s">
        <v>89</v>
      </c>
      <c r="C746" s="258"/>
      <c r="D746" s="261"/>
      <c r="E746" s="261"/>
      <c r="F746" s="261"/>
      <c r="G746" s="261"/>
      <c r="H746" s="261"/>
      <c r="I746" s="261"/>
      <c r="J746" s="261"/>
      <c r="K746" s="261"/>
      <c r="L746" s="261"/>
      <c r="M746" s="261"/>
      <c r="N746" s="261"/>
      <c r="O746" s="261"/>
      <c r="P746" s="261"/>
      <c r="Q746" s="261"/>
      <c r="R746" s="261"/>
      <c r="S746" s="261"/>
    </row>
    <row r="747" spans="1:19">
      <c r="A747" s="296"/>
      <c r="B747" s="267" t="s">
        <v>90</v>
      </c>
      <c r="C747" s="258"/>
      <c r="D747" s="261"/>
      <c r="E747" s="261"/>
      <c r="F747" s="261"/>
      <c r="G747" s="261"/>
      <c r="H747" s="261"/>
      <c r="I747" s="261"/>
      <c r="J747" s="261"/>
      <c r="K747" s="261"/>
      <c r="L747" s="261"/>
      <c r="M747" s="261"/>
      <c r="N747" s="261"/>
      <c r="O747" s="261"/>
      <c r="P747" s="261"/>
      <c r="Q747" s="261"/>
      <c r="R747" s="261"/>
      <c r="S747" s="261"/>
    </row>
    <row r="748" spans="1:19">
      <c r="A748" s="295">
        <v>46067</v>
      </c>
      <c r="B748" s="259" t="s">
        <v>88</v>
      </c>
      <c r="C748" s="258"/>
      <c r="D748" s="261"/>
      <c r="E748" s="261"/>
      <c r="F748" s="261"/>
      <c r="G748" s="261"/>
      <c r="H748" s="261"/>
      <c r="I748" s="261"/>
      <c r="J748" s="261"/>
      <c r="K748" s="261"/>
      <c r="L748" s="261"/>
      <c r="M748" s="261"/>
      <c r="N748" s="261"/>
      <c r="O748" s="261"/>
      <c r="P748" s="261"/>
      <c r="Q748" s="261"/>
      <c r="R748" s="261"/>
      <c r="S748" s="261"/>
    </row>
    <row r="749" spans="1:19">
      <c r="A749" s="295"/>
      <c r="B749" s="259" t="s">
        <v>89</v>
      </c>
      <c r="C749" s="258"/>
      <c r="D749" s="261"/>
      <c r="E749" s="261"/>
      <c r="F749" s="261"/>
      <c r="G749" s="261"/>
      <c r="H749" s="261"/>
      <c r="I749" s="261"/>
      <c r="J749" s="261"/>
      <c r="K749" s="261"/>
      <c r="L749" s="261"/>
      <c r="M749" s="261"/>
      <c r="N749" s="261"/>
      <c r="O749" s="261"/>
      <c r="P749" s="261"/>
      <c r="Q749" s="261"/>
      <c r="R749" s="261"/>
      <c r="S749" s="261"/>
    </row>
    <row r="750" spans="1:19">
      <c r="A750" s="296"/>
      <c r="B750" s="267" t="s">
        <v>90</v>
      </c>
      <c r="C750" s="258"/>
      <c r="D750" s="261"/>
      <c r="E750" s="261"/>
      <c r="F750" s="261"/>
      <c r="G750" s="261"/>
      <c r="H750" s="261"/>
      <c r="I750" s="261"/>
      <c r="J750" s="261"/>
      <c r="K750" s="261"/>
      <c r="L750" s="261"/>
      <c r="M750" s="261"/>
      <c r="N750" s="261"/>
      <c r="O750" s="261"/>
      <c r="P750" s="261"/>
      <c r="Q750" s="261"/>
      <c r="R750" s="261"/>
      <c r="S750" s="261"/>
    </row>
    <row r="751" spans="1:19">
      <c r="A751" s="295">
        <v>46068</v>
      </c>
      <c r="B751" s="259" t="s">
        <v>88</v>
      </c>
      <c r="C751" s="258"/>
      <c r="D751" s="261"/>
      <c r="E751" s="261"/>
      <c r="F751" s="261"/>
      <c r="G751" s="261"/>
      <c r="H751" s="261"/>
      <c r="I751" s="261"/>
      <c r="J751" s="261"/>
      <c r="K751" s="261"/>
      <c r="L751" s="261"/>
      <c r="M751" s="261"/>
      <c r="N751" s="261"/>
      <c r="O751" s="261"/>
      <c r="P751" s="261"/>
      <c r="Q751" s="261"/>
      <c r="R751" s="261"/>
      <c r="S751" s="261"/>
    </row>
    <row r="752" spans="1:19">
      <c r="A752" s="295"/>
      <c r="B752" s="259" t="s">
        <v>89</v>
      </c>
      <c r="C752" s="258"/>
      <c r="D752" s="261"/>
      <c r="E752" s="261"/>
      <c r="F752" s="261"/>
      <c r="G752" s="261"/>
      <c r="H752" s="261"/>
      <c r="I752" s="261"/>
      <c r="J752" s="261"/>
      <c r="K752" s="261"/>
      <c r="L752" s="261"/>
      <c r="M752" s="261"/>
      <c r="N752" s="261"/>
      <c r="O752" s="261"/>
      <c r="P752" s="261"/>
      <c r="Q752" s="261"/>
      <c r="R752" s="261"/>
      <c r="S752" s="261"/>
    </row>
    <row r="753" spans="1:19">
      <c r="A753" s="296"/>
      <c r="B753" s="267" t="s">
        <v>90</v>
      </c>
      <c r="C753" s="258"/>
      <c r="D753" s="261"/>
      <c r="E753" s="261"/>
      <c r="F753" s="261"/>
      <c r="G753" s="261"/>
      <c r="H753" s="261"/>
      <c r="I753" s="261"/>
      <c r="J753" s="261"/>
      <c r="K753" s="261"/>
      <c r="L753" s="261"/>
      <c r="M753" s="261"/>
      <c r="N753" s="261"/>
      <c r="O753" s="261"/>
      <c r="P753" s="261"/>
      <c r="Q753" s="261"/>
      <c r="R753" s="261"/>
      <c r="S753" s="261"/>
    </row>
    <row r="754" spans="1:19">
      <c r="A754" s="295">
        <v>46069</v>
      </c>
      <c r="B754" s="259" t="s">
        <v>88</v>
      </c>
      <c r="C754" s="258"/>
      <c r="D754" s="261"/>
      <c r="E754" s="261"/>
      <c r="F754" s="261"/>
      <c r="G754" s="261"/>
      <c r="H754" s="261"/>
      <c r="I754" s="261"/>
      <c r="J754" s="261"/>
      <c r="K754" s="261"/>
      <c r="L754" s="261"/>
      <c r="M754" s="261"/>
      <c r="N754" s="261"/>
      <c r="O754" s="261"/>
      <c r="P754" s="261"/>
      <c r="Q754" s="261"/>
      <c r="R754" s="261"/>
      <c r="S754" s="261"/>
    </row>
    <row r="755" spans="1:19">
      <c r="A755" s="295"/>
      <c r="B755" s="259" t="s">
        <v>89</v>
      </c>
      <c r="C755" s="258"/>
      <c r="D755" s="261"/>
      <c r="E755" s="261"/>
      <c r="F755" s="261"/>
      <c r="G755" s="261"/>
      <c r="H755" s="261"/>
      <c r="I755" s="261"/>
      <c r="J755" s="261"/>
      <c r="K755" s="261"/>
      <c r="L755" s="261"/>
      <c r="M755" s="261"/>
      <c r="N755" s="261"/>
      <c r="O755" s="261"/>
      <c r="P755" s="261"/>
      <c r="Q755" s="261"/>
      <c r="R755" s="261"/>
      <c r="S755" s="261"/>
    </row>
    <row r="756" spans="1:19">
      <c r="A756" s="296"/>
      <c r="B756" s="267" t="s">
        <v>90</v>
      </c>
      <c r="C756" s="258"/>
      <c r="D756" s="261"/>
      <c r="E756" s="261"/>
      <c r="F756" s="261"/>
      <c r="G756" s="261"/>
      <c r="H756" s="261"/>
      <c r="I756" s="261"/>
      <c r="J756" s="261"/>
      <c r="K756" s="261"/>
      <c r="L756" s="261"/>
      <c r="M756" s="261"/>
      <c r="N756" s="261"/>
      <c r="O756" s="261"/>
      <c r="P756" s="261"/>
      <c r="Q756" s="261"/>
      <c r="R756" s="261"/>
      <c r="S756" s="261"/>
    </row>
    <row r="757" spans="1:19">
      <c r="A757" s="295">
        <v>46070</v>
      </c>
      <c r="B757" s="259" t="s">
        <v>88</v>
      </c>
      <c r="C757" s="258"/>
      <c r="D757" s="261"/>
      <c r="E757" s="261"/>
      <c r="F757" s="261"/>
      <c r="G757" s="261"/>
      <c r="H757" s="261"/>
      <c r="I757" s="261"/>
      <c r="J757" s="261"/>
      <c r="K757" s="261"/>
      <c r="L757" s="261"/>
      <c r="M757" s="261"/>
      <c r="N757" s="261"/>
      <c r="O757" s="261"/>
      <c r="P757" s="261"/>
      <c r="Q757" s="261"/>
      <c r="R757" s="261"/>
      <c r="S757" s="261"/>
    </row>
    <row r="758" spans="1:19">
      <c r="A758" s="295"/>
      <c r="B758" s="259" t="s">
        <v>89</v>
      </c>
      <c r="C758" s="258"/>
      <c r="D758" s="261"/>
      <c r="E758" s="261"/>
      <c r="F758" s="261"/>
      <c r="G758" s="261"/>
      <c r="H758" s="261"/>
      <c r="I758" s="261"/>
      <c r="J758" s="261"/>
      <c r="K758" s="261"/>
      <c r="L758" s="261"/>
      <c r="M758" s="261"/>
      <c r="N758" s="261"/>
      <c r="O758" s="261"/>
      <c r="P758" s="261"/>
      <c r="Q758" s="261"/>
      <c r="R758" s="261"/>
      <c r="S758" s="261"/>
    </row>
    <row r="759" spans="1:19">
      <c r="A759" s="296"/>
      <c r="B759" s="267" t="s">
        <v>90</v>
      </c>
      <c r="C759" s="258"/>
      <c r="D759" s="261"/>
      <c r="E759" s="261"/>
      <c r="F759" s="261"/>
      <c r="G759" s="261"/>
      <c r="H759" s="261"/>
      <c r="I759" s="261"/>
      <c r="J759" s="261"/>
      <c r="K759" s="261"/>
      <c r="L759" s="261"/>
      <c r="M759" s="261"/>
      <c r="N759" s="261"/>
      <c r="O759" s="261"/>
      <c r="P759" s="261"/>
      <c r="Q759" s="261"/>
      <c r="R759" s="261"/>
      <c r="S759" s="261"/>
    </row>
    <row r="760" spans="1:19">
      <c r="A760" s="295">
        <v>46071</v>
      </c>
      <c r="B760" s="259" t="s">
        <v>88</v>
      </c>
      <c r="C760" s="258"/>
      <c r="D760" s="261"/>
      <c r="E760" s="261"/>
      <c r="F760" s="261"/>
      <c r="G760" s="261"/>
      <c r="H760" s="261"/>
      <c r="I760" s="261"/>
      <c r="J760" s="261"/>
      <c r="K760" s="261"/>
      <c r="L760" s="261"/>
      <c r="M760" s="261"/>
      <c r="N760" s="261"/>
      <c r="O760" s="261"/>
      <c r="P760" s="261"/>
      <c r="Q760" s="261"/>
      <c r="R760" s="261"/>
      <c r="S760" s="261"/>
    </row>
    <row r="761" spans="1:19">
      <c r="A761" s="295"/>
      <c r="B761" s="259" t="s">
        <v>89</v>
      </c>
      <c r="C761" s="258"/>
      <c r="D761" s="261"/>
      <c r="E761" s="261"/>
      <c r="F761" s="261"/>
      <c r="G761" s="261"/>
      <c r="H761" s="261"/>
      <c r="I761" s="261"/>
      <c r="J761" s="261"/>
      <c r="K761" s="261"/>
      <c r="L761" s="261"/>
      <c r="M761" s="261"/>
      <c r="N761" s="261"/>
      <c r="O761" s="261"/>
      <c r="P761" s="261"/>
      <c r="Q761" s="261"/>
      <c r="R761" s="261"/>
      <c r="S761" s="261"/>
    </row>
    <row r="762" spans="1:19">
      <c r="A762" s="296"/>
      <c r="B762" s="267" t="s">
        <v>90</v>
      </c>
      <c r="C762" s="258"/>
      <c r="D762" s="261"/>
      <c r="E762" s="261"/>
      <c r="F762" s="261"/>
      <c r="G762" s="261"/>
      <c r="H762" s="261"/>
      <c r="I762" s="261"/>
      <c r="J762" s="261"/>
      <c r="K762" s="261"/>
      <c r="L762" s="261"/>
      <c r="M762" s="261"/>
      <c r="N762" s="261"/>
      <c r="O762" s="261"/>
      <c r="P762" s="261"/>
      <c r="Q762" s="261"/>
      <c r="R762" s="261"/>
      <c r="S762" s="261"/>
    </row>
    <row r="763" spans="1:19">
      <c r="A763" s="295">
        <v>46072</v>
      </c>
      <c r="B763" s="259" t="s">
        <v>88</v>
      </c>
      <c r="C763" s="258"/>
      <c r="D763" s="261"/>
      <c r="E763" s="261"/>
      <c r="F763" s="261"/>
      <c r="G763" s="261"/>
      <c r="H763" s="261"/>
      <c r="I763" s="261"/>
      <c r="J763" s="261"/>
      <c r="K763" s="261"/>
      <c r="L763" s="261"/>
      <c r="M763" s="261"/>
      <c r="N763" s="261"/>
      <c r="O763" s="261"/>
      <c r="P763" s="261"/>
      <c r="Q763" s="261"/>
      <c r="R763" s="261"/>
      <c r="S763" s="261"/>
    </row>
    <row r="764" spans="1:19">
      <c r="A764" s="295"/>
      <c r="B764" s="259" t="s">
        <v>89</v>
      </c>
      <c r="C764" s="258"/>
      <c r="D764" s="261"/>
      <c r="E764" s="261"/>
      <c r="F764" s="261"/>
      <c r="G764" s="261"/>
      <c r="H764" s="261"/>
      <c r="I764" s="261"/>
      <c r="J764" s="261"/>
      <c r="K764" s="261"/>
      <c r="L764" s="261"/>
      <c r="M764" s="261"/>
      <c r="N764" s="261"/>
      <c r="O764" s="261"/>
      <c r="P764" s="261"/>
      <c r="Q764" s="261"/>
      <c r="R764" s="261"/>
      <c r="S764" s="261"/>
    </row>
    <row r="765" spans="1:19">
      <c r="A765" s="296"/>
      <c r="B765" s="267" t="s">
        <v>90</v>
      </c>
      <c r="C765" s="258"/>
      <c r="D765" s="261"/>
      <c r="E765" s="261"/>
      <c r="F765" s="261"/>
      <c r="G765" s="261"/>
      <c r="H765" s="261"/>
      <c r="I765" s="261"/>
      <c r="J765" s="261"/>
      <c r="K765" s="261"/>
      <c r="L765" s="261"/>
      <c r="M765" s="261"/>
      <c r="N765" s="261"/>
      <c r="O765" s="261"/>
      <c r="P765" s="261"/>
      <c r="Q765" s="261"/>
      <c r="R765" s="261"/>
      <c r="S765" s="261"/>
    </row>
    <row r="766" spans="1:19">
      <c r="A766" s="295">
        <v>46073</v>
      </c>
      <c r="B766" s="259" t="s">
        <v>88</v>
      </c>
      <c r="C766" s="258"/>
      <c r="D766" s="261"/>
      <c r="E766" s="261"/>
      <c r="F766" s="261"/>
      <c r="G766" s="261"/>
      <c r="H766" s="261"/>
      <c r="I766" s="261"/>
      <c r="J766" s="261"/>
      <c r="K766" s="261"/>
      <c r="L766" s="261"/>
      <c r="M766" s="261"/>
      <c r="N766" s="261"/>
      <c r="O766" s="261"/>
      <c r="P766" s="261"/>
      <c r="Q766" s="261"/>
      <c r="R766" s="261"/>
      <c r="S766" s="261"/>
    </row>
    <row r="767" spans="1:19">
      <c r="A767" s="295"/>
      <c r="B767" s="259" t="s">
        <v>89</v>
      </c>
      <c r="C767" s="258"/>
      <c r="D767" s="261"/>
      <c r="E767" s="261"/>
      <c r="F767" s="261"/>
      <c r="G767" s="261"/>
      <c r="H767" s="261"/>
      <c r="I767" s="261"/>
      <c r="J767" s="261"/>
      <c r="K767" s="261"/>
      <c r="L767" s="261"/>
      <c r="M767" s="261"/>
      <c r="N767" s="261"/>
      <c r="O767" s="261"/>
      <c r="P767" s="261"/>
      <c r="Q767" s="261"/>
      <c r="R767" s="261"/>
      <c r="S767" s="261"/>
    </row>
    <row r="768" spans="1:19">
      <c r="A768" s="296"/>
      <c r="B768" s="267" t="s">
        <v>90</v>
      </c>
      <c r="C768" s="258"/>
      <c r="D768" s="261"/>
      <c r="E768" s="261"/>
      <c r="F768" s="261"/>
      <c r="G768" s="261"/>
      <c r="H768" s="261"/>
      <c r="I768" s="261"/>
      <c r="J768" s="261"/>
      <c r="K768" s="261"/>
      <c r="L768" s="261"/>
      <c r="M768" s="261"/>
      <c r="N768" s="261"/>
      <c r="O768" s="261"/>
      <c r="P768" s="261"/>
      <c r="Q768" s="261"/>
      <c r="R768" s="261"/>
      <c r="S768" s="261"/>
    </row>
    <row r="769" spans="1:19">
      <c r="A769" s="295">
        <v>46074</v>
      </c>
      <c r="B769" s="259" t="s">
        <v>88</v>
      </c>
      <c r="C769" s="258"/>
      <c r="D769" s="261"/>
      <c r="E769" s="261"/>
      <c r="F769" s="261"/>
      <c r="G769" s="261"/>
      <c r="H769" s="261"/>
      <c r="I769" s="261"/>
      <c r="J769" s="261"/>
      <c r="K769" s="261"/>
      <c r="L769" s="261"/>
      <c r="M769" s="261"/>
      <c r="N769" s="261"/>
      <c r="O769" s="261"/>
      <c r="P769" s="261"/>
      <c r="Q769" s="261"/>
      <c r="R769" s="261"/>
      <c r="S769" s="261"/>
    </row>
    <row r="770" spans="1:19">
      <c r="A770" s="295"/>
      <c r="B770" s="259" t="s">
        <v>89</v>
      </c>
      <c r="C770" s="258"/>
      <c r="D770" s="261"/>
      <c r="E770" s="261"/>
      <c r="F770" s="261"/>
      <c r="G770" s="261"/>
      <c r="H770" s="261"/>
      <c r="I770" s="261"/>
      <c r="J770" s="261"/>
      <c r="K770" s="261"/>
      <c r="L770" s="261"/>
      <c r="M770" s="261"/>
      <c r="N770" s="261"/>
      <c r="O770" s="261"/>
      <c r="P770" s="261"/>
      <c r="Q770" s="261"/>
      <c r="R770" s="261"/>
      <c r="S770" s="261"/>
    </row>
    <row r="771" spans="1:19">
      <c r="A771" s="296"/>
      <c r="B771" s="267" t="s">
        <v>90</v>
      </c>
      <c r="C771" s="258"/>
      <c r="D771" s="269">
        <v>40</v>
      </c>
      <c r="E771" s="270">
        <v>44.09</v>
      </c>
      <c r="F771" s="270">
        <v>5.23</v>
      </c>
      <c r="G771" s="271">
        <v>480</v>
      </c>
      <c r="H771" s="270">
        <v>1.46</v>
      </c>
      <c r="I771" s="270">
        <v>2.4</v>
      </c>
      <c r="J771" s="270">
        <v>10.5</v>
      </c>
      <c r="K771" s="270">
        <v>22.1</v>
      </c>
      <c r="L771" s="270">
        <v>29.1</v>
      </c>
      <c r="M771" s="270">
        <v>24.9</v>
      </c>
      <c r="N771" s="270">
        <v>9.3000000000000007</v>
      </c>
      <c r="O771" s="270">
        <v>0.6</v>
      </c>
      <c r="P771" s="270">
        <v>0.6</v>
      </c>
      <c r="Q771" s="270">
        <v>0.5</v>
      </c>
      <c r="R771" s="270">
        <v>1.1000000000000001</v>
      </c>
      <c r="S771" s="270">
        <v>1.87</v>
      </c>
    </row>
    <row r="772" spans="1:19" ht="29.1">
      <c r="A772" s="295">
        <v>46075</v>
      </c>
      <c r="B772" s="259" t="s">
        <v>88</v>
      </c>
      <c r="C772" s="258"/>
      <c r="D772" s="272" t="s">
        <v>132</v>
      </c>
      <c r="E772" s="273" t="s">
        <v>133</v>
      </c>
      <c r="F772" s="273" t="s">
        <v>134</v>
      </c>
      <c r="G772" s="274" t="s">
        <v>135</v>
      </c>
      <c r="H772" s="273" t="s">
        <v>136</v>
      </c>
      <c r="I772" s="273" t="s">
        <v>137</v>
      </c>
      <c r="J772" s="273" t="s">
        <v>138</v>
      </c>
      <c r="K772" s="273" t="s">
        <v>139</v>
      </c>
      <c r="L772" s="273">
        <v>9.3000000000000007</v>
      </c>
      <c r="M772" s="273" t="s">
        <v>140</v>
      </c>
      <c r="N772" s="273" t="s">
        <v>141</v>
      </c>
      <c r="O772" s="273" t="s">
        <v>142</v>
      </c>
      <c r="P772" s="273" t="s">
        <v>143</v>
      </c>
      <c r="Q772" s="273" t="s">
        <v>108</v>
      </c>
      <c r="R772" s="273" t="s">
        <v>144</v>
      </c>
      <c r="S772" s="273" t="s">
        <v>145</v>
      </c>
    </row>
    <row r="773" spans="1:19" ht="29.1">
      <c r="A773" s="295"/>
      <c r="B773" s="259" t="s">
        <v>89</v>
      </c>
      <c r="C773" s="258"/>
      <c r="D773" s="272" t="s">
        <v>146</v>
      </c>
      <c r="E773" s="273" t="s">
        <v>147</v>
      </c>
      <c r="F773" s="273" t="s">
        <v>148</v>
      </c>
      <c r="G773" s="274" t="s">
        <v>149</v>
      </c>
      <c r="H773" s="273" t="s">
        <v>150</v>
      </c>
      <c r="I773" s="273" t="s">
        <v>151</v>
      </c>
      <c r="J773" s="273" t="s">
        <v>152</v>
      </c>
      <c r="K773" s="273" t="s">
        <v>153</v>
      </c>
      <c r="L773" s="273" t="s">
        <v>154</v>
      </c>
      <c r="M773" s="273" t="s">
        <v>155</v>
      </c>
      <c r="N773" s="273" t="s">
        <v>156</v>
      </c>
      <c r="O773" s="273" t="s">
        <v>157</v>
      </c>
      <c r="P773" s="273" t="s">
        <v>109</v>
      </c>
      <c r="Q773" s="273" t="s">
        <v>158</v>
      </c>
      <c r="R773" s="273" t="s">
        <v>159</v>
      </c>
      <c r="S773" s="273" t="s">
        <v>160</v>
      </c>
    </row>
    <row r="774" spans="1:19">
      <c r="A774" s="296"/>
      <c r="B774" s="267" t="s">
        <v>90</v>
      </c>
      <c r="C774" s="258"/>
      <c r="D774" s="269" t="s">
        <v>161</v>
      </c>
      <c r="E774" s="270" t="s">
        <v>162</v>
      </c>
      <c r="F774" s="270" t="s">
        <v>163</v>
      </c>
      <c r="G774" s="271" t="s">
        <v>164</v>
      </c>
      <c r="H774" s="270" t="s">
        <v>165</v>
      </c>
      <c r="I774" s="270" t="s">
        <v>166</v>
      </c>
      <c r="J774" s="270" t="s">
        <v>167</v>
      </c>
      <c r="K774" s="270" t="s">
        <v>168</v>
      </c>
      <c r="L774" s="270" t="s">
        <v>169</v>
      </c>
      <c r="M774" s="270">
        <v>23.2</v>
      </c>
      <c r="N774" s="270" t="s">
        <v>170</v>
      </c>
      <c r="O774" s="270" t="s">
        <v>171</v>
      </c>
      <c r="P774" s="270" t="s">
        <v>172</v>
      </c>
      <c r="Q774" s="270" t="s">
        <v>158</v>
      </c>
      <c r="R774" s="270" t="s">
        <v>157</v>
      </c>
      <c r="S774" s="270" t="s">
        <v>173</v>
      </c>
    </row>
    <row r="775" spans="1:19" ht="29.1">
      <c r="A775" s="295">
        <v>46076</v>
      </c>
      <c r="B775" s="259" t="s">
        <v>88</v>
      </c>
      <c r="C775" s="258"/>
      <c r="D775" s="272" t="s">
        <v>174</v>
      </c>
      <c r="E775" s="273" t="s">
        <v>133</v>
      </c>
      <c r="F775" s="273" t="s">
        <v>175</v>
      </c>
      <c r="G775" s="274" t="s">
        <v>176</v>
      </c>
      <c r="H775" s="273" t="s">
        <v>177</v>
      </c>
      <c r="I775" s="273" t="s">
        <v>178</v>
      </c>
      <c r="J775" s="273" t="s">
        <v>179</v>
      </c>
      <c r="K775" s="273" t="s">
        <v>180</v>
      </c>
      <c r="L775" s="273" t="s">
        <v>181</v>
      </c>
      <c r="M775" s="273" t="s">
        <v>182</v>
      </c>
      <c r="N775" s="273" t="s">
        <v>183</v>
      </c>
      <c r="O775" s="273" t="s">
        <v>184</v>
      </c>
      <c r="P775" s="273" t="s">
        <v>185</v>
      </c>
      <c r="Q775" s="273" t="s">
        <v>186</v>
      </c>
      <c r="R775" s="273" t="s">
        <v>187</v>
      </c>
      <c r="S775" s="273" t="s">
        <v>188</v>
      </c>
    </row>
    <row r="776" spans="1:19">
      <c r="A776" s="295"/>
      <c r="B776" s="259" t="s">
        <v>89</v>
      </c>
      <c r="C776" s="258"/>
      <c r="D776" s="272">
        <v>46</v>
      </c>
      <c r="E776" s="273">
        <v>46.43</v>
      </c>
      <c r="F776" s="273">
        <v>0.34</v>
      </c>
      <c r="G776" s="274">
        <v>190</v>
      </c>
      <c r="H776" s="273">
        <v>1.04</v>
      </c>
      <c r="I776" s="273">
        <v>1.1000000000000001</v>
      </c>
      <c r="J776" s="273">
        <v>7.6</v>
      </c>
      <c r="K776" s="273">
        <v>31.4</v>
      </c>
      <c r="L776" s="273">
        <v>40.799999999999997</v>
      </c>
      <c r="M776" s="273">
        <v>16.3</v>
      </c>
      <c r="N776" s="273">
        <v>2.5</v>
      </c>
      <c r="O776" s="273">
        <v>0.1</v>
      </c>
      <c r="P776" s="273">
        <v>0.1</v>
      </c>
      <c r="Q776" s="273">
        <v>0.1</v>
      </c>
      <c r="R776" s="273">
        <v>0.2</v>
      </c>
      <c r="S776" s="273">
        <v>1.95</v>
      </c>
    </row>
    <row r="777" spans="1:19">
      <c r="A777" s="296"/>
      <c r="B777" s="267" t="s">
        <v>90</v>
      </c>
      <c r="C777" s="258"/>
      <c r="D777" s="269">
        <v>48</v>
      </c>
      <c r="E777" s="270">
        <v>46.43</v>
      </c>
      <c r="F777" s="270">
        <v>0.33</v>
      </c>
      <c r="G777" s="271">
        <v>196</v>
      </c>
      <c r="H777" s="270">
        <v>1.05</v>
      </c>
      <c r="I777" s="270">
        <v>0.4</v>
      </c>
      <c r="J777" s="270">
        <v>6.3</v>
      </c>
      <c r="K777" s="270">
        <v>23.8</v>
      </c>
      <c r="L777" s="270">
        <v>43.7</v>
      </c>
      <c r="M777" s="270">
        <v>21.5</v>
      </c>
      <c r="N777" s="270">
        <v>3.9</v>
      </c>
      <c r="O777" s="270">
        <v>0.3</v>
      </c>
      <c r="P777" s="270">
        <v>0.1</v>
      </c>
      <c r="Q777" s="270">
        <v>0</v>
      </c>
      <c r="R777" s="270">
        <v>0.1</v>
      </c>
      <c r="S777" s="270">
        <v>1.89</v>
      </c>
    </row>
    <row r="778" spans="1:19">
      <c r="A778" s="295">
        <v>46077</v>
      </c>
      <c r="B778" s="259" t="s">
        <v>88</v>
      </c>
      <c r="C778" s="258">
        <v>95</v>
      </c>
      <c r="D778" s="272">
        <v>45</v>
      </c>
      <c r="E778" s="273">
        <v>46.43</v>
      </c>
      <c r="F778" s="273">
        <v>0.33</v>
      </c>
      <c r="G778" s="274">
        <v>210</v>
      </c>
      <c r="H778" s="273">
        <v>1.1200000000000001</v>
      </c>
      <c r="I778" s="273">
        <v>0.2</v>
      </c>
      <c r="J778" s="273">
        <v>4.9000000000000004</v>
      </c>
      <c r="K778" s="273">
        <v>24</v>
      </c>
      <c r="L778" s="273">
        <v>42</v>
      </c>
      <c r="M778" s="273">
        <v>22.8</v>
      </c>
      <c r="N778" s="273">
        <v>5.0999999999999996</v>
      </c>
      <c r="O778" s="273">
        <v>0.6</v>
      </c>
      <c r="P778" s="273">
        <v>0.3</v>
      </c>
      <c r="Q778" s="273">
        <v>0.1</v>
      </c>
      <c r="R778" s="273">
        <v>0.4</v>
      </c>
      <c r="S778" s="273">
        <v>1.86</v>
      </c>
    </row>
    <row r="779" spans="1:19">
      <c r="A779" s="295"/>
      <c r="B779" s="259" t="s">
        <v>89</v>
      </c>
      <c r="C779" s="258">
        <v>95</v>
      </c>
      <c r="D779" s="272">
        <v>40</v>
      </c>
      <c r="E779" s="273">
        <v>46.42</v>
      </c>
      <c r="F779" s="273">
        <v>0.35</v>
      </c>
      <c r="G779" s="274">
        <v>170</v>
      </c>
      <c r="H779" s="273">
        <v>1.08</v>
      </c>
      <c r="I779" s="273">
        <v>0.2</v>
      </c>
      <c r="J779" s="273">
        <v>5.3</v>
      </c>
      <c r="K779" s="273">
        <v>22.1</v>
      </c>
      <c r="L779" s="273">
        <v>41.4</v>
      </c>
      <c r="M779" s="273">
        <v>25.8</v>
      </c>
      <c r="N779" s="273">
        <v>4.5</v>
      </c>
      <c r="O779" s="273">
        <v>0.4</v>
      </c>
      <c r="P779" s="273">
        <v>0.2</v>
      </c>
      <c r="Q779" s="273">
        <v>0.1</v>
      </c>
      <c r="R779" s="273">
        <v>0.3</v>
      </c>
      <c r="S779" s="273">
        <v>1.85</v>
      </c>
    </row>
    <row r="780" spans="1:19">
      <c r="A780" s="296"/>
      <c r="B780" s="267" t="s">
        <v>90</v>
      </c>
      <c r="C780" s="258">
        <v>95</v>
      </c>
      <c r="D780" s="269">
        <v>43</v>
      </c>
      <c r="E780" s="270">
        <v>46.43</v>
      </c>
      <c r="F780" s="270">
        <v>0.34</v>
      </c>
      <c r="G780" s="271">
        <v>162</v>
      </c>
      <c r="H780" s="270">
        <v>1.03</v>
      </c>
      <c r="I780" s="270">
        <v>0.8</v>
      </c>
      <c r="J780" s="270">
        <v>6.3</v>
      </c>
      <c r="K780" s="270">
        <v>20</v>
      </c>
      <c r="L780" s="270">
        <v>42.2</v>
      </c>
      <c r="M780" s="270">
        <v>25.9</v>
      </c>
      <c r="N780" s="270">
        <v>4.3</v>
      </c>
      <c r="O780" s="270">
        <v>0.3</v>
      </c>
      <c r="P780" s="270">
        <v>0.1</v>
      </c>
      <c r="Q780" s="270">
        <v>0.1</v>
      </c>
      <c r="R780" s="270">
        <v>0.2</v>
      </c>
      <c r="S780" s="270">
        <v>1.86</v>
      </c>
    </row>
    <row r="781" spans="1:19">
      <c r="A781" s="295">
        <v>46078</v>
      </c>
      <c r="B781" s="259" t="s">
        <v>88</v>
      </c>
      <c r="C781" s="258"/>
      <c r="D781" s="275">
        <v>43</v>
      </c>
      <c r="E781" s="276">
        <v>46.42</v>
      </c>
      <c r="F781" s="276">
        <v>0.35</v>
      </c>
      <c r="G781" s="276">
        <v>148</v>
      </c>
      <c r="H781" s="276">
        <v>1.01</v>
      </c>
      <c r="I781" s="276">
        <v>0.9</v>
      </c>
      <c r="J781" s="276">
        <v>5.2</v>
      </c>
      <c r="K781" s="276">
        <v>22.1</v>
      </c>
      <c r="L781" s="276">
        <v>41.8</v>
      </c>
      <c r="M781" s="276">
        <v>23.8</v>
      </c>
      <c r="N781" s="276">
        <v>5.0999999999999996</v>
      </c>
      <c r="O781" s="276">
        <v>0.6</v>
      </c>
      <c r="P781" s="276">
        <v>0.4</v>
      </c>
      <c r="Q781" s="276">
        <v>0.1</v>
      </c>
      <c r="R781" s="276">
        <v>0.5</v>
      </c>
      <c r="S781" s="276">
        <v>1.86</v>
      </c>
    </row>
    <row r="782" spans="1:19">
      <c r="A782" s="295"/>
      <c r="B782" s="259" t="s">
        <v>89</v>
      </c>
      <c r="C782" s="258"/>
      <c r="D782" s="277">
        <v>52</v>
      </c>
      <c r="E782" s="278">
        <v>46.43</v>
      </c>
      <c r="F782" s="278">
        <v>0.35</v>
      </c>
      <c r="G782" s="278">
        <v>146</v>
      </c>
      <c r="H782" s="278">
        <v>0.98</v>
      </c>
      <c r="I782" s="278">
        <v>0.6</v>
      </c>
      <c r="J782" s="278">
        <v>5.2</v>
      </c>
      <c r="K782" s="278">
        <v>21.5</v>
      </c>
      <c r="L782" s="278">
        <v>40.799999999999997</v>
      </c>
      <c r="M782" s="278">
        <v>25.3</v>
      </c>
      <c r="N782" s="278">
        <v>5.7</v>
      </c>
      <c r="O782" s="278">
        <v>0.6</v>
      </c>
      <c r="P782" s="278">
        <v>0.2</v>
      </c>
      <c r="Q782" s="278">
        <v>0.1</v>
      </c>
      <c r="R782" s="278">
        <v>0.3</v>
      </c>
      <c r="S782" s="278">
        <v>1.84</v>
      </c>
    </row>
    <row r="783" spans="1:19">
      <c r="A783" s="296"/>
      <c r="B783" s="267" t="s">
        <v>90</v>
      </c>
      <c r="C783" s="258"/>
      <c r="D783" s="279">
        <v>47</v>
      </c>
      <c r="E783" s="280">
        <v>46.43</v>
      </c>
      <c r="F783" s="280">
        <v>0.34</v>
      </c>
      <c r="G783" s="280">
        <v>149</v>
      </c>
      <c r="H783" s="280">
        <v>0.96</v>
      </c>
      <c r="I783" s="280">
        <v>0.6</v>
      </c>
      <c r="J783" s="280">
        <v>5.2</v>
      </c>
      <c r="K783" s="280">
        <v>21.4</v>
      </c>
      <c r="L783" s="280">
        <v>45.2</v>
      </c>
      <c r="M783" s="280">
        <v>22.8</v>
      </c>
      <c r="N783" s="280">
        <v>4.4000000000000004</v>
      </c>
      <c r="O783" s="280">
        <v>0.3</v>
      </c>
      <c r="P783" s="280">
        <v>0.1</v>
      </c>
      <c r="Q783" s="280">
        <v>0.1</v>
      </c>
      <c r="R783" s="280">
        <v>0.2</v>
      </c>
      <c r="S783" s="280">
        <v>1.86</v>
      </c>
    </row>
    <row r="784" spans="1:19">
      <c r="A784" s="295">
        <v>46079</v>
      </c>
      <c r="B784" s="259" t="s">
        <v>88</v>
      </c>
      <c r="C784" s="258"/>
      <c r="D784" s="275">
        <v>0</v>
      </c>
      <c r="E784" s="276">
        <v>0</v>
      </c>
      <c r="F784" s="276">
        <v>0.36</v>
      </c>
      <c r="G784" s="281" t="s">
        <v>48</v>
      </c>
      <c r="H784" s="281" t="s">
        <v>48</v>
      </c>
      <c r="I784" s="281" t="s">
        <v>48</v>
      </c>
      <c r="J784" s="281" t="s">
        <v>48</v>
      </c>
      <c r="K784" s="281" t="s">
        <v>48</v>
      </c>
      <c r="L784" s="281" t="s">
        <v>48</v>
      </c>
      <c r="M784" s="281" t="s">
        <v>48</v>
      </c>
      <c r="N784" s="281" t="s">
        <v>48</v>
      </c>
      <c r="O784" s="281" t="s">
        <v>48</v>
      </c>
      <c r="P784" s="281" t="s">
        <v>48</v>
      </c>
      <c r="Q784" s="281" t="s">
        <v>48</v>
      </c>
      <c r="R784" s="281" t="s">
        <v>48</v>
      </c>
      <c r="S784" s="281" t="s">
        <v>48</v>
      </c>
    </row>
    <row r="785" spans="1:19">
      <c r="A785" s="295"/>
      <c r="B785" s="259" t="s">
        <v>89</v>
      </c>
      <c r="C785" s="258"/>
      <c r="D785" s="277" t="s">
        <v>189</v>
      </c>
      <c r="E785" s="278" t="s">
        <v>190</v>
      </c>
      <c r="F785" s="278" t="s">
        <v>191</v>
      </c>
      <c r="G785" s="278" t="s">
        <v>192</v>
      </c>
      <c r="H785" s="278" t="s">
        <v>193</v>
      </c>
      <c r="I785" s="278" t="s">
        <v>194</v>
      </c>
      <c r="J785" s="278" t="s">
        <v>195</v>
      </c>
      <c r="K785" s="278" t="s">
        <v>196</v>
      </c>
      <c r="L785" s="278" t="s">
        <v>197</v>
      </c>
      <c r="M785" s="278" t="s">
        <v>198</v>
      </c>
      <c r="N785" s="278" t="s">
        <v>199</v>
      </c>
      <c r="O785" s="278" t="s">
        <v>185</v>
      </c>
      <c r="P785" s="278" t="s">
        <v>109</v>
      </c>
      <c r="Q785" s="278" t="s">
        <v>158</v>
      </c>
      <c r="R785" s="278" t="s">
        <v>172</v>
      </c>
      <c r="S785" s="278" t="s">
        <v>200</v>
      </c>
    </row>
    <row r="786" spans="1:19">
      <c r="A786" s="296"/>
      <c r="B786" s="267" t="s">
        <v>90</v>
      </c>
      <c r="C786" s="258"/>
      <c r="D786" s="279">
        <v>40</v>
      </c>
      <c r="E786" s="280">
        <v>46.43</v>
      </c>
      <c r="F786" s="280">
        <v>0.34</v>
      </c>
      <c r="G786" s="280">
        <v>140</v>
      </c>
      <c r="H786" s="280">
        <v>0.96</v>
      </c>
      <c r="I786" s="280">
        <v>0.8</v>
      </c>
      <c r="J786" s="280">
        <v>7.5</v>
      </c>
      <c r="K786" s="280">
        <v>25.1</v>
      </c>
      <c r="L786" s="280">
        <v>41.6</v>
      </c>
      <c r="M786" s="280">
        <v>21.6</v>
      </c>
      <c r="N786" s="280">
        <v>3</v>
      </c>
      <c r="O786" s="280">
        <v>0.2</v>
      </c>
      <c r="P786" s="280">
        <v>0.1</v>
      </c>
      <c r="Q786" s="280">
        <v>0.1</v>
      </c>
      <c r="R786" s="280">
        <v>0.2</v>
      </c>
      <c r="S786" s="280">
        <v>1.91</v>
      </c>
    </row>
    <row r="787" spans="1:19">
      <c r="A787" s="295">
        <v>46080</v>
      </c>
      <c r="B787" s="259" t="s">
        <v>88</v>
      </c>
      <c r="C787" s="258"/>
      <c r="D787" s="282" t="s">
        <v>201</v>
      </c>
      <c r="E787" s="261" t="s">
        <v>202</v>
      </c>
      <c r="F787" s="261" t="s">
        <v>203</v>
      </c>
      <c r="G787" s="261" t="s">
        <v>204</v>
      </c>
      <c r="H787" s="261" t="s">
        <v>205</v>
      </c>
      <c r="I787" s="261" t="s">
        <v>206</v>
      </c>
      <c r="J787" s="261" t="s">
        <v>207</v>
      </c>
      <c r="K787" s="261" t="s">
        <v>208</v>
      </c>
      <c r="L787" s="261" t="s">
        <v>209</v>
      </c>
      <c r="M787" s="261" t="s">
        <v>210</v>
      </c>
      <c r="N787" s="261" t="s">
        <v>211</v>
      </c>
      <c r="O787" s="261" t="s">
        <v>142</v>
      </c>
      <c r="P787" s="261" t="s">
        <v>212</v>
      </c>
      <c r="Q787" s="261" t="s">
        <v>158</v>
      </c>
      <c r="R787" s="261" t="s">
        <v>213</v>
      </c>
      <c r="S787" s="261" t="s">
        <v>173</v>
      </c>
    </row>
    <row r="788" spans="1:19">
      <c r="A788" s="295"/>
      <c r="B788" s="259" t="s">
        <v>89</v>
      </c>
      <c r="C788" s="258"/>
      <c r="D788" s="261" t="s">
        <v>214</v>
      </c>
      <c r="E788" s="261" t="s">
        <v>215</v>
      </c>
      <c r="F788" s="261" t="s">
        <v>216</v>
      </c>
      <c r="G788" s="261" t="s">
        <v>217</v>
      </c>
      <c r="H788" s="261" t="s">
        <v>218</v>
      </c>
      <c r="I788" s="261" t="s">
        <v>219</v>
      </c>
      <c r="J788" s="261" t="s">
        <v>220</v>
      </c>
      <c r="K788" s="261" t="s">
        <v>221</v>
      </c>
      <c r="L788" s="261" t="s">
        <v>222</v>
      </c>
      <c r="M788" s="261" t="s">
        <v>223</v>
      </c>
      <c r="N788" s="261" t="s">
        <v>224</v>
      </c>
      <c r="O788" s="261" t="s">
        <v>158</v>
      </c>
      <c r="P788" s="261" t="s">
        <v>158</v>
      </c>
      <c r="Q788" s="261" t="s">
        <v>158</v>
      </c>
      <c r="R788" s="261" t="s">
        <v>225</v>
      </c>
      <c r="S788" s="261" t="s">
        <v>226</v>
      </c>
    </row>
    <row r="789" spans="1:19">
      <c r="A789" s="296"/>
      <c r="B789" s="267" t="s">
        <v>90</v>
      </c>
      <c r="C789" s="258"/>
      <c r="D789" s="283">
        <v>48</v>
      </c>
      <c r="E789" s="283">
        <v>46.44</v>
      </c>
      <c r="F789" s="283">
        <v>0.33</v>
      </c>
      <c r="G789" s="283">
        <v>150</v>
      </c>
      <c r="H789" s="283">
        <v>0.93</v>
      </c>
      <c r="I789" s="283">
        <v>6</v>
      </c>
      <c r="J789" s="283">
        <v>28.9</v>
      </c>
      <c r="K789" s="283">
        <v>28.9</v>
      </c>
      <c r="L789" s="283">
        <v>42.8</v>
      </c>
      <c r="M789" s="283">
        <v>19.100000000000001</v>
      </c>
      <c r="N789" s="283">
        <v>2.6</v>
      </c>
      <c r="O789" s="283">
        <v>0.1</v>
      </c>
      <c r="P789" s="283">
        <v>0.1</v>
      </c>
      <c r="Q789" s="283">
        <v>0.1</v>
      </c>
      <c r="R789" s="283">
        <v>0.2</v>
      </c>
      <c r="S789" s="283">
        <v>1.92</v>
      </c>
    </row>
    <row r="790" spans="1:19">
      <c r="A790" s="295">
        <v>46081</v>
      </c>
      <c r="B790" s="259" t="s">
        <v>88</v>
      </c>
      <c r="C790" s="258">
        <v>95</v>
      </c>
      <c r="D790" s="275">
        <v>47</v>
      </c>
      <c r="E790" s="276">
        <v>46.44</v>
      </c>
      <c r="F790" s="276">
        <v>0.33</v>
      </c>
      <c r="G790" s="276">
        <v>142</v>
      </c>
      <c r="H790" s="276">
        <v>0.96</v>
      </c>
      <c r="I790" s="276">
        <v>0.3</v>
      </c>
      <c r="J790" s="276">
        <v>4.7</v>
      </c>
      <c r="K790" s="276">
        <v>26.5</v>
      </c>
      <c r="L790" s="276">
        <v>44.6</v>
      </c>
      <c r="M790" s="276">
        <v>19.7</v>
      </c>
      <c r="N790" s="276">
        <v>3.4</v>
      </c>
      <c r="O790" s="276">
        <v>0.4</v>
      </c>
      <c r="P790" s="276">
        <v>0.3</v>
      </c>
      <c r="Q790" s="276">
        <v>0.1</v>
      </c>
      <c r="R790" s="276">
        <v>0.4</v>
      </c>
      <c r="S790" s="276">
        <v>1.89</v>
      </c>
    </row>
    <row r="791" spans="1:19">
      <c r="A791" s="295"/>
      <c r="B791" s="259" t="s">
        <v>89</v>
      </c>
      <c r="C791" s="258">
        <v>95</v>
      </c>
      <c r="D791" s="277">
        <v>36</v>
      </c>
      <c r="E791" s="278">
        <v>46.44</v>
      </c>
      <c r="F791" s="278">
        <v>0.32</v>
      </c>
      <c r="G791" s="278">
        <v>140</v>
      </c>
      <c r="H791" s="278">
        <v>0.95</v>
      </c>
      <c r="I791" s="278">
        <v>0.2</v>
      </c>
      <c r="J791" s="278">
        <v>4.5</v>
      </c>
      <c r="K791" s="278">
        <v>22.2</v>
      </c>
      <c r="L791" s="278">
        <v>42.8</v>
      </c>
      <c r="M791" s="278">
        <v>25.4</v>
      </c>
      <c r="N791" s="278">
        <v>4.0999999999999996</v>
      </c>
      <c r="O791" s="278">
        <v>0.4</v>
      </c>
      <c r="P791" s="278">
        <v>0.3</v>
      </c>
      <c r="Q791" s="278">
        <v>0.1</v>
      </c>
      <c r="R791" s="278">
        <v>0.4</v>
      </c>
      <c r="S791" s="278">
        <v>1.85</v>
      </c>
    </row>
    <row r="792" spans="1:19">
      <c r="A792" s="296"/>
      <c r="B792" s="267" t="s">
        <v>90</v>
      </c>
      <c r="C792" s="258">
        <v>95</v>
      </c>
      <c r="D792" s="279">
        <v>33</v>
      </c>
      <c r="E792" s="280">
        <v>46.43</v>
      </c>
      <c r="F792" s="280">
        <v>0.34</v>
      </c>
      <c r="G792" s="280">
        <v>136</v>
      </c>
      <c r="H792" s="280">
        <v>0.92</v>
      </c>
      <c r="I792" s="280">
        <v>0.2</v>
      </c>
      <c r="J792" s="280">
        <v>5.8</v>
      </c>
      <c r="K792" s="280">
        <v>26.2</v>
      </c>
      <c r="L792" s="280">
        <v>43.1</v>
      </c>
      <c r="M792" s="280">
        <v>22.7</v>
      </c>
      <c r="N792" s="280">
        <v>1.7</v>
      </c>
      <c r="O792" s="280">
        <v>0.1</v>
      </c>
      <c r="P792" s="280">
        <v>0.1</v>
      </c>
      <c r="Q792" s="280">
        <v>0.1</v>
      </c>
      <c r="R792" s="280">
        <v>0.2</v>
      </c>
      <c r="S792" s="280">
        <v>1.9</v>
      </c>
    </row>
    <row r="793" spans="1:19">
      <c r="A793" s="295">
        <v>46082</v>
      </c>
      <c r="B793" s="259" t="s">
        <v>88</v>
      </c>
      <c r="C793" s="258">
        <v>95</v>
      </c>
      <c r="D793" s="282">
        <v>40</v>
      </c>
      <c r="E793" s="282">
        <v>46.44</v>
      </c>
      <c r="F793" s="282">
        <v>0.32</v>
      </c>
      <c r="G793" s="282">
        <v>148</v>
      </c>
      <c r="H793" s="282">
        <v>0.98</v>
      </c>
      <c r="I793" s="282">
        <v>0.1</v>
      </c>
      <c r="J793" s="282">
        <v>4.2</v>
      </c>
      <c r="K793" s="282">
        <v>23.2</v>
      </c>
      <c r="L793" s="282">
        <v>46</v>
      </c>
      <c r="M793" s="282">
        <v>21.6</v>
      </c>
      <c r="N793" s="282">
        <v>4.3</v>
      </c>
      <c r="O793" s="282">
        <v>0.3</v>
      </c>
      <c r="P793" s="282">
        <v>0.2</v>
      </c>
      <c r="Q793" s="282">
        <v>0.1</v>
      </c>
      <c r="R793" s="282">
        <v>0.3</v>
      </c>
      <c r="S793" s="282">
        <v>1.86</v>
      </c>
    </row>
    <row r="794" spans="1:19">
      <c r="A794" s="295"/>
      <c r="B794" s="259" t="s">
        <v>89</v>
      </c>
      <c r="C794" s="258">
        <v>95</v>
      </c>
      <c r="D794" s="282">
        <v>52</v>
      </c>
      <c r="E794" s="282">
        <v>46.42</v>
      </c>
      <c r="F794" s="282">
        <v>0.36</v>
      </c>
      <c r="G794" s="282">
        <v>156</v>
      </c>
      <c r="H794" s="282">
        <v>0.95</v>
      </c>
      <c r="I794" s="282">
        <v>1.2</v>
      </c>
      <c r="J794" s="282">
        <v>4.5999999999999996</v>
      </c>
      <c r="K794" s="282">
        <v>22.6</v>
      </c>
      <c r="L794" s="282">
        <v>46.6</v>
      </c>
      <c r="M794" s="282">
        <v>21.8</v>
      </c>
      <c r="N794" s="282">
        <v>2.6</v>
      </c>
      <c r="O794" s="282">
        <v>0.3</v>
      </c>
      <c r="P794" s="282">
        <v>0.2</v>
      </c>
      <c r="Q794" s="282">
        <v>0.1</v>
      </c>
      <c r="R794" s="282">
        <v>0.3</v>
      </c>
      <c r="S794" s="282">
        <v>1.88</v>
      </c>
    </row>
    <row r="795" spans="1:19">
      <c r="A795" s="296"/>
      <c r="B795" s="267" t="s">
        <v>90</v>
      </c>
      <c r="C795" s="258">
        <v>95</v>
      </c>
      <c r="D795" s="282">
        <v>45</v>
      </c>
      <c r="E795" s="282">
        <v>46.44</v>
      </c>
      <c r="F795" s="282">
        <v>0.32</v>
      </c>
      <c r="G795" s="282">
        <v>164</v>
      </c>
      <c r="H795" s="282">
        <v>0.97</v>
      </c>
      <c r="I795" s="282">
        <v>0.8</v>
      </c>
      <c r="J795" s="282">
        <v>6</v>
      </c>
      <c r="K795" s="282">
        <v>22</v>
      </c>
      <c r="L795" s="282">
        <v>36.4</v>
      </c>
      <c r="M795" s="282">
        <v>28</v>
      </c>
      <c r="N795" s="282">
        <v>6</v>
      </c>
      <c r="O795" s="282">
        <v>0.5</v>
      </c>
      <c r="P795" s="282">
        <v>0.2</v>
      </c>
      <c r="Q795" s="282">
        <v>0.1</v>
      </c>
      <c r="R795" s="282">
        <v>0.3</v>
      </c>
      <c r="S795" s="282">
        <v>1.84</v>
      </c>
    </row>
    <row r="796" spans="1:19">
      <c r="A796" s="295">
        <v>46083</v>
      </c>
      <c r="B796" s="259" t="s">
        <v>88</v>
      </c>
      <c r="C796" s="258"/>
      <c r="D796" s="261"/>
      <c r="E796" s="261"/>
      <c r="F796" s="261"/>
      <c r="G796" s="261"/>
      <c r="H796" s="261"/>
      <c r="I796" s="261"/>
      <c r="J796" s="261"/>
      <c r="K796" s="261"/>
      <c r="L796" s="261"/>
      <c r="M796" s="261"/>
      <c r="N796" s="261"/>
      <c r="O796" s="261"/>
      <c r="P796" s="261"/>
      <c r="Q796" s="261"/>
      <c r="R796" s="261"/>
      <c r="S796" s="261"/>
    </row>
    <row r="797" spans="1:19">
      <c r="A797" s="295"/>
      <c r="B797" s="259" t="s">
        <v>89</v>
      </c>
      <c r="C797" s="258"/>
      <c r="D797" s="261"/>
      <c r="E797" s="261"/>
      <c r="F797" s="261"/>
      <c r="G797" s="261"/>
      <c r="H797" s="261"/>
      <c r="I797" s="261"/>
      <c r="J797" s="261"/>
      <c r="K797" s="261"/>
      <c r="L797" s="261"/>
      <c r="M797" s="261"/>
      <c r="N797" s="261"/>
      <c r="O797" s="261"/>
      <c r="P797" s="261"/>
      <c r="Q797" s="261"/>
      <c r="R797" s="261"/>
      <c r="S797" s="261"/>
    </row>
    <row r="798" spans="1:19">
      <c r="A798" s="296"/>
      <c r="B798" s="267" t="s">
        <v>90</v>
      </c>
      <c r="C798" s="258"/>
      <c r="D798" s="261"/>
      <c r="E798" s="261"/>
      <c r="F798" s="261"/>
      <c r="G798" s="261"/>
      <c r="H798" s="261"/>
      <c r="I798" s="261"/>
      <c r="J798" s="261"/>
      <c r="K798" s="261"/>
      <c r="L798" s="261"/>
      <c r="M798" s="261"/>
      <c r="N798" s="261"/>
      <c r="O798" s="261"/>
      <c r="P798" s="261"/>
      <c r="Q798" s="261"/>
      <c r="R798" s="261"/>
      <c r="S798" s="261"/>
    </row>
    <row r="799" spans="1:19">
      <c r="A799" s="295">
        <v>46084</v>
      </c>
      <c r="B799" s="259" t="s">
        <v>88</v>
      </c>
      <c r="C799" s="258"/>
      <c r="D799" s="261"/>
      <c r="E799" s="261"/>
      <c r="F799" s="261"/>
      <c r="G799" s="261"/>
      <c r="H799" s="261"/>
      <c r="I799" s="261"/>
      <c r="J799" s="261"/>
      <c r="K799" s="261"/>
      <c r="L799" s="261"/>
      <c r="M799" s="261"/>
      <c r="N799" s="261"/>
      <c r="O799" s="261"/>
      <c r="P799" s="261"/>
      <c r="Q799" s="261"/>
      <c r="R799" s="261"/>
      <c r="S799" s="261"/>
    </row>
    <row r="800" spans="1:19">
      <c r="A800" s="295"/>
      <c r="B800" s="259" t="s">
        <v>89</v>
      </c>
      <c r="C800" s="258"/>
      <c r="D800" s="261"/>
      <c r="E800" s="261"/>
      <c r="F800" s="261"/>
      <c r="G800" s="261"/>
      <c r="H800" s="261"/>
      <c r="I800" s="261"/>
      <c r="J800" s="261"/>
      <c r="K800" s="261"/>
      <c r="L800" s="261"/>
      <c r="M800" s="261"/>
      <c r="N800" s="261"/>
      <c r="O800" s="261"/>
      <c r="P800" s="261"/>
      <c r="Q800" s="261"/>
      <c r="R800" s="261"/>
      <c r="S800" s="261"/>
    </row>
    <row r="801" spans="1:19">
      <c r="A801" s="296"/>
      <c r="B801" s="267" t="s">
        <v>90</v>
      </c>
      <c r="C801" s="258"/>
      <c r="D801" s="261"/>
      <c r="E801" s="261"/>
      <c r="F801" s="261"/>
      <c r="G801" s="261"/>
      <c r="H801" s="261"/>
      <c r="I801" s="261"/>
      <c r="J801" s="261"/>
      <c r="K801" s="261"/>
      <c r="L801" s="261"/>
      <c r="M801" s="261"/>
      <c r="N801" s="261"/>
      <c r="O801" s="261"/>
      <c r="P801" s="261"/>
      <c r="Q801" s="261"/>
      <c r="R801" s="261"/>
      <c r="S801" s="261"/>
    </row>
    <row r="802" spans="1:19">
      <c r="A802" s="295">
        <v>46085</v>
      </c>
      <c r="B802" s="259" t="s">
        <v>88</v>
      </c>
      <c r="C802" s="258"/>
      <c r="D802" s="261"/>
      <c r="E802" s="261"/>
      <c r="F802" s="261"/>
      <c r="G802" s="261"/>
      <c r="H802" s="261"/>
      <c r="I802" s="261"/>
      <c r="J802" s="261"/>
      <c r="K802" s="261"/>
      <c r="L802" s="261"/>
      <c r="M802" s="261"/>
      <c r="N802" s="261"/>
      <c r="O802" s="261"/>
      <c r="P802" s="261"/>
      <c r="Q802" s="261"/>
      <c r="R802" s="261"/>
      <c r="S802" s="261"/>
    </row>
    <row r="803" spans="1:19">
      <c r="A803" s="295"/>
      <c r="B803" s="259" t="s">
        <v>89</v>
      </c>
      <c r="C803" s="258"/>
      <c r="D803" s="261"/>
      <c r="E803" s="261"/>
      <c r="F803" s="261"/>
      <c r="G803" s="261"/>
      <c r="H803" s="261"/>
      <c r="I803" s="261"/>
      <c r="J803" s="261"/>
      <c r="K803" s="261"/>
      <c r="L803" s="261"/>
      <c r="M803" s="261"/>
      <c r="N803" s="261"/>
      <c r="O803" s="261"/>
      <c r="P803" s="261"/>
      <c r="Q803" s="261"/>
      <c r="R803" s="261"/>
      <c r="S803" s="261"/>
    </row>
    <row r="804" spans="1:19">
      <c r="A804" s="296"/>
      <c r="B804" s="267" t="s">
        <v>90</v>
      </c>
      <c r="C804" s="258"/>
      <c r="D804" s="261"/>
      <c r="E804" s="261"/>
      <c r="F804" s="261"/>
      <c r="G804" s="261"/>
      <c r="H804" s="261"/>
      <c r="I804" s="261"/>
      <c r="J804" s="261"/>
      <c r="K804" s="261"/>
      <c r="L804" s="261"/>
      <c r="M804" s="261"/>
      <c r="N804" s="261"/>
      <c r="O804" s="261"/>
      <c r="P804" s="261"/>
      <c r="Q804" s="261"/>
      <c r="R804" s="261"/>
      <c r="S804" s="261"/>
    </row>
    <row r="805" spans="1:19">
      <c r="A805" s="295">
        <v>46086</v>
      </c>
      <c r="B805" s="259" t="s">
        <v>88</v>
      </c>
      <c r="C805" s="258"/>
      <c r="D805" s="261"/>
      <c r="E805" s="261"/>
      <c r="F805" s="261"/>
      <c r="G805" s="261"/>
      <c r="H805" s="261"/>
      <c r="I805" s="261"/>
      <c r="J805" s="261"/>
      <c r="K805" s="261"/>
      <c r="L805" s="261"/>
      <c r="M805" s="261"/>
      <c r="N805" s="261"/>
      <c r="O805" s="261"/>
      <c r="P805" s="261"/>
      <c r="Q805" s="261"/>
      <c r="R805" s="261"/>
      <c r="S805" s="261"/>
    </row>
    <row r="806" spans="1:19">
      <c r="A806" s="295"/>
      <c r="B806" s="259" t="s">
        <v>89</v>
      </c>
      <c r="C806" s="258"/>
      <c r="D806" s="261"/>
      <c r="E806" s="261"/>
      <c r="F806" s="261"/>
      <c r="G806" s="261"/>
      <c r="H806" s="261"/>
      <c r="I806" s="261"/>
      <c r="J806" s="261"/>
      <c r="K806" s="261"/>
      <c r="L806" s="261"/>
      <c r="M806" s="261"/>
      <c r="N806" s="261"/>
      <c r="O806" s="261"/>
      <c r="P806" s="261"/>
      <c r="Q806" s="261"/>
      <c r="R806" s="261"/>
      <c r="S806" s="261"/>
    </row>
    <row r="807" spans="1:19">
      <c r="A807" s="296"/>
      <c r="B807" s="267" t="s">
        <v>90</v>
      </c>
      <c r="C807" s="258"/>
      <c r="D807" s="261"/>
      <c r="E807" s="261"/>
      <c r="F807" s="261"/>
      <c r="G807" s="261"/>
      <c r="H807" s="261"/>
      <c r="I807" s="261"/>
      <c r="J807" s="261"/>
      <c r="K807" s="261"/>
      <c r="L807" s="261"/>
      <c r="M807" s="261"/>
      <c r="N807" s="261"/>
      <c r="O807" s="261"/>
      <c r="P807" s="261"/>
      <c r="Q807" s="261"/>
      <c r="R807" s="261"/>
      <c r="S807" s="261"/>
    </row>
    <row r="808" spans="1:19">
      <c r="A808" s="295">
        <v>46087</v>
      </c>
      <c r="B808" s="259" t="s">
        <v>88</v>
      </c>
      <c r="C808" s="258"/>
      <c r="D808" s="261"/>
      <c r="E808" s="261"/>
      <c r="F808" s="261"/>
      <c r="G808" s="261"/>
      <c r="H808" s="261"/>
      <c r="I808" s="261"/>
      <c r="J808" s="261"/>
      <c r="K808" s="261"/>
      <c r="L808" s="261"/>
      <c r="M808" s="261"/>
      <c r="N808" s="261"/>
      <c r="O808" s="261"/>
      <c r="P808" s="261"/>
      <c r="Q808" s="261"/>
      <c r="R808" s="261"/>
      <c r="S808" s="261"/>
    </row>
    <row r="809" spans="1:19">
      <c r="A809" s="295"/>
      <c r="B809" s="259" t="s">
        <v>89</v>
      </c>
      <c r="C809" s="258"/>
      <c r="D809" s="261"/>
      <c r="E809" s="261"/>
      <c r="F809" s="261"/>
      <c r="G809" s="261"/>
      <c r="H809" s="261"/>
      <c r="I809" s="261"/>
      <c r="J809" s="261"/>
      <c r="K809" s="261"/>
      <c r="L809" s="261"/>
      <c r="M809" s="261"/>
      <c r="N809" s="261"/>
      <c r="O809" s="261"/>
      <c r="P809" s="261"/>
      <c r="Q809" s="261"/>
      <c r="R809" s="261"/>
      <c r="S809" s="261"/>
    </row>
    <row r="810" spans="1:19">
      <c r="A810" s="296"/>
      <c r="B810" s="267" t="s">
        <v>90</v>
      </c>
      <c r="C810" s="258"/>
      <c r="D810" s="261"/>
      <c r="E810" s="261"/>
      <c r="F810" s="261"/>
      <c r="G810" s="261"/>
      <c r="H810" s="261"/>
      <c r="I810" s="261"/>
      <c r="J810" s="261"/>
      <c r="K810" s="261"/>
      <c r="L810" s="261"/>
      <c r="M810" s="261"/>
      <c r="N810" s="261"/>
      <c r="O810" s="261"/>
      <c r="P810" s="261"/>
      <c r="Q810" s="261"/>
      <c r="R810" s="261"/>
      <c r="S810" s="261"/>
    </row>
    <row r="811" spans="1:19">
      <c r="A811" s="295">
        <v>46088</v>
      </c>
      <c r="B811" s="259" t="s">
        <v>88</v>
      </c>
      <c r="C811" s="258"/>
      <c r="D811" s="261"/>
      <c r="E811" s="261"/>
      <c r="F811" s="261"/>
      <c r="G811" s="261"/>
      <c r="H811" s="261"/>
      <c r="I811" s="261"/>
      <c r="J811" s="261"/>
      <c r="K811" s="261"/>
      <c r="L811" s="261"/>
      <c r="M811" s="261"/>
      <c r="N811" s="261"/>
      <c r="O811" s="261"/>
      <c r="P811" s="261"/>
      <c r="Q811" s="261"/>
      <c r="R811" s="261"/>
      <c r="S811" s="261"/>
    </row>
    <row r="812" spans="1:19">
      <c r="A812" s="295"/>
      <c r="B812" s="259" t="s">
        <v>89</v>
      </c>
      <c r="C812" s="258"/>
      <c r="D812" s="261"/>
      <c r="E812" s="261"/>
      <c r="F812" s="261"/>
      <c r="G812" s="261"/>
      <c r="H812" s="261"/>
      <c r="I812" s="261"/>
      <c r="J812" s="261"/>
      <c r="K812" s="261"/>
      <c r="L812" s="261"/>
      <c r="M812" s="261"/>
      <c r="N812" s="261"/>
      <c r="O812" s="261"/>
      <c r="P812" s="261"/>
      <c r="Q812" s="261"/>
      <c r="R812" s="261"/>
      <c r="S812" s="261"/>
    </row>
    <row r="813" spans="1:19">
      <c r="A813" s="296"/>
      <c r="B813" s="267" t="s">
        <v>90</v>
      </c>
      <c r="C813" s="258"/>
      <c r="D813" s="261"/>
      <c r="E813" s="261"/>
      <c r="F813" s="261"/>
      <c r="G813" s="261"/>
      <c r="H813" s="261"/>
      <c r="I813" s="261"/>
      <c r="J813" s="261"/>
      <c r="K813" s="261"/>
      <c r="L813" s="261"/>
      <c r="M813" s="261"/>
      <c r="N813" s="261"/>
      <c r="O813" s="261"/>
      <c r="P813" s="261"/>
      <c r="Q813" s="261"/>
      <c r="R813" s="261"/>
      <c r="S813" s="261"/>
    </row>
    <row r="814" spans="1:19">
      <c r="A814" s="295">
        <v>46089</v>
      </c>
      <c r="B814" s="259" t="s">
        <v>88</v>
      </c>
      <c r="C814" s="258"/>
      <c r="D814" s="261"/>
      <c r="E814" s="261"/>
      <c r="F814" s="261"/>
      <c r="G814" s="261"/>
      <c r="H814" s="261"/>
      <c r="I814" s="261"/>
      <c r="J814" s="261"/>
      <c r="K814" s="261"/>
      <c r="L814" s="261"/>
      <c r="M814" s="261"/>
      <c r="N814" s="261"/>
      <c r="O814" s="261"/>
      <c r="P814" s="261"/>
      <c r="Q814" s="261"/>
      <c r="R814" s="261"/>
      <c r="S814" s="261"/>
    </row>
    <row r="815" spans="1:19">
      <c r="A815" s="295"/>
      <c r="B815" s="259" t="s">
        <v>89</v>
      </c>
      <c r="C815" s="258"/>
      <c r="D815" s="261"/>
      <c r="E815" s="261"/>
      <c r="F815" s="261"/>
      <c r="G815" s="261"/>
      <c r="H815" s="261"/>
      <c r="I815" s="261"/>
      <c r="J815" s="261"/>
      <c r="K815" s="261"/>
      <c r="L815" s="261"/>
      <c r="M815" s="261"/>
      <c r="N815" s="261"/>
      <c r="O815" s="261"/>
      <c r="P815" s="261"/>
      <c r="Q815" s="261"/>
      <c r="R815" s="261"/>
      <c r="S815" s="261"/>
    </row>
    <row r="816" spans="1:19">
      <c r="A816" s="296"/>
      <c r="B816" s="267" t="s">
        <v>90</v>
      </c>
      <c r="C816" s="258"/>
      <c r="D816" s="261"/>
      <c r="E816" s="261"/>
      <c r="F816" s="261"/>
      <c r="G816" s="261"/>
      <c r="H816" s="261"/>
      <c r="I816" s="261"/>
      <c r="J816" s="261"/>
      <c r="K816" s="261"/>
      <c r="L816" s="261"/>
      <c r="M816" s="261"/>
      <c r="N816" s="261"/>
      <c r="O816" s="261"/>
      <c r="P816" s="261"/>
      <c r="Q816" s="261"/>
      <c r="R816" s="261"/>
      <c r="S816" s="261"/>
    </row>
    <row r="817" spans="1:19">
      <c r="A817" s="295">
        <v>46090</v>
      </c>
      <c r="B817" s="259" t="s">
        <v>88</v>
      </c>
      <c r="C817" s="258"/>
      <c r="D817" s="261"/>
      <c r="E817" s="261"/>
      <c r="F817" s="261"/>
      <c r="G817" s="261"/>
      <c r="H817" s="261"/>
      <c r="I817" s="261"/>
      <c r="J817" s="261"/>
      <c r="K817" s="261"/>
      <c r="L817" s="261"/>
      <c r="M817" s="261"/>
      <c r="N817" s="261"/>
      <c r="O817" s="261"/>
      <c r="P817" s="261"/>
      <c r="Q817" s="261"/>
      <c r="R817" s="261"/>
      <c r="S817" s="261"/>
    </row>
    <row r="818" spans="1:19">
      <c r="A818" s="295"/>
      <c r="B818" s="259" t="s">
        <v>89</v>
      </c>
      <c r="C818" s="258"/>
      <c r="D818" s="261"/>
      <c r="E818" s="261"/>
      <c r="F818" s="261"/>
      <c r="G818" s="261"/>
      <c r="H818" s="261"/>
      <c r="I818" s="261"/>
      <c r="J818" s="261"/>
      <c r="K818" s="261"/>
      <c r="L818" s="261"/>
      <c r="M818" s="261"/>
      <c r="N818" s="261"/>
      <c r="O818" s="261"/>
      <c r="P818" s="261"/>
      <c r="Q818" s="261"/>
      <c r="R818" s="261"/>
      <c r="S818" s="261"/>
    </row>
    <row r="819" spans="1:19">
      <c r="A819" s="296"/>
      <c r="B819" s="267" t="s">
        <v>90</v>
      </c>
      <c r="C819" s="258"/>
      <c r="D819" s="261"/>
      <c r="E819" s="261"/>
      <c r="F819" s="261"/>
      <c r="G819" s="261"/>
      <c r="H819" s="261"/>
      <c r="I819" s="261"/>
      <c r="J819" s="261"/>
      <c r="K819" s="261"/>
      <c r="L819" s="261"/>
      <c r="M819" s="261"/>
      <c r="N819" s="261"/>
      <c r="O819" s="261"/>
      <c r="P819" s="261"/>
      <c r="Q819" s="261"/>
      <c r="R819" s="261"/>
      <c r="S819" s="261"/>
    </row>
    <row r="820" spans="1:19">
      <c r="A820" s="295">
        <v>46091</v>
      </c>
      <c r="B820" s="259" t="s">
        <v>88</v>
      </c>
      <c r="C820" s="258"/>
      <c r="D820" s="261"/>
      <c r="E820" s="261"/>
      <c r="F820" s="261"/>
      <c r="G820" s="261"/>
      <c r="H820" s="261"/>
      <c r="I820" s="261"/>
      <c r="J820" s="261"/>
      <c r="K820" s="261"/>
      <c r="L820" s="261"/>
      <c r="M820" s="261"/>
      <c r="N820" s="261"/>
      <c r="O820" s="261"/>
      <c r="P820" s="261"/>
      <c r="Q820" s="261"/>
      <c r="R820" s="261"/>
      <c r="S820" s="261"/>
    </row>
    <row r="821" spans="1:19">
      <c r="A821" s="295"/>
      <c r="B821" s="259" t="s">
        <v>89</v>
      </c>
      <c r="C821" s="258"/>
      <c r="D821" s="261"/>
      <c r="E821" s="261"/>
      <c r="F821" s="261"/>
      <c r="G821" s="261"/>
      <c r="H821" s="261"/>
      <c r="I821" s="261"/>
      <c r="J821" s="261"/>
      <c r="K821" s="261"/>
      <c r="L821" s="261"/>
      <c r="M821" s="261"/>
      <c r="N821" s="261"/>
      <c r="O821" s="261"/>
      <c r="P821" s="261"/>
      <c r="Q821" s="261"/>
      <c r="R821" s="261"/>
      <c r="S821" s="261"/>
    </row>
    <row r="822" spans="1:19">
      <c r="A822" s="296"/>
      <c r="B822" s="267" t="s">
        <v>90</v>
      </c>
      <c r="C822" s="258"/>
      <c r="D822" s="261"/>
      <c r="E822" s="261"/>
      <c r="F822" s="261"/>
      <c r="G822" s="261"/>
      <c r="H822" s="261"/>
      <c r="I822" s="261"/>
      <c r="J822" s="261"/>
      <c r="K822" s="261"/>
      <c r="L822" s="261"/>
      <c r="M822" s="261"/>
      <c r="N822" s="261"/>
      <c r="O822" s="261"/>
      <c r="P822" s="261"/>
      <c r="Q822" s="261"/>
      <c r="R822" s="261"/>
      <c r="S822" s="261"/>
    </row>
    <row r="823" spans="1:19">
      <c r="A823" s="295">
        <v>46092</v>
      </c>
      <c r="B823" s="259" t="s">
        <v>88</v>
      </c>
      <c r="C823" s="258"/>
      <c r="D823" s="261"/>
      <c r="E823" s="261"/>
      <c r="F823" s="261"/>
      <c r="G823" s="261"/>
      <c r="H823" s="261"/>
      <c r="I823" s="261"/>
      <c r="J823" s="261"/>
      <c r="K823" s="261"/>
      <c r="L823" s="261"/>
      <c r="M823" s="261"/>
      <c r="N823" s="261"/>
      <c r="O823" s="261"/>
      <c r="P823" s="261"/>
      <c r="Q823" s="261"/>
      <c r="R823" s="261"/>
      <c r="S823" s="261"/>
    </row>
    <row r="824" spans="1:19">
      <c r="A824" s="295"/>
      <c r="B824" s="259" t="s">
        <v>89</v>
      </c>
      <c r="C824" s="258"/>
      <c r="D824" s="261"/>
      <c r="E824" s="261"/>
      <c r="F824" s="261"/>
      <c r="G824" s="261"/>
      <c r="H824" s="261"/>
      <c r="I824" s="261"/>
      <c r="J824" s="261"/>
      <c r="K824" s="261"/>
      <c r="L824" s="261"/>
      <c r="M824" s="261"/>
      <c r="N824" s="261"/>
      <c r="O824" s="261"/>
      <c r="P824" s="261"/>
      <c r="Q824" s="261"/>
      <c r="R824" s="261"/>
      <c r="S824" s="261"/>
    </row>
    <row r="825" spans="1:19">
      <c r="A825" s="296"/>
      <c r="B825" s="267" t="s">
        <v>90</v>
      </c>
      <c r="C825" s="258"/>
      <c r="D825" s="261"/>
      <c r="E825" s="261"/>
      <c r="F825" s="261"/>
      <c r="G825" s="261"/>
      <c r="H825" s="261"/>
      <c r="I825" s="261"/>
      <c r="J825" s="261"/>
      <c r="K825" s="261"/>
      <c r="L825" s="261"/>
      <c r="M825" s="261"/>
      <c r="N825" s="261"/>
      <c r="O825" s="261"/>
      <c r="P825" s="261"/>
      <c r="Q825" s="261"/>
      <c r="R825" s="261"/>
      <c r="S825" s="261"/>
    </row>
    <row r="826" spans="1:19">
      <c r="A826" s="295">
        <v>46093</v>
      </c>
      <c r="B826" s="259" t="s">
        <v>88</v>
      </c>
      <c r="C826" s="258"/>
      <c r="D826" s="261"/>
      <c r="E826" s="261"/>
      <c r="F826" s="261"/>
      <c r="G826" s="261"/>
      <c r="H826" s="261"/>
      <c r="I826" s="261"/>
      <c r="J826" s="261"/>
      <c r="K826" s="261"/>
      <c r="L826" s="261"/>
      <c r="M826" s="261"/>
      <c r="N826" s="261"/>
      <c r="O826" s="261"/>
      <c r="P826" s="261"/>
      <c r="Q826" s="261"/>
      <c r="R826" s="261"/>
      <c r="S826" s="261"/>
    </row>
    <row r="827" spans="1:19">
      <c r="A827" s="295"/>
      <c r="B827" s="259" t="s">
        <v>89</v>
      </c>
      <c r="C827" s="258"/>
      <c r="D827" s="261"/>
      <c r="E827" s="261"/>
      <c r="F827" s="261"/>
      <c r="G827" s="261"/>
      <c r="H827" s="261"/>
      <c r="I827" s="261"/>
      <c r="J827" s="261"/>
      <c r="K827" s="261"/>
      <c r="L827" s="261"/>
      <c r="M827" s="261"/>
      <c r="N827" s="261"/>
      <c r="O827" s="261"/>
      <c r="P827" s="261"/>
      <c r="Q827" s="261"/>
      <c r="R827" s="261"/>
      <c r="S827" s="261"/>
    </row>
    <row r="828" spans="1:19">
      <c r="A828" s="296"/>
      <c r="B828" s="267" t="s">
        <v>90</v>
      </c>
      <c r="C828" s="258"/>
      <c r="D828" s="261"/>
      <c r="E828" s="261"/>
      <c r="F828" s="261"/>
      <c r="G828" s="261"/>
      <c r="H828" s="261"/>
      <c r="I828" s="261"/>
      <c r="J828" s="261"/>
      <c r="K828" s="261"/>
      <c r="L828" s="261"/>
      <c r="M828" s="261"/>
      <c r="N828" s="261"/>
      <c r="O828" s="261"/>
      <c r="P828" s="261"/>
      <c r="Q828" s="261"/>
      <c r="R828" s="261"/>
      <c r="S828" s="261"/>
    </row>
    <row r="829" spans="1:19">
      <c r="A829" s="295">
        <v>46094</v>
      </c>
      <c r="B829" s="259" t="s">
        <v>88</v>
      </c>
      <c r="C829" s="258"/>
      <c r="D829" s="261"/>
      <c r="E829" s="261"/>
      <c r="F829" s="261"/>
      <c r="G829" s="261"/>
      <c r="H829" s="261"/>
      <c r="I829" s="261"/>
      <c r="J829" s="261"/>
      <c r="K829" s="261"/>
      <c r="L829" s="261"/>
      <c r="M829" s="261"/>
      <c r="N829" s="261"/>
      <c r="O829" s="261"/>
      <c r="P829" s="261"/>
      <c r="Q829" s="261"/>
      <c r="R829" s="261"/>
      <c r="S829" s="261"/>
    </row>
    <row r="830" spans="1:19">
      <c r="A830" s="295"/>
      <c r="B830" s="259" t="s">
        <v>89</v>
      </c>
      <c r="C830" s="258"/>
      <c r="D830" s="261"/>
      <c r="E830" s="261"/>
      <c r="F830" s="261"/>
      <c r="G830" s="261"/>
      <c r="H830" s="261"/>
      <c r="I830" s="261"/>
      <c r="J830" s="261"/>
      <c r="K830" s="261"/>
      <c r="L830" s="261"/>
      <c r="M830" s="261"/>
      <c r="N830" s="261"/>
      <c r="O830" s="261"/>
      <c r="P830" s="261"/>
      <c r="Q830" s="261"/>
      <c r="R830" s="261"/>
      <c r="S830" s="261"/>
    </row>
    <row r="831" spans="1:19">
      <c r="A831" s="296"/>
      <c r="B831" s="267" t="s">
        <v>90</v>
      </c>
      <c r="C831" s="258"/>
      <c r="D831" s="261"/>
      <c r="E831" s="261"/>
      <c r="F831" s="261"/>
      <c r="G831" s="261"/>
      <c r="H831" s="261"/>
      <c r="I831" s="261"/>
      <c r="J831" s="261"/>
      <c r="K831" s="261"/>
      <c r="L831" s="261"/>
      <c r="M831" s="261"/>
      <c r="N831" s="261"/>
      <c r="O831" s="261"/>
      <c r="P831" s="261"/>
      <c r="Q831" s="261"/>
      <c r="R831" s="261"/>
      <c r="S831" s="261"/>
    </row>
    <row r="832" spans="1:19">
      <c r="A832" s="295">
        <v>46095</v>
      </c>
      <c r="B832" s="259" t="s">
        <v>88</v>
      </c>
      <c r="C832" s="258"/>
      <c r="D832" s="261"/>
      <c r="E832" s="261"/>
      <c r="F832" s="261"/>
      <c r="G832" s="261"/>
      <c r="H832" s="261"/>
      <c r="I832" s="261"/>
      <c r="J832" s="261"/>
      <c r="K832" s="261"/>
      <c r="L832" s="261"/>
      <c r="M832" s="261"/>
      <c r="N832" s="261"/>
      <c r="O832" s="261"/>
      <c r="P832" s="261"/>
      <c r="Q832" s="261"/>
      <c r="R832" s="261"/>
      <c r="S832" s="261"/>
    </row>
    <row r="833" spans="1:19">
      <c r="A833" s="295"/>
      <c r="B833" s="259" t="s">
        <v>89</v>
      </c>
      <c r="C833" s="258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N833" s="261"/>
      <c r="O833" s="261"/>
      <c r="P833" s="261"/>
      <c r="Q833" s="261"/>
      <c r="R833" s="261"/>
      <c r="S833" s="261"/>
    </row>
    <row r="834" spans="1:19">
      <c r="A834" s="296"/>
      <c r="B834" s="267" t="s">
        <v>90</v>
      </c>
      <c r="C834" s="258"/>
      <c r="D834" s="261"/>
      <c r="E834" s="261"/>
      <c r="F834" s="261"/>
      <c r="G834" s="261"/>
      <c r="H834" s="261"/>
      <c r="I834" s="261"/>
      <c r="J834" s="261"/>
      <c r="K834" s="261"/>
      <c r="L834" s="261"/>
      <c r="M834" s="261"/>
      <c r="N834" s="261"/>
      <c r="O834" s="261"/>
      <c r="P834" s="261"/>
      <c r="Q834" s="261"/>
      <c r="R834" s="261"/>
      <c r="S834" s="261"/>
    </row>
    <row r="835" spans="1:19">
      <c r="A835" s="295">
        <v>46096</v>
      </c>
      <c r="B835" s="259" t="s">
        <v>88</v>
      </c>
      <c r="C835" s="258"/>
      <c r="D835" s="261"/>
      <c r="E835" s="261"/>
      <c r="F835" s="261"/>
      <c r="G835" s="261"/>
      <c r="H835" s="261"/>
      <c r="I835" s="261"/>
      <c r="J835" s="261"/>
      <c r="K835" s="261"/>
      <c r="L835" s="261"/>
      <c r="M835" s="261"/>
      <c r="N835" s="261"/>
      <c r="O835" s="261"/>
      <c r="P835" s="261"/>
      <c r="Q835" s="261"/>
      <c r="R835" s="261"/>
      <c r="S835" s="261"/>
    </row>
    <row r="836" spans="1:19">
      <c r="A836" s="295"/>
      <c r="B836" s="259" t="s">
        <v>89</v>
      </c>
      <c r="C836" s="258"/>
      <c r="D836" s="261"/>
      <c r="E836" s="261"/>
      <c r="F836" s="261"/>
      <c r="G836" s="261"/>
      <c r="H836" s="261"/>
      <c r="I836" s="261"/>
      <c r="J836" s="261"/>
      <c r="K836" s="261"/>
      <c r="L836" s="261"/>
      <c r="M836" s="261"/>
      <c r="N836" s="261"/>
      <c r="O836" s="261"/>
      <c r="P836" s="261"/>
      <c r="Q836" s="261"/>
      <c r="R836" s="261"/>
      <c r="S836" s="261"/>
    </row>
    <row r="837" spans="1:19">
      <c r="A837" s="296"/>
      <c r="B837" s="267" t="s">
        <v>90</v>
      </c>
      <c r="C837" s="258"/>
      <c r="D837" s="261"/>
      <c r="E837" s="261"/>
      <c r="F837" s="261"/>
      <c r="G837" s="261"/>
      <c r="H837" s="261"/>
      <c r="I837" s="261"/>
      <c r="J837" s="261"/>
      <c r="K837" s="261"/>
      <c r="L837" s="261"/>
      <c r="M837" s="261"/>
      <c r="N837" s="261"/>
      <c r="O837" s="261"/>
      <c r="P837" s="261"/>
      <c r="Q837" s="261"/>
      <c r="R837" s="261"/>
      <c r="S837" s="261"/>
    </row>
    <row r="838" spans="1:19">
      <c r="A838" s="295">
        <v>46097</v>
      </c>
      <c r="B838" s="259" t="s">
        <v>88</v>
      </c>
      <c r="C838" s="258"/>
      <c r="D838" s="261"/>
      <c r="E838" s="261"/>
      <c r="F838" s="261"/>
      <c r="G838" s="261"/>
      <c r="H838" s="261"/>
      <c r="I838" s="261"/>
      <c r="J838" s="261"/>
      <c r="K838" s="261"/>
      <c r="L838" s="261"/>
      <c r="M838" s="261"/>
      <c r="N838" s="261"/>
      <c r="O838" s="261"/>
      <c r="P838" s="261"/>
      <c r="Q838" s="261"/>
      <c r="R838" s="261"/>
      <c r="S838" s="261"/>
    </row>
    <row r="839" spans="1:19">
      <c r="A839" s="295"/>
      <c r="B839" s="259" t="s">
        <v>89</v>
      </c>
      <c r="C839" s="258"/>
      <c r="D839" s="261"/>
      <c r="E839" s="261"/>
      <c r="F839" s="261"/>
      <c r="G839" s="261"/>
      <c r="H839" s="261"/>
      <c r="I839" s="261"/>
      <c r="J839" s="261"/>
      <c r="K839" s="261"/>
      <c r="L839" s="261"/>
      <c r="M839" s="261"/>
      <c r="N839" s="261"/>
      <c r="O839" s="261"/>
      <c r="P839" s="261"/>
      <c r="Q839" s="261"/>
      <c r="R839" s="261"/>
      <c r="S839" s="261"/>
    </row>
    <row r="840" spans="1:19">
      <c r="A840" s="296"/>
      <c r="B840" s="267" t="s">
        <v>90</v>
      </c>
      <c r="C840" s="258"/>
      <c r="D840" s="261"/>
      <c r="E840" s="261"/>
      <c r="F840" s="261"/>
      <c r="G840" s="261"/>
      <c r="H840" s="261"/>
      <c r="I840" s="261"/>
      <c r="J840" s="261"/>
      <c r="K840" s="261"/>
      <c r="L840" s="261"/>
      <c r="M840" s="261"/>
      <c r="N840" s="261"/>
      <c r="O840" s="261"/>
      <c r="P840" s="261"/>
      <c r="Q840" s="261"/>
      <c r="R840" s="261"/>
      <c r="S840" s="261"/>
    </row>
    <row r="841" spans="1:19">
      <c r="A841" s="295">
        <v>46098</v>
      </c>
      <c r="B841" s="259" t="s">
        <v>88</v>
      </c>
      <c r="C841" s="258"/>
      <c r="D841" s="261"/>
      <c r="E841" s="261"/>
      <c r="F841" s="261"/>
      <c r="G841" s="261"/>
      <c r="H841" s="261"/>
      <c r="I841" s="261"/>
      <c r="J841" s="261"/>
      <c r="K841" s="261"/>
      <c r="L841" s="261"/>
      <c r="M841" s="261"/>
      <c r="N841" s="261"/>
      <c r="O841" s="261"/>
      <c r="P841" s="261"/>
      <c r="Q841" s="261"/>
      <c r="R841" s="261"/>
      <c r="S841" s="261"/>
    </row>
    <row r="842" spans="1:19">
      <c r="A842" s="295"/>
      <c r="B842" s="259" t="s">
        <v>89</v>
      </c>
      <c r="C842" s="258"/>
      <c r="D842" s="261"/>
      <c r="E842" s="261"/>
      <c r="F842" s="261"/>
      <c r="G842" s="261"/>
      <c r="H842" s="261"/>
      <c r="I842" s="261"/>
      <c r="J842" s="261"/>
      <c r="K842" s="261"/>
      <c r="L842" s="261"/>
      <c r="M842" s="261"/>
      <c r="N842" s="261"/>
      <c r="O842" s="261"/>
      <c r="P842" s="261"/>
      <c r="Q842" s="261"/>
      <c r="R842" s="261"/>
      <c r="S842" s="261"/>
    </row>
    <row r="843" spans="1:19">
      <c r="A843" s="296"/>
      <c r="B843" s="267" t="s">
        <v>90</v>
      </c>
      <c r="C843" s="258"/>
      <c r="D843" s="261"/>
      <c r="E843" s="261"/>
      <c r="F843" s="261"/>
      <c r="G843" s="261"/>
      <c r="H843" s="261"/>
      <c r="I843" s="261"/>
      <c r="J843" s="261"/>
      <c r="K843" s="261"/>
      <c r="L843" s="261"/>
      <c r="M843" s="261"/>
      <c r="N843" s="261"/>
      <c r="O843" s="261"/>
      <c r="P843" s="261"/>
      <c r="Q843" s="261"/>
      <c r="R843" s="261"/>
      <c r="S843" s="261"/>
    </row>
    <row r="844" spans="1:19">
      <c r="A844" s="295">
        <v>46099</v>
      </c>
      <c r="B844" s="259" t="s">
        <v>88</v>
      </c>
      <c r="C844" s="258"/>
      <c r="D844" s="261"/>
      <c r="E844" s="261"/>
      <c r="F844" s="261"/>
      <c r="G844" s="261"/>
      <c r="H844" s="261"/>
      <c r="I844" s="261"/>
      <c r="J844" s="261"/>
      <c r="K844" s="261"/>
      <c r="L844" s="261"/>
      <c r="M844" s="261"/>
      <c r="N844" s="261"/>
      <c r="O844" s="261"/>
      <c r="P844" s="261"/>
      <c r="Q844" s="261"/>
      <c r="R844" s="261"/>
      <c r="S844" s="261"/>
    </row>
    <row r="845" spans="1:19">
      <c r="A845" s="295"/>
      <c r="B845" s="259" t="s">
        <v>89</v>
      </c>
      <c r="C845" s="258"/>
      <c r="D845" s="261"/>
      <c r="E845" s="261"/>
      <c r="F845" s="261"/>
      <c r="G845" s="261"/>
      <c r="H845" s="261"/>
      <c r="I845" s="261"/>
      <c r="J845" s="261"/>
      <c r="K845" s="261"/>
      <c r="L845" s="261"/>
      <c r="M845" s="261"/>
      <c r="N845" s="261"/>
      <c r="O845" s="261"/>
      <c r="P845" s="261"/>
      <c r="Q845" s="261"/>
      <c r="R845" s="261"/>
      <c r="S845" s="261"/>
    </row>
    <row r="846" spans="1:19">
      <c r="A846" s="296"/>
      <c r="B846" s="267" t="s">
        <v>90</v>
      </c>
      <c r="C846" s="258"/>
      <c r="D846" s="261"/>
      <c r="E846" s="261"/>
      <c r="F846" s="261"/>
      <c r="G846" s="261"/>
      <c r="H846" s="261"/>
      <c r="I846" s="261"/>
      <c r="J846" s="261"/>
      <c r="K846" s="261"/>
      <c r="L846" s="261"/>
      <c r="M846" s="261"/>
      <c r="N846" s="261"/>
      <c r="O846" s="261"/>
      <c r="P846" s="261"/>
      <c r="Q846" s="261"/>
      <c r="R846" s="261"/>
      <c r="S846" s="261"/>
    </row>
    <row r="847" spans="1:19">
      <c r="A847" s="295">
        <v>46100</v>
      </c>
      <c r="B847" s="259" t="s">
        <v>88</v>
      </c>
      <c r="C847" s="258"/>
      <c r="D847" s="261"/>
      <c r="E847" s="261"/>
      <c r="F847" s="261"/>
      <c r="G847" s="261"/>
      <c r="H847" s="261"/>
      <c r="I847" s="261"/>
      <c r="J847" s="261"/>
      <c r="K847" s="261"/>
      <c r="L847" s="261"/>
      <c r="M847" s="261"/>
      <c r="N847" s="261"/>
      <c r="O847" s="261"/>
      <c r="P847" s="261"/>
      <c r="Q847" s="261"/>
      <c r="R847" s="261"/>
      <c r="S847" s="261"/>
    </row>
    <row r="848" spans="1:19">
      <c r="A848" s="295"/>
      <c r="B848" s="259" t="s">
        <v>89</v>
      </c>
      <c r="C848" s="258"/>
      <c r="D848" s="261"/>
      <c r="E848" s="261"/>
      <c r="F848" s="261"/>
      <c r="G848" s="261"/>
      <c r="H848" s="261"/>
      <c r="I848" s="261"/>
      <c r="J848" s="261"/>
      <c r="K848" s="261"/>
      <c r="L848" s="261"/>
      <c r="M848" s="261"/>
      <c r="N848" s="261"/>
      <c r="O848" s="261"/>
      <c r="P848" s="261"/>
      <c r="Q848" s="261"/>
      <c r="R848" s="261"/>
      <c r="S848" s="261"/>
    </row>
    <row r="849" spans="1:19">
      <c r="A849" s="296"/>
      <c r="B849" s="267" t="s">
        <v>90</v>
      </c>
      <c r="C849" s="258"/>
      <c r="D849" s="261"/>
      <c r="E849" s="261"/>
      <c r="F849" s="261"/>
      <c r="G849" s="261"/>
      <c r="H849" s="261"/>
      <c r="I849" s="261"/>
      <c r="J849" s="261"/>
      <c r="K849" s="261"/>
      <c r="L849" s="261"/>
      <c r="M849" s="261"/>
      <c r="N849" s="261"/>
      <c r="O849" s="261"/>
      <c r="P849" s="261"/>
      <c r="Q849" s="261"/>
      <c r="R849" s="261"/>
      <c r="S849" s="261"/>
    </row>
    <row r="850" spans="1:19">
      <c r="A850" s="295">
        <v>46101</v>
      </c>
      <c r="B850" s="259" t="s">
        <v>88</v>
      </c>
      <c r="C850" s="258"/>
      <c r="D850" s="261"/>
      <c r="E850" s="261"/>
      <c r="F850" s="261"/>
      <c r="G850" s="261"/>
      <c r="H850" s="261"/>
      <c r="I850" s="261"/>
      <c r="J850" s="261"/>
      <c r="K850" s="261"/>
      <c r="L850" s="261"/>
      <c r="M850" s="261"/>
      <c r="N850" s="261"/>
      <c r="O850" s="261"/>
      <c r="P850" s="261"/>
      <c r="Q850" s="261"/>
      <c r="R850" s="261"/>
      <c r="S850" s="261"/>
    </row>
    <row r="851" spans="1:19">
      <c r="A851" s="295"/>
      <c r="B851" s="259" t="s">
        <v>89</v>
      </c>
      <c r="C851" s="258"/>
      <c r="D851" s="261"/>
      <c r="E851" s="261"/>
      <c r="F851" s="261"/>
      <c r="G851" s="261"/>
      <c r="H851" s="261"/>
      <c r="I851" s="261"/>
      <c r="J851" s="261"/>
      <c r="K851" s="261"/>
      <c r="L851" s="261"/>
      <c r="M851" s="261"/>
      <c r="N851" s="261"/>
      <c r="O851" s="261"/>
      <c r="P851" s="261"/>
      <c r="Q851" s="261"/>
      <c r="R851" s="261"/>
      <c r="S851" s="261"/>
    </row>
    <row r="852" spans="1:19">
      <c r="A852" s="296"/>
      <c r="B852" s="267" t="s">
        <v>90</v>
      </c>
      <c r="C852" s="258"/>
      <c r="D852" s="261"/>
      <c r="E852" s="261"/>
      <c r="F852" s="261"/>
      <c r="G852" s="261"/>
      <c r="H852" s="261"/>
      <c r="I852" s="261"/>
      <c r="J852" s="261"/>
      <c r="K852" s="261"/>
      <c r="L852" s="261"/>
      <c r="M852" s="261"/>
      <c r="N852" s="261"/>
      <c r="O852" s="261"/>
      <c r="P852" s="261"/>
      <c r="Q852" s="261"/>
      <c r="R852" s="261"/>
      <c r="S852" s="261"/>
    </row>
    <row r="853" spans="1:19">
      <c r="A853" s="295">
        <v>46102</v>
      </c>
      <c r="B853" s="259" t="s">
        <v>88</v>
      </c>
      <c r="C853" s="258"/>
      <c r="D853" s="261"/>
      <c r="E853" s="261"/>
      <c r="F853" s="261"/>
      <c r="G853" s="261"/>
      <c r="H853" s="261"/>
      <c r="I853" s="261"/>
      <c r="J853" s="261"/>
      <c r="K853" s="261"/>
      <c r="L853" s="261"/>
      <c r="M853" s="261"/>
      <c r="N853" s="261"/>
      <c r="O853" s="261"/>
      <c r="P853" s="261"/>
      <c r="Q853" s="261"/>
      <c r="R853" s="261"/>
      <c r="S853" s="261"/>
    </row>
    <row r="854" spans="1:19">
      <c r="A854" s="295"/>
      <c r="B854" s="259" t="s">
        <v>89</v>
      </c>
      <c r="C854" s="258"/>
      <c r="D854" s="261"/>
      <c r="E854" s="261"/>
      <c r="F854" s="261"/>
      <c r="G854" s="261"/>
      <c r="H854" s="261"/>
      <c r="I854" s="261"/>
      <c r="J854" s="261"/>
      <c r="K854" s="261"/>
      <c r="L854" s="261"/>
      <c r="M854" s="261"/>
      <c r="N854" s="261"/>
      <c r="O854" s="261"/>
      <c r="P854" s="261"/>
      <c r="Q854" s="261"/>
      <c r="R854" s="261"/>
      <c r="S854" s="261"/>
    </row>
    <row r="855" spans="1:19">
      <c r="A855" s="296"/>
      <c r="B855" s="267" t="s">
        <v>90</v>
      </c>
      <c r="C855" s="258"/>
      <c r="D855" s="261"/>
      <c r="E855" s="261"/>
      <c r="F855" s="261"/>
      <c r="G855" s="261"/>
      <c r="H855" s="261"/>
      <c r="I855" s="261"/>
      <c r="J855" s="261"/>
      <c r="K855" s="261"/>
      <c r="L855" s="261"/>
      <c r="M855" s="261"/>
      <c r="N855" s="261"/>
      <c r="O855" s="261"/>
      <c r="P855" s="261"/>
      <c r="Q855" s="261"/>
      <c r="R855" s="261"/>
      <c r="S855" s="261"/>
    </row>
    <row r="856" spans="1:19">
      <c r="A856" s="295">
        <v>46103</v>
      </c>
      <c r="B856" s="259" t="s">
        <v>88</v>
      </c>
      <c r="C856" s="258"/>
      <c r="D856" s="261"/>
      <c r="E856" s="261"/>
      <c r="F856" s="261"/>
      <c r="G856" s="261"/>
      <c r="H856" s="261"/>
      <c r="I856" s="261"/>
      <c r="J856" s="261"/>
      <c r="K856" s="261"/>
      <c r="L856" s="261"/>
      <c r="M856" s="261"/>
      <c r="N856" s="261"/>
      <c r="O856" s="261"/>
      <c r="P856" s="261"/>
      <c r="Q856" s="261"/>
      <c r="R856" s="261"/>
      <c r="S856" s="261"/>
    </row>
    <row r="857" spans="1:19">
      <c r="A857" s="295"/>
      <c r="B857" s="259" t="s">
        <v>89</v>
      </c>
      <c r="C857" s="258"/>
      <c r="D857" s="261"/>
      <c r="E857" s="261"/>
      <c r="F857" s="261"/>
      <c r="G857" s="261"/>
      <c r="H857" s="261"/>
      <c r="I857" s="261"/>
      <c r="J857" s="261"/>
      <c r="K857" s="261"/>
      <c r="L857" s="261"/>
      <c r="M857" s="261"/>
      <c r="N857" s="261"/>
      <c r="O857" s="261"/>
      <c r="P857" s="261"/>
      <c r="Q857" s="261"/>
      <c r="R857" s="261"/>
      <c r="S857" s="261"/>
    </row>
    <row r="858" spans="1:19">
      <c r="A858" s="296"/>
      <c r="B858" s="267" t="s">
        <v>90</v>
      </c>
      <c r="C858" s="258"/>
      <c r="D858" s="261"/>
      <c r="E858" s="261"/>
      <c r="F858" s="261"/>
      <c r="G858" s="261"/>
      <c r="H858" s="261"/>
      <c r="I858" s="261"/>
      <c r="J858" s="261"/>
      <c r="K858" s="261"/>
      <c r="L858" s="261"/>
      <c r="M858" s="261"/>
      <c r="N858" s="261"/>
      <c r="O858" s="261"/>
      <c r="P858" s="261"/>
      <c r="Q858" s="261"/>
      <c r="R858" s="261"/>
      <c r="S858" s="261"/>
    </row>
    <row r="859" spans="1:19">
      <c r="A859" s="295">
        <v>46104</v>
      </c>
      <c r="B859" s="259" t="s">
        <v>88</v>
      </c>
      <c r="C859" s="258"/>
      <c r="D859" s="261"/>
      <c r="E859" s="261"/>
      <c r="F859" s="261"/>
      <c r="G859" s="261"/>
      <c r="H859" s="261"/>
      <c r="I859" s="261"/>
      <c r="J859" s="261"/>
      <c r="K859" s="261"/>
      <c r="L859" s="261"/>
      <c r="M859" s="261"/>
      <c r="N859" s="261"/>
      <c r="O859" s="261"/>
      <c r="P859" s="261"/>
      <c r="Q859" s="261"/>
      <c r="R859" s="261"/>
      <c r="S859" s="261"/>
    </row>
    <row r="860" spans="1:19">
      <c r="A860" s="295"/>
      <c r="B860" s="259" t="s">
        <v>89</v>
      </c>
      <c r="C860" s="258"/>
      <c r="D860" s="261"/>
      <c r="E860" s="261"/>
      <c r="F860" s="261"/>
      <c r="G860" s="261"/>
      <c r="H860" s="261"/>
      <c r="I860" s="261"/>
      <c r="J860" s="261"/>
      <c r="K860" s="261"/>
      <c r="L860" s="261"/>
      <c r="M860" s="261"/>
      <c r="N860" s="261"/>
      <c r="O860" s="261"/>
      <c r="P860" s="261"/>
      <c r="Q860" s="261"/>
      <c r="R860" s="261"/>
      <c r="S860" s="261"/>
    </row>
    <row r="861" spans="1:19">
      <c r="A861" s="296"/>
      <c r="B861" s="267" t="s">
        <v>90</v>
      </c>
      <c r="C861" s="258"/>
      <c r="D861" s="261"/>
      <c r="E861" s="261"/>
      <c r="F861" s="261"/>
      <c r="G861" s="261"/>
      <c r="H861" s="261"/>
      <c r="I861" s="261"/>
      <c r="J861" s="261"/>
      <c r="K861" s="261"/>
      <c r="L861" s="261"/>
      <c r="M861" s="261"/>
      <c r="N861" s="261"/>
      <c r="O861" s="261"/>
      <c r="P861" s="261"/>
      <c r="Q861" s="261"/>
      <c r="R861" s="261"/>
      <c r="S861" s="261"/>
    </row>
    <row r="862" spans="1:19">
      <c r="A862" s="295">
        <v>46105</v>
      </c>
      <c r="B862" s="259" t="s">
        <v>88</v>
      </c>
      <c r="C862" s="258"/>
      <c r="D862" s="261"/>
      <c r="E862" s="261"/>
      <c r="F862" s="261"/>
      <c r="G862" s="261"/>
      <c r="H862" s="261"/>
      <c r="I862" s="261"/>
      <c r="J862" s="261"/>
      <c r="K862" s="261"/>
      <c r="L862" s="261"/>
      <c r="M862" s="261"/>
      <c r="N862" s="261"/>
      <c r="O862" s="261"/>
      <c r="P862" s="261"/>
      <c r="Q862" s="261"/>
      <c r="R862" s="261"/>
      <c r="S862" s="261"/>
    </row>
    <row r="863" spans="1:19">
      <c r="A863" s="295"/>
      <c r="B863" s="259" t="s">
        <v>89</v>
      </c>
      <c r="C863" s="258"/>
      <c r="D863" s="261"/>
      <c r="E863" s="261"/>
      <c r="F863" s="261"/>
      <c r="G863" s="261"/>
      <c r="H863" s="261"/>
      <c r="I863" s="261"/>
      <c r="J863" s="261"/>
      <c r="K863" s="261"/>
      <c r="L863" s="261"/>
      <c r="M863" s="261"/>
      <c r="N863" s="261"/>
      <c r="O863" s="261"/>
      <c r="P863" s="261"/>
      <c r="Q863" s="261"/>
      <c r="R863" s="261"/>
      <c r="S863" s="261"/>
    </row>
    <row r="864" spans="1:19">
      <c r="A864" s="296"/>
      <c r="B864" s="267" t="s">
        <v>90</v>
      </c>
      <c r="C864" s="258"/>
      <c r="D864" s="261"/>
      <c r="E864" s="261"/>
      <c r="F864" s="261"/>
      <c r="G864" s="261"/>
      <c r="H864" s="261"/>
      <c r="I864" s="261"/>
      <c r="J864" s="261"/>
      <c r="K864" s="261"/>
      <c r="L864" s="261"/>
      <c r="M864" s="261"/>
      <c r="N864" s="261"/>
      <c r="O864" s="261"/>
      <c r="P864" s="261"/>
      <c r="Q864" s="261"/>
      <c r="R864" s="261"/>
      <c r="S864" s="261"/>
    </row>
    <row r="865" spans="1:19">
      <c r="A865" s="295">
        <v>46106</v>
      </c>
      <c r="B865" s="259" t="s">
        <v>88</v>
      </c>
      <c r="C865" s="258"/>
      <c r="D865" s="261"/>
      <c r="E865" s="261"/>
      <c r="F865" s="261"/>
      <c r="G865" s="261"/>
      <c r="H865" s="261"/>
      <c r="I865" s="261"/>
      <c r="J865" s="261"/>
      <c r="K865" s="261"/>
      <c r="L865" s="261"/>
      <c r="M865" s="261"/>
      <c r="N865" s="261"/>
      <c r="O865" s="261"/>
      <c r="P865" s="261"/>
      <c r="Q865" s="261"/>
      <c r="R865" s="261"/>
      <c r="S865" s="261"/>
    </row>
    <row r="866" spans="1:19">
      <c r="A866" s="295"/>
      <c r="B866" s="259" t="s">
        <v>89</v>
      </c>
      <c r="C866" s="258"/>
      <c r="D866" s="261"/>
      <c r="E866" s="261"/>
      <c r="F866" s="261"/>
      <c r="G866" s="261"/>
      <c r="H866" s="261"/>
      <c r="I866" s="261"/>
      <c r="J866" s="261"/>
      <c r="K866" s="261"/>
      <c r="L866" s="261"/>
      <c r="M866" s="261"/>
      <c r="N866" s="261"/>
      <c r="O866" s="261"/>
      <c r="P866" s="261"/>
      <c r="Q866" s="261"/>
      <c r="R866" s="261"/>
      <c r="S866" s="261"/>
    </row>
    <row r="867" spans="1:19">
      <c r="A867" s="296"/>
      <c r="B867" s="267" t="s">
        <v>90</v>
      </c>
      <c r="C867" s="258"/>
      <c r="D867" s="261"/>
      <c r="E867" s="261"/>
      <c r="F867" s="261"/>
      <c r="G867" s="261"/>
      <c r="H867" s="261"/>
      <c r="I867" s="261"/>
      <c r="J867" s="261"/>
      <c r="K867" s="261"/>
      <c r="L867" s="261"/>
      <c r="M867" s="261"/>
      <c r="N867" s="261"/>
      <c r="O867" s="261"/>
      <c r="P867" s="261"/>
      <c r="Q867" s="261"/>
      <c r="R867" s="261"/>
      <c r="S867" s="261"/>
    </row>
    <row r="868" spans="1:19">
      <c r="A868" s="295">
        <v>46107</v>
      </c>
      <c r="B868" s="259" t="s">
        <v>88</v>
      </c>
      <c r="C868" s="258"/>
      <c r="D868" s="261"/>
      <c r="E868" s="261"/>
      <c r="F868" s="261"/>
      <c r="G868" s="261"/>
      <c r="H868" s="261"/>
      <c r="I868" s="261"/>
      <c r="J868" s="261"/>
      <c r="K868" s="261"/>
      <c r="L868" s="261"/>
      <c r="M868" s="261"/>
      <c r="N868" s="261"/>
      <c r="O868" s="261"/>
      <c r="P868" s="261"/>
      <c r="Q868" s="261"/>
      <c r="R868" s="261"/>
      <c r="S868" s="261"/>
    </row>
    <row r="869" spans="1:19">
      <c r="A869" s="295"/>
      <c r="B869" s="259" t="s">
        <v>89</v>
      </c>
      <c r="C869" s="258"/>
      <c r="D869" s="261"/>
      <c r="E869" s="261"/>
      <c r="F869" s="261"/>
      <c r="G869" s="261"/>
      <c r="H869" s="261"/>
      <c r="I869" s="261"/>
      <c r="J869" s="261"/>
      <c r="K869" s="261"/>
      <c r="L869" s="261"/>
      <c r="M869" s="261"/>
      <c r="N869" s="261"/>
      <c r="O869" s="261"/>
      <c r="P869" s="261"/>
      <c r="Q869" s="261"/>
      <c r="R869" s="261"/>
      <c r="S869" s="261"/>
    </row>
    <row r="870" spans="1:19">
      <c r="A870" s="296"/>
      <c r="B870" s="267" t="s">
        <v>90</v>
      </c>
      <c r="C870" s="258"/>
      <c r="D870" s="261"/>
      <c r="E870" s="261"/>
      <c r="F870" s="261"/>
      <c r="G870" s="261"/>
      <c r="H870" s="261"/>
      <c r="I870" s="261"/>
      <c r="J870" s="261"/>
      <c r="K870" s="261"/>
      <c r="L870" s="261"/>
      <c r="M870" s="261"/>
      <c r="N870" s="261"/>
      <c r="O870" s="261"/>
      <c r="P870" s="261"/>
      <c r="Q870" s="261"/>
      <c r="R870" s="261"/>
      <c r="S870" s="261"/>
    </row>
    <row r="871" spans="1:19">
      <c r="A871" s="295">
        <v>46108</v>
      </c>
      <c r="B871" s="259" t="s">
        <v>88</v>
      </c>
      <c r="C871" s="258"/>
      <c r="D871" s="261"/>
      <c r="E871" s="261"/>
      <c r="F871" s="261"/>
      <c r="G871" s="261"/>
      <c r="H871" s="261"/>
      <c r="I871" s="261"/>
      <c r="J871" s="261"/>
      <c r="K871" s="261"/>
      <c r="L871" s="261"/>
      <c r="M871" s="261"/>
      <c r="N871" s="261"/>
      <c r="O871" s="261"/>
      <c r="P871" s="261"/>
      <c r="Q871" s="261"/>
      <c r="R871" s="261"/>
      <c r="S871" s="261"/>
    </row>
    <row r="872" spans="1:19">
      <c r="A872" s="295"/>
      <c r="B872" s="259" t="s">
        <v>89</v>
      </c>
      <c r="C872" s="258"/>
      <c r="D872" s="261"/>
      <c r="E872" s="261"/>
      <c r="F872" s="261"/>
      <c r="G872" s="261"/>
      <c r="H872" s="261"/>
      <c r="I872" s="261"/>
      <c r="J872" s="261"/>
      <c r="K872" s="261"/>
      <c r="L872" s="261"/>
      <c r="M872" s="261"/>
      <c r="N872" s="261"/>
      <c r="O872" s="261"/>
      <c r="P872" s="261"/>
      <c r="Q872" s="261"/>
      <c r="R872" s="261"/>
      <c r="S872" s="261"/>
    </row>
    <row r="873" spans="1:19">
      <c r="A873" s="296"/>
      <c r="B873" s="267" t="s">
        <v>90</v>
      </c>
      <c r="C873" s="258"/>
      <c r="D873" s="261"/>
      <c r="E873" s="261"/>
      <c r="F873" s="261"/>
      <c r="G873" s="261"/>
      <c r="H873" s="261"/>
      <c r="I873" s="261"/>
      <c r="J873" s="261"/>
      <c r="K873" s="261"/>
      <c r="L873" s="261"/>
      <c r="M873" s="261"/>
      <c r="N873" s="261"/>
      <c r="O873" s="261"/>
      <c r="P873" s="261"/>
      <c r="Q873" s="261"/>
      <c r="R873" s="261"/>
      <c r="S873" s="261"/>
    </row>
    <row r="874" spans="1:19">
      <c r="A874" s="295">
        <v>46109</v>
      </c>
      <c r="B874" s="259" t="s">
        <v>88</v>
      </c>
      <c r="C874" s="258"/>
      <c r="D874" s="261"/>
      <c r="E874" s="261"/>
      <c r="F874" s="261"/>
      <c r="G874" s="261"/>
      <c r="H874" s="261"/>
      <c r="I874" s="261"/>
      <c r="J874" s="261"/>
      <c r="K874" s="261"/>
      <c r="L874" s="261"/>
      <c r="M874" s="261"/>
      <c r="N874" s="261"/>
      <c r="O874" s="261"/>
      <c r="P874" s="261"/>
      <c r="Q874" s="261"/>
      <c r="R874" s="261"/>
      <c r="S874" s="261"/>
    </row>
    <row r="875" spans="1:19">
      <c r="A875" s="295"/>
      <c r="B875" s="259" t="s">
        <v>89</v>
      </c>
      <c r="C875" s="258"/>
      <c r="D875" s="261"/>
      <c r="E875" s="261"/>
      <c r="F875" s="261"/>
      <c r="G875" s="261"/>
      <c r="H875" s="261"/>
      <c r="I875" s="261"/>
      <c r="J875" s="261"/>
      <c r="K875" s="261"/>
      <c r="L875" s="261"/>
      <c r="M875" s="261"/>
      <c r="N875" s="261"/>
      <c r="O875" s="261"/>
      <c r="P875" s="261"/>
      <c r="Q875" s="261"/>
      <c r="R875" s="261"/>
      <c r="S875" s="261"/>
    </row>
    <row r="876" spans="1:19">
      <c r="A876" s="296"/>
      <c r="B876" s="267" t="s">
        <v>90</v>
      </c>
      <c r="C876" s="258"/>
      <c r="D876" s="261"/>
      <c r="E876" s="261"/>
      <c r="F876" s="261"/>
      <c r="G876" s="261"/>
      <c r="H876" s="261"/>
      <c r="I876" s="261"/>
      <c r="J876" s="261"/>
      <c r="K876" s="261"/>
      <c r="L876" s="261"/>
      <c r="M876" s="261"/>
      <c r="N876" s="261"/>
      <c r="O876" s="261"/>
      <c r="P876" s="261"/>
      <c r="Q876" s="261"/>
      <c r="R876" s="261"/>
      <c r="S876" s="261"/>
    </row>
    <row r="877" spans="1:19">
      <c r="A877" s="295">
        <v>46110</v>
      </c>
      <c r="B877" s="259" t="s">
        <v>88</v>
      </c>
      <c r="C877" s="258"/>
      <c r="D877" s="261"/>
      <c r="E877" s="261"/>
      <c r="F877" s="261"/>
      <c r="G877" s="261"/>
      <c r="H877" s="261"/>
      <c r="I877" s="261"/>
      <c r="J877" s="261"/>
      <c r="K877" s="261"/>
      <c r="L877" s="261"/>
      <c r="M877" s="261"/>
      <c r="N877" s="261"/>
      <c r="O877" s="261"/>
      <c r="P877" s="261"/>
      <c r="Q877" s="261"/>
      <c r="R877" s="261"/>
      <c r="S877" s="261"/>
    </row>
    <row r="878" spans="1:19">
      <c r="A878" s="295"/>
      <c r="B878" s="259" t="s">
        <v>89</v>
      </c>
      <c r="C878" s="258"/>
      <c r="D878" s="261"/>
      <c r="E878" s="261"/>
      <c r="F878" s="261"/>
      <c r="G878" s="261"/>
      <c r="H878" s="261"/>
      <c r="I878" s="261"/>
      <c r="J878" s="261"/>
      <c r="K878" s="261"/>
      <c r="L878" s="261"/>
      <c r="M878" s="261"/>
      <c r="N878" s="261"/>
      <c r="O878" s="261"/>
      <c r="P878" s="261"/>
      <c r="Q878" s="261"/>
      <c r="R878" s="261"/>
      <c r="S878" s="261"/>
    </row>
    <row r="879" spans="1:19">
      <c r="A879" s="296"/>
      <c r="B879" s="267" t="s">
        <v>90</v>
      </c>
      <c r="C879" s="258"/>
      <c r="D879" s="261"/>
      <c r="E879" s="261"/>
      <c r="F879" s="261"/>
      <c r="G879" s="261"/>
      <c r="H879" s="261"/>
      <c r="I879" s="261"/>
      <c r="J879" s="261"/>
      <c r="K879" s="261"/>
      <c r="L879" s="261"/>
      <c r="M879" s="261"/>
      <c r="N879" s="261"/>
      <c r="O879" s="261"/>
      <c r="P879" s="261"/>
      <c r="Q879" s="261"/>
      <c r="R879" s="261"/>
      <c r="S879" s="261"/>
    </row>
    <row r="880" spans="1:19">
      <c r="A880" s="295">
        <v>46111</v>
      </c>
      <c r="B880" s="259" t="s">
        <v>88</v>
      </c>
      <c r="C880" s="258"/>
      <c r="D880" s="261"/>
      <c r="E880" s="261"/>
      <c r="F880" s="261"/>
      <c r="G880" s="261"/>
      <c r="H880" s="261"/>
      <c r="I880" s="261"/>
      <c r="J880" s="261"/>
      <c r="K880" s="261"/>
      <c r="L880" s="261"/>
      <c r="M880" s="261"/>
      <c r="N880" s="261"/>
      <c r="O880" s="261"/>
      <c r="P880" s="261"/>
      <c r="Q880" s="261"/>
      <c r="R880" s="261"/>
      <c r="S880" s="261"/>
    </row>
    <row r="881" spans="1:19">
      <c r="A881" s="295"/>
      <c r="B881" s="259" t="s">
        <v>89</v>
      </c>
      <c r="C881" s="258"/>
      <c r="D881" s="261"/>
      <c r="E881" s="261"/>
      <c r="F881" s="261"/>
      <c r="G881" s="261"/>
      <c r="H881" s="261"/>
      <c r="I881" s="261"/>
      <c r="J881" s="261"/>
      <c r="K881" s="261"/>
      <c r="L881" s="261"/>
      <c r="M881" s="261"/>
      <c r="N881" s="261"/>
      <c r="O881" s="261"/>
      <c r="P881" s="261"/>
      <c r="Q881" s="261"/>
      <c r="R881" s="261"/>
      <c r="S881" s="261"/>
    </row>
    <row r="882" spans="1:19">
      <c r="A882" s="296"/>
      <c r="B882" s="267" t="s">
        <v>90</v>
      </c>
      <c r="C882" s="258"/>
      <c r="D882" s="261"/>
      <c r="E882" s="261"/>
      <c r="F882" s="261"/>
      <c r="G882" s="261"/>
      <c r="H882" s="261"/>
      <c r="I882" s="261"/>
      <c r="J882" s="261"/>
      <c r="K882" s="261"/>
      <c r="L882" s="261"/>
      <c r="M882" s="261"/>
      <c r="N882" s="261"/>
      <c r="O882" s="261"/>
      <c r="P882" s="261"/>
      <c r="Q882" s="261"/>
      <c r="R882" s="261"/>
      <c r="S882" s="261"/>
    </row>
    <row r="883" spans="1:19">
      <c r="A883" s="295">
        <v>46112</v>
      </c>
      <c r="B883" s="259" t="s">
        <v>88</v>
      </c>
      <c r="C883" s="258"/>
      <c r="D883" s="261"/>
      <c r="E883" s="261"/>
      <c r="F883" s="261"/>
      <c r="G883" s="261"/>
      <c r="H883" s="261"/>
      <c r="I883" s="261"/>
      <c r="J883" s="261"/>
      <c r="K883" s="261"/>
      <c r="L883" s="261"/>
      <c r="M883" s="261"/>
      <c r="N883" s="261"/>
      <c r="O883" s="261"/>
      <c r="P883" s="261"/>
      <c r="Q883" s="261"/>
      <c r="R883" s="261"/>
      <c r="S883" s="261"/>
    </row>
    <row r="884" spans="1:19">
      <c r="A884" s="295"/>
      <c r="B884" s="259" t="s">
        <v>89</v>
      </c>
      <c r="C884" s="258"/>
      <c r="D884" s="261"/>
      <c r="E884" s="261"/>
      <c r="F884" s="261"/>
      <c r="G884" s="261"/>
      <c r="H884" s="261"/>
      <c r="I884" s="261"/>
      <c r="J884" s="261"/>
      <c r="K884" s="261"/>
      <c r="L884" s="261"/>
      <c r="M884" s="261"/>
      <c r="N884" s="261"/>
      <c r="O884" s="261"/>
      <c r="P884" s="261"/>
      <c r="Q884" s="261"/>
      <c r="R884" s="261"/>
      <c r="S884" s="261"/>
    </row>
    <row r="885" spans="1:19">
      <c r="A885" s="296"/>
      <c r="B885" s="267" t="s">
        <v>90</v>
      </c>
      <c r="C885" s="258"/>
      <c r="D885" s="261"/>
      <c r="E885" s="261"/>
      <c r="F885" s="261"/>
      <c r="G885" s="261"/>
      <c r="H885" s="261"/>
      <c r="I885" s="261"/>
      <c r="J885" s="261"/>
      <c r="K885" s="261"/>
      <c r="L885" s="261"/>
      <c r="M885" s="261"/>
      <c r="N885" s="261"/>
      <c r="O885" s="261"/>
      <c r="P885" s="261"/>
      <c r="Q885" s="261"/>
      <c r="R885" s="261"/>
      <c r="S885" s="261"/>
    </row>
    <row r="886" spans="1:19">
      <c r="A886" s="295">
        <v>46113</v>
      </c>
      <c r="B886" s="259" t="s">
        <v>88</v>
      </c>
      <c r="C886" s="258"/>
      <c r="D886" s="261"/>
      <c r="E886" s="261"/>
      <c r="F886" s="261"/>
      <c r="G886" s="261"/>
      <c r="H886" s="261"/>
      <c r="I886" s="261"/>
      <c r="J886" s="261"/>
      <c r="K886" s="261"/>
      <c r="L886" s="261"/>
      <c r="M886" s="261"/>
      <c r="N886" s="261"/>
      <c r="O886" s="261"/>
      <c r="P886" s="261"/>
      <c r="Q886" s="261"/>
      <c r="R886" s="261"/>
      <c r="S886" s="261"/>
    </row>
    <row r="887" spans="1:19">
      <c r="A887" s="295"/>
      <c r="B887" s="259" t="s">
        <v>89</v>
      </c>
      <c r="C887" s="258"/>
      <c r="D887" s="261"/>
      <c r="E887" s="261"/>
      <c r="F887" s="261"/>
      <c r="G887" s="261"/>
      <c r="H887" s="261"/>
      <c r="I887" s="261"/>
      <c r="J887" s="261"/>
      <c r="K887" s="261"/>
      <c r="L887" s="261"/>
      <c r="M887" s="261"/>
      <c r="N887" s="261"/>
      <c r="O887" s="261"/>
      <c r="P887" s="261"/>
      <c r="Q887" s="261"/>
      <c r="R887" s="261"/>
      <c r="S887" s="261"/>
    </row>
    <row r="888" spans="1:19">
      <c r="A888" s="296"/>
      <c r="B888" s="267" t="s">
        <v>90</v>
      </c>
      <c r="C888" s="258"/>
      <c r="D888" s="261"/>
      <c r="E888" s="261"/>
      <c r="F888" s="261"/>
      <c r="G888" s="261"/>
      <c r="H888" s="261"/>
      <c r="I888" s="261"/>
      <c r="J888" s="261"/>
      <c r="K888" s="261"/>
      <c r="L888" s="261"/>
      <c r="M888" s="261"/>
      <c r="N888" s="261"/>
      <c r="O888" s="261"/>
      <c r="P888" s="261"/>
      <c r="Q888" s="261"/>
      <c r="R888" s="261"/>
      <c r="S888" s="261"/>
    </row>
    <row r="889" spans="1:19">
      <c r="A889" s="295">
        <v>46114</v>
      </c>
      <c r="B889" s="259" t="s">
        <v>88</v>
      </c>
      <c r="C889" s="258"/>
      <c r="D889" s="261"/>
      <c r="E889" s="261"/>
      <c r="F889" s="261"/>
      <c r="G889" s="261"/>
      <c r="H889" s="261"/>
      <c r="I889" s="261"/>
      <c r="J889" s="261"/>
      <c r="K889" s="261"/>
      <c r="L889" s="261"/>
      <c r="M889" s="261"/>
      <c r="N889" s="261"/>
      <c r="O889" s="261"/>
      <c r="P889" s="261"/>
      <c r="Q889" s="261"/>
      <c r="R889" s="261"/>
      <c r="S889" s="261"/>
    </row>
    <row r="890" spans="1:19">
      <c r="A890" s="295"/>
      <c r="B890" s="259" t="s">
        <v>89</v>
      </c>
      <c r="C890" s="258"/>
      <c r="D890" s="261"/>
      <c r="E890" s="261"/>
      <c r="F890" s="261"/>
      <c r="G890" s="261"/>
      <c r="H890" s="261"/>
      <c r="I890" s="261"/>
      <c r="J890" s="261"/>
      <c r="K890" s="261"/>
      <c r="L890" s="261"/>
      <c r="M890" s="261"/>
      <c r="N890" s="261"/>
      <c r="O890" s="261"/>
      <c r="P890" s="261"/>
      <c r="Q890" s="261"/>
      <c r="R890" s="261"/>
      <c r="S890" s="261"/>
    </row>
    <row r="891" spans="1:19">
      <c r="A891" s="296"/>
      <c r="B891" s="267" t="s">
        <v>90</v>
      </c>
      <c r="C891" s="258"/>
      <c r="D891" s="261"/>
      <c r="E891" s="261"/>
      <c r="F891" s="261"/>
      <c r="G891" s="261"/>
      <c r="H891" s="261"/>
      <c r="I891" s="261"/>
      <c r="J891" s="261"/>
      <c r="K891" s="261"/>
      <c r="L891" s="261"/>
      <c r="M891" s="261"/>
      <c r="N891" s="261"/>
      <c r="O891" s="261"/>
      <c r="P891" s="261"/>
      <c r="Q891" s="261"/>
      <c r="R891" s="261"/>
      <c r="S891" s="261"/>
    </row>
    <row r="892" spans="1:19">
      <c r="A892" s="295">
        <v>46115</v>
      </c>
      <c r="B892" s="259" t="s">
        <v>88</v>
      </c>
      <c r="C892" s="258"/>
      <c r="D892" s="261"/>
      <c r="E892" s="261"/>
      <c r="F892" s="261"/>
      <c r="G892" s="261"/>
      <c r="H892" s="261"/>
      <c r="I892" s="261"/>
      <c r="J892" s="261"/>
      <c r="K892" s="261"/>
      <c r="L892" s="261"/>
      <c r="M892" s="261"/>
      <c r="N892" s="261"/>
      <c r="O892" s="261"/>
      <c r="P892" s="261"/>
      <c r="Q892" s="261"/>
      <c r="R892" s="261"/>
      <c r="S892" s="261"/>
    </row>
    <row r="893" spans="1:19">
      <c r="A893" s="295"/>
      <c r="B893" s="259" t="s">
        <v>89</v>
      </c>
      <c r="C893" s="258"/>
      <c r="D893" s="261"/>
      <c r="E893" s="261"/>
      <c r="F893" s="261"/>
      <c r="G893" s="261"/>
      <c r="H893" s="261"/>
      <c r="I893" s="261"/>
      <c r="J893" s="261"/>
      <c r="K893" s="261"/>
      <c r="L893" s="261"/>
      <c r="M893" s="261"/>
      <c r="N893" s="261"/>
      <c r="O893" s="261"/>
      <c r="P893" s="261"/>
      <c r="Q893" s="261"/>
      <c r="R893" s="261"/>
      <c r="S893" s="261"/>
    </row>
    <row r="894" spans="1:19">
      <c r="A894" s="296"/>
      <c r="B894" s="267" t="s">
        <v>90</v>
      </c>
      <c r="C894" s="258"/>
      <c r="D894" s="261"/>
      <c r="E894" s="261"/>
      <c r="F894" s="261"/>
      <c r="G894" s="261"/>
      <c r="H894" s="261"/>
      <c r="I894" s="261"/>
      <c r="J894" s="261"/>
      <c r="K894" s="261"/>
      <c r="L894" s="261"/>
      <c r="M894" s="261"/>
      <c r="N894" s="261"/>
      <c r="O894" s="261"/>
      <c r="P894" s="261"/>
      <c r="Q894" s="261"/>
      <c r="R894" s="261"/>
      <c r="S894" s="261"/>
    </row>
    <row r="895" spans="1:19">
      <c r="A895" s="295">
        <v>46116</v>
      </c>
      <c r="B895" s="259" t="s">
        <v>88</v>
      </c>
      <c r="C895" s="258"/>
      <c r="D895" s="261"/>
      <c r="E895" s="261"/>
      <c r="F895" s="261"/>
      <c r="G895" s="261"/>
      <c r="H895" s="261"/>
      <c r="I895" s="261"/>
      <c r="J895" s="261"/>
      <c r="K895" s="261"/>
      <c r="L895" s="261"/>
      <c r="M895" s="261"/>
      <c r="N895" s="261"/>
      <c r="O895" s="261"/>
      <c r="P895" s="261"/>
      <c r="Q895" s="261"/>
      <c r="R895" s="261"/>
      <c r="S895" s="261"/>
    </row>
    <row r="896" spans="1:19">
      <c r="A896" s="295"/>
      <c r="B896" s="259" t="s">
        <v>89</v>
      </c>
      <c r="C896" s="258"/>
      <c r="D896" s="261"/>
      <c r="E896" s="261"/>
      <c r="F896" s="261"/>
      <c r="G896" s="261"/>
      <c r="H896" s="261"/>
      <c r="I896" s="261"/>
      <c r="J896" s="261"/>
      <c r="K896" s="261"/>
      <c r="L896" s="261"/>
      <c r="M896" s="261"/>
      <c r="N896" s="261"/>
      <c r="O896" s="261"/>
      <c r="P896" s="261"/>
      <c r="Q896" s="261"/>
      <c r="R896" s="261"/>
      <c r="S896" s="261"/>
    </row>
    <row r="897" spans="1:19">
      <c r="A897" s="296"/>
      <c r="B897" s="267" t="s">
        <v>90</v>
      </c>
      <c r="C897" s="258"/>
      <c r="D897" s="261"/>
      <c r="E897" s="261"/>
      <c r="F897" s="261"/>
      <c r="G897" s="261"/>
      <c r="H897" s="261"/>
      <c r="I897" s="261"/>
      <c r="J897" s="261"/>
      <c r="K897" s="261"/>
      <c r="L897" s="261"/>
      <c r="M897" s="261"/>
      <c r="N897" s="261"/>
      <c r="O897" s="261"/>
      <c r="P897" s="261"/>
      <c r="Q897" s="261"/>
      <c r="R897" s="261"/>
      <c r="S897" s="261"/>
    </row>
    <row r="898" spans="1:19">
      <c r="A898" s="295">
        <v>46117</v>
      </c>
      <c r="B898" s="259" t="s">
        <v>88</v>
      </c>
      <c r="C898" s="258"/>
      <c r="D898" s="261"/>
      <c r="E898" s="261"/>
      <c r="F898" s="261"/>
      <c r="G898" s="261"/>
      <c r="H898" s="261"/>
      <c r="I898" s="261"/>
      <c r="J898" s="261"/>
      <c r="K898" s="261"/>
      <c r="L898" s="261"/>
      <c r="M898" s="261"/>
      <c r="N898" s="261"/>
      <c r="O898" s="261"/>
      <c r="P898" s="261"/>
      <c r="Q898" s="261"/>
      <c r="R898" s="261"/>
      <c r="S898" s="261"/>
    </row>
    <row r="899" spans="1:19">
      <c r="A899" s="295"/>
      <c r="B899" s="259" t="s">
        <v>89</v>
      </c>
      <c r="C899" s="258"/>
      <c r="D899" s="261"/>
      <c r="E899" s="261"/>
      <c r="F899" s="261"/>
      <c r="G899" s="261"/>
      <c r="H899" s="261"/>
      <c r="I899" s="261"/>
      <c r="J899" s="261"/>
      <c r="K899" s="261"/>
      <c r="L899" s="261"/>
      <c r="M899" s="261"/>
      <c r="N899" s="261"/>
      <c r="O899" s="261"/>
      <c r="P899" s="261"/>
      <c r="Q899" s="261"/>
      <c r="R899" s="261"/>
      <c r="S899" s="261"/>
    </row>
    <row r="900" spans="1:19">
      <c r="A900" s="296"/>
      <c r="B900" s="267" t="s">
        <v>90</v>
      </c>
      <c r="C900" s="258"/>
      <c r="D900" s="261"/>
      <c r="E900" s="261"/>
      <c r="F900" s="261"/>
      <c r="G900" s="261"/>
      <c r="H900" s="261"/>
      <c r="I900" s="261"/>
      <c r="J900" s="261"/>
      <c r="K900" s="261"/>
      <c r="L900" s="261"/>
      <c r="M900" s="261"/>
      <c r="N900" s="261"/>
      <c r="O900" s="261"/>
      <c r="P900" s="261"/>
      <c r="Q900" s="261"/>
      <c r="R900" s="261"/>
      <c r="S900" s="261"/>
    </row>
    <row r="901" spans="1:19">
      <c r="A901" s="295">
        <v>46118</v>
      </c>
      <c r="B901" s="259" t="s">
        <v>88</v>
      </c>
      <c r="C901" s="258"/>
      <c r="D901" s="261"/>
      <c r="E901" s="261"/>
      <c r="F901" s="261"/>
      <c r="G901" s="261"/>
      <c r="H901" s="261"/>
      <c r="I901" s="261"/>
      <c r="J901" s="261"/>
      <c r="K901" s="261"/>
      <c r="L901" s="261"/>
      <c r="M901" s="261"/>
      <c r="N901" s="261"/>
      <c r="O901" s="261"/>
      <c r="P901" s="261"/>
      <c r="Q901" s="261"/>
      <c r="R901" s="261"/>
      <c r="S901" s="261"/>
    </row>
    <row r="902" spans="1:19">
      <c r="A902" s="295"/>
      <c r="B902" s="259" t="s">
        <v>89</v>
      </c>
      <c r="C902" s="258"/>
      <c r="D902" s="261"/>
      <c r="E902" s="261"/>
      <c r="F902" s="261"/>
      <c r="G902" s="261"/>
      <c r="H902" s="261"/>
      <c r="I902" s="261"/>
      <c r="J902" s="261"/>
      <c r="K902" s="261"/>
      <c r="L902" s="261"/>
      <c r="M902" s="261"/>
      <c r="N902" s="261"/>
      <c r="O902" s="261"/>
      <c r="P902" s="261"/>
      <c r="Q902" s="261"/>
      <c r="R902" s="261"/>
      <c r="S902" s="261"/>
    </row>
    <row r="903" spans="1:19">
      <c r="A903" s="296"/>
      <c r="B903" s="267" t="s">
        <v>90</v>
      </c>
      <c r="C903" s="258"/>
      <c r="D903" s="261"/>
      <c r="E903" s="261"/>
      <c r="F903" s="261"/>
      <c r="G903" s="261"/>
      <c r="H903" s="261"/>
      <c r="I903" s="261"/>
      <c r="J903" s="261"/>
      <c r="K903" s="261"/>
      <c r="L903" s="261"/>
      <c r="M903" s="261"/>
      <c r="N903" s="261"/>
      <c r="O903" s="261"/>
      <c r="P903" s="261"/>
      <c r="Q903" s="261"/>
      <c r="R903" s="261"/>
      <c r="S903" s="261"/>
    </row>
    <row r="904" spans="1:19">
      <c r="A904" s="295">
        <v>46119</v>
      </c>
      <c r="B904" s="259" t="s">
        <v>88</v>
      </c>
      <c r="C904" s="258"/>
      <c r="D904" s="261"/>
      <c r="E904" s="261"/>
      <c r="F904" s="261"/>
      <c r="G904" s="261"/>
      <c r="H904" s="261"/>
      <c r="I904" s="261"/>
      <c r="J904" s="261"/>
      <c r="K904" s="261"/>
      <c r="L904" s="261"/>
      <c r="M904" s="261"/>
      <c r="N904" s="261"/>
      <c r="O904" s="261"/>
      <c r="P904" s="261"/>
      <c r="Q904" s="261"/>
      <c r="R904" s="261"/>
      <c r="S904" s="261"/>
    </row>
    <row r="905" spans="1:19">
      <c r="A905" s="295"/>
      <c r="B905" s="259" t="s">
        <v>89</v>
      </c>
      <c r="C905" s="258"/>
      <c r="D905" s="261"/>
      <c r="E905" s="261"/>
      <c r="F905" s="261"/>
      <c r="G905" s="261"/>
      <c r="H905" s="261"/>
      <c r="I905" s="261"/>
      <c r="J905" s="261"/>
      <c r="K905" s="261"/>
      <c r="L905" s="261"/>
      <c r="M905" s="261"/>
      <c r="N905" s="261"/>
      <c r="O905" s="261"/>
      <c r="P905" s="261"/>
      <c r="Q905" s="261"/>
      <c r="R905" s="261"/>
      <c r="S905" s="261"/>
    </row>
    <row r="906" spans="1:19">
      <c r="A906" s="296"/>
      <c r="B906" s="267" t="s">
        <v>90</v>
      </c>
      <c r="C906" s="258"/>
      <c r="D906" s="261"/>
      <c r="E906" s="261"/>
      <c r="F906" s="261"/>
      <c r="G906" s="261"/>
      <c r="H906" s="261"/>
      <c r="I906" s="261"/>
      <c r="J906" s="261"/>
      <c r="K906" s="261"/>
      <c r="L906" s="261"/>
      <c r="M906" s="261"/>
      <c r="N906" s="261"/>
      <c r="O906" s="261"/>
      <c r="P906" s="261"/>
      <c r="Q906" s="261"/>
      <c r="R906" s="261"/>
      <c r="S906" s="261"/>
    </row>
    <row r="907" spans="1:19">
      <c r="A907" s="295">
        <v>46120</v>
      </c>
      <c r="B907" s="259" t="s">
        <v>88</v>
      </c>
      <c r="C907" s="258"/>
      <c r="D907" s="261"/>
      <c r="E907" s="261"/>
      <c r="F907" s="261"/>
      <c r="G907" s="261"/>
      <c r="H907" s="261"/>
      <c r="I907" s="261"/>
      <c r="J907" s="261"/>
      <c r="K907" s="261"/>
      <c r="L907" s="261"/>
      <c r="M907" s="261"/>
      <c r="N907" s="261"/>
      <c r="O907" s="261"/>
      <c r="P907" s="261"/>
      <c r="Q907" s="261"/>
      <c r="R907" s="261"/>
      <c r="S907" s="261"/>
    </row>
    <row r="908" spans="1:19">
      <c r="A908" s="295"/>
      <c r="B908" s="259" t="s">
        <v>89</v>
      </c>
      <c r="C908" s="258"/>
      <c r="D908" s="261"/>
      <c r="E908" s="261"/>
      <c r="F908" s="261"/>
      <c r="G908" s="261"/>
      <c r="H908" s="261"/>
      <c r="I908" s="261"/>
      <c r="J908" s="261"/>
      <c r="K908" s="261"/>
      <c r="L908" s="261"/>
      <c r="M908" s="261"/>
      <c r="N908" s="261"/>
      <c r="O908" s="261"/>
      <c r="P908" s="261"/>
      <c r="Q908" s="261"/>
      <c r="R908" s="261"/>
      <c r="S908" s="261"/>
    </row>
    <row r="909" spans="1:19">
      <c r="A909" s="296"/>
      <c r="B909" s="267" t="s">
        <v>90</v>
      </c>
      <c r="C909" s="258"/>
      <c r="D909" s="261"/>
      <c r="E909" s="261"/>
      <c r="F909" s="261"/>
      <c r="G909" s="261"/>
      <c r="H909" s="261"/>
      <c r="I909" s="261"/>
      <c r="J909" s="261"/>
      <c r="K909" s="261"/>
      <c r="L909" s="261"/>
      <c r="M909" s="261"/>
      <c r="N909" s="261"/>
      <c r="O909" s="261"/>
      <c r="P909" s="261"/>
      <c r="Q909" s="261"/>
      <c r="R909" s="261"/>
      <c r="S909" s="261"/>
    </row>
    <row r="910" spans="1:19">
      <c r="A910" s="295">
        <v>46121</v>
      </c>
      <c r="B910" s="259" t="s">
        <v>88</v>
      </c>
      <c r="C910" s="258"/>
      <c r="D910" s="261"/>
      <c r="E910" s="261"/>
      <c r="F910" s="261"/>
      <c r="G910" s="261"/>
      <c r="H910" s="261"/>
      <c r="I910" s="261"/>
      <c r="J910" s="261"/>
      <c r="K910" s="261"/>
      <c r="L910" s="261"/>
      <c r="M910" s="261"/>
      <c r="N910" s="261"/>
      <c r="O910" s="261"/>
      <c r="P910" s="261"/>
      <c r="Q910" s="261"/>
      <c r="R910" s="261"/>
      <c r="S910" s="261"/>
    </row>
    <row r="911" spans="1:19">
      <c r="A911" s="295"/>
      <c r="B911" s="259" t="s">
        <v>89</v>
      </c>
      <c r="C911" s="258"/>
      <c r="D911" s="261"/>
      <c r="E911" s="261"/>
      <c r="F911" s="261"/>
      <c r="G911" s="261"/>
      <c r="H911" s="261"/>
      <c r="I911" s="261"/>
      <c r="J911" s="261"/>
      <c r="K911" s="261"/>
      <c r="L911" s="261"/>
      <c r="M911" s="261"/>
      <c r="N911" s="261"/>
      <c r="O911" s="261"/>
      <c r="P911" s="261"/>
      <c r="Q911" s="261"/>
      <c r="R911" s="261"/>
      <c r="S911" s="261"/>
    </row>
    <row r="912" spans="1:19">
      <c r="A912" s="296"/>
      <c r="B912" s="267" t="s">
        <v>90</v>
      </c>
      <c r="C912" s="258"/>
      <c r="D912" s="261"/>
      <c r="E912" s="261"/>
      <c r="F912" s="261"/>
      <c r="G912" s="261"/>
      <c r="H912" s="261"/>
      <c r="I912" s="261"/>
      <c r="J912" s="261"/>
      <c r="K912" s="261"/>
      <c r="L912" s="261"/>
      <c r="M912" s="261"/>
      <c r="N912" s="261"/>
      <c r="O912" s="261"/>
      <c r="P912" s="261"/>
      <c r="Q912" s="261"/>
      <c r="R912" s="261"/>
      <c r="S912" s="261"/>
    </row>
    <row r="913" spans="1:19">
      <c r="A913" s="295">
        <v>46122</v>
      </c>
      <c r="B913" s="259" t="s">
        <v>88</v>
      </c>
      <c r="C913" s="258"/>
      <c r="D913" s="261"/>
      <c r="E913" s="261"/>
      <c r="F913" s="261"/>
      <c r="G913" s="261"/>
      <c r="H913" s="261"/>
      <c r="I913" s="261"/>
      <c r="J913" s="261"/>
      <c r="K913" s="261"/>
      <c r="L913" s="261"/>
      <c r="M913" s="261"/>
      <c r="N913" s="261"/>
      <c r="O913" s="261"/>
      <c r="P913" s="261"/>
      <c r="Q913" s="261"/>
      <c r="R913" s="261"/>
      <c r="S913" s="261"/>
    </row>
    <row r="914" spans="1:19">
      <c r="A914" s="295"/>
      <c r="B914" s="259" t="s">
        <v>89</v>
      </c>
      <c r="C914" s="258"/>
      <c r="D914" s="261"/>
      <c r="E914" s="261"/>
      <c r="F914" s="261"/>
      <c r="G914" s="261"/>
      <c r="H914" s="261"/>
      <c r="I914" s="261"/>
      <c r="J914" s="261"/>
      <c r="K914" s="261"/>
      <c r="L914" s="261"/>
      <c r="M914" s="261"/>
      <c r="N914" s="261"/>
      <c r="O914" s="261"/>
      <c r="P914" s="261"/>
      <c r="Q914" s="261"/>
      <c r="R914" s="261"/>
      <c r="S914" s="261"/>
    </row>
    <row r="915" spans="1:19">
      <c r="A915" s="296"/>
      <c r="B915" s="267" t="s">
        <v>90</v>
      </c>
      <c r="C915" s="258"/>
      <c r="D915" s="261"/>
      <c r="E915" s="261"/>
      <c r="F915" s="261"/>
      <c r="G915" s="261"/>
      <c r="H915" s="261"/>
      <c r="I915" s="261"/>
      <c r="J915" s="261"/>
      <c r="K915" s="261"/>
      <c r="L915" s="261"/>
      <c r="M915" s="261"/>
      <c r="N915" s="261"/>
      <c r="O915" s="261"/>
      <c r="P915" s="261"/>
      <c r="Q915" s="261"/>
      <c r="R915" s="261"/>
      <c r="S915" s="261"/>
    </row>
    <row r="916" spans="1:19">
      <c r="A916" s="295">
        <v>46123</v>
      </c>
      <c r="B916" s="259" t="s">
        <v>88</v>
      </c>
      <c r="C916" s="258"/>
      <c r="D916" s="261"/>
      <c r="E916" s="261"/>
      <c r="F916" s="261"/>
      <c r="G916" s="261"/>
      <c r="H916" s="261"/>
      <c r="I916" s="261"/>
      <c r="J916" s="261"/>
      <c r="K916" s="261"/>
      <c r="L916" s="261"/>
      <c r="M916" s="261"/>
      <c r="N916" s="261"/>
      <c r="O916" s="261"/>
      <c r="P916" s="261"/>
      <c r="Q916" s="261"/>
      <c r="R916" s="261"/>
      <c r="S916" s="261"/>
    </row>
    <row r="917" spans="1:19">
      <c r="A917" s="295"/>
      <c r="B917" s="259" t="s">
        <v>89</v>
      </c>
      <c r="C917" s="258"/>
      <c r="D917" s="261"/>
      <c r="E917" s="261"/>
      <c r="F917" s="261"/>
      <c r="G917" s="261"/>
      <c r="H917" s="261"/>
      <c r="I917" s="261"/>
      <c r="J917" s="261"/>
      <c r="K917" s="261"/>
      <c r="L917" s="261"/>
      <c r="M917" s="261"/>
      <c r="N917" s="261"/>
      <c r="O917" s="261"/>
      <c r="P917" s="261"/>
      <c r="Q917" s="261"/>
      <c r="R917" s="261"/>
      <c r="S917" s="261"/>
    </row>
    <row r="918" spans="1:19">
      <c r="A918" s="296"/>
      <c r="B918" s="267" t="s">
        <v>90</v>
      </c>
      <c r="C918" s="258"/>
      <c r="D918" s="261"/>
      <c r="E918" s="261"/>
      <c r="F918" s="261"/>
      <c r="G918" s="261"/>
      <c r="H918" s="261"/>
      <c r="I918" s="261"/>
      <c r="J918" s="261"/>
      <c r="K918" s="261"/>
      <c r="L918" s="261"/>
      <c r="M918" s="261"/>
      <c r="N918" s="261"/>
      <c r="O918" s="261"/>
      <c r="P918" s="261"/>
      <c r="Q918" s="261"/>
      <c r="R918" s="261"/>
      <c r="S918" s="261"/>
    </row>
    <row r="919" spans="1:19">
      <c r="A919" s="295">
        <v>46124</v>
      </c>
      <c r="B919" s="259" t="s">
        <v>88</v>
      </c>
      <c r="C919" s="258"/>
      <c r="D919" s="261"/>
      <c r="E919" s="261"/>
      <c r="F919" s="261"/>
      <c r="G919" s="261"/>
      <c r="H919" s="261"/>
      <c r="I919" s="261"/>
      <c r="J919" s="261"/>
      <c r="K919" s="261"/>
      <c r="L919" s="261"/>
      <c r="M919" s="261"/>
      <c r="N919" s="261"/>
      <c r="O919" s="261"/>
      <c r="P919" s="261"/>
      <c r="Q919" s="261"/>
      <c r="R919" s="261"/>
      <c r="S919" s="261"/>
    </row>
    <row r="920" spans="1:19">
      <c r="A920" s="295"/>
      <c r="B920" s="259" t="s">
        <v>89</v>
      </c>
      <c r="C920" s="258"/>
      <c r="D920" s="261"/>
      <c r="E920" s="261"/>
      <c r="F920" s="261"/>
      <c r="G920" s="261"/>
      <c r="H920" s="261"/>
      <c r="I920" s="261"/>
      <c r="J920" s="261"/>
      <c r="K920" s="261"/>
      <c r="L920" s="261"/>
      <c r="M920" s="261"/>
      <c r="N920" s="261"/>
      <c r="O920" s="261"/>
      <c r="P920" s="261"/>
      <c r="Q920" s="261"/>
      <c r="R920" s="261"/>
      <c r="S920" s="261"/>
    </row>
    <row r="921" spans="1:19">
      <c r="A921" s="296"/>
      <c r="B921" s="267" t="s">
        <v>90</v>
      </c>
      <c r="C921" s="258"/>
      <c r="D921" s="261"/>
      <c r="E921" s="261"/>
      <c r="F921" s="261"/>
      <c r="G921" s="261"/>
      <c r="H921" s="261"/>
      <c r="I921" s="261"/>
      <c r="J921" s="261"/>
      <c r="K921" s="261"/>
      <c r="L921" s="261"/>
      <c r="M921" s="261"/>
      <c r="N921" s="261"/>
      <c r="O921" s="261"/>
      <c r="P921" s="261"/>
      <c r="Q921" s="261"/>
      <c r="R921" s="261"/>
      <c r="S921" s="261"/>
    </row>
    <row r="922" spans="1:19">
      <c r="A922" s="295">
        <v>46125</v>
      </c>
      <c r="B922" s="259" t="s">
        <v>88</v>
      </c>
      <c r="C922" s="258"/>
      <c r="D922" s="261"/>
      <c r="E922" s="261"/>
      <c r="F922" s="261"/>
      <c r="G922" s="261"/>
      <c r="H922" s="261"/>
      <c r="I922" s="261"/>
      <c r="J922" s="261"/>
      <c r="K922" s="261"/>
      <c r="L922" s="261"/>
      <c r="M922" s="261"/>
      <c r="N922" s="261"/>
      <c r="O922" s="261"/>
      <c r="P922" s="261"/>
      <c r="Q922" s="261"/>
      <c r="R922" s="261"/>
      <c r="S922" s="261"/>
    </row>
    <row r="923" spans="1:19">
      <c r="A923" s="295"/>
      <c r="B923" s="259" t="s">
        <v>89</v>
      </c>
      <c r="C923" s="258"/>
      <c r="D923" s="261"/>
      <c r="E923" s="261"/>
      <c r="F923" s="261"/>
      <c r="G923" s="261"/>
      <c r="H923" s="261"/>
      <c r="I923" s="261"/>
      <c r="J923" s="261"/>
      <c r="K923" s="261"/>
      <c r="L923" s="261"/>
      <c r="M923" s="261"/>
      <c r="N923" s="261"/>
      <c r="O923" s="261"/>
      <c r="P923" s="261"/>
      <c r="Q923" s="261"/>
      <c r="R923" s="261"/>
      <c r="S923" s="261"/>
    </row>
    <row r="924" spans="1:19">
      <c r="A924" s="296"/>
      <c r="B924" s="267" t="s">
        <v>90</v>
      </c>
      <c r="C924" s="258"/>
      <c r="D924" s="261"/>
      <c r="E924" s="261"/>
      <c r="F924" s="261"/>
      <c r="G924" s="261"/>
      <c r="H924" s="261"/>
      <c r="I924" s="261"/>
      <c r="J924" s="261"/>
      <c r="K924" s="261"/>
      <c r="L924" s="261"/>
      <c r="M924" s="261"/>
      <c r="N924" s="261"/>
      <c r="O924" s="261"/>
      <c r="P924" s="261"/>
      <c r="Q924" s="261"/>
      <c r="R924" s="261"/>
      <c r="S924" s="261"/>
    </row>
    <row r="925" spans="1:19">
      <c r="A925" s="295">
        <v>46126</v>
      </c>
      <c r="B925" s="259" t="s">
        <v>88</v>
      </c>
      <c r="C925" s="258"/>
      <c r="D925" s="261"/>
      <c r="E925" s="261"/>
      <c r="F925" s="261"/>
      <c r="G925" s="261"/>
      <c r="H925" s="261"/>
      <c r="I925" s="261"/>
      <c r="J925" s="261"/>
      <c r="K925" s="261"/>
      <c r="L925" s="261"/>
      <c r="M925" s="261"/>
      <c r="N925" s="261"/>
      <c r="O925" s="261"/>
      <c r="P925" s="261"/>
      <c r="Q925" s="261"/>
      <c r="R925" s="261"/>
      <c r="S925" s="261"/>
    </row>
    <row r="926" spans="1:19">
      <c r="A926" s="295"/>
      <c r="B926" s="259" t="s">
        <v>89</v>
      </c>
      <c r="C926" s="258"/>
      <c r="D926" s="261"/>
      <c r="E926" s="261"/>
      <c r="F926" s="261"/>
      <c r="G926" s="261"/>
      <c r="H926" s="261"/>
      <c r="I926" s="261"/>
      <c r="J926" s="261"/>
      <c r="K926" s="261"/>
      <c r="L926" s="261"/>
      <c r="M926" s="261"/>
      <c r="N926" s="261"/>
      <c r="O926" s="261"/>
      <c r="P926" s="261"/>
      <c r="Q926" s="261"/>
      <c r="R926" s="261"/>
      <c r="S926" s="261"/>
    </row>
    <row r="927" spans="1:19">
      <c r="A927" s="296"/>
      <c r="B927" s="267" t="s">
        <v>90</v>
      </c>
      <c r="C927" s="258"/>
      <c r="D927" s="261"/>
      <c r="E927" s="261"/>
      <c r="F927" s="261"/>
      <c r="G927" s="261"/>
      <c r="H927" s="261"/>
      <c r="I927" s="261"/>
      <c r="J927" s="261"/>
      <c r="K927" s="261"/>
      <c r="L927" s="261"/>
      <c r="M927" s="261"/>
      <c r="N927" s="261"/>
      <c r="O927" s="261"/>
      <c r="P927" s="261"/>
      <c r="Q927" s="261"/>
      <c r="R927" s="261"/>
      <c r="S927" s="261"/>
    </row>
    <row r="928" spans="1:19">
      <c r="A928" s="295">
        <v>46127</v>
      </c>
      <c r="B928" s="259" t="s">
        <v>88</v>
      </c>
      <c r="C928" s="258"/>
      <c r="D928" s="261"/>
      <c r="E928" s="261"/>
      <c r="F928" s="261"/>
      <c r="G928" s="261"/>
      <c r="H928" s="261"/>
      <c r="I928" s="261"/>
      <c r="J928" s="261"/>
      <c r="K928" s="261"/>
      <c r="L928" s="261"/>
      <c r="M928" s="261"/>
      <c r="N928" s="261"/>
      <c r="O928" s="261"/>
      <c r="P928" s="261"/>
      <c r="Q928" s="261"/>
      <c r="R928" s="261"/>
      <c r="S928" s="261"/>
    </row>
    <row r="929" spans="1:19">
      <c r="A929" s="295"/>
      <c r="B929" s="259" t="s">
        <v>89</v>
      </c>
      <c r="C929" s="258"/>
      <c r="D929" s="261"/>
      <c r="E929" s="261"/>
      <c r="F929" s="261"/>
      <c r="G929" s="261"/>
      <c r="H929" s="261"/>
      <c r="I929" s="261"/>
      <c r="J929" s="261"/>
      <c r="K929" s="261"/>
      <c r="L929" s="261"/>
      <c r="M929" s="261"/>
      <c r="N929" s="261"/>
      <c r="O929" s="261"/>
      <c r="P929" s="261"/>
      <c r="Q929" s="261"/>
      <c r="R929" s="261"/>
      <c r="S929" s="261"/>
    </row>
    <row r="930" spans="1:19">
      <c r="A930" s="296"/>
      <c r="B930" s="267" t="s">
        <v>90</v>
      </c>
      <c r="C930" s="258"/>
      <c r="D930" s="261"/>
      <c r="E930" s="261"/>
      <c r="F930" s="261"/>
      <c r="G930" s="261"/>
      <c r="H930" s="261"/>
      <c r="I930" s="261"/>
      <c r="J930" s="261"/>
      <c r="K930" s="261"/>
      <c r="L930" s="261"/>
      <c r="M930" s="261"/>
      <c r="N930" s="261"/>
      <c r="O930" s="261"/>
      <c r="P930" s="261"/>
      <c r="Q930" s="261"/>
      <c r="R930" s="261"/>
      <c r="S930" s="261"/>
    </row>
    <row r="931" spans="1:19">
      <c r="A931" s="295">
        <v>46128</v>
      </c>
      <c r="B931" s="259" t="s">
        <v>88</v>
      </c>
      <c r="C931" s="258"/>
      <c r="D931" s="261"/>
      <c r="E931" s="261"/>
      <c r="F931" s="261"/>
      <c r="G931" s="261"/>
      <c r="H931" s="261"/>
      <c r="I931" s="261"/>
      <c r="J931" s="261"/>
      <c r="K931" s="261"/>
      <c r="L931" s="261"/>
      <c r="M931" s="261"/>
      <c r="N931" s="261"/>
      <c r="O931" s="261"/>
      <c r="P931" s="261"/>
      <c r="Q931" s="261"/>
      <c r="R931" s="261"/>
      <c r="S931" s="261"/>
    </row>
    <row r="932" spans="1:19">
      <c r="A932" s="295"/>
      <c r="B932" s="259" t="s">
        <v>89</v>
      </c>
      <c r="C932" s="258"/>
      <c r="D932" s="261"/>
      <c r="E932" s="261"/>
      <c r="F932" s="261"/>
      <c r="G932" s="261"/>
      <c r="H932" s="261"/>
      <c r="I932" s="261"/>
      <c r="J932" s="261"/>
      <c r="K932" s="261"/>
      <c r="L932" s="261"/>
      <c r="M932" s="261"/>
      <c r="N932" s="261"/>
      <c r="O932" s="261"/>
      <c r="P932" s="261"/>
      <c r="Q932" s="261"/>
      <c r="R932" s="261"/>
      <c r="S932" s="261"/>
    </row>
    <row r="933" spans="1:19">
      <c r="A933" s="296"/>
      <c r="B933" s="267" t="s">
        <v>90</v>
      </c>
      <c r="C933" s="258"/>
      <c r="D933" s="261"/>
      <c r="E933" s="261"/>
      <c r="F933" s="261"/>
      <c r="G933" s="261"/>
      <c r="H933" s="261"/>
      <c r="I933" s="261"/>
      <c r="J933" s="261"/>
      <c r="K933" s="261"/>
      <c r="L933" s="261"/>
      <c r="M933" s="261"/>
      <c r="N933" s="261"/>
      <c r="O933" s="261"/>
      <c r="P933" s="261"/>
      <c r="Q933" s="261"/>
      <c r="R933" s="261"/>
      <c r="S933" s="261"/>
    </row>
    <row r="934" spans="1:19">
      <c r="A934" s="295">
        <v>46129</v>
      </c>
      <c r="B934" s="259" t="s">
        <v>88</v>
      </c>
      <c r="C934" s="258"/>
      <c r="D934" s="261"/>
      <c r="E934" s="261"/>
      <c r="F934" s="261"/>
      <c r="G934" s="261"/>
      <c r="H934" s="261"/>
      <c r="I934" s="261"/>
      <c r="J934" s="261"/>
      <c r="K934" s="261"/>
      <c r="L934" s="261"/>
      <c r="M934" s="261"/>
      <c r="N934" s="261"/>
      <c r="O934" s="261"/>
      <c r="P934" s="261"/>
      <c r="Q934" s="261"/>
      <c r="R934" s="261"/>
      <c r="S934" s="261"/>
    </row>
    <row r="935" spans="1:19">
      <c r="A935" s="295"/>
      <c r="B935" s="259" t="s">
        <v>89</v>
      </c>
      <c r="C935" s="258"/>
      <c r="D935" s="261"/>
      <c r="E935" s="261"/>
      <c r="F935" s="261"/>
      <c r="G935" s="261"/>
      <c r="H935" s="261"/>
      <c r="I935" s="261"/>
      <c r="J935" s="261"/>
      <c r="K935" s="261"/>
      <c r="L935" s="261"/>
      <c r="M935" s="261"/>
      <c r="N935" s="261"/>
      <c r="O935" s="261"/>
      <c r="P935" s="261"/>
      <c r="Q935" s="261"/>
      <c r="R935" s="261"/>
      <c r="S935" s="261"/>
    </row>
    <row r="936" spans="1:19">
      <c r="A936" s="296"/>
      <c r="B936" s="267" t="s">
        <v>90</v>
      </c>
      <c r="C936" s="258"/>
      <c r="D936" s="261"/>
      <c r="E936" s="261"/>
      <c r="F936" s="261"/>
      <c r="G936" s="261"/>
      <c r="H936" s="261"/>
      <c r="I936" s="261"/>
      <c r="J936" s="261"/>
      <c r="K936" s="261"/>
      <c r="L936" s="261"/>
      <c r="M936" s="261"/>
      <c r="N936" s="261"/>
      <c r="O936" s="261"/>
      <c r="P936" s="261"/>
      <c r="Q936" s="261"/>
      <c r="R936" s="261"/>
      <c r="S936" s="261"/>
    </row>
    <row r="937" spans="1:19">
      <c r="A937" s="295">
        <v>46130</v>
      </c>
      <c r="B937" s="259" t="s">
        <v>88</v>
      </c>
      <c r="C937" s="258"/>
      <c r="D937" s="261"/>
      <c r="E937" s="261"/>
      <c r="F937" s="261"/>
      <c r="G937" s="261"/>
      <c r="H937" s="261"/>
      <c r="I937" s="261"/>
      <c r="J937" s="261"/>
      <c r="K937" s="261"/>
      <c r="L937" s="261"/>
      <c r="M937" s="261"/>
      <c r="N937" s="261"/>
      <c r="O937" s="261"/>
      <c r="P937" s="261"/>
      <c r="Q937" s="261"/>
      <c r="R937" s="261"/>
      <c r="S937" s="261"/>
    </row>
    <row r="938" spans="1:19">
      <c r="A938" s="295"/>
      <c r="B938" s="259" t="s">
        <v>89</v>
      </c>
      <c r="C938" s="258"/>
      <c r="D938" s="261"/>
      <c r="E938" s="261"/>
      <c r="F938" s="261"/>
      <c r="G938" s="261"/>
      <c r="H938" s="261"/>
      <c r="I938" s="261"/>
      <c r="J938" s="261"/>
      <c r="K938" s="261"/>
      <c r="L938" s="261"/>
      <c r="M938" s="261"/>
      <c r="N938" s="261"/>
      <c r="O938" s="261"/>
      <c r="P938" s="261"/>
      <c r="Q938" s="261"/>
      <c r="R938" s="261"/>
      <c r="S938" s="261"/>
    </row>
    <row r="939" spans="1:19">
      <c r="A939" s="296"/>
      <c r="B939" s="267" t="s">
        <v>90</v>
      </c>
      <c r="C939" s="258"/>
      <c r="D939" s="261"/>
      <c r="E939" s="261"/>
      <c r="F939" s="261"/>
      <c r="G939" s="261"/>
      <c r="H939" s="261"/>
      <c r="I939" s="261"/>
      <c r="J939" s="261"/>
      <c r="K939" s="261"/>
      <c r="L939" s="261"/>
      <c r="M939" s="261"/>
      <c r="N939" s="261"/>
      <c r="O939" s="261"/>
      <c r="P939" s="261"/>
      <c r="Q939" s="261"/>
      <c r="R939" s="261"/>
      <c r="S939" s="261"/>
    </row>
    <row r="940" spans="1:19">
      <c r="A940" s="295">
        <v>46131</v>
      </c>
      <c r="B940" s="259" t="s">
        <v>88</v>
      </c>
      <c r="C940" s="258"/>
      <c r="D940" s="261"/>
      <c r="E940" s="261"/>
      <c r="F940" s="261"/>
      <c r="G940" s="261"/>
      <c r="H940" s="261"/>
      <c r="I940" s="261"/>
      <c r="J940" s="261"/>
      <c r="K940" s="261"/>
      <c r="L940" s="261"/>
      <c r="M940" s="261"/>
      <c r="N940" s="261"/>
      <c r="O940" s="261"/>
      <c r="P940" s="261"/>
      <c r="Q940" s="261"/>
      <c r="R940" s="261"/>
      <c r="S940" s="261"/>
    </row>
    <row r="941" spans="1:19">
      <c r="A941" s="295"/>
      <c r="B941" s="259" t="s">
        <v>89</v>
      </c>
      <c r="C941" s="258"/>
      <c r="D941" s="261"/>
      <c r="E941" s="261"/>
      <c r="F941" s="261"/>
      <c r="G941" s="261"/>
      <c r="H941" s="261"/>
      <c r="I941" s="261"/>
      <c r="J941" s="261"/>
      <c r="K941" s="261"/>
      <c r="L941" s="261"/>
      <c r="M941" s="261"/>
      <c r="N941" s="261"/>
      <c r="O941" s="261"/>
      <c r="P941" s="261"/>
      <c r="Q941" s="261"/>
      <c r="R941" s="261"/>
      <c r="S941" s="261"/>
    </row>
    <row r="942" spans="1:19">
      <c r="A942" s="296"/>
      <c r="B942" s="267" t="s">
        <v>90</v>
      </c>
      <c r="C942" s="258"/>
      <c r="D942" s="261"/>
      <c r="E942" s="261"/>
      <c r="F942" s="261"/>
      <c r="G942" s="261"/>
      <c r="H942" s="261"/>
      <c r="I942" s="261"/>
      <c r="J942" s="261"/>
      <c r="K942" s="261"/>
      <c r="L942" s="261"/>
      <c r="M942" s="261"/>
      <c r="N942" s="261"/>
      <c r="O942" s="261"/>
      <c r="P942" s="261"/>
      <c r="Q942" s="261"/>
      <c r="R942" s="261"/>
      <c r="S942" s="261"/>
    </row>
    <row r="943" spans="1:19">
      <c r="A943" s="295">
        <v>46132</v>
      </c>
      <c r="B943" s="259" t="s">
        <v>88</v>
      </c>
      <c r="C943" s="258"/>
      <c r="D943" s="261"/>
      <c r="E943" s="261"/>
      <c r="F943" s="261"/>
      <c r="G943" s="261"/>
      <c r="H943" s="261"/>
      <c r="I943" s="261"/>
      <c r="J943" s="261"/>
      <c r="K943" s="261"/>
      <c r="L943" s="261"/>
      <c r="M943" s="261"/>
      <c r="N943" s="261"/>
      <c r="O943" s="261"/>
      <c r="P943" s="261"/>
      <c r="Q943" s="261"/>
      <c r="R943" s="261"/>
      <c r="S943" s="261"/>
    </row>
    <row r="944" spans="1:19">
      <c r="A944" s="295"/>
      <c r="B944" s="259" t="s">
        <v>89</v>
      </c>
      <c r="C944" s="258"/>
      <c r="D944" s="261"/>
      <c r="E944" s="261"/>
      <c r="F944" s="261"/>
      <c r="G944" s="261"/>
      <c r="H944" s="261"/>
      <c r="I944" s="261"/>
      <c r="J944" s="261"/>
      <c r="K944" s="261"/>
      <c r="L944" s="261"/>
      <c r="M944" s="261"/>
      <c r="N944" s="261"/>
      <c r="O944" s="261"/>
      <c r="P944" s="261"/>
      <c r="Q944" s="261"/>
      <c r="R944" s="261"/>
      <c r="S944" s="261"/>
    </row>
    <row r="945" spans="1:19">
      <c r="A945" s="296"/>
      <c r="B945" s="267" t="s">
        <v>90</v>
      </c>
      <c r="C945" s="258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N945" s="261"/>
      <c r="O945" s="261"/>
      <c r="P945" s="261"/>
      <c r="Q945" s="261"/>
      <c r="R945" s="261"/>
      <c r="S945" s="261"/>
    </row>
    <row r="946" spans="1:19">
      <c r="A946" s="295">
        <v>46133</v>
      </c>
      <c r="B946" s="259" t="s">
        <v>88</v>
      </c>
      <c r="C946" s="258"/>
      <c r="D946" s="261"/>
      <c r="E946" s="261"/>
      <c r="F946" s="261"/>
      <c r="G946" s="261"/>
      <c r="H946" s="261"/>
      <c r="I946" s="261"/>
      <c r="J946" s="261"/>
      <c r="K946" s="261"/>
      <c r="L946" s="261"/>
      <c r="M946" s="261"/>
      <c r="N946" s="261"/>
      <c r="O946" s="261"/>
      <c r="P946" s="261"/>
      <c r="Q946" s="261"/>
      <c r="R946" s="261"/>
      <c r="S946" s="261"/>
    </row>
    <row r="947" spans="1:19">
      <c r="A947" s="295"/>
      <c r="B947" s="259" t="s">
        <v>89</v>
      </c>
      <c r="C947" s="258"/>
      <c r="D947" s="261"/>
      <c r="E947" s="261"/>
      <c r="F947" s="261"/>
      <c r="G947" s="261"/>
      <c r="H947" s="261"/>
      <c r="I947" s="261"/>
      <c r="J947" s="261"/>
      <c r="K947" s="261"/>
      <c r="L947" s="261"/>
      <c r="M947" s="261"/>
      <c r="N947" s="261"/>
      <c r="O947" s="261"/>
      <c r="P947" s="261"/>
      <c r="Q947" s="261"/>
      <c r="R947" s="261"/>
      <c r="S947" s="261"/>
    </row>
    <row r="948" spans="1:19">
      <c r="A948" s="296"/>
      <c r="B948" s="267" t="s">
        <v>90</v>
      </c>
      <c r="C948" s="258"/>
      <c r="D948" s="261"/>
      <c r="E948" s="261"/>
      <c r="F948" s="261"/>
      <c r="G948" s="261"/>
      <c r="H948" s="261"/>
      <c r="I948" s="261"/>
      <c r="J948" s="261"/>
      <c r="K948" s="261"/>
      <c r="L948" s="261"/>
      <c r="M948" s="261"/>
      <c r="N948" s="261"/>
      <c r="O948" s="261"/>
      <c r="P948" s="261"/>
      <c r="Q948" s="261"/>
      <c r="R948" s="261"/>
      <c r="S948" s="261"/>
    </row>
    <row r="949" spans="1:19">
      <c r="A949" s="295">
        <v>46134</v>
      </c>
      <c r="B949" s="259" t="s">
        <v>88</v>
      </c>
      <c r="C949" s="258"/>
      <c r="D949" s="261"/>
      <c r="E949" s="261"/>
      <c r="F949" s="261"/>
      <c r="G949" s="261"/>
      <c r="H949" s="261"/>
      <c r="I949" s="261"/>
      <c r="J949" s="261"/>
      <c r="K949" s="261"/>
      <c r="L949" s="261"/>
      <c r="M949" s="261"/>
      <c r="N949" s="261"/>
      <c r="O949" s="261"/>
      <c r="P949" s="261"/>
      <c r="Q949" s="261"/>
      <c r="R949" s="261"/>
      <c r="S949" s="261"/>
    </row>
    <row r="950" spans="1:19">
      <c r="A950" s="295"/>
      <c r="B950" s="259" t="s">
        <v>89</v>
      </c>
      <c r="C950" s="258"/>
      <c r="D950" s="261"/>
      <c r="E950" s="261"/>
      <c r="F950" s="261"/>
      <c r="G950" s="261"/>
      <c r="H950" s="261"/>
      <c r="I950" s="261"/>
      <c r="J950" s="261"/>
      <c r="K950" s="261"/>
      <c r="L950" s="261"/>
      <c r="M950" s="261"/>
      <c r="N950" s="261"/>
      <c r="O950" s="261"/>
      <c r="P950" s="261"/>
      <c r="Q950" s="261"/>
      <c r="R950" s="261"/>
      <c r="S950" s="261"/>
    </row>
    <row r="951" spans="1:19">
      <c r="A951" s="296"/>
      <c r="B951" s="267" t="s">
        <v>90</v>
      </c>
      <c r="C951" s="258"/>
      <c r="D951" s="261"/>
      <c r="E951" s="261"/>
      <c r="F951" s="261"/>
      <c r="G951" s="261"/>
      <c r="H951" s="261"/>
      <c r="I951" s="261"/>
      <c r="J951" s="261"/>
      <c r="K951" s="261"/>
      <c r="L951" s="261"/>
      <c r="M951" s="261"/>
      <c r="N951" s="261"/>
      <c r="O951" s="261"/>
      <c r="P951" s="261"/>
      <c r="Q951" s="261"/>
      <c r="R951" s="261"/>
      <c r="S951" s="261"/>
    </row>
    <row r="952" spans="1:19">
      <c r="A952" s="295">
        <v>46135</v>
      </c>
      <c r="B952" s="259" t="s">
        <v>88</v>
      </c>
      <c r="C952" s="258"/>
      <c r="D952" s="261"/>
      <c r="E952" s="261"/>
      <c r="F952" s="261"/>
      <c r="G952" s="261"/>
      <c r="H952" s="261"/>
      <c r="I952" s="261"/>
      <c r="J952" s="261"/>
      <c r="K952" s="261"/>
      <c r="L952" s="261"/>
      <c r="M952" s="261"/>
      <c r="N952" s="261"/>
      <c r="O952" s="261"/>
      <c r="P952" s="261"/>
      <c r="Q952" s="261"/>
      <c r="R952" s="261"/>
      <c r="S952" s="261"/>
    </row>
    <row r="953" spans="1:19">
      <c r="A953" s="295"/>
      <c r="B953" s="259" t="s">
        <v>89</v>
      </c>
      <c r="C953" s="258"/>
      <c r="D953" s="261"/>
      <c r="E953" s="261"/>
      <c r="F953" s="261"/>
      <c r="G953" s="261"/>
      <c r="H953" s="261"/>
      <c r="I953" s="261"/>
      <c r="J953" s="261"/>
      <c r="K953" s="261"/>
      <c r="L953" s="261"/>
      <c r="M953" s="261"/>
      <c r="N953" s="261"/>
      <c r="O953" s="261"/>
      <c r="P953" s="261"/>
      <c r="Q953" s="261"/>
      <c r="R953" s="261"/>
      <c r="S953" s="261"/>
    </row>
    <row r="954" spans="1:19">
      <c r="A954" s="296"/>
      <c r="B954" s="267" t="s">
        <v>90</v>
      </c>
      <c r="C954" s="258"/>
      <c r="D954" s="261"/>
      <c r="E954" s="261"/>
      <c r="F954" s="261"/>
      <c r="G954" s="261"/>
      <c r="H954" s="261"/>
      <c r="I954" s="261"/>
      <c r="J954" s="261"/>
      <c r="K954" s="261"/>
      <c r="L954" s="261"/>
      <c r="M954" s="261"/>
      <c r="N954" s="261"/>
      <c r="O954" s="261"/>
      <c r="P954" s="261"/>
      <c r="Q954" s="261"/>
      <c r="R954" s="261"/>
      <c r="S954" s="261"/>
    </row>
    <row r="955" spans="1:19">
      <c r="A955" s="295">
        <v>46136</v>
      </c>
      <c r="B955" s="259" t="s">
        <v>88</v>
      </c>
      <c r="C955" s="258"/>
      <c r="D955" s="261"/>
      <c r="E955" s="261"/>
      <c r="F955" s="261"/>
      <c r="G955" s="261"/>
      <c r="H955" s="261"/>
      <c r="I955" s="261"/>
      <c r="J955" s="261"/>
      <c r="K955" s="261"/>
      <c r="L955" s="261"/>
      <c r="M955" s="261"/>
      <c r="N955" s="261"/>
      <c r="O955" s="261"/>
      <c r="P955" s="261"/>
      <c r="Q955" s="261"/>
      <c r="R955" s="261"/>
      <c r="S955" s="261"/>
    </row>
    <row r="956" spans="1:19">
      <c r="A956" s="295"/>
      <c r="B956" s="259" t="s">
        <v>89</v>
      </c>
      <c r="C956" s="258"/>
      <c r="D956" s="261"/>
      <c r="E956" s="261"/>
      <c r="F956" s="261"/>
      <c r="G956" s="261"/>
      <c r="H956" s="261"/>
      <c r="I956" s="261"/>
      <c r="J956" s="261"/>
      <c r="K956" s="261"/>
      <c r="L956" s="261"/>
      <c r="M956" s="261"/>
      <c r="N956" s="261"/>
      <c r="O956" s="261"/>
      <c r="P956" s="261"/>
      <c r="Q956" s="261"/>
      <c r="R956" s="261"/>
      <c r="S956" s="261"/>
    </row>
    <row r="957" spans="1:19">
      <c r="A957" s="296"/>
      <c r="B957" s="267" t="s">
        <v>90</v>
      </c>
      <c r="C957" s="258"/>
      <c r="D957" s="261"/>
      <c r="E957" s="261"/>
      <c r="F957" s="261"/>
      <c r="G957" s="261"/>
      <c r="H957" s="261"/>
      <c r="I957" s="261"/>
      <c r="J957" s="261"/>
      <c r="K957" s="261"/>
      <c r="L957" s="261"/>
      <c r="M957" s="261"/>
      <c r="N957" s="261"/>
      <c r="O957" s="261"/>
      <c r="P957" s="261"/>
      <c r="Q957" s="261"/>
      <c r="R957" s="261"/>
      <c r="S957" s="261"/>
    </row>
    <row r="958" spans="1:19">
      <c r="A958" s="295">
        <v>46137</v>
      </c>
      <c r="B958" s="259" t="s">
        <v>88</v>
      </c>
      <c r="C958" s="258"/>
      <c r="D958" s="261"/>
      <c r="E958" s="261"/>
      <c r="F958" s="261"/>
      <c r="G958" s="261"/>
      <c r="H958" s="261"/>
      <c r="I958" s="261"/>
      <c r="J958" s="261"/>
      <c r="K958" s="261"/>
      <c r="L958" s="261"/>
      <c r="M958" s="261"/>
      <c r="N958" s="261"/>
      <c r="O958" s="261"/>
      <c r="P958" s="261"/>
      <c r="Q958" s="261"/>
      <c r="R958" s="261"/>
      <c r="S958" s="261"/>
    </row>
    <row r="959" spans="1:19">
      <c r="A959" s="295"/>
      <c r="B959" s="259" t="s">
        <v>89</v>
      </c>
      <c r="C959" s="258"/>
      <c r="D959" s="261"/>
      <c r="E959" s="261"/>
      <c r="F959" s="261"/>
      <c r="G959" s="261"/>
      <c r="H959" s="261"/>
      <c r="I959" s="261"/>
      <c r="J959" s="261"/>
      <c r="K959" s="261"/>
      <c r="L959" s="261"/>
      <c r="M959" s="261"/>
      <c r="N959" s="261"/>
      <c r="O959" s="261"/>
      <c r="P959" s="261"/>
      <c r="Q959" s="261"/>
      <c r="R959" s="261"/>
      <c r="S959" s="261"/>
    </row>
    <row r="960" spans="1:19">
      <c r="A960" s="296"/>
      <c r="B960" s="267" t="s">
        <v>90</v>
      </c>
      <c r="C960" s="258"/>
      <c r="D960" s="261"/>
      <c r="E960" s="261"/>
      <c r="F960" s="261"/>
      <c r="G960" s="261"/>
      <c r="H960" s="261"/>
      <c r="I960" s="261"/>
      <c r="J960" s="261"/>
      <c r="K960" s="261"/>
      <c r="L960" s="261"/>
      <c r="M960" s="261"/>
      <c r="N960" s="261"/>
      <c r="O960" s="261"/>
      <c r="P960" s="261"/>
      <c r="Q960" s="261"/>
      <c r="R960" s="261"/>
      <c r="S960" s="261"/>
    </row>
    <row r="961" spans="1:19">
      <c r="A961" s="295">
        <v>46138</v>
      </c>
      <c r="B961" s="259" t="s">
        <v>88</v>
      </c>
      <c r="C961" s="258"/>
      <c r="D961" s="261"/>
      <c r="E961" s="261"/>
      <c r="F961" s="261"/>
      <c r="G961" s="261"/>
      <c r="H961" s="261"/>
      <c r="I961" s="261"/>
      <c r="J961" s="261"/>
      <c r="K961" s="261"/>
      <c r="L961" s="261"/>
      <c r="M961" s="261"/>
      <c r="N961" s="261"/>
      <c r="O961" s="261"/>
      <c r="P961" s="261"/>
      <c r="Q961" s="261"/>
      <c r="R961" s="261"/>
      <c r="S961" s="261"/>
    </row>
    <row r="962" spans="1:19">
      <c r="A962" s="295"/>
      <c r="B962" s="259" t="s">
        <v>89</v>
      </c>
      <c r="C962" s="258"/>
      <c r="D962" s="261"/>
      <c r="E962" s="261"/>
      <c r="F962" s="261"/>
      <c r="G962" s="261"/>
      <c r="H962" s="261"/>
      <c r="I962" s="261"/>
      <c r="J962" s="261"/>
      <c r="K962" s="261"/>
      <c r="L962" s="261"/>
      <c r="M962" s="261"/>
      <c r="N962" s="261"/>
      <c r="O962" s="261"/>
      <c r="P962" s="261"/>
      <c r="Q962" s="261"/>
      <c r="R962" s="261"/>
      <c r="S962" s="261"/>
    </row>
    <row r="963" spans="1:19">
      <c r="A963" s="296"/>
      <c r="B963" s="267" t="s">
        <v>90</v>
      </c>
      <c r="C963" s="258"/>
      <c r="D963" s="261"/>
      <c r="E963" s="261"/>
      <c r="F963" s="261"/>
      <c r="G963" s="261"/>
      <c r="H963" s="261"/>
      <c r="I963" s="261"/>
      <c r="J963" s="261"/>
      <c r="K963" s="261"/>
      <c r="L963" s="261"/>
      <c r="M963" s="261"/>
      <c r="N963" s="261"/>
      <c r="O963" s="261"/>
      <c r="P963" s="261"/>
      <c r="Q963" s="261"/>
      <c r="R963" s="261"/>
      <c r="S963" s="261"/>
    </row>
    <row r="964" spans="1:19">
      <c r="A964" s="295">
        <v>46139</v>
      </c>
      <c r="B964" s="259" t="s">
        <v>88</v>
      </c>
      <c r="C964" s="258"/>
      <c r="D964" s="261"/>
      <c r="E964" s="261"/>
      <c r="F964" s="261"/>
      <c r="G964" s="261"/>
      <c r="H964" s="261"/>
      <c r="I964" s="261"/>
      <c r="J964" s="261"/>
      <c r="K964" s="261"/>
      <c r="L964" s="261"/>
      <c r="M964" s="261"/>
      <c r="N964" s="261"/>
      <c r="O964" s="261"/>
      <c r="P964" s="261"/>
      <c r="Q964" s="261"/>
      <c r="R964" s="261"/>
      <c r="S964" s="261"/>
    </row>
    <row r="965" spans="1:19">
      <c r="A965" s="295"/>
      <c r="B965" s="259" t="s">
        <v>89</v>
      </c>
      <c r="C965" s="258"/>
      <c r="D965" s="261"/>
      <c r="E965" s="261"/>
      <c r="F965" s="261"/>
      <c r="G965" s="261"/>
      <c r="H965" s="261"/>
      <c r="I965" s="261"/>
      <c r="J965" s="261"/>
      <c r="K965" s="261"/>
      <c r="L965" s="261"/>
      <c r="M965" s="261"/>
      <c r="N965" s="261"/>
      <c r="O965" s="261"/>
      <c r="P965" s="261"/>
      <c r="Q965" s="261"/>
      <c r="R965" s="261"/>
      <c r="S965" s="261"/>
    </row>
    <row r="966" spans="1:19">
      <c r="A966" s="296"/>
      <c r="B966" s="267" t="s">
        <v>90</v>
      </c>
      <c r="C966" s="258"/>
      <c r="D966" s="261"/>
      <c r="E966" s="261"/>
      <c r="F966" s="261"/>
      <c r="G966" s="261"/>
      <c r="H966" s="261"/>
      <c r="I966" s="261"/>
      <c r="J966" s="261"/>
      <c r="K966" s="261"/>
      <c r="L966" s="261"/>
      <c r="M966" s="261"/>
      <c r="N966" s="261"/>
      <c r="O966" s="261"/>
      <c r="P966" s="261"/>
      <c r="Q966" s="261"/>
      <c r="R966" s="261"/>
      <c r="S966" s="261"/>
    </row>
    <row r="967" spans="1:19">
      <c r="A967" s="295">
        <v>46140</v>
      </c>
      <c r="B967" s="259" t="s">
        <v>88</v>
      </c>
      <c r="C967" s="258"/>
      <c r="D967" s="261"/>
      <c r="E967" s="261"/>
      <c r="F967" s="261"/>
      <c r="G967" s="261"/>
      <c r="H967" s="261"/>
      <c r="I967" s="261"/>
      <c r="J967" s="261"/>
      <c r="K967" s="261"/>
      <c r="L967" s="261"/>
      <c r="M967" s="261"/>
      <c r="N967" s="261"/>
      <c r="O967" s="261"/>
      <c r="P967" s="261"/>
      <c r="Q967" s="261"/>
      <c r="R967" s="261"/>
      <c r="S967" s="261"/>
    </row>
    <row r="968" spans="1:19">
      <c r="A968" s="295"/>
      <c r="B968" s="259" t="s">
        <v>89</v>
      </c>
      <c r="C968" s="258"/>
      <c r="D968" s="261"/>
      <c r="E968" s="261"/>
      <c r="F968" s="261"/>
      <c r="G968" s="261"/>
      <c r="H968" s="261"/>
      <c r="I968" s="261"/>
      <c r="J968" s="261"/>
      <c r="K968" s="261"/>
      <c r="L968" s="261"/>
      <c r="M968" s="261"/>
      <c r="N968" s="261"/>
      <c r="O968" s="261"/>
      <c r="P968" s="261"/>
      <c r="Q968" s="261"/>
      <c r="R968" s="261"/>
      <c r="S968" s="261"/>
    </row>
    <row r="969" spans="1:19">
      <c r="A969" s="296"/>
      <c r="B969" s="267" t="s">
        <v>90</v>
      </c>
      <c r="C969" s="258"/>
      <c r="D969" s="261"/>
      <c r="E969" s="261"/>
      <c r="F969" s="261"/>
      <c r="G969" s="261"/>
      <c r="H969" s="261"/>
      <c r="I969" s="261"/>
      <c r="J969" s="261"/>
      <c r="K969" s="261"/>
      <c r="L969" s="261"/>
      <c r="M969" s="261"/>
      <c r="N969" s="261"/>
      <c r="O969" s="261"/>
      <c r="P969" s="261"/>
      <c r="Q969" s="261"/>
      <c r="R969" s="261"/>
      <c r="S969" s="261"/>
    </row>
    <row r="970" spans="1:19">
      <c r="A970" s="295">
        <v>46141</v>
      </c>
      <c r="B970" s="259" t="s">
        <v>88</v>
      </c>
      <c r="C970" s="258"/>
      <c r="D970" s="261"/>
      <c r="E970" s="261"/>
      <c r="F970" s="261"/>
      <c r="G970" s="261"/>
      <c r="H970" s="261"/>
      <c r="I970" s="261"/>
      <c r="J970" s="261"/>
      <c r="K970" s="261"/>
      <c r="L970" s="261"/>
      <c r="M970" s="261"/>
      <c r="N970" s="261"/>
      <c r="O970" s="261"/>
      <c r="P970" s="261"/>
      <c r="Q970" s="261"/>
      <c r="R970" s="261"/>
      <c r="S970" s="261"/>
    </row>
    <row r="971" spans="1:19">
      <c r="A971" s="295"/>
      <c r="B971" s="259" t="s">
        <v>89</v>
      </c>
      <c r="C971" s="258"/>
      <c r="D971" s="261"/>
      <c r="E971" s="261"/>
      <c r="F971" s="261"/>
      <c r="G971" s="261"/>
      <c r="H971" s="261"/>
      <c r="I971" s="261"/>
      <c r="J971" s="261"/>
      <c r="K971" s="261"/>
      <c r="L971" s="261"/>
      <c r="M971" s="261"/>
      <c r="N971" s="261"/>
      <c r="O971" s="261"/>
      <c r="P971" s="261"/>
      <c r="Q971" s="261"/>
      <c r="R971" s="261"/>
      <c r="S971" s="261"/>
    </row>
    <row r="972" spans="1:19">
      <c r="A972" s="296"/>
      <c r="B972" s="267" t="s">
        <v>90</v>
      </c>
      <c r="C972" s="258"/>
      <c r="D972" s="261"/>
      <c r="E972" s="261"/>
      <c r="F972" s="261"/>
      <c r="G972" s="261"/>
      <c r="H972" s="261"/>
      <c r="I972" s="261"/>
      <c r="J972" s="261"/>
      <c r="K972" s="261"/>
      <c r="L972" s="261"/>
      <c r="M972" s="261"/>
      <c r="N972" s="261"/>
      <c r="O972" s="261"/>
      <c r="P972" s="261"/>
      <c r="Q972" s="261"/>
      <c r="R972" s="261"/>
      <c r="S972" s="261"/>
    </row>
    <row r="973" spans="1:19">
      <c r="A973" s="295">
        <v>46142</v>
      </c>
      <c r="B973" s="259" t="s">
        <v>88</v>
      </c>
      <c r="C973" s="258"/>
      <c r="D973" s="261"/>
      <c r="E973" s="261"/>
      <c r="F973" s="261"/>
      <c r="G973" s="261"/>
      <c r="H973" s="261"/>
      <c r="I973" s="261"/>
      <c r="J973" s="261"/>
      <c r="K973" s="261"/>
      <c r="L973" s="261"/>
      <c r="M973" s="261"/>
      <c r="N973" s="261"/>
      <c r="O973" s="261"/>
      <c r="P973" s="261"/>
      <c r="Q973" s="261"/>
      <c r="R973" s="261"/>
      <c r="S973" s="261"/>
    </row>
    <row r="974" spans="1:19">
      <c r="A974" s="295"/>
      <c r="B974" s="259" t="s">
        <v>89</v>
      </c>
      <c r="C974" s="258"/>
      <c r="D974" s="261"/>
      <c r="E974" s="261"/>
      <c r="F974" s="261"/>
      <c r="G974" s="261"/>
      <c r="H974" s="261"/>
      <c r="I974" s="261"/>
      <c r="J974" s="261"/>
      <c r="K974" s="261"/>
      <c r="L974" s="261"/>
      <c r="M974" s="261"/>
      <c r="N974" s="261"/>
      <c r="O974" s="261"/>
      <c r="P974" s="261"/>
      <c r="Q974" s="261"/>
      <c r="R974" s="261"/>
      <c r="S974" s="261"/>
    </row>
    <row r="975" spans="1:19">
      <c r="A975" s="296"/>
      <c r="B975" s="267" t="s">
        <v>90</v>
      </c>
      <c r="C975" s="258"/>
      <c r="D975" s="261"/>
      <c r="E975" s="261"/>
      <c r="F975" s="261"/>
      <c r="G975" s="261"/>
      <c r="H975" s="261"/>
      <c r="I975" s="261"/>
      <c r="J975" s="261"/>
      <c r="K975" s="261"/>
      <c r="L975" s="261"/>
      <c r="M975" s="261"/>
      <c r="N975" s="261"/>
      <c r="O975" s="261"/>
      <c r="P975" s="261"/>
      <c r="Q975" s="261"/>
      <c r="R975" s="261"/>
      <c r="S975" s="261"/>
    </row>
    <row r="976" spans="1:19">
      <c r="A976" s="295">
        <v>46143</v>
      </c>
      <c r="B976" s="259" t="s">
        <v>88</v>
      </c>
      <c r="C976" s="258"/>
      <c r="D976" s="261"/>
      <c r="E976" s="261"/>
      <c r="F976" s="261"/>
      <c r="G976" s="261"/>
      <c r="H976" s="261"/>
      <c r="I976" s="261"/>
      <c r="J976" s="261"/>
      <c r="K976" s="261"/>
      <c r="L976" s="261"/>
      <c r="M976" s="261"/>
      <c r="N976" s="261"/>
      <c r="O976" s="261"/>
      <c r="P976" s="261"/>
      <c r="Q976" s="261"/>
      <c r="R976" s="261"/>
      <c r="S976" s="261"/>
    </row>
    <row r="977" spans="1:19">
      <c r="A977" s="295"/>
      <c r="B977" s="259" t="s">
        <v>89</v>
      </c>
      <c r="C977" s="258"/>
      <c r="D977" s="261"/>
      <c r="E977" s="261"/>
      <c r="F977" s="261"/>
      <c r="G977" s="261"/>
      <c r="H977" s="261"/>
      <c r="I977" s="261"/>
      <c r="J977" s="261"/>
      <c r="K977" s="261"/>
      <c r="L977" s="261"/>
      <c r="M977" s="261"/>
      <c r="N977" s="261"/>
      <c r="O977" s="261"/>
      <c r="P977" s="261"/>
      <c r="Q977" s="261"/>
      <c r="R977" s="261"/>
      <c r="S977" s="261"/>
    </row>
    <row r="978" spans="1:19">
      <c r="A978" s="296"/>
      <c r="B978" s="267" t="s">
        <v>90</v>
      </c>
      <c r="C978" s="258"/>
      <c r="D978" s="261"/>
      <c r="E978" s="261"/>
      <c r="F978" s="261"/>
      <c r="G978" s="261"/>
      <c r="H978" s="261"/>
      <c r="I978" s="261"/>
      <c r="J978" s="261"/>
      <c r="K978" s="261"/>
      <c r="L978" s="261"/>
      <c r="M978" s="261"/>
      <c r="N978" s="261"/>
      <c r="O978" s="261"/>
      <c r="P978" s="261"/>
      <c r="Q978" s="261"/>
      <c r="R978" s="261"/>
      <c r="S978" s="261"/>
    </row>
    <row r="979" spans="1:19">
      <c r="A979" s="295">
        <v>46144</v>
      </c>
      <c r="B979" s="259" t="s">
        <v>88</v>
      </c>
      <c r="C979" s="258"/>
      <c r="D979" s="261"/>
      <c r="E979" s="261"/>
      <c r="F979" s="261"/>
      <c r="G979" s="261"/>
      <c r="H979" s="261"/>
      <c r="I979" s="261"/>
      <c r="J979" s="261"/>
      <c r="K979" s="261"/>
      <c r="L979" s="261"/>
      <c r="M979" s="261"/>
      <c r="N979" s="261"/>
      <c r="O979" s="261"/>
      <c r="P979" s="261"/>
      <c r="Q979" s="261"/>
      <c r="R979" s="261"/>
      <c r="S979" s="261"/>
    </row>
    <row r="980" spans="1:19">
      <c r="A980" s="295"/>
      <c r="B980" s="259" t="s">
        <v>89</v>
      </c>
      <c r="C980" s="258"/>
      <c r="D980" s="261"/>
      <c r="E980" s="261"/>
      <c r="F980" s="261"/>
      <c r="G980" s="261"/>
      <c r="H980" s="261"/>
      <c r="I980" s="261"/>
      <c r="J980" s="261"/>
      <c r="K980" s="261"/>
      <c r="L980" s="261"/>
      <c r="M980" s="261"/>
      <c r="N980" s="261"/>
      <c r="O980" s="261"/>
      <c r="P980" s="261"/>
      <c r="Q980" s="261"/>
      <c r="R980" s="261"/>
      <c r="S980" s="261"/>
    </row>
    <row r="981" spans="1:19">
      <c r="A981" s="296"/>
      <c r="B981" s="267" t="s">
        <v>90</v>
      </c>
      <c r="C981" s="258"/>
      <c r="D981" s="261"/>
      <c r="E981" s="261"/>
      <c r="F981" s="261"/>
      <c r="G981" s="261"/>
      <c r="H981" s="261"/>
      <c r="I981" s="261"/>
      <c r="J981" s="261"/>
      <c r="K981" s="261"/>
      <c r="L981" s="261"/>
      <c r="M981" s="261"/>
      <c r="N981" s="261"/>
      <c r="O981" s="261"/>
      <c r="P981" s="261"/>
      <c r="Q981" s="261"/>
      <c r="R981" s="261"/>
      <c r="S981" s="261"/>
    </row>
    <row r="982" spans="1:19">
      <c r="A982" s="295">
        <v>46145</v>
      </c>
      <c r="B982" s="259" t="s">
        <v>88</v>
      </c>
      <c r="C982" s="258"/>
      <c r="D982" s="261"/>
      <c r="E982" s="261"/>
      <c r="F982" s="261"/>
      <c r="G982" s="261"/>
      <c r="H982" s="261"/>
      <c r="I982" s="261"/>
      <c r="J982" s="261"/>
      <c r="K982" s="261"/>
      <c r="L982" s="261"/>
      <c r="M982" s="261"/>
      <c r="N982" s="261"/>
      <c r="O982" s="261"/>
      <c r="P982" s="261"/>
      <c r="Q982" s="261"/>
      <c r="R982" s="261"/>
      <c r="S982" s="261"/>
    </row>
    <row r="983" spans="1:19">
      <c r="A983" s="295"/>
      <c r="B983" s="259" t="s">
        <v>89</v>
      </c>
      <c r="C983" s="258"/>
      <c r="D983" s="261"/>
      <c r="E983" s="261"/>
      <c r="F983" s="261"/>
      <c r="G983" s="261"/>
      <c r="H983" s="261"/>
      <c r="I983" s="261"/>
      <c r="J983" s="261"/>
      <c r="K983" s="261"/>
      <c r="L983" s="261"/>
      <c r="M983" s="261"/>
      <c r="N983" s="261"/>
      <c r="O983" s="261"/>
      <c r="P983" s="261"/>
      <c r="Q983" s="261"/>
      <c r="R983" s="261"/>
      <c r="S983" s="261"/>
    </row>
    <row r="984" spans="1:19">
      <c r="A984" s="296"/>
      <c r="B984" s="267" t="s">
        <v>90</v>
      </c>
      <c r="C984" s="258"/>
      <c r="D984" s="261"/>
      <c r="E984" s="261"/>
      <c r="F984" s="261"/>
      <c r="G984" s="261"/>
      <c r="H984" s="261"/>
      <c r="I984" s="261"/>
      <c r="J984" s="261"/>
      <c r="K984" s="261"/>
      <c r="L984" s="261"/>
      <c r="M984" s="261"/>
      <c r="N984" s="261"/>
      <c r="O984" s="261"/>
      <c r="P984" s="261"/>
      <c r="Q984" s="261"/>
      <c r="R984" s="261"/>
      <c r="S984" s="261"/>
    </row>
    <row r="985" spans="1:19">
      <c r="A985" s="295">
        <v>46146</v>
      </c>
      <c r="B985" s="259" t="s">
        <v>88</v>
      </c>
      <c r="C985" s="258"/>
      <c r="D985" s="261"/>
      <c r="E985" s="261"/>
      <c r="F985" s="261"/>
      <c r="G985" s="261"/>
      <c r="H985" s="261"/>
      <c r="I985" s="261"/>
      <c r="J985" s="261"/>
      <c r="K985" s="261"/>
      <c r="L985" s="261"/>
      <c r="M985" s="261"/>
      <c r="N985" s="261"/>
      <c r="O985" s="261"/>
      <c r="P985" s="261"/>
      <c r="Q985" s="261"/>
      <c r="R985" s="261"/>
      <c r="S985" s="261"/>
    </row>
    <row r="986" spans="1:19">
      <c r="A986" s="295"/>
      <c r="B986" s="259" t="s">
        <v>89</v>
      </c>
      <c r="C986" s="258"/>
      <c r="D986" s="261"/>
      <c r="E986" s="261"/>
      <c r="F986" s="261"/>
      <c r="G986" s="261"/>
      <c r="H986" s="261"/>
      <c r="I986" s="261"/>
      <c r="J986" s="261"/>
      <c r="K986" s="261"/>
      <c r="L986" s="261"/>
      <c r="M986" s="261"/>
      <c r="N986" s="261"/>
      <c r="O986" s="261"/>
      <c r="P986" s="261"/>
      <c r="Q986" s="261"/>
      <c r="R986" s="261"/>
      <c r="S986" s="261"/>
    </row>
    <row r="987" spans="1:19">
      <c r="A987" s="296"/>
      <c r="B987" s="267" t="s">
        <v>90</v>
      </c>
      <c r="C987" s="258"/>
      <c r="D987" s="261"/>
      <c r="E987" s="261"/>
      <c r="F987" s="261"/>
      <c r="G987" s="261"/>
      <c r="H987" s="261"/>
      <c r="I987" s="261"/>
      <c r="J987" s="261"/>
      <c r="K987" s="261"/>
      <c r="L987" s="261"/>
      <c r="M987" s="261"/>
      <c r="N987" s="261"/>
      <c r="O987" s="261"/>
      <c r="P987" s="261"/>
      <c r="Q987" s="261"/>
      <c r="R987" s="261"/>
      <c r="S987" s="261"/>
    </row>
    <row r="988" spans="1:19">
      <c r="A988" s="295">
        <v>46147</v>
      </c>
      <c r="B988" s="259" t="s">
        <v>88</v>
      </c>
      <c r="C988" s="258"/>
      <c r="D988" s="261"/>
      <c r="E988" s="261"/>
      <c r="F988" s="261"/>
      <c r="G988" s="261"/>
      <c r="H988" s="261"/>
      <c r="I988" s="261"/>
      <c r="J988" s="261"/>
      <c r="K988" s="261"/>
      <c r="L988" s="261"/>
      <c r="M988" s="261"/>
      <c r="N988" s="261"/>
      <c r="O988" s="261"/>
      <c r="P988" s="261"/>
      <c r="Q988" s="261"/>
      <c r="R988" s="261"/>
      <c r="S988" s="261"/>
    </row>
    <row r="989" spans="1:19">
      <c r="A989" s="295"/>
      <c r="B989" s="259" t="s">
        <v>89</v>
      </c>
      <c r="C989" s="258"/>
      <c r="D989" s="261"/>
      <c r="E989" s="261"/>
      <c r="F989" s="261"/>
      <c r="G989" s="261"/>
      <c r="H989" s="261"/>
      <c r="I989" s="261"/>
      <c r="J989" s="261"/>
      <c r="K989" s="261"/>
      <c r="L989" s="261"/>
      <c r="M989" s="261"/>
      <c r="N989" s="261"/>
      <c r="O989" s="261"/>
      <c r="P989" s="261"/>
      <c r="Q989" s="261"/>
      <c r="R989" s="261"/>
      <c r="S989" s="261"/>
    </row>
    <row r="990" spans="1:19">
      <c r="A990" s="296"/>
      <c r="B990" s="267" t="s">
        <v>90</v>
      </c>
      <c r="C990" s="258"/>
      <c r="D990" s="261"/>
      <c r="E990" s="261"/>
      <c r="F990" s="261"/>
      <c r="G990" s="261"/>
      <c r="H990" s="261"/>
      <c r="I990" s="261"/>
      <c r="J990" s="261"/>
      <c r="K990" s="261"/>
      <c r="L990" s="261"/>
      <c r="M990" s="261"/>
      <c r="N990" s="261"/>
      <c r="O990" s="261"/>
      <c r="P990" s="261"/>
      <c r="Q990" s="261"/>
      <c r="R990" s="261"/>
      <c r="S990" s="261"/>
    </row>
    <row r="991" spans="1:19">
      <c r="A991" s="295">
        <v>46148</v>
      </c>
      <c r="B991" s="259" t="s">
        <v>88</v>
      </c>
      <c r="C991" s="258"/>
      <c r="D991" s="261"/>
      <c r="E991" s="261"/>
      <c r="F991" s="261"/>
      <c r="G991" s="261"/>
      <c r="H991" s="261"/>
      <c r="I991" s="261"/>
      <c r="J991" s="261"/>
      <c r="K991" s="261"/>
      <c r="L991" s="261"/>
      <c r="M991" s="261"/>
      <c r="N991" s="261"/>
      <c r="O991" s="261"/>
      <c r="P991" s="261"/>
      <c r="Q991" s="261"/>
      <c r="R991" s="261"/>
      <c r="S991" s="261"/>
    </row>
    <row r="992" spans="1:19">
      <c r="A992" s="295"/>
      <c r="B992" s="259" t="s">
        <v>89</v>
      </c>
      <c r="C992" s="258"/>
      <c r="D992" s="261"/>
      <c r="E992" s="261"/>
      <c r="F992" s="261"/>
      <c r="G992" s="261"/>
      <c r="H992" s="261"/>
      <c r="I992" s="261"/>
      <c r="J992" s="261"/>
      <c r="K992" s="261"/>
      <c r="L992" s="261"/>
      <c r="M992" s="261"/>
      <c r="N992" s="261"/>
      <c r="O992" s="261"/>
      <c r="P992" s="261"/>
      <c r="Q992" s="261"/>
      <c r="R992" s="261"/>
      <c r="S992" s="261"/>
    </row>
    <row r="993" spans="1:19">
      <c r="A993" s="296"/>
      <c r="B993" s="267" t="s">
        <v>90</v>
      </c>
      <c r="C993" s="258"/>
      <c r="D993" s="261"/>
      <c r="E993" s="261"/>
      <c r="F993" s="261"/>
      <c r="G993" s="261"/>
      <c r="H993" s="261"/>
      <c r="I993" s="261"/>
      <c r="J993" s="261"/>
      <c r="K993" s="261"/>
      <c r="L993" s="261"/>
      <c r="M993" s="261"/>
      <c r="N993" s="261"/>
      <c r="O993" s="261"/>
      <c r="P993" s="261"/>
      <c r="Q993" s="261"/>
      <c r="R993" s="261"/>
      <c r="S993" s="261"/>
    </row>
    <row r="994" spans="1:19">
      <c r="A994" s="295">
        <v>46149</v>
      </c>
      <c r="B994" s="259" t="s">
        <v>88</v>
      </c>
      <c r="C994" s="258"/>
      <c r="D994" s="261"/>
      <c r="E994" s="261"/>
      <c r="F994" s="261"/>
      <c r="G994" s="261"/>
      <c r="H994" s="261"/>
      <c r="I994" s="261"/>
      <c r="J994" s="261"/>
      <c r="K994" s="261"/>
      <c r="L994" s="261"/>
      <c r="M994" s="261"/>
      <c r="N994" s="261"/>
      <c r="O994" s="261"/>
      <c r="P994" s="261"/>
      <c r="Q994" s="261"/>
      <c r="R994" s="261"/>
      <c r="S994" s="261"/>
    </row>
    <row r="995" spans="1:19">
      <c r="A995" s="295"/>
      <c r="B995" s="259" t="s">
        <v>89</v>
      </c>
      <c r="C995" s="258"/>
      <c r="D995" s="261"/>
      <c r="E995" s="261"/>
      <c r="F995" s="261"/>
      <c r="G995" s="261"/>
      <c r="H995" s="261"/>
      <c r="I995" s="261"/>
      <c r="J995" s="261"/>
      <c r="K995" s="261"/>
      <c r="L995" s="261"/>
      <c r="M995" s="261"/>
      <c r="N995" s="261"/>
      <c r="O995" s="261"/>
      <c r="P995" s="261"/>
      <c r="Q995" s="261"/>
      <c r="R995" s="261"/>
      <c r="S995" s="261"/>
    </row>
    <row r="996" spans="1:19">
      <c r="A996" s="296"/>
      <c r="B996" s="267" t="s">
        <v>90</v>
      </c>
      <c r="C996" s="258"/>
      <c r="D996" s="261"/>
      <c r="E996" s="261"/>
      <c r="F996" s="261"/>
      <c r="G996" s="261"/>
      <c r="H996" s="261"/>
      <c r="I996" s="261"/>
      <c r="J996" s="261"/>
      <c r="K996" s="261"/>
      <c r="L996" s="261"/>
      <c r="M996" s="261"/>
      <c r="N996" s="261"/>
      <c r="O996" s="261"/>
      <c r="P996" s="261"/>
      <c r="Q996" s="261"/>
      <c r="R996" s="261"/>
      <c r="S996" s="261"/>
    </row>
    <row r="997" spans="1:19">
      <c r="A997" s="295">
        <v>46150</v>
      </c>
      <c r="B997" s="259" t="s">
        <v>88</v>
      </c>
      <c r="C997" s="258"/>
      <c r="D997" s="261"/>
      <c r="E997" s="261"/>
      <c r="F997" s="261"/>
      <c r="G997" s="261"/>
      <c r="H997" s="261"/>
      <c r="I997" s="261"/>
      <c r="J997" s="261"/>
      <c r="K997" s="261"/>
      <c r="L997" s="261"/>
      <c r="M997" s="261"/>
      <c r="N997" s="261"/>
      <c r="O997" s="261"/>
      <c r="P997" s="261"/>
      <c r="Q997" s="261"/>
      <c r="R997" s="261"/>
      <c r="S997" s="261"/>
    </row>
    <row r="998" spans="1:19">
      <c r="A998" s="295"/>
      <c r="B998" s="259" t="s">
        <v>89</v>
      </c>
      <c r="C998" s="258"/>
      <c r="D998" s="261"/>
      <c r="E998" s="261"/>
      <c r="F998" s="261"/>
      <c r="G998" s="261"/>
      <c r="H998" s="261"/>
      <c r="I998" s="261"/>
      <c r="J998" s="261"/>
      <c r="K998" s="261"/>
      <c r="L998" s="261"/>
      <c r="M998" s="261"/>
      <c r="N998" s="261"/>
      <c r="O998" s="261"/>
      <c r="P998" s="261"/>
      <c r="Q998" s="261"/>
      <c r="R998" s="261"/>
      <c r="S998" s="261"/>
    </row>
    <row r="999" spans="1:19">
      <c r="A999" s="296"/>
      <c r="B999" s="267" t="s">
        <v>90</v>
      </c>
      <c r="C999" s="258"/>
      <c r="D999" s="261"/>
      <c r="E999" s="261"/>
      <c r="F999" s="261"/>
      <c r="G999" s="261"/>
      <c r="H999" s="261"/>
      <c r="I999" s="261"/>
      <c r="J999" s="261"/>
      <c r="K999" s="261"/>
      <c r="L999" s="261"/>
      <c r="M999" s="261"/>
      <c r="N999" s="261"/>
      <c r="O999" s="261"/>
      <c r="P999" s="261"/>
      <c r="Q999" s="261"/>
      <c r="R999" s="261"/>
      <c r="S999" s="261"/>
    </row>
    <row r="1000" spans="1:19">
      <c r="A1000" s="295">
        <v>46151</v>
      </c>
      <c r="B1000" s="259" t="s">
        <v>88</v>
      </c>
      <c r="C1000" s="258"/>
      <c r="D1000" s="261"/>
      <c r="E1000" s="261"/>
      <c r="F1000" s="261"/>
      <c r="G1000" s="261"/>
      <c r="H1000" s="261"/>
      <c r="I1000" s="261"/>
      <c r="J1000" s="261"/>
      <c r="K1000" s="261"/>
      <c r="L1000" s="261"/>
      <c r="M1000" s="261"/>
      <c r="N1000" s="261"/>
      <c r="O1000" s="261"/>
      <c r="P1000" s="261"/>
      <c r="Q1000" s="261"/>
      <c r="R1000" s="261"/>
      <c r="S1000" s="261"/>
    </row>
    <row r="1001" spans="1:19">
      <c r="A1001" s="295"/>
      <c r="B1001" s="259" t="s">
        <v>89</v>
      </c>
      <c r="C1001" s="258"/>
      <c r="D1001" s="261"/>
      <c r="E1001" s="261"/>
      <c r="F1001" s="261"/>
      <c r="G1001" s="261"/>
      <c r="H1001" s="261"/>
      <c r="I1001" s="261"/>
      <c r="J1001" s="261"/>
      <c r="K1001" s="261"/>
      <c r="L1001" s="261"/>
      <c r="M1001" s="261"/>
      <c r="N1001" s="261"/>
      <c r="O1001" s="261"/>
      <c r="P1001" s="261"/>
      <c r="Q1001" s="261"/>
      <c r="R1001" s="261"/>
      <c r="S1001" s="261"/>
    </row>
    <row r="1002" spans="1:19">
      <c r="A1002" s="296"/>
      <c r="B1002" s="267" t="s">
        <v>90</v>
      </c>
      <c r="C1002" s="258"/>
      <c r="D1002" s="261"/>
      <c r="E1002" s="261"/>
      <c r="F1002" s="261"/>
      <c r="G1002" s="261"/>
      <c r="H1002" s="261"/>
      <c r="I1002" s="261"/>
      <c r="J1002" s="261"/>
      <c r="K1002" s="261"/>
      <c r="L1002" s="261"/>
      <c r="M1002" s="261"/>
      <c r="N1002" s="261"/>
      <c r="O1002" s="261"/>
      <c r="P1002" s="261"/>
      <c r="Q1002" s="261"/>
      <c r="R1002" s="261"/>
      <c r="S1002" s="261"/>
    </row>
    <row r="1003" spans="1:19">
      <c r="A1003" s="295">
        <v>46152</v>
      </c>
      <c r="B1003" s="259" t="s">
        <v>88</v>
      </c>
      <c r="C1003" s="258"/>
      <c r="D1003" s="261"/>
      <c r="E1003" s="261"/>
      <c r="F1003" s="261"/>
      <c r="G1003" s="261"/>
      <c r="H1003" s="261"/>
      <c r="I1003" s="261"/>
      <c r="J1003" s="261"/>
      <c r="K1003" s="261"/>
      <c r="L1003" s="261"/>
      <c r="M1003" s="261"/>
      <c r="N1003" s="261"/>
      <c r="O1003" s="261"/>
      <c r="P1003" s="261"/>
      <c r="Q1003" s="261"/>
      <c r="R1003" s="261"/>
      <c r="S1003" s="261"/>
    </row>
    <row r="1004" spans="1:19">
      <c r="A1004" s="295"/>
      <c r="B1004" s="259" t="s">
        <v>89</v>
      </c>
      <c r="C1004" s="258"/>
      <c r="D1004" s="261"/>
      <c r="E1004" s="261"/>
      <c r="F1004" s="261"/>
      <c r="G1004" s="261"/>
      <c r="H1004" s="261"/>
      <c r="I1004" s="261"/>
      <c r="J1004" s="261"/>
      <c r="K1004" s="261"/>
      <c r="L1004" s="261"/>
      <c r="M1004" s="261"/>
      <c r="N1004" s="261"/>
      <c r="O1004" s="261"/>
      <c r="P1004" s="261"/>
      <c r="Q1004" s="261"/>
      <c r="R1004" s="261"/>
      <c r="S1004" s="261"/>
    </row>
    <row r="1005" spans="1:19">
      <c r="A1005" s="296"/>
      <c r="B1005" s="267" t="s">
        <v>90</v>
      </c>
      <c r="C1005" s="258"/>
      <c r="D1005" s="261"/>
      <c r="E1005" s="261"/>
      <c r="F1005" s="261"/>
      <c r="G1005" s="261"/>
      <c r="H1005" s="261"/>
      <c r="I1005" s="261"/>
      <c r="J1005" s="261"/>
      <c r="K1005" s="261"/>
      <c r="L1005" s="261"/>
      <c r="M1005" s="261"/>
      <c r="N1005" s="261"/>
      <c r="O1005" s="261"/>
      <c r="P1005" s="261"/>
      <c r="Q1005" s="261"/>
      <c r="R1005" s="261"/>
      <c r="S1005" s="261"/>
    </row>
    <row r="1006" spans="1:19">
      <c r="A1006" s="295">
        <v>46153</v>
      </c>
      <c r="B1006" s="259" t="s">
        <v>88</v>
      </c>
      <c r="C1006" s="258"/>
      <c r="D1006" s="261"/>
      <c r="E1006" s="261"/>
      <c r="F1006" s="261"/>
      <c r="G1006" s="261"/>
      <c r="H1006" s="261"/>
      <c r="I1006" s="261"/>
      <c r="J1006" s="261"/>
      <c r="K1006" s="261"/>
      <c r="L1006" s="261"/>
      <c r="M1006" s="261"/>
      <c r="N1006" s="261"/>
      <c r="O1006" s="261"/>
      <c r="P1006" s="261"/>
      <c r="Q1006" s="261"/>
      <c r="R1006" s="261"/>
      <c r="S1006" s="261"/>
    </row>
    <row r="1007" spans="1:19">
      <c r="A1007" s="295"/>
      <c r="B1007" s="259" t="s">
        <v>89</v>
      </c>
      <c r="C1007" s="258"/>
      <c r="D1007" s="261"/>
      <c r="E1007" s="261"/>
      <c r="F1007" s="261"/>
      <c r="G1007" s="261"/>
      <c r="H1007" s="261"/>
      <c r="I1007" s="261"/>
      <c r="J1007" s="261"/>
      <c r="K1007" s="261"/>
      <c r="L1007" s="261"/>
      <c r="M1007" s="261"/>
      <c r="N1007" s="261"/>
      <c r="O1007" s="261"/>
      <c r="P1007" s="261"/>
      <c r="Q1007" s="261"/>
      <c r="R1007" s="261"/>
      <c r="S1007" s="261"/>
    </row>
    <row r="1008" spans="1:19">
      <c r="A1008" s="296"/>
      <c r="B1008" s="267" t="s">
        <v>90</v>
      </c>
      <c r="C1008" s="258"/>
      <c r="D1008" s="261"/>
      <c r="E1008" s="261"/>
      <c r="F1008" s="261"/>
      <c r="G1008" s="261"/>
      <c r="H1008" s="261"/>
      <c r="I1008" s="261"/>
      <c r="J1008" s="261"/>
      <c r="K1008" s="261"/>
      <c r="L1008" s="261"/>
      <c r="M1008" s="261"/>
      <c r="N1008" s="261"/>
      <c r="O1008" s="261"/>
      <c r="P1008" s="261"/>
      <c r="Q1008" s="261"/>
      <c r="R1008" s="261"/>
      <c r="S1008" s="261"/>
    </row>
    <row r="1009" spans="1:19">
      <c r="A1009" s="295">
        <v>46154</v>
      </c>
      <c r="B1009" s="259" t="s">
        <v>88</v>
      </c>
      <c r="C1009" s="258"/>
      <c r="D1009" s="261"/>
      <c r="E1009" s="261"/>
      <c r="F1009" s="261"/>
      <c r="G1009" s="261"/>
      <c r="H1009" s="261"/>
      <c r="I1009" s="261"/>
      <c r="J1009" s="261"/>
      <c r="K1009" s="261"/>
      <c r="L1009" s="261"/>
      <c r="M1009" s="261"/>
      <c r="N1009" s="261"/>
      <c r="O1009" s="261"/>
      <c r="P1009" s="261"/>
      <c r="Q1009" s="261"/>
      <c r="R1009" s="261"/>
      <c r="S1009" s="261"/>
    </row>
    <row r="1010" spans="1:19">
      <c r="A1010" s="295"/>
      <c r="B1010" s="259" t="s">
        <v>89</v>
      </c>
      <c r="C1010" s="258"/>
      <c r="D1010" s="261"/>
      <c r="E1010" s="261"/>
      <c r="F1010" s="261"/>
      <c r="G1010" s="261"/>
      <c r="H1010" s="261"/>
      <c r="I1010" s="261"/>
      <c r="J1010" s="261"/>
      <c r="K1010" s="261"/>
      <c r="L1010" s="261"/>
      <c r="M1010" s="261"/>
      <c r="N1010" s="261"/>
      <c r="O1010" s="261"/>
      <c r="P1010" s="261"/>
      <c r="Q1010" s="261"/>
      <c r="R1010" s="261"/>
      <c r="S1010" s="261"/>
    </row>
    <row r="1011" spans="1:19">
      <c r="A1011" s="296"/>
      <c r="B1011" s="267" t="s">
        <v>90</v>
      </c>
      <c r="C1011" s="258"/>
      <c r="D1011" s="261"/>
      <c r="E1011" s="261"/>
      <c r="F1011" s="261"/>
      <c r="G1011" s="261"/>
      <c r="H1011" s="261"/>
      <c r="I1011" s="261"/>
      <c r="J1011" s="261"/>
      <c r="K1011" s="261"/>
      <c r="L1011" s="261"/>
      <c r="M1011" s="261"/>
      <c r="N1011" s="261"/>
      <c r="O1011" s="261"/>
      <c r="P1011" s="261"/>
      <c r="Q1011" s="261"/>
      <c r="R1011" s="261"/>
      <c r="S1011" s="261"/>
    </row>
    <row r="1012" spans="1:19">
      <c r="A1012" s="295">
        <v>46155</v>
      </c>
      <c r="B1012" s="259" t="s">
        <v>88</v>
      </c>
      <c r="C1012" s="258"/>
      <c r="D1012" s="261"/>
      <c r="E1012" s="261"/>
      <c r="F1012" s="261"/>
      <c r="G1012" s="261"/>
      <c r="H1012" s="261"/>
      <c r="I1012" s="261"/>
      <c r="J1012" s="261"/>
      <c r="K1012" s="261"/>
      <c r="L1012" s="261"/>
      <c r="M1012" s="261"/>
      <c r="N1012" s="261"/>
      <c r="O1012" s="261"/>
      <c r="P1012" s="261"/>
      <c r="Q1012" s="261"/>
      <c r="R1012" s="261"/>
      <c r="S1012" s="261"/>
    </row>
    <row r="1013" spans="1:19">
      <c r="A1013" s="295"/>
      <c r="B1013" s="259" t="s">
        <v>89</v>
      </c>
      <c r="C1013" s="258"/>
      <c r="D1013" s="261"/>
      <c r="E1013" s="261"/>
      <c r="F1013" s="261"/>
      <c r="G1013" s="261"/>
      <c r="H1013" s="261"/>
      <c r="I1013" s="261"/>
      <c r="J1013" s="261"/>
      <c r="K1013" s="261"/>
      <c r="L1013" s="261"/>
      <c r="M1013" s="261"/>
      <c r="N1013" s="261"/>
      <c r="O1013" s="261"/>
      <c r="P1013" s="261"/>
      <c r="Q1013" s="261"/>
      <c r="R1013" s="261"/>
      <c r="S1013" s="261"/>
    </row>
    <row r="1014" spans="1:19">
      <c r="A1014" s="296"/>
      <c r="B1014" s="267" t="s">
        <v>90</v>
      </c>
      <c r="C1014" s="258"/>
      <c r="D1014" s="261"/>
      <c r="E1014" s="261"/>
      <c r="F1014" s="261"/>
      <c r="G1014" s="261"/>
      <c r="H1014" s="261"/>
      <c r="I1014" s="261"/>
      <c r="J1014" s="261"/>
      <c r="K1014" s="261"/>
      <c r="L1014" s="261"/>
      <c r="M1014" s="261"/>
      <c r="N1014" s="261"/>
      <c r="O1014" s="261"/>
      <c r="P1014" s="261"/>
      <c r="Q1014" s="261"/>
      <c r="R1014" s="261"/>
      <c r="S1014" s="261"/>
    </row>
    <row r="1015" spans="1:19">
      <c r="A1015" s="295">
        <v>46156</v>
      </c>
      <c r="B1015" s="259" t="s">
        <v>88</v>
      </c>
      <c r="C1015" s="258"/>
      <c r="D1015" s="261"/>
      <c r="E1015" s="261"/>
      <c r="F1015" s="261"/>
      <c r="G1015" s="261"/>
      <c r="H1015" s="261"/>
      <c r="I1015" s="261"/>
      <c r="J1015" s="261"/>
      <c r="K1015" s="261"/>
      <c r="L1015" s="261"/>
      <c r="M1015" s="261"/>
      <c r="N1015" s="261"/>
      <c r="O1015" s="261"/>
      <c r="P1015" s="261"/>
      <c r="Q1015" s="261"/>
      <c r="R1015" s="261"/>
      <c r="S1015" s="261"/>
    </row>
    <row r="1016" spans="1:19">
      <c r="A1016" s="295"/>
      <c r="B1016" s="259" t="s">
        <v>89</v>
      </c>
      <c r="C1016" s="258"/>
      <c r="D1016" s="261"/>
      <c r="E1016" s="261"/>
      <c r="F1016" s="261"/>
      <c r="G1016" s="261"/>
      <c r="H1016" s="261"/>
      <c r="I1016" s="261"/>
      <c r="J1016" s="261"/>
      <c r="K1016" s="261"/>
      <c r="L1016" s="261"/>
      <c r="M1016" s="261"/>
      <c r="N1016" s="261"/>
      <c r="O1016" s="261"/>
      <c r="P1016" s="261"/>
      <c r="Q1016" s="261"/>
      <c r="R1016" s="261"/>
      <c r="S1016" s="261"/>
    </row>
    <row r="1017" spans="1:19">
      <c r="A1017" s="296"/>
      <c r="B1017" s="267" t="s">
        <v>90</v>
      </c>
      <c r="C1017" s="258"/>
      <c r="D1017" s="261"/>
      <c r="E1017" s="261"/>
      <c r="F1017" s="261"/>
      <c r="G1017" s="261"/>
      <c r="H1017" s="261"/>
      <c r="I1017" s="261"/>
      <c r="J1017" s="261"/>
      <c r="K1017" s="261"/>
      <c r="L1017" s="261"/>
      <c r="M1017" s="261"/>
      <c r="N1017" s="261"/>
      <c r="O1017" s="261"/>
      <c r="P1017" s="261"/>
      <c r="Q1017" s="261"/>
      <c r="R1017" s="261"/>
      <c r="S1017" s="261"/>
    </row>
    <row r="1018" spans="1:19">
      <c r="A1018" s="295">
        <v>46157</v>
      </c>
      <c r="B1018" s="259" t="s">
        <v>88</v>
      </c>
      <c r="C1018" s="258"/>
      <c r="D1018" s="261"/>
      <c r="E1018" s="261"/>
      <c r="F1018" s="261"/>
      <c r="G1018" s="261"/>
      <c r="H1018" s="261"/>
      <c r="I1018" s="261"/>
      <c r="J1018" s="261"/>
      <c r="K1018" s="261"/>
      <c r="L1018" s="261"/>
      <c r="M1018" s="261"/>
      <c r="N1018" s="261"/>
      <c r="O1018" s="261"/>
      <c r="P1018" s="261"/>
      <c r="Q1018" s="261"/>
      <c r="R1018" s="261"/>
      <c r="S1018" s="261"/>
    </row>
    <row r="1019" spans="1:19">
      <c r="A1019" s="295"/>
      <c r="B1019" s="259" t="s">
        <v>89</v>
      </c>
      <c r="C1019" s="258"/>
      <c r="D1019" s="261"/>
      <c r="E1019" s="261"/>
      <c r="F1019" s="261"/>
      <c r="G1019" s="261"/>
      <c r="H1019" s="261"/>
      <c r="I1019" s="261"/>
      <c r="J1019" s="261"/>
      <c r="K1019" s="261"/>
      <c r="L1019" s="261"/>
      <c r="M1019" s="261"/>
      <c r="N1019" s="261"/>
      <c r="O1019" s="261"/>
      <c r="P1019" s="261"/>
      <c r="Q1019" s="261"/>
      <c r="R1019" s="261"/>
      <c r="S1019" s="261"/>
    </row>
    <row r="1020" spans="1:19">
      <c r="A1020" s="296"/>
      <c r="B1020" s="267" t="s">
        <v>90</v>
      </c>
      <c r="C1020" s="258"/>
      <c r="D1020" s="261"/>
      <c r="E1020" s="261"/>
      <c r="F1020" s="261"/>
      <c r="G1020" s="261"/>
      <c r="H1020" s="261"/>
      <c r="I1020" s="261"/>
      <c r="J1020" s="261"/>
      <c r="K1020" s="261"/>
      <c r="L1020" s="261"/>
      <c r="M1020" s="261"/>
      <c r="N1020" s="261"/>
      <c r="O1020" s="261"/>
      <c r="P1020" s="261"/>
      <c r="Q1020" s="261"/>
      <c r="R1020" s="261"/>
      <c r="S1020" s="261"/>
    </row>
    <row r="1021" spans="1:19">
      <c r="A1021" s="295">
        <v>46158</v>
      </c>
      <c r="B1021" s="259" t="s">
        <v>88</v>
      </c>
      <c r="C1021" s="258"/>
      <c r="D1021" s="261"/>
      <c r="E1021" s="261"/>
      <c r="F1021" s="261"/>
      <c r="G1021" s="261"/>
      <c r="H1021" s="261"/>
      <c r="I1021" s="261"/>
      <c r="J1021" s="261"/>
      <c r="K1021" s="261"/>
      <c r="L1021" s="261"/>
      <c r="M1021" s="261"/>
      <c r="N1021" s="261"/>
      <c r="O1021" s="261"/>
      <c r="P1021" s="261"/>
      <c r="Q1021" s="261"/>
      <c r="R1021" s="261"/>
      <c r="S1021" s="261"/>
    </row>
    <row r="1022" spans="1:19">
      <c r="A1022" s="295"/>
      <c r="B1022" s="259" t="s">
        <v>89</v>
      </c>
      <c r="C1022" s="258"/>
      <c r="D1022" s="261"/>
      <c r="E1022" s="261"/>
      <c r="F1022" s="261"/>
      <c r="G1022" s="261"/>
      <c r="H1022" s="261"/>
      <c r="I1022" s="261"/>
      <c r="J1022" s="261"/>
      <c r="K1022" s="261"/>
      <c r="L1022" s="261"/>
      <c r="M1022" s="261"/>
      <c r="N1022" s="261"/>
      <c r="O1022" s="261"/>
      <c r="P1022" s="261"/>
      <c r="Q1022" s="261"/>
      <c r="R1022" s="261"/>
      <c r="S1022" s="261"/>
    </row>
    <row r="1023" spans="1:19">
      <c r="A1023" s="296"/>
      <c r="B1023" s="267" t="s">
        <v>90</v>
      </c>
      <c r="C1023" s="258"/>
      <c r="D1023" s="261"/>
      <c r="E1023" s="261"/>
      <c r="F1023" s="261"/>
      <c r="G1023" s="261"/>
      <c r="H1023" s="261"/>
      <c r="I1023" s="261"/>
      <c r="J1023" s="261"/>
      <c r="K1023" s="261"/>
      <c r="L1023" s="261"/>
      <c r="M1023" s="261"/>
      <c r="N1023" s="261"/>
      <c r="O1023" s="261"/>
      <c r="P1023" s="261"/>
      <c r="Q1023" s="261"/>
      <c r="R1023" s="261"/>
      <c r="S1023" s="261"/>
    </row>
    <row r="1024" spans="1:19">
      <c r="A1024" s="295">
        <v>46159</v>
      </c>
      <c r="B1024" s="259" t="s">
        <v>88</v>
      </c>
      <c r="C1024" s="258"/>
      <c r="D1024" s="261"/>
      <c r="E1024" s="261"/>
      <c r="F1024" s="261"/>
      <c r="G1024" s="261"/>
      <c r="H1024" s="261"/>
      <c r="I1024" s="261"/>
      <c r="J1024" s="261"/>
      <c r="K1024" s="261"/>
      <c r="L1024" s="261"/>
      <c r="M1024" s="261"/>
      <c r="N1024" s="261"/>
      <c r="O1024" s="261"/>
      <c r="P1024" s="261"/>
      <c r="Q1024" s="261"/>
      <c r="R1024" s="261"/>
      <c r="S1024" s="261"/>
    </row>
    <row r="1025" spans="1:19">
      <c r="A1025" s="295"/>
      <c r="B1025" s="259" t="s">
        <v>89</v>
      </c>
      <c r="C1025" s="258"/>
      <c r="D1025" s="261"/>
      <c r="E1025" s="261"/>
      <c r="F1025" s="261"/>
      <c r="G1025" s="261"/>
      <c r="H1025" s="261"/>
      <c r="I1025" s="261"/>
      <c r="J1025" s="261"/>
      <c r="K1025" s="261"/>
      <c r="L1025" s="261"/>
      <c r="M1025" s="261"/>
      <c r="N1025" s="261"/>
      <c r="O1025" s="261"/>
      <c r="P1025" s="261"/>
      <c r="Q1025" s="261"/>
      <c r="R1025" s="261"/>
      <c r="S1025" s="261"/>
    </row>
    <row r="1026" spans="1:19">
      <c r="A1026" s="296"/>
      <c r="B1026" s="267" t="s">
        <v>90</v>
      </c>
      <c r="C1026" s="258"/>
      <c r="D1026" s="261"/>
      <c r="E1026" s="261"/>
      <c r="F1026" s="261"/>
      <c r="G1026" s="261"/>
      <c r="H1026" s="261"/>
      <c r="I1026" s="261"/>
      <c r="J1026" s="261"/>
      <c r="K1026" s="261"/>
      <c r="L1026" s="261"/>
      <c r="M1026" s="261"/>
      <c r="N1026" s="261"/>
      <c r="O1026" s="261"/>
      <c r="P1026" s="261"/>
      <c r="Q1026" s="261"/>
      <c r="R1026" s="261"/>
      <c r="S1026" s="261"/>
    </row>
    <row r="1027" spans="1:19">
      <c r="A1027" s="295">
        <v>46160</v>
      </c>
      <c r="B1027" s="259" t="s">
        <v>88</v>
      </c>
      <c r="C1027" s="258"/>
      <c r="D1027" s="261"/>
      <c r="E1027" s="261"/>
      <c r="F1027" s="261"/>
      <c r="G1027" s="261"/>
      <c r="H1027" s="261"/>
      <c r="I1027" s="261"/>
      <c r="J1027" s="261"/>
      <c r="K1027" s="261"/>
      <c r="L1027" s="261"/>
      <c r="M1027" s="261"/>
      <c r="N1027" s="261"/>
      <c r="O1027" s="261"/>
      <c r="P1027" s="261"/>
      <c r="Q1027" s="261"/>
      <c r="R1027" s="261"/>
      <c r="S1027" s="261"/>
    </row>
    <row r="1028" spans="1:19">
      <c r="A1028" s="295"/>
      <c r="B1028" s="259" t="s">
        <v>89</v>
      </c>
      <c r="C1028" s="258"/>
      <c r="D1028" s="261"/>
      <c r="E1028" s="261"/>
      <c r="F1028" s="261"/>
      <c r="G1028" s="261"/>
      <c r="H1028" s="261"/>
      <c r="I1028" s="261"/>
      <c r="J1028" s="261"/>
      <c r="K1028" s="261"/>
      <c r="L1028" s="261"/>
      <c r="M1028" s="261"/>
      <c r="N1028" s="261"/>
      <c r="O1028" s="261"/>
      <c r="P1028" s="261"/>
      <c r="Q1028" s="261"/>
      <c r="R1028" s="261"/>
      <c r="S1028" s="261"/>
    </row>
    <row r="1029" spans="1:19">
      <c r="A1029" s="296"/>
      <c r="B1029" s="267" t="s">
        <v>90</v>
      </c>
      <c r="C1029" s="258"/>
      <c r="D1029" s="261"/>
      <c r="E1029" s="261"/>
      <c r="F1029" s="261"/>
      <c r="G1029" s="261"/>
      <c r="H1029" s="261"/>
      <c r="I1029" s="261"/>
      <c r="J1029" s="261"/>
      <c r="K1029" s="261"/>
      <c r="L1029" s="261"/>
      <c r="M1029" s="261"/>
      <c r="N1029" s="261"/>
      <c r="O1029" s="261"/>
      <c r="P1029" s="261"/>
      <c r="Q1029" s="261"/>
      <c r="R1029" s="261"/>
      <c r="S1029" s="261"/>
    </row>
    <row r="1030" spans="1:19">
      <c r="A1030" s="295">
        <v>46161</v>
      </c>
      <c r="B1030" s="259" t="s">
        <v>88</v>
      </c>
      <c r="C1030" s="258"/>
      <c r="D1030" s="261"/>
      <c r="E1030" s="261"/>
      <c r="F1030" s="261"/>
      <c r="G1030" s="261"/>
      <c r="H1030" s="261"/>
      <c r="I1030" s="261"/>
      <c r="J1030" s="261"/>
      <c r="K1030" s="261"/>
      <c r="L1030" s="261"/>
      <c r="M1030" s="261"/>
      <c r="N1030" s="261"/>
      <c r="O1030" s="261"/>
      <c r="P1030" s="261"/>
      <c r="Q1030" s="261"/>
      <c r="R1030" s="261"/>
      <c r="S1030" s="261"/>
    </row>
    <row r="1031" spans="1:19">
      <c r="A1031" s="295"/>
      <c r="B1031" s="259" t="s">
        <v>89</v>
      </c>
      <c r="C1031" s="258"/>
      <c r="D1031" s="261"/>
      <c r="E1031" s="261"/>
      <c r="F1031" s="261"/>
      <c r="G1031" s="261"/>
      <c r="H1031" s="261"/>
      <c r="I1031" s="261"/>
      <c r="J1031" s="261"/>
      <c r="K1031" s="261"/>
      <c r="L1031" s="261"/>
      <c r="M1031" s="261"/>
      <c r="N1031" s="261"/>
      <c r="O1031" s="261"/>
      <c r="P1031" s="261"/>
      <c r="Q1031" s="261"/>
      <c r="R1031" s="261"/>
      <c r="S1031" s="261"/>
    </row>
    <row r="1032" spans="1:19">
      <c r="A1032" s="296"/>
      <c r="B1032" s="267" t="s">
        <v>90</v>
      </c>
      <c r="C1032" s="258"/>
      <c r="D1032" s="261"/>
      <c r="E1032" s="261"/>
      <c r="F1032" s="261"/>
      <c r="G1032" s="261"/>
      <c r="H1032" s="261"/>
      <c r="I1032" s="261"/>
      <c r="J1032" s="261"/>
      <c r="K1032" s="261"/>
      <c r="L1032" s="261"/>
      <c r="M1032" s="261"/>
      <c r="N1032" s="261"/>
      <c r="O1032" s="261"/>
      <c r="P1032" s="261"/>
      <c r="Q1032" s="261"/>
      <c r="R1032" s="261"/>
      <c r="S1032" s="261"/>
    </row>
    <row r="1033" spans="1:19">
      <c r="A1033" s="295">
        <v>46162</v>
      </c>
      <c r="B1033" s="259" t="s">
        <v>88</v>
      </c>
      <c r="C1033" s="258"/>
      <c r="D1033" s="261"/>
      <c r="E1033" s="261"/>
      <c r="F1033" s="261"/>
      <c r="G1033" s="261"/>
      <c r="H1033" s="261"/>
      <c r="I1033" s="261"/>
      <c r="J1033" s="261"/>
      <c r="K1033" s="261"/>
      <c r="L1033" s="261"/>
      <c r="M1033" s="261"/>
      <c r="N1033" s="261"/>
      <c r="O1033" s="261"/>
      <c r="P1033" s="261"/>
      <c r="Q1033" s="261"/>
      <c r="R1033" s="261"/>
      <c r="S1033" s="261"/>
    </row>
    <row r="1034" spans="1:19">
      <c r="A1034" s="295"/>
      <c r="B1034" s="259" t="s">
        <v>89</v>
      </c>
      <c r="C1034" s="258"/>
      <c r="D1034" s="261"/>
      <c r="E1034" s="261"/>
      <c r="F1034" s="261"/>
      <c r="G1034" s="261"/>
      <c r="H1034" s="261"/>
      <c r="I1034" s="261"/>
      <c r="J1034" s="261"/>
      <c r="K1034" s="261"/>
      <c r="L1034" s="261"/>
      <c r="M1034" s="261"/>
      <c r="N1034" s="261"/>
      <c r="O1034" s="261"/>
      <c r="P1034" s="261"/>
      <c r="Q1034" s="261"/>
      <c r="R1034" s="261"/>
      <c r="S1034" s="261"/>
    </row>
    <row r="1035" spans="1:19">
      <c r="A1035" s="296"/>
      <c r="B1035" s="267" t="s">
        <v>90</v>
      </c>
      <c r="C1035" s="258"/>
      <c r="D1035" s="261"/>
      <c r="E1035" s="261"/>
      <c r="F1035" s="261"/>
      <c r="G1035" s="261"/>
      <c r="H1035" s="261"/>
      <c r="I1035" s="261"/>
      <c r="J1035" s="261"/>
      <c r="K1035" s="261"/>
      <c r="L1035" s="261"/>
      <c r="M1035" s="261"/>
      <c r="N1035" s="261"/>
      <c r="O1035" s="261"/>
      <c r="P1035" s="261"/>
      <c r="Q1035" s="261"/>
      <c r="R1035" s="261"/>
      <c r="S1035" s="261"/>
    </row>
    <row r="1036" spans="1:19">
      <c r="A1036" s="295">
        <v>46163</v>
      </c>
      <c r="B1036" s="259" t="s">
        <v>88</v>
      </c>
      <c r="C1036" s="258"/>
      <c r="D1036" s="261"/>
      <c r="E1036" s="261"/>
      <c r="F1036" s="261"/>
      <c r="G1036" s="261"/>
      <c r="H1036" s="261"/>
      <c r="I1036" s="261"/>
      <c r="J1036" s="261"/>
      <c r="K1036" s="261"/>
      <c r="L1036" s="261"/>
      <c r="M1036" s="261"/>
      <c r="N1036" s="261"/>
      <c r="O1036" s="261"/>
      <c r="P1036" s="261"/>
      <c r="Q1036" s="261"/>
      <c r="R1036" s="261"/>
      <c r="S1036" s="261"/>
    </row>
    <row r="1037" spans="1:19">
      <c r="A1037" s="295"/>
      <c r="B1037" s="259" t="s">
        <v>89</v>
      </c>
      <c r="C1037" s="258"/>
      <c r="D1037" s="261"/>
      <c r="E1037" s="261"/>
      <c r="F1037" s="261"/>
      <c r="G1037" s="261"/>
      <c r="H1037" s="261"/>
      <c r="I1037" s="261"/>
      <c r="J1037" s="261"/>
      <c r="K1037" s="261"/>
      <c r="L1037" s="261"/>
      <c r="M1037" s="261"/>
      <c r="N1037" s="261"/>
      <c r="O1037" s="261"/>
      <c r="P1037" s="261"/>
      <c r="Q1037" s="261"/>
      <c r="R1037" s="261"/>
      <c r="S1037" s="261"/>
    </row>
    <row r="1038" spans="1:19">
      <c r="A1038" s="296"/>
      <c r="B1038" s="267" t="s">
        <v>90</v>
      </c>
      <c r="C1038" s="258"/>
      <c r="D1038" s="261"/>
      <c r="E1038" s="261"/>
      <c r="F1038" s="261"/>
      <c r="G1038" s="261"/>
      <c r="H1038" s="261"/>
      <c r="I1038" s="261"/>
      <c r="J1038" s="261"/>
      <c r="K1038" s="261"/>
      <c r="L1038" s="261"/>
      <c r="M1038" s="261"/>
      <c r="N1038" s="261"/>
      <c r="O1038" s="261"/>
      <c r="P1038" s="261"/>
      <c r="Q1038" s="261"/>
      <c r="R1038" s="261"/>
      <c r="S1038" s="261"/>
    </row>
    <row r="1039" spans="1:19">
      <c r="A1039" s="295">
        <v>46164</v>
      </c>
      <c r="B1039" s="259" t="s">
        <v>88</v>
      </c>
      <c r="C1039" s="258"/>
      <c r="D1039" s="261"/>
      <c r="E1039" s="261"/>
      <c r="F1039" s="261"/>
      <c r="G1039" s="261"/>
      <c r="H1039" s="261"/>
      <c r="I1039" s="261"/>
      <c r="J1039" s="261"/>
      <c r="K1039" s="261"/>
      <c r="L1039" s="261"/>
      <c r="M1039" s="261"/>
      <c r="N1039" s="261"/>
      <c r="O1039" s="261"/>
      <c r="P1039" s="261"/>
      <c r="Q1039" s="261"/>
      <c r="R1039" s="261"/>
      <c r="S1039" s="261"/>
    </row>
    <row r="1040" spans="1:19">
      <c r="A1040" s="295"/>
      <c r="B1040" s="259" t="s">
        <v>89</v>
      </c>
      <c r="C1040" s="258"/>
      <c r="D1040" s="261"/>
      <c r="E1040" s="261"/>
      <c r="F1040" s="261"/>
      <c r="G1040" s="261"/>
      <c r="H1040" s="261"/>
      <c r="I1040" s="261"/>
      <c r="J1040" s="261"/>
      <c r="K1040" s="261"/>
      <c r="L1040" s="261"/>
      <c r="M1040" s="261"/>
      <c r="N1040" s="261"/>
      <c r="O1040" s="261"/>
      <c r="P1040" s="261"/>
      <c r="Q1040" s="261"/>
      <c r="R1040" s="261"/>
      <c r="S1040" s="261"/>
    </row>
    <row r="1041" spans="1:19">
      <c r="A1041" s="296"/>
      <c r="B1041" s="267" t="s">
        <v>90</v>
      </c>
      <c r="C1041" s="258"/>
      <c r="D1041" s="261"/>
      <c r="E1041" s="261"/>
      <c r="F1041" s="261"/>
      <c r="G1041" s="261"/>
      <c r="H1041" s="261"/>
      <c r="I1041" s="261"/>
      <c r="J1041" s="261"/>
      <c r="K1041" s="261"/>
      <c r="L1041" s="261"/>
      <c r="M1041" s="261"/>
      <c r="N1041" s="261"/>
      <c r="O1041" s="261"/>
      <c r="P1041" s="261"/>
      <c r="Q1041" s="261"/>
      <c r="R1041" s="261"/>
      <c r="S1041" s="261"/>
    </row>
    <row r="1042" spans="1:19">
      <c r="A1042" s="295">
        <v>46165</v>
      </c>
      <c r="B1042" s="259" t="s">
        <v>88</v>
      </c>
      <c r="C1042" s="258"/>
      <c r="D1042" s="261"/>
      <c r="E1042" s="261"/>
      <c r="F1042" s="261"/>
      <c r="G1042" s="261"/>
      <c r="H1042" s="261"/>
      <c r="I1042" s="261"/>
      <c r="J1042" s="261"/>
      <c r="K1042" s="261"/>
      <c r="L1042" s="261"/>
      <c r="M1042" s="261"/>
      <c r="N1042" s="261"/>
      <c r="O1042" s="261"/>
      <c r="P1042" s="261"/>
      <c r="Q1042" s="261"/>
      <c r="R1042" s="261"/>
      <c r="S1042" s="261"/>
    </row>
    <row r="1043" spans="1:19">
      <c r="A1043" s="295"/>
      <c r="B1043" s="259" t="s">
        <v>89</v>
      </c>
      <c r="C1043" s="258"/>
      <c r="D1043" s="261"/>
      <c r="E1043" s="261"/>
      <c r="F1043" s="261"/>
      <c r="G1043" s="261"/>
      <c r="H1043" s="261"/>
      <c r="I1043" s="261"/>
      <c r="J1043" s="261"/>
      <c r="K1043" s="261"/>
      <c r="L1043" s="261"/>
      <c r="M1043" s="261"/>
      <c r="N1043" s="261"/>
      <c r="O1043" s="261"/>
      <c r="P1043" s="261"/>
      <c r="Q1043" s="261"/>
      <c r="R1043" s="261"/>
      <c r="S1043" s="261"/>
    </row>
    <row r="1044" spans="1:19">
      <c r="A1044" s="296"/>
      <c r="B1044" s="267" t="s">
        <v>90</v>
      </c>
      <c r="C1044" s="258"/>
      <c r="D1044" s="261"/>
      <c r="E1044" s="261"/>
      <c r="F1044" s="261"/>
      <c r="G1044" s="261"/>
      <c r="H1044" s="261"/>
      <c r="I1044" s="261"/>
      <c r="J1044" s="261"/>
      <c r="K1044" s="261"/>
      <c r="L1044" s="261"/>
      <c r="M1044" s="261"/>
      <c r="N1044" s="261"/>
      <c r="O1044" s="261"/>
      <c r="P1044" s="261"/>
      <c r="Q1044" s="261"/>
      <c r="R1044" s="261"/>
      <c r="S1044" s="261"/>
    </row>
    <row r="1045" spans="1:19">
      <c r="A1045" s="295">
        <v>46166</v>
      </c>
      <c r="B1045" s="259" t="s">
        <v>88</v>
      </c>
      <c r="C1045" s="258"/>
      <c r="D1045" s="261"/>
      <c r="E1045" s="261"/>
      <c r="F1045" s="261"/>
      <c r="G1045" s="261"/>
      <c r="H1045" s="261"/>
      <c r="I1045" s="261"/>
      <c r="J1045" s="261"/>
      <c r="K1045" s="261"/>
      <c r="L1045" s="261"/>
      <c r="M1045" s="261"/>
      <c r="N1045" s="261"/>
      <c r="O1045" s="261"/>
      <c r="P1045" s="261"/>
      <c r="Q1045" s="261"/>
      <c r="R1045" s="261"/>
      <c r="S1045" s="261"/>
    </row>
    <row r="1046" spans="1:19">
      <c r="A1046" s="295"/>
      <c r="B1046" s="259" t="s">
        <v>89</v>
      </c>
      <c r="C1046" s="258"/>
      <c r="D1046" s="261"/>
      <c r="E1046" s="261"/>
      <c r="F1046" s="261"/>
      <c r="G1046" s="261"/>
      <c r="H1046" s="261"/>
      <c r="I1046" s="261"/>
      <c r="J1046" s="261"/>
      <c r="K1046" s="261"/>
      <c r="L1046" s="261"/>
      <c r="M1046" s="261"/>
      <c r="N1046" s="261"/>
      <c r="O1046" s="261"/>
      <c r="P1046" s="261"/>
      <c r="Q1046" s="261"/>
      <c r="R1046" s="261"/>
      <c r="S1046" s="261"/>
    </row>
    <row r="1047" spans="1:19">
      <c r="A1047" s="296"/>
      <c r="B1047" s="267" t="s">
        <v>90</v>
      </c>
      <c r="C1047" s="258"/>
      <c r="D1047" s="261"/>
      <c r="E1047" s="261"/>
      <c r="F1047" s="261"/>
      <c r="G1047" s="261"/>
      <c r="H1047" s="261"/>
      <c r="I1047" s="261"/>
      <c r="J1047" s="261"/>
      <c r="K1047" s="261"/>
      <c r="L1047" s="261"/>
      <c r="M1047" s="261"/>
      <c r="N1047" s="261"/>
      <c r="O1047" s="261"/>
      <c r="P1047" s="261"/>
      <c r="Q1047" s="261"/>
      <c r="R1047" s="261"/>
      <c r="S1047" s="261"/>
    </row>
    <row r="1048" spans="1:19">
      <c r="A1048" s="295">
        <v>46167</v>
      </c>
      <c r="B1048" s="259" t="s">
        <v>88</v>
      </c>
      <c r="C1048" s="258"/>
      <c r="D1048" s="261"/>
      <c r="E1048" s="261"/>
      <c r="F1048" s="261"/>
      <c r="G1048" s="261"/>
      <c r="H1048" s="261"/>
      <c r="I1048" s="261"/>
      <c r="J1048" s="261"/>
      <c r="K1048" s="261"/>
      <c r="L1048" s="261"/>
      <c r="M1048" s="261"/>
      <c r="N1048" s="261"/>
      <c r="O1048" s="261"/>
      <c r="P1048" s="261"/>
      <c r="Q1048" s="261"/>
      <c r="R1048" s="261"/>
      <c r="S1048" s="261"/>
    </row>
    <row r="1049" spans="1:19">
      <c r="A1049" s="295"/>
      <c r="B1049" s="259" t="s">
        <v>89</v>
      </c>
      <c r="C1049" s="258"/>
      <c r="D1049" s="261"/>
      <c r="E1049" s="261"/>
      <c r="F1049" s="261"/>
      <c r="G1049" s="261"/>
      <c r="H1049" s="261"/>
      <c r="I1049" s="261"/>
      <c r="J1049" s="261"/>
      <c r="K1049" s="261"/>
      <c r="L1049" s="261"/>
      <c r="M1049" s="261"/>
      <c r="N1049" s="261"/>
      <c r="O1049" s="261"/>
      <c r="P1049" s="261"/>
      <c r="Q1049" s="261"/>
      <c r="R1049" s="261"/>
      <c r="S1049" s="261"/>
    </row>
    <row r="1050" spans="1:19">
      <c r="A1050" s="296"/>
      <c r="B1050" s="267" t="s">
        <v>90</v>
      </c>
      <c r="C1050" s="258"/>
      <c r="D1050" s="261"/>
      <c r="E1050" s="261"/>
      <c r="F1050" s="261"/>
      <c r="G1050" s="261"/>
      <c r="H1050" s="261"/>
      <c r="I1050" s="261"/>
      <c r="J1050" s="261"/>
      <c r="K1050" s="261"/>
      <c r="L1050" s="261"/>
      <c r="M1050" s="261"/>
      <c r="N1050" s="261"/>
      <c r="O1050" s="261"/>
      <c r="P1050" s="261"/>
      <c r="Q1050" s="261"/>
      <c r="R1050" s="261"/>
      <c r="S1050" s="261"/>
    </row>
    <row r="1051" spans="1:19">
      <c r="A1051" s="295">
        <v>46168</v>
      </c>
      <c r="B1051" s="259" t="s">
        <v>88</v>
      </c>
      <c r="C1051" s="258"/>
      <c r="D1051" s="261"/>
      <c r="E1051" s="261"/>
      <c r="F1051" s="261"/>
      <c r="G1051" s="261"/>
      <c r="H1051" s="261"/>
      <c r="I1051" s="261"/>
      <c r="J1051" s="261"/>
      <c r="K1051" s="261"/>
      <c r="L1051" s="261"/>
      <c r="M1051" s="261"/>
      <c r="N1051" s="261"/>
      <c r="O1051" s="261"/>
      <c r="P1051" s="261"/>
      <c r="Q1051" s="261"/>
      <c r="R1051" s="261"/>
      <c r="S1051" s="261"/>
    </row>
    <row r="1052" spans="1:19">
      <c r="A1052" s="295"/>
      <c r="B1052" s="259" t="s">
        <v>89</v>
      </c>
      <c r="C1052" s="258"/>
      <c r="D1052" s="261"/>
      <c r="E1052" s="261"/>
      <c r="F1052" s="261"/>
      <c r="G1052" s="261"/>
      <c r="H1052" s="261"/>
      <c r="I1052" s="261"/>
      <c r="J1052" s="261"/>
      <c r="K1052" s="261"/>
      <c r="L1052" s="261"/>
      <c r="M1052" s="261"/>
      <c r="N1052" s="261"/>
      <c r="O1052" s="261"/>
      <c r="P1052" s="261"/>
      <c r="Q1052" s="261"/>
      <c r="R1052" s="261"/>
      <c r="S1052" s="261"/>
    </row>
    <row r="1053" spans="1:19">
      <c r="A1053" s="296"/>
      <c r="B1053" s="267" t="s">
        <v>90</v>
      </c>
      <c r="C1053" s="258"/>
      <c r="D1053" s="261"/>
      <c r="E1053" s="261"/>
      <c r="F1053" s="261"/>
      <c r="G1053" s="261"/>
      <c r="H1053" s="261"/>
      <c r="I1053" s="261"/>
      <c r="J1053" s="261"/>
      <c r="K1053" s="261"/>
      <c r="L1053" s="261"/>
      <c r="M1053" s="261"/>
      <c r="N1053" s="261"/>
      <c r="O1053" s="261"/>
      <c r="P1053" s="261"/>
      <c r="Q1053" s="261"/>
      <c r="R1053" s="261"/>
      <c r="S1053" s="261"/>
    </row>
    <row r="1054" spans="1:19">
      <c r="A1054" s="295">
        <v>46169</v>
      </c>
      <c r="B1054" s="259" t="s">
        <v>88</v>
      </c>
      <c r="C1054" s="258"/>
      <c r="D1054" s="261"/>
      <c r="E1054" s="261"/>
      <c r="F1054" s="261"/>
      <c r="G1054" s="261"/>
      <c r="H1054" s="261"/>
      <c r="I1054" s="261"/>
      <c r="J1054" s="261"/>
      <c r="K1054" s="261"/>
      <c r="L1054" s="261"/>
      <c r="M1054" s="261"/>
      <c r="N1054" s="261"/>
      <c r="O1054" s="261"/>
      <c r="P1054" s="261"/>
      <c r="Q1054" s="261"/>
      <c r="R1054" s="261"/>
      <c r="S1054" s="261"/>
    </row>
    <row r="1055" spans="1:19">
      <c r="A1055" s="295"/>
      <c r="B1055" s="259" t="s">
        <v>89</v>
      </c>
      <c r="C1055" s="258"/>
      <c r="D1055" s="261"/>
      <c r="E1055" s="261"/>
      <c r="F1055" s="261"/>
      <c r="G1055" s="261"/>
      <c r="H1055" s="261"/>
      <c r="I1055" s="261"/>
      <c r="J1055" s="261"/>
      <c r="K1055" s="261"/>
      <c r="L1055" s="261"/>
      <c r="M1055" s="261"/>
      <c r="N1055" s="261"/>
      <c r="O1055" s="261"/>
      <c r="P1055" s="261"/>
      <c r="Q1055" s="261"/>
      <c r="R1055" s="261"/>
      <c r="S1055" s="261"/>
    </row>
    <row r="1056" spans="1:19">
      <c r="A1056" s="296"/>
      <c r="B1056" s="267" t="s">
        <v>90</v>
      </c>
      <c r="C1056" s="258"/>
      <c r="D1056" s="261"/>
      <c r="E1056" s="261"/>
      <c r="F1056" s="261"/>
      <c r="G1056" s="261"/>
      <c r="H1056" s="261"/>
      <c r="I1056" s="261"/>
      <c r="J1056" s="261"/>
      <c r="K1056" s="261"/>
      <c r="L1056" s="261"/>
      <c r="M1056" s="261"/>
      <c r="N1056" s="261"/>
      <c r="O1056" s="261"/>
      <c r="P1056" s="261"/>
      <c r="Q1056" s="261"/>
      <c r="R1056" s="261"/>
      <c r="S1056" s="261"/>
    </row>
    <row r="1057" spans="1:19">
      <c r="A1057" s="295">
        <v>46170</v>
      </c>
      <c r="B1057" s="259" t="s">
        <v>88</v>
      </c>
      <c r="C1057" s="258"/>
      <c r="D1057" s="261"/>
      <c r="E1057" s="261"/>
      <c r="F1057" s="261"/>
      <c r="G1057" s="261"/>
      <c r="H1057" s="261"/>
      <c r="I1057" s="261"/>
      <c r="J1057" s="261"/>
      <c r="K1057" s="261"/>
      <c r="L1057" s="261"/>
      <c r="M1057" s="261"/>
      <c r="N1057" s="261"/>
      <c r="O1057" s="261"/>
      <c r="P1057" s="261"/>
      <c r="Q1057" s="261"/>
      <c r="R1057" s="261"/>
      <c r="S1057" s="261"/>
    </row>
    <row r="1058" spans="1:19">
      <c r="A1058" s="295"/>
      <c r="B1058" s="259" t="s">
        <v>89</v>
      </c>
      <c r="C1058" s="258"/>
      <c r="D1058" s="261"/>
      <c r="E1058" s="261"/>
      <c r="F1058" s="261"/>
      <c r="G1058" s="261"/>
      <c r="H1058" s="261"/>
      <c r="I1058" s="261"/>
      <c r="J1058" s="261"/>
      <c r="K1058" s="261"/>
      <c r="L1058" s="261"/>
      <c r="M1058" s="261"/>
      <c r="N1058" s="261"/>
      <c r="O1058" s="261"/>
      <c r="P1058" s="261"/>
      <c r="Q1058" s="261"/>
      <c r="R1058" s="261"/>
      <c r="S1058" s="261"/>
    </row>
    <row r="1059" spans="1:19">
      <c r="A1059" s="296"/>
      <c r="B1059" s="267" t="s">
        <v>90</v>
      </c>
      <c r="C1059" s="258"/>
      <c r="D1059" s="261"/>
      <c r="E1059" s="261"/>
      <c r="F1059" s="261"/>
      <c r="G1059" s="261"/>
      <c r="H1059" s="261"/>
      <c r="I1059" s="261"/>
      <c r="J1059" s="261"/>
      <c r="K1059" s="261"/>
      <c r="L1059" s="261"/>
      <c r="M1059" s="261"/>
      <c r="N1059" s="261"/>
      <c r="O1059" s="261"/>
      <c r="P1059" s="261"/>
      <c r="Q1059" s="261"/>
      <c r="R1059" s="261"/>
      <c r="S1059" s="261"/>
    </row>
    <row r="1060" spans="1:19">
      <c r="A1060" s="295">
        <v>46171</v>
      </c>
      <c r="B1060" s="259" t="s">
        <v>88</v>
      </c>
      <c r="C1060" s="258"/>
      <c r="D1060" s="261"/>
      <c r="E1060" s="261"/>
      <c r="F1060" s="261"/>
      <c r="G1060" s="261"/>
      <c r="H1060" s="261"/>
      <c r="I1060" s="261"/>
      <c r="J1060" s="261"/>
      <c r="K1060" s="261"/>
      <c r="L1060" s="261"/>
      <c r="M1060" s="261"/>
      <c r="N1060" s="261"/>
      <c r="O1060" s="261"/>
      <c r="P1060" s="261"/>
      <c r="Q1060" s="261"/>
      <c r="R1060" s="261"/>
      <c r="S1060" s="261"/>
    </row>
    <row r="1061" spans="1:19">
      <c r="A1061" s="295"/>
      <c r="B1061" s="259" t="s">
        <v>89</v>
      </c>
      <c r="C1061" s="258"/>
      <c r="D1061" s="261"/>
      <c r="E1061" s="261"/>
      <c r="F1061" s="261"/>
      <c r="G1061" s="261"/>
      <c r="H1061" s="261"/>
      <c r="I1061" s="261"/>
      <c r="J1061" s="261"/>
      <c r="K1061" s="261"/>
      <c r="L1061" s="261"/>
      <c r="M1061" s="261"/>
      <c r="N1061" s="261"/>
      <c r="O1061" s="261"/>
      <c r="P1061" s="261"/>
      <c r="Q1061" s="261"/>
      <c r="R1061" s="261"/>
      <c r="S1061" s="261"/>
    </row>
    <row r="1062" spans="1:19">
      <c r="A1062" s="296"/>
      <c r="B1062" s="267" t="s">
        <v>90</v>
      </c>
      <c r="C1062" s="258"/>
      <c r="D1062" s="261"/>
      <c r="E1062" s="261"/>
      <c r="F1062" s="261"/>
      <c r="G1062" s="261"/>
      <c r="H1062" s="261"/>
      <c r="I1062" s="261"/>
      <c r="J1062" s="261"/>
      <c r="K1062" s="261"/>
      <c r="L1062" s="261"/>
      <c r="M1062" s="261"/>
      <c r="N1062" s="261"/>
      <c r="O1062" s="261"/>
      <c r="P1062" s="261"/>
      <c r="Q1062" s="261"/>
      <c r="R1062" s="261"/>
      <c r="S1062" s="261"/>
    </row>
    <row r="1063" spans="1:19">
      <c r="A1063" s="295">
        <v>46172</v>
      </c>
      <c r="B1063" s="259" t="s">
        <v>88</v>
      </c>
      <c r="C1063" s="258"/>
      <c r="D1063" s="261"/>
      <c r="E1063" s="261"/>
      <c r="F1063" s="261"/>
      <c r="G1063" s="261"/>
      <c r="H1063" s="261"/>
      <c r="I1063" s="261"/>
      <c r="J1063" s="261"/>
      <c r="K1063" s="261"/>
      <c r="L1063" s="261"/>
      <c r="M1063" s="261"/>
      <c r="N1063" s="261"/>
      <c r="O1063" s="261"/>
      <c r="P1063" s="261"/>
      <c r="Q1063" s="261"/>
      <c r="R1063" s="261"/>
      <c r="S1063" s="261"/>
    </row>
    <row r="1064" spans="1:19">
      <c r="A1064" s="295"/>
      <c r="B1064" s="259" t="s">
        <v>89</v>
      </c>
      <c r="C1064" s="258"/>
      <c r="D1064" s="261"/>
      <c r="E1064" s="261"/>
      <c r="F1064" s="261"/>
      <c r="G1064" s="261"/>
      <c r="H1064" s="261"/>
      <c r="I1064" s="261"/>
      <c r="J1064" s="261"/>
      <c r="K1064" s="261"/>
      <c r="L1064" s="261"/>
      <c r="M1064" s="261"/>
      <c r="N1064" s="261"/>
      <c r="O1064" s="261"/>
      <c r="P1064" s="261"/>
      <c r="Q1064" s="261"/>
      <c r="R1064" s="261"/>
      <c r="S1064" s="261"/>
    </row>
    <row r="1065" spans="1:19">
      <c r="A1065" s="296"/>
      <c r="B1065" s="267" t="s">
        <v>90</v>
      </c>
      <c r="C1065" s="258"/>
      <c r="D1065" s="261"/>
      <c r="E1065" s="261"/>
      <c r="F1065" s="261"/>
      <c r="G1065" s="261"/>
      <c r="H1065" s="261"/>
      <c r="I1065" s="261"/>
      <c r="J1065" s="261"/>
      <c r="K1065" s="261"/>
      <c r="L1065" s="261"/>
      <c r="M1065" s="261"/>
      <c r="N1065" s="261"/>
      <c r="O1065" s="261"/>
      <c r="P1065" s="261"/>
      <c r="Q1065" s="261"/>
      <c r="R1065" s="261"/>
      <c r="S1065" s="261"/>
    </row>
    <row r="1066" spans="1:19">
      <c r="A1066" s="295">
        <v>46173</v>
      </c>
      <c r="B1066" s="259" t="s">
        <v>88</v>
      </c>
      <c r="C1066" s="258"/>
      <c r="D1066" s="261"/>
      <c r="E1066" s="261"/>
      <c r="F1066" s="261"/>
      <c r="G1066" s="261"/>
      <c r="H1066" s="261"/>
      <c r="I1066" s="261"/>
      <c r="J1066" s="261"/>
      <c r="K1066" s="261"/>
      <c r="L1066" s="261"/>
      <c r="M1066" s="261"/>
      <c r="N1066" s="261"/>
      <c r="O1066" s="261"/>
      <c r="P1066" s="261"/>
      <c r="Q1066" s="261"/>
      <c r="R1066" s="261"/>
      <c r="S1066" s="261"/>
    </row>
    <row r="1067" spans="1:19">
      <c r="A1067" s="295"/>
      <c r="B1067" s="259" t="s">
        <v>89</v>
      </c>
      <c r="C1067" s="258"/>
      <c r="D1067" s="261"/>
      <c r="E1067" s="261"/>
      <c r="F1067" s="261"/>
      <c r="G1067" s="261"/>
      <c r="H1067" s="261"/>
      <c r="I1067" s="261"/>
      <c r="J1067" s="261"/>
      <c r="K1067" s="261"/>
      <c r="L1067" s="261"/>
      <c r="M1067" s="261"/>
      <c r="N1067" s="261"/>
      <c r="O1067" s="261"/>
      <c r="P1067" s="261"/>
      <c r="Q1067" s="261"/>
      <c r="R1067" s="261"/>
      <c r="S1067" s="261"/>
    </row>
    <row r="1068" spans="1:19">
      <c r="A1068" s="296"/>
      <c r="B1068" s="267" t="s">
        <v>90</v>
      </c>
      <c r="C1068" s="258"/>
      <c r="D1068" s="261"/>
      <c r="E1068" s="261"/>
      <c r="F1068" s="261"/>
      <c r="G1068" s="261"/>
      <c r="H1068" s="261"/>
      <c r="I1068" s="261"/>
      <c r="J1068" s="261"/>
      <c r="K1068" s="261"/>
      <c r="L1068" s="261"/>
      <c r="M1068" s="261"/>
      <c r="N1068" s="261"/>
      <c r="O1068" s="261"/>
      <c r="P1068" s="261"/>
      <c r="Q1068" s="261"/>
      <c r="R1068" s="261"/>
      <c r="S1068" s="261"/>
    </row>
    <row r="1069" spans="1:19">
      <c r="A1069" s="295">
        <v>46174</v>
      </c>
      <c r="B1069" s="259" t="s">
        <v>88</v>
      </c>
      <c r="C1069" s="258"/>
      <c r="D1069" s="261"/>
      <c r="E1069" s="261"/>
      <c r="F1069" s="261"/>
      <c r="G1069" s="261"/>
      <c r="H1069" s="261"/>
      <c r="I1069" s="261"/>
      <c r="J1069" s="261"/>
      <c r="K1069" s="261"/>
      <c r="L1069" s="261"/>
      <c r="M1069" s="261"/>
      <c r="N1069" s="261"/>
      <c r="O1069" s="261"/>
      <c r="P1069" s="261"/>
      <c r="Q1069" s="261"/>
      <c r="R1069" s="261"/>
      <c r="S1069" s="261"/>
    </row>
    <row r="1070" spans="1:19">
      <c r="A1070" s="295"/>
      <c r="B1070" s="259" t="s">
        <v>89</v>
      </c>
      <c r="C1070" s="258"/>
      <c r="D1070" s="261"/>
      <c r="E1070" s="261"/>
      <c r="F1070" s="261"/>
      <c r="G1070" s="261"/>
      <c r="H1070" s="261"/>
      <c r="I1070" s="261"/>
      <c r="J1070" s="261"/>
      <c r="K1070" s="261"/>
      <c r="L1070" s="261"/>
      <c r="M1070" s="261"/>
      <c r="N1070" s="261"/>
      <c r="O1070" s="261"/>
      <c r="P1070" s="261"/>
      <c r="Q1070" s="261"/>
      <c r="R1070" s="261"/>
      <c r="S1070" s="261"/>
    </row>
    <row r="1071" spans="1:19">
      <c r="A1071" s="296"/>
      <c r="B1071" s="267" t="s">
        <v>90</v>
      </c>
      <c r="C1071" s="258"/>
      <c r="D1071" s="261"/>
      <c r="E1071" s="261"/>
      <c r="F1071" s="261"/>
      <c r="G1071" s="261"/>
      <c r="H1071" s="261"/>
      <c r="I1071" s="261"/>
      <c r="J1071" s="261"/>
      <c r="K1071" s="261"/>
      <c r="L1071" s="261"/>
      <c r="M1071" s="261"/>
      <c r="N1071" s="261"/>
      <c r="O1071" s="261"/>
      <c r="P1071" s="261"/>
      <c r="Q1071" s="261"/>
      <c r="R1071" s="261"/>
      <c r="S1071" s="261"/>
    </row>
    <row r="1072" spans="1:19">
      <c r="A1072" s="295">
        <v>46175</v>
      </c>
      <c r="B1072" s="259" t="s">
        <v>88</v>
      </c>
      <c r="C1072" s="258"/>
      <c r="D1072" s="261"/>
      <c r="E1072" s="261"/>
      <c r="F1072" s="261"/>
      <c r="G1072" s="261"/>
      <c r="H1072" s="261"/>
      <c r="I1072" s="261"/>
      <c r="J1072" s="261"/>
      <c r="K1072" s="261"/>
      <c r="L1072" s="261"/>
      <c r="M1072" s="261"/>
      <c r="N1072" s="261"/>
      <c r="O1072" s="261"/>
      <c r="P1072" s="261"/>
      <c r="Q1072" s="261"/>
      <c r="R1072" s="261"/>
      <c r="S1072" s="261"/>
    </row>
    <row r="1073" spans="1:19">
      <c r="A1073" s="295"/>
      <c r="B1073" s="259" t="s">
        <v>89</v>
      </c>
      <c r="C1073" s="258"/>
      <c r="D1073" s="261"/>
      <c r="E1073" s="261"/>
      <c r="F1073" s="261"/>
      <c r="G1073" s="261"/>
      <c r="H1073" s="261"/>
      <c r="I1073" s="261"/>
      <c r="J1073" s="261"/>
      <c r="K1073" s="261"/>
      <c r="L1073" s="261"/>
      <c r="M1073" s="261"/>
      <c r="N1073" s="261"/>
      <c r="O1073" s="261"/>
      <c r="P1073" s="261"/>
      <c r="Q1073" s="261"/>
      <c r="R1073" s="261"/>
      <c r="S1073" s="261"/>
    </row>
    <row r="1074" spans="1:19">
      <c r="A1074" s="296"/>
      <c r="B1074" s="267" t="s">
        <v>90</v>
      </c>
      <c r="C1074" s="258"/>
      <c r="D1074" s="261"/>
      <c r="E1074" s="261"/>
      <c r="F1074" s="261"/>
      <c r="G1074" s="261"/>
      <c r="H1074" s="261"/>
      <c r="I1074" s="261"/>
      <c r="J1074" s="261"/>
      <c r="K1074" s="261"/>
      <c r="L1074" s="261"/>
      <c r="M1074" s="261"/>
      <c r="N1074" s="261"/>
      <c r="O1074" s="261"/>
      <c r="P1074" s="261"/>
      <c r="Q1074" s="261"/>
      <c r="R1074" s="261"/>
      <c r="S1074" s="261"/>
    </row>
    <row r="1075" spans="1:19">
      <c r="A1075" s="295">
        <v>46176</v>
      </c>
      <c r="B1075" s="259" t="s">
        <v>88</v>
      </c>
      <c r="C1075" s="258"/>
      <c r="D1075" s="261"/>
      <c r="E1075" s="261"/>
      <c r="F1075" s="261"/>
      <c r="G1075" s="261"/>
      <c r="H1075" s="261"/>
      <c r="I1075" s="261"/>
      <c r="J1075" s="261"/>
      <c r="K1075" s="261"/>
      <c r="L1075" s="261"/>
      <c r="M1075" s="261"/>
      <c r="N1075" s="261"/>
      <c r="O1075" s="261"/>
      <c r="P1075" s="261"/>
      <c r="Q1075" s="261"/>
      <c r="R1075" s="261"/>
      <c r="S1075" s="261"/>
    </row>
    <row r="1076" spans="1:19">
      <c r="A1076" s="295"/>
      <c r="B1076" s="259" t="s">
        <v>89</v>
      </c>
      <c r="C1076" s="258"/>
      <c r="D1076" s="261"/>
      <c r="E1076" s="261"/>
      <c r="F1076" s="261"/>
      <c r="G1076" s="261"/>
      <c r="H1076" s="261"/>
      <c r="I1076" s="261"/>
      <c r="J1076" s="261"/>
      <c r="K1076" s="261"/>
      <c r="L1076" s="261"/>
      <c r="M1076" s="261"/>
      <c r="N1076" s="261"/>
      <c r="O1076" s="261"/>
      <c r="P1076" s="261"/>
      <c r="Q1076" s="261"/>
      <c r="R1076" s="261"/>
      <c r="S1076" s="261"/>
    </row>
    <row r="1077" spans="1:19">
      <c r="A1077" s="296"/>
      <c r="B1077" s="267" t="s">
        <v>90</v>
      </c>
      <c r="C1077" s="258"/>
      <c r="D1077" s="261"/>
      <c r="E1077" s="261"/>
      <c r="F1077" s="261"/>
      <c r="G1077" s="261"/>
      <c r="H1077" s="261"/>
      <c r="I1077" s="261"/>
      <c r="J1077" s="261"/>
      <c r="K1077" s="261"/>
      <c r="L1077" s="261"/>
      <c r="M1077" s="261"/>
      <c r="N1077" s="261"/>
      <c r="O1077" s="261"/>
      <c r="P1077" s="261"/>
      <c r="Q1077" s="261"/>
      <c r="R1077" s="261"/>
      <c r="S1077" s="261"/>
    </row>
    <row r="1078" spans="1:19">
      <c r="A1078" s="295">
        <v>46177</v>
      </c>
      <c r="B1078" s="259" t="s">
        <v>88</v>
      </c>
      <c r="C1078" s="258"/>
      <c r="D1078" s="261"/>
      <c r="E1078" s="261"/>
      <c r="F1078" s="261"/>
      <c r="G1078" s="261"/>
      <c r="H1078" s="261"/>
      <c r="I1078" s="261"/>
      <c r="J1078" s="261"/>
      <c r="K1078" s="261"/>
      <c r="L1078" s="261"/>
      <c r="M1078" s="261"/>
      <c r="N1078" s="261"/>
      <c r="O1078" s="261"/>
      <c r="P1078" s="261"/>
      <c r="Q1078" s="261"/>
      <c r="R1078" s="261"/>
      <c r="S1078" s="261"/>
    </row>
    <row r="1079" spans="1:19">
      <c r="A1079" s="295"/>
      <c r="B1079" s="259" t="s">
        <v>89</v>
      </c>
      <c r="C1079" s="258"/>
      <c r="D1079" s="261"/>
      <c r="E1079" s="261"/>
      <c r="F1079" s="261"/>
      <c r="G1079" s="261"/>
      <c r="H1079" s="261"/>
      <c r="I1079" s="261"/>
      <c r="J1079" s="261"/>
      <c r="K1079" s="261"/>
      <c r="L1079" s="261"/>
      <c r="M1079" s="261"/>
      <c r="N1079" s="261"/>
      <c r="O1079" s="261"/>
      <c r="P1079" s="261"/>
      <c r="Q1079" s="261"/>
      <c r="R1079" s="261"/>
      <c r="S1079" s="261"/>
    </row>
    <row r="1080" spans="1:19">
      <c r="A1080" s="296"/>
      <c r="B1080" s="267" t="s">
        <v>90</v>
      </c>
      <c r="C1080" s="258"/>
      <c r="D1080" s="261"/>
      <c r="E1080" s="261"/>
      <c r="F1080" s="261"/>
      <c r="G1080" s="261"/>
      <c r="H1080" s="261"/>
      <c r="I1080" s="261"/>
      <c r="J1080" s="261"/>
      <c r="K1080" s="261"/>
      <c r="L1080" s="261"/>
      <c r="M1080" s="261"/>
      <c r="N1080" s="261"/>
      <c r="O1080" s="261"/>
      <c r="P1080" s="261"/>
      <c r="Q1080" s="261"/>
      <c r="R1080" s="261"/>
      <c r="S1080" s="261"/>
    </row>
    <row r="1081" spans="1:19">
      <c r="A1081" s="295">
        <v>46178</v>
      </c>
      <c r="B1081" s="259" t="s">
        <v>88</v>
      </c>
      <c r="C1081" s="258"/>
      <c r="D1081" s="261"/>
      <c r="E1081" s="261"/>
      <c r="F1081" s="261"/>
      <c r="G1081" s="261"/>
      <c r="H1081" s="261"/>
      <c r="I1081" s="261"/>
      <c r="J1081" s="261"/>
      <c r="K1081" s="261"/>
      <c r="L1081" s="261"/>
      <c r="M1081" s="261"/>
      <c r="N1081" s="261"/>
      <c r="O1081" s="261"/>
      <c r="P1081" s="261"/>
      <c r="Q1081" s="261"/>
      <c r="R1081" s="261"/>
      <c r="S1081" s="261"/>
    </row>
    <row r="1082" spans="1:19">
      <c r="A1082" s="295"/>
      <c r="B1082" s="259" t="s">
        <v>89</v>
      </c>
      <c r="C1082" s="258"/>
      <c r="D1082" s="261"/>
      <c r="E1082" s="261"/>
      <c r="F1082" s="261"/>
      <c r="G1082" s="261"/>
      <c r="H1082" s="261"/>
      <c r="I1082" s="261"/>
      <c r="J1082" s="261"/>
      <c r="K1082" s="261"/>
      <c r="L1082" s="261"/>
      <c r="M1082" s="261"/>
      <c r="N1082" s="261"/>
      <c r="O1082" s="261"/>
      <c r="P1082" s="261"/>
      <c r="Q1082" s="261"/>
      <c r="R1082" s="261"/>
      <c r="S1082" s="261"/>
    </row>
    <row r="1083" spans="1:19">
      <c r="A1083" s="296"/>
      <c r="B1083" s="267" t="s">
        <v>90</v>
      </c>
      <c r="C1083" s="258"/>
      <c r="D1083" s="261"/>
      <c r="E1083" s="261"/>
      <c r="F1083" s="261"/>
      <c r="G1083" s="261"/>
      <c r="H1083" s="261"/>
      <c r="I1083" s="261"/>
      <c r="J1083" s="261"/>
      <c r="K1083" s="261"/>
      <c r="L1083" s="261"/>
      <c r="M1083" s="261"/>
      <c r="N1083" s="261"/>
      <c r="O1083" s="261"/>
      <c r="P1083" s="261"/>
      <c r="Q1083" s="261"/>
      <c r="R1083" s="261"/>
      <c r="S1083" s="261"/>
    </row>
    <row r="1084" spans="1:19">
      <c r="A1084" s="295">
        <v>46179</v>
      </c>
      <c r="B1084" s="259" t="s">
        <v>88</v>
      </c>
      <c r="C1084" s="258"/>
      <c r="D1084" s="261"/>
      <c r="E1084" s="261"/>
      <c r="F1084" s="261"/>
      <c r="G1084" s="261"/>
      <c r="H1084" s="261"/>
      <c r="I1084" s="261"/>
      <c r="J1084" s="261"/>
      <c r="K1084" s="261"/>
      <c r="L1084" s="261"/>
      <c r="M1084" s="261"/>
      <c r="N1084" s="261"/>
      <c r="O1084" s="261"/>
      <c r="P1084" s="261"/>
      <c r="Q1084" s="261"/>
      <c r="R1084" s="261"/>
      <c r="S1084" s="261"/>
    </row>
    <row r="1085" spans="1:19">
      <c r="A1085" s="295"/>
      <c r="B1085" s="259" t="s">
        <v>89</v>
      </c>
      <c r="C1085" s="258"/>
      <c r="D1085" s="261"/>
      <c r="E1085" s="261"/>
      <c r="F1085" s="261"/>
      <c r="G1085" s="261"/>
      <c r="H1085" s="261"/>
      <c r="I1085" s="261"/>
      <c r="J1085" s="261"/>
      <c r="K1085" s="261"/>
      <c r="L1085" s="261"/>
      <c r="M1085" s="261"/>
      <c r="N1085" s="261"/>
      <c r="O1085" s="261"/>
      <c r="P1085" s="261"/>
      <c r="Q1085" s="261"/>
      <c r="R1085" s="261"/>
      <c r="S1085" s="261"/>
    </row>
    <row r="1086" spans="1:19">
      <c r="A1086" s="296"/>
      <c r="B1086" s="267" t="s">
        <v>90</v>
      </c>
      <c r="C1086" s="258"/>
      <c r="D1086" s="261"/>
      <c r="E1086" s="261"/>
      <c r="F1086" s="261"/>
      <c r="G1086" s="261"/>
      <c r="H1086" s="261"/>
      <c r="I1086" s="261"/>
      <c r="J1086" s="261"/>
      <c r="K1086" s="261"/>
      <c r="L1086" s="261"/>
      <c r="M1086" s="261"/>
      <c r="N1086" s="261"/>
      <c r="O1086" s="261"/>
      <c r="P1086" s="261"/>
      <c r="Q1086" s="261"/>
      <c r="R1086" s="261"/>
      <c r="S1086" s="261"/>
    </row>
    <row r="1087" spans="1:19">
      <c r="A1087" s="295">
        <v>46180</v>
      </c>
      <c r="B1087" s="259" t="s">
        <v>88</v>
      </c>
      <c r="C1087" s="258"/>
      <c r="D1087" s="261"/>
      <c r="E1087" s="261"/>
      <c r="F1087" s="261"/>
      <c r="G1087" s="261"/>
      <c r="H1087" s="261"/>
      <c r="I1087" s="261"/>
      <c r="J1087" s="261"/>
      <c r="K1087" s="261"/>
      <c r="L1087" s="261"/>
      <c r="M1087" s="261"/>
      <c r="N1087" s="261"/>
      <c r="O1087" s="261"/>
      <c r="P1087" s="261"/>
      <c r="Q1087" s="261"/>
      <c r="R1087" s="261"/>
      <c r="S1087" s="261"/>
    </row>
    <row r="1088" spans="1:19">
      <c r="A1088" s="295"/>
      <c r="B1088" s="259" t="s">
        <v>89</v>
      </c>
      <c r="C1088" s="258"/>
      <c r="D1088" s="261"/>
      <c r="E1088" s="261"/>
      <c r="F1088" s="261"/>
      <c r="G1088" s="261"/>
      <c r="H1088" s="261"/>
      <c r="I1088" s="261"/>
      <c r="J1088" s="261"/>
      <c r="K1088" s="261"/>
      <c r="L1088" s="261"/>
      <c r="M1088" s="261"/>
      <c r="N1088" s="261"/>
      <c r="O1088" s="261"/>
      <c r="P1088" s="261"/>
      <c r="Q1088" s="261"/>
      <c r="R1088" s="261"/>
      <c r="S1088" s="261"/>
    </row>
    <row r="1089" spans="1:19">
      <c r="A1089" s="296"/>
      <c r="B1089" s="267" t="s">
        <v>90</v>
      </c>
      <c r="C1089" s="258"/>
      <c r="D1089" s="261"/>
      <c r="E1089" s="261"/>
      <c r="F1089" s="261"/>
      <c r="G1089" s="261"/>
      <c r="H1089" s="261"/>
      <c r="I1089" s="261"/>
      <c r="J1089" s="261"/>
      <c r="K1089" s="261"/>
      <c r="L1089" s="261"/>
      <c r="M1089" s="261"/>
      <c r="N1089" s="261"/>
      <c r="O1089" s="261"/>
      <c r="P1089" s="261"/>
      <c r="Q1089" s="261"/>
      <c r="R1089" s="261"/>
      <c r="S1089" s="261"/>
    </row>
    <row r="1090" spans="1:19">
      <c r="A1090" s="295">
        <v>46181</v>
      </c>
      <c r="B1090" s="259" t="s">
        <v>88</v>
      </c>
      <c r="C1090" s="258"/>
      <c r="D1090" s="261"/>
      <c r="E1090" s="261"/>
      <c r="F1090" s="261"/>
      <c r="G1090" s="261"/>
      <c r="H1090" s="261"/>
      <c r="I1090" s="261"/>
      <c r="J1090" s="261"/>
      <c r="K1090" s="261"/>
      <c r="L1090" s="261"/>
      <c r="M1090" s="261"/>
      <c r="N1090" s="261"/>
      <c r="O1090" s="261"/>
      <c r="P1090" s="261"/>
      <c r="Q1090" s="261"/>
      <c r="R1090" s="261"/>
      <c r="S1090" s="261"/>
    </row>
    <row r="1091" spans="1:19">
      <c r="A1091" s="295"/>
      <c r="B1091" s="259" t="s">
        <v>89</v>
      </c>
      <c r="C1091" s="258"/>
      <c r="D1091" s="261"/>
      <c r="E1091" s="261"/>
      <c r="F1091" s="261"/>
      <c r="G1091" s="261"/>
      <c r="H1091" s="261"/>
      <c r="I1091" s="261"/>
      <c r="J1091" s="261"/>
      <c r="K1091" s="261"/>
      <c r="L1091" s="261"/>
      <c r="M1091" s="261"/>
      <c r="N1091" s="261"/>
      <c r="O1091" s="261"/>
      <c r="P1091" s="261"/>
      <c r="Q1091" s="261"/>
      <c r="R1091" s="261"/>
      <c r="S1091" s="261"/>
    </row>
    <row r="1092" spans="1:19">
      <c r="A1092" s="296"/>
      <c r="B1092" s="267" t="s">
        <v>90</v>
      </c>
      <c r="C1092" s="258"/>
      <c r="D1092" s="261"/>
      <c r="E1092" s="261"/>
      <c r="F1092" s="261"/>
      <c r="G1092" s="261"/>
      <c r="H1092" s="261"/>
      <c r="I1092" s="261"/>
      <c r="J1092" s="261"/>
      <c r="K1092" s="261"/>
      <c r="L1092" s="261"/>
      <c r="M1092" s="261"/>
      <c r="N1092" s="261"/>
      <c r="O1092" s="261"/>
      <c r="P1092" s="261"/>
      <c r="Q1092" s="261"/>
      <c r="R1092" s="261"/>
      <c r="S1092" s="261"/>
    </row>
    <row r="1093" spans="1:19">
      <c r="A1093" s="295">
        <v>46182</v>
      </c>
      <c r="B1093" s="259" t="s">
        <v>88</v>
      </c>
      <c r="C1093" s="258"/>
      <c r="D1093" s="261"/>
      <c r="E1093" s="261"/>
      <c r="F1093" s="261"/>
      <c r="G1093" s="261"/>
      <c r="H1093" s="261"/>
      <c r="I1093" s="261"/>
      <c r="J1093" s="261"/>
      <c r="K1093" s="261"/>
      <c r="L1093" s="261"/>
      <c r="M1093" s="261"/>
      <c r="N1093" s="261"/>
      <c r="O1093" s="261"/>
      <c r="P1093" s="261"/>
      <c r="Q1093" s="261"/>
      <c r="R1093" s="261"/>
      <c r="S1093" s="261"/>
    </row>
    <row r="1094" spans="1:19">
      <c r="A1094" s="295"/>
      <c r="B1094" s="259" t="s">
        <v>89</v>
      </c>
      <c r="C1094" s="258"/>
      <c r="D1094" s="261"/>
      <c r="E1094" s="261"/>
      <c r="F1094" s="261"/>
      <c r="G1094" s="261"/>
      <c r="H1094" s="261"/>
      <c r="I1094" s="261"/>
      <c r="J1094" s="261"/>
      <c r="K1094" s="261"/>
      <c r="L1094" s="261"/>
      <c r="M1094" s="261"/>
      <c r="N1094" s="261"/>
      <c r="O1094" s="261"/>
      <c r="P1094" s="261"/>
      <c r="Q1094" s="261"/>
      <c r="R1094" s="261"/>
      <c r="S1094" s="261"/>
    </row>
    <row r="1095" spans="1:19">
      <c r="A1095" s="296"/>
      <c r="B1095" s="267" t="s">
        <v>90</v>
      </c>
      <c r="C1095" s="258"/>
      <c r="D1095" s="261"/>
      <c r="E1095" s="261"/>
      <c r="F1095" s="261"/>
      <c r="G1095" s="261"/>
      <c r="H1095" s="261"/>
      <c r="I1095" s="261"/>
      <c r="J1095" s="261"/>
      <c r="K1095" s="261"/>
      <c r="L1095" s="261"/>
      <c r="M1095" s="261"/>
      <c r="N1095" s="261"/>
      <c r="O1095" s="261"/>
      <c r="P1095" s="261"/>
      <c r="Q1095" s="261"/>
      <c r="R1095" s="261"/>
      <c r="S1095" s="261"/>
    </row>
    <row r="1096" spans="1:19">
      <c r="A1096" s="295">
        <v>46183</v>
      </c>
      <c r="B1096" s="259" t="s">
        <v>88</v>
      </c>
      <c r="C1096" s="258"/>
      <c r="D1096" s="261"/>
      <c r="E1096" s="261"/>
      <c r="F1096" s="261"/>
      <c r="G1096" s="261"/>
      <c r="H1096" s="261"/>
      <c r="I1096" s="261"/>
      <c r="J1096" s="261"/>
      <c r="K1096" s="261"/>
      <c r="L1096" s="261"/>
      <c r="M1096" s="261"/>
      <c r="N1096" s="261"/>
      <c r="O1096" s="261"/>
      <c r="P1096" s="261"/>
      <c r="Q1096" s="261"/>
      <c r="R1096" s="261"/>
      <c r="S1096" s="261"/>
    </row>
    <row r="1097" spans="1:19">
      <c r="A1097" s="295"/>
      <c r="B1097" s="259" t="s">
        <v>89</v>
      </c>
      <c r="C1097" s="258"/>
      <c r="D1097" s="261"/>
      <c r="E1097" s="261"/>
      <c r="F1097" s="261"/>
      <c r="G1097" s="261"/>
      <c r="H1097" s="261"/>
      <c r="I1097" s="261"/>
      <c r="J1097" s="261"/>
      <c r="K1097" s="261"/>
      <c r="L1097" s="261"/>
      <c r="M1097" s="261"/>
      <c r="N1097" s="261"/>
      <c r="O1097" s="261"/>
      <c r="P1097" s="261"/>
      <c r="Q1097" s="261"/>
      <c r="R1097" s="261"/>
      <c r="S1097" s="261"/>
    </row>
    <row r="1098" spans="1:19">
      <c r="A1098" s="296"/>
      <c r="B1098" s="267" t="s">
        <v>90</v>
      </c>
      <c r="C1098" s="258"/>
      <c r="D1098" s="261"/>
      <c r="E1098" s="261"/>
      <c r="F1098" s="261"/>
      <c r="G1098" s="261"/>
      <c r="H1098" s="261"/>
      <c r="I1098" s="261"/>
      <c r="J1098" s="261"/>
      <c r="K1098" s="261"/>
      <c r="L1098" s="261"/>
      <c r="M1098" s="261"/>
      <c r="N1098" s="261"/>
      <c r="O1098" s="261"/>
      <c r="P1098" s="261"/>
      <c r="Q1098" s="261"/>
      <c r="R1098" s="261"/>
      <c r="S1098" s="261"/>
    </row>
    <row r="1099" spans="1:19">
      <c r="A1099" s="295">
        <v>46184</v>
      </c>
      <c r="B1099" s="259" t="s">
        <v>88</v>
      </c>
      <c r="C1099" s="258"/>
      <c r="D1099" s="261"/>
      <c r="E1099" s="261"/>
      <c r="F1099" s="261"/>
      <c r="G1099" s="261"/>
      <c r="H1099" s="261"/>
      <c r="I1099" s="261"/>
      <c r="J1099" s="261"/>
      <c r="K1099" s="261"/>
      <c r="L1099" s="261"/>
      <c r="M1099" s="261"/>
      <c r="N1099" s="261"/>
      <c r="O1099" s="261"/>
      <c r="P1099" s="261"/>
      <c r="Q1099" s="261"/>
      <c r="R1099" s="261"/>
      <c r="S1099" s="261"/>
    </row>
    <row r="1100" spans="1:19">
      <c r="A1100" s="295"/>
      <c r="B1100" s="259" t="s">
        <v>89</v>
      </c>
      <c r="C1100" s="258"/>
      <c r="D1100" s="261"/>
      <c r="E1100" s="261"/>
      <c r="F1100" s="261"/>
      <c r="G1100" s="261"/>
      <c r="H1100" s="261"/>
      <c r="I1100" s="261"/>
      <c r="J1100" s="261"/>
      <c r="K1100" s="261"/>
      <c r="L1100" s="261"/>
      <c r="M1100" s="261"/>
      <c r="N1100" s="261"/>
      <c r="O1100" s="261"/>
      <c r="P1100" s="261"/>
      <c r="Q1100" s="261"/>
      <c r="R1100" s="261"/>
      <c r="S1100" s="261"/>
    </row>
    <row r="1101" spans="1:19">
      <c r="A1101" s="296"/>
      <c r="B1101" s="267" t="s">
        <v>90</v>
      </c>
      <c r="C1101" s="258"/>
      <c r="D1101" s="261"/>
      <c r="E1101" s="261"/>
      <c r="F1101" s="261"/>
      <c r="G1101" s="261"/>
      <c r="H1101" s="261"/>
      <c r="I1101" s="261"/>
      <c r="J1101" s="261"/>
      <c r="K1101" s="261"/>
      <c r="L1101" s="261"/>
      <c r="M1101" s="261"/>
      <c r="N1101" s="261"/>
      <c r="O1101" s="261"/>
      <c r="P1101" s="261"/>
      <c r="Q1101" s="261"/>
      <c r="R1101" s="261"/>
      <c r="S1101" s="261"/>
    </row>
    <row r="1102" spans="1:19">
      <c r="A1102" s="295">
        <v>46185</v>
      </c>
      <c r="B1102" s="259" t="s">
        <v>88</v>
      </c>
      <c r="C1102" s="258"/>
      <c r="D1102" s="261"/>
      <c r="E1102" s="261"/>
      <c r="F1102" s="261"/>
      <c r="G1102" s="261"/>
      <c r="H1102" s="261"/>
      <c r="I1102" s="261"/>
      <c r="J1102" s="261"/>
      <c r="K1102" s="261"/>
      <c r="L1102" s="261"/>
      <c r="M1102" s="261"/>
      <c r="N1102" s="261"/>
      <c r="O1102" s="261"/>
      <c r="P1102" s="261"/>
      <c r="Q1102" s="261"/>
      <c r="R1102" s="261"/>
      <c r="S1102" s="261"/>
    </row>
    <row r="1103" spans="1:19">
      <c r="A1103" s="295"/>
      <c r="B1103" s="259" t="s">
        <v>89</v>
      </c>
      <c r="C1103" s="258"/>
      <c r="D1103" s="261"/>
      <c r="E1103" s="261"/>
      <c r="F1103" s="261"/>
      <c r="G1103" s="261"/>
      <c r="H1103" s="261"/>
      <c r="I1103" s="261"/>
      <c r="J1103" s="261"/>
      <c r="K1103" s="261"/>
      <c r="L1103" s="261"/>
      <c r="M1103" s="261"/>
      <c r="N1103" s="261"/>
      <c r="O1103" s="261"/>
      <c r="P1103" s="261"/>
      <c r="Q1103" s="261"/>
      <c r="R1103" s="261"/>
      <c r="S1103" s="261"/>
    </row>
    <row r="1104" spans="1:19">
      <c r="A1104" s="296"/>
      <c r="B1104" s="267" t="s">
        <v>90</v>
      </c>
      <c r="C1104" s="258"/>
      <c r="D1104" s="261"/>
      <c r="E1104" s="261"/>
      <c r="F1104" s="261"/>
      <c r="G1104" s="261"/>
      <c r="H1104" s="261"/>
      <c r="I1104" s="261"/>
      <c r="J1104" s="261"/>
      <c r="K1104" s="261"/>
      <c r="L1104" s="261"/>
      <c r="M1104" s="261"/>
      <c r="N1104" s="261"/>
      <c r="O1104" s="261"/>
      <c r="P1104" s="261"/>
      <c r="Q1104" s="261"/>
      <c r="R1104" s="261"/>
      <c r="S1104" s="261"/>
    </row>
    <row r="1105" spans="1:19">
      <c r="A1105" s="295">
        <v>46186</v>
      </c>
      <c r="B1105" s="259" t="s">
        <v>88</v>
      </c>
      <c r="C1105" s="258"/>
      <c r="D1105" s="261"/>
      <c r="E1105" s="261"/>
      <c r="F1105" s="261"/>
      <c r="G1105" s="261"/>
      <c r="H1105" s="261"/>
      <c r="I1105" s="261"/>
      <c r="J1105" s="261"/>
      <c r="K1105" s="261"/>
      <c r="L1105" s="261"/>
      <c r="M1105" s="261"/>
      <c r="N1105" s="261"/>
      <c r="O1105" s="261"/>
      <c r="P1105" s="261"/>
      <c r="Q1105" s="261"/>
      <c r="R1105" s="261"/>
      <c r="S1105" s="261"/>
    </row>
    <row r="1106" spans="1:19">
      <c r="A1106" s="295"/>
      <c r="B1106" s="259" t="s">
        <v>89</v>
      </c>
      <c r="C1106" s="258"/>
      <c r="D1106" s="261"/>
      <c r="E1106" s="261"/>
      <c r="F1106" s="261"/>
      <c r="G1106" s="261"/>
      <c r="H1106" s="261"/>
      <c r="I1106" s="261"/>
      <c r="J1106" s="261"/>
      <c r="K1106" s="261"/>
      <c r="L1106" s="261"/>
      <c r="M1106" s="261"/>
      <c r="N1106" s="261"/>
      <c r="O1106" s="261"/>
      <c r="P1106" s="261"/>
      <c r="Q1106" s="261"/>
      <c r="R1106" s="261"/>
      <c r="S1106" s="261"/>
    </row>
    <row r="1107" spans="1:19">
      <c r="A1107" s="296"/>
      <c r="B1107" s="267" t="s">
        <v>90</v>
      </c>
      <c r="C1107" s="258"/>
      <c r="D1107" s="261"/>
      <c r="E1107" s="261"/>
      <c r="F1107" s="261"/>
      <c r="G1107" s="261"/>
      <c r="H1107" s="261"/>
      <c r="I1107" s="261"/>
      <c r="J1107" s="261"/>
      <c r="K1107" s="261"/>
      <c r="L1107" s="261"/>
      <c r="M1107" s="261"/>
      <c r="N1107" s="261"/>
      <c r="O1107" s="261"/>
      <c r="P1107" s="261"/>
      <c r="Q1107" s="261"/>
      <c r="R1107" s="261"/>
      <c r="S1107" s="261"/>
    </row>
    <row r="1108" spans="1:19">
      <c r="A1108" s="295">
        <v>46187</v>
      </c>
      <c r="B1108" s="259" t="s">
        <v>88</v>
      </c>
      <c r="C1108" s="258"/>
      <c r="D1108" s="261"/>
      <c r="E1108" s="261"/>
      <c r="F1108" s="261"/>
      <c r="G1108" s="261"/>
      <c r="H1108" s="261"/>
      <c r="I1108" s="261"/>
      <c r="J1108" s="261"/>
      <c r="K1108" s="261"/>
      <c r="L1108" s="261"/>
      <c r="M1108" s="261"/>
      <c r="N1108" s="261"/>
      <c r="O1108" s="261"/>
      <c r="P1108" s="261"/>
      <c r="Q1108" s="261"/>
      <c r="R1108" s="261"/>
      <c r="S1108" s="261"/>
    </row>
    <row r="1109" spans="1:19">
      <c r="A1109" s="295"/>
      <c r="B1109" s="259" t="s">
        <v>89</v>
      </c>
      <c r="C1109" s="258"/>
      <c r="D1109" s="261"/>
      <c r="E1109" s="261"/>
      <c r="F1109" s="261"/>
      <c r="G1109" s="261"/>
      <c r="H1109" s="261"/>
      <c r="I1109" s="261"/>
      <c r="J1109" s="261"/>
      <c r="K1109" s="261"/>
      <c r="L1109" s="261"/>
      <c r="M1109" s="261"/>
      <c r="N1109" s="261"/>
      <c r="O1109" s="261"/>
      <c r="P1109" s="261"/>
      <c r="Q1109" s="261"/>
      <c r="R1109" s="261"/>
      <c r="S1109" s="261"/>
    </row>
    <row r="1110" spans="1:19">
      <c r="A1110" s="296"/>
      <c r="B1110" s="267" t="s">
        <v>90</v>
      </c>
      <c r="C1110" s="258"/>
      <c r="D1110" s="261"/>
      <c r="E1110" s="261"/>
      <c r="F1110" s="261"/>
      <c r="G1110" s="261"/>
      <c r="H1110" s="261"/>
      <c r="I1110" s="261"/>
      <c r="J1110" s="261"/>
      <c r="K1110" s="261"/>
      <c r="L1110" s="261"/>
      <c r="M1110" s="261"/>
      <c r="N1110" s="261"/>
      <c r="O1110" s="261"/>
      <c r="P1110" s="261"/>
      <c r="Q1110" s="261"/>
      <c r="R1110" s="261"/>
      <c r="S1110" s="261"/>
    </row>
    <row r="1111" spans="1:19">
      <c r="A1111" s="295">
        <v>46188</v>
      </c>
      <c r="B1111" s="259" t="s">
        <v>88</v>
      </c>
      <c r="C1111" s="258"/>
      <c r="D1111" s="261"/>
      <c r="E1111" s="261"/>
      <c r="F1111" s="261"/>
      <c r="G1111" s="261"/>
      <c r="H1111" s="261"/>
      <c r="I1111" s="261"/>
      <c r="J1111" s="261"/>
      <c r="K1111" s="261"/>
      <c r="L1111" s="261"/>
      <c r="M1111" s="261"/>
      <c r="N1111" s="261"/>
      <c r="O1111" s="261"/>
      <c r="P1111" s="261"/>
      <c r="Q1111" s="261"/>
      <c r="R1111" s="261"/>
      <c r="S1111" s="261"/>
    </row>
    <row r="1112" spans="1:19">
      <c r="A1112" s="295"/>
      <c r="B1112" s="259" t="s">
        <v>89</v>
      </c>
      <c r="C1112" s="258"/>
      <c r="D1112" s="261"/>
      <c r="E1112" s="261"/>
      <c r="F1112" s="261"/>
      <c r="G1112" s="261"/>
      <c r="H1112" s="261"/>
      <c r="I1112" s="261"/>
      <c r="J1112" s="261"/>
      <c r="K1112" s="261"/>
      <c r="L1112" s="261"/>
      <c r="M1112" s="261"/>
      <c r="N1112" s="261"/>
      <c r="O1112" s="261"/>
      <c r="P1112" s="261"/>
      <c r="Q1112" s="261"/>
      <c r="R1112" s="261"/>
      <c r="S1112" s="261"/>
    </row>
    <row r="1113" spans="1:19">
      <c r="A1113" s="296"/>
      <c r="B1113" s="267" t="s">
        <v>90</v>
      </c>
      <c r="C1113" s="258"/>
      <c r="D1113" s="261"/>
      <c r="E1113" s="261"/>
      <c r="F1113" s="261"/>
      <c r="G1113" s="261"/>
      <c r="H1113" s="261"/>
      <c r="I1113" s="261"/>
      <c r="J1113" s="261"/>
      <c r="K1113" s="261"/>
      <c r="L1113" s="261"/>
      <c r="M1113" s="261"/>
      <c r="N1113" s="261"/>
      <c r="O1113" s="261"/>
      <c r="P1113" s="261"/>
      <c r="Q1113" s="261"/>
      <c r="R1113" s="261"/>
      <c r="S1113" s="261"/>
    </row>
    <row r="1114" spans="1:19">
      <c r="A1114" s="295">
        <v>46189</v>
      </c>
      <c r="B1114" s="259" t="s">
        <v>88</v>
      </c>
      <c r="C1114" s="258"/>
      <c r="D1114" s="261"/>
      <c r="E1114" s="261"/>
      <c r="F1114" s="261"/>
      <c r="G1114" s="261"/>
      <c r="H1114" s="261"/>
      <c r="I1114" s="261"/>
      <c r="J1114" s="261"/>
      <c r="K1114" s="261"/>
      <c r="L1114" s="261"/>
      <c r="M1114" s="261"/>
      <c r="N1114" s="261"/>
      <c r="O1114" s="261"/>
      <c r="P1114" s="261"/>
      <c r="Q1114" s="261"/>
      <c r="R1114" s="261"/>
      <c r="S1114" s="261"/>
    </row>
    <row r="1115" spans="1:19">
      <c r="A1115" s="295"/>
      <c r="B1115" s="259" t="s">
        <v>89</v>
      </c>
      <c r="C1115" s="258"/>
      <c r="D1115" s="261"/>
      <c r="E1115" s="261"/>
      <c r="F1115" s="261"/>
      <c r="G1115" s="261"/>
      <c r="H1115" s="261"/>
      <c r="I1115" s="261"/>
      <c r="J1115" s="261"/>
      <c r="K1115" s="261"/>
      <c r="L1115" s="261"/>
      <c r="M1115" s="261"/>
      <c r="N1115" s="261"/>
      <c r="O1115" s="261"/>
      <c r="P1115" s="261"/>
      <c r="Q1115" s="261"/>
      <c r="R1115" s="261"/>
      <c r="S1115" s="261"/>
    </row>
    <row r="1116" spans="1:19">
      <c r="A1116" s="296"/>
      <c r="B1116" s="267" t="s">
        <v>90</v>
      </c>
      <c r="C1116" s="258"/>
      <c r="D1116" s="261"/>
      <c r="E1116" s="261"/>
      <c r="F1116" s="261"/>
      <c r="G1116" s="261"/>
      <c r="H1116" s="261"/>
      <c r="I1116" s="261"/>
      <c r="J1116" s="261"/>
      <c r="K1116" s="261"/>
      <c r="L1116" s="261"/>
      <c r="M1116" s="261"/>
      <c r="N1116" s="261"/>
      <c r="O1116" s="261"/>
      <c r="P1116" s="261"/>
      <c r="Q1116" s="261"/>
      <c r="R1116" s="261"/>
      <c r="S1116" s="261"/>
    </row>
    <row r="1117" spans="1:19">
      <c r="A1117" s="295">
        <v>46190</v>
      </c>
      <c r="B1117" s="259" t="s">
        <v>88</v>
      </c>
      <c r="C1117" s="258"/>
      <c r="D1117" s="261"/>
      <c r="E1117" s="261"/>
      <c r="F1117" s="261"/>
      <c r="G1117" s="261"/>
      <c r="H1117" s="261"/>
      <c r="I1117" s="261"/>
      <c r="J1117" s="261"/>
      <c r="K1117" s="261"/>
      <c r="L1117" s="261"/>
      <c r="M1117" s="261"/>
      <c r="N1117" s="261"/>
      <c r="O1117" s="261"/>
      <c r="P1117" s="261"/>
      <c r="Q1117" s="261"/>
      <c r="R1117" s="261"/>
      <c r="S1117" s="261"/>
    </row>
    <row r="1118" spans="1:19">
      <c r="A1118" s="295"/>
      <c r="B1118" s="259" t="s">
        <v>89</v>
      </c>
      <c r="C1118" s="258"/>
      <c r="D1118" s="261"/>
      <c r="E1118" s="261"/>
      <c r="F1118" s="261"/>
      <c r="G1118" s="261"/>
      <c r="H1118" s="261"/>
      <c r="I1118" s="261"/>
      <c r="J1118" s="261"/>
      <c r="K1118" s="261"/>
      <c r="L1118" s="261"/>
      <c r="M1118" s="261"/>
      <c r="N1118" s="261"/>
      <c r="O1118" s="261"/>
      <c r="P1118" s="261"/>
      <c r="Q1118" s="261"/>
      <c r="R1118" s="261"/>
      <c r="S1118" s="261"/>
    </row>
    <row r="1119" spans="1:19">
      <c r="A1119" s="296"/>
      <c r="B1119" s="267" t="s">
        <v>90</v>
      </c>
      <c r="C1119" s="258"/>
      <c r="D1119" s="261"/>
      <c r="E1119" s="261"/>
      <c r="F1119" s="261"/>
      <c r="G1119" s="261"/>
      <c r="H1119" s="261"/>
      <c r="I1119" s="261"/>
      <c r="J1119" s="261"/>
      <c r="K1119" s="261"/>
      <c r="L1119" s="261"/>
      <c r="M1119" s="261"/>
      <c r="N1119" s="261"/>
      <c r="O1119" s="261"/>
      <c r="P1119" s="261"/>
      <c r="Q1119" s="261"/>
      <c r="R1119" s="261"/>
      <c r="S1119" s="261"/>
    </row>
    <row r="1120" spans="1:19">
      <c r="A1120" s="295">
        <v>46191</v>
      </c>
      <c r="B1120" s="259" t="s">
        <v>88</v>
      </c>
      <c r="C1120" s="258"/>
      <c r="D1120" s="261"/>
      <c r="E1120" s="261"/>
      <c r="F1120" s="261"/>
      <c r="G1120" s="261"/>
      <c r="H1120" s="261"/>
      <c r="I1120" s="261"/>
      <c r="J1120" s="261"/>
      <c r="K1120" s="261"/>
      <c r="L1120" s="261"/>
      <c r="M1120" s="261"/>
      <c r="N1120" s="261"/>
      <c r="O1120" s="261"/>
      <c r="P1120" s="261"/>
      <c r="Q1120" s="261"/>
      <c r="R1120" s="261"/>
      <c r="S1120" s="261"/>
    </row>
    <row r="1121" spans="1:19">
      <c r="A1121" s="295"/>
      <c r="B1121" s="259" t="s">
        <v>89</v>
      </c>
      <c r="C1121" s="258"/>
      <c r="D1121" s="261"/>
      <c r="E1121" s="261"/>
      <c r="F1121" s="261"/>
      <c r="G1121" s="261"/>
      <c r="H1121" s="261"/>
      <c r="I1121" s="261"/>
      <c r="J1121" s="261"/>
      <c r="K1121" s="261"/>
      <c r="L1121" s="261"/>
      <c r="M1121" s="261"/>
      <c r="N1121" s="261"/>
      <c r="O1121" s="261"/>
      <c r="P1121" s="261"/>
      <c r="Q1121" s="261"/>
      <c r="R1121" s="261"/>
      <c r="S1121" s="261"/>
    </row>
    <row r="1122" spans="1:19">
      <c r="A1122" s="296"/>
      <c r="B1122" s="267" t="s">
        <v>90</v>
      </c>
      <c r="C1122" s="258"/>
      <c r="D1122" s="261"/>
      <c r="E1122" s="261"/>
      <c r="F1122" s="261"/>
      <c r="G1122" s="261"/>
      <c r="H1122" s="261"/>
      <c r="I1122" s="261"/>
      <c r="J1122" s="261"/>
      <c r="K1122" s="261"/>
      <c r="L1122" s="261"/>
      <c r="M1122" s="261"/>
      <c r="N1122" s="261"/>
      <c r="O1122" s="261"/>
      <c r="P1122" s="261"/>
      <c r="Q1122" s="261"/>
      <c r="R1122" s="261"/>
      <c r="S1122" s="261"/>
    </row>
    <row r="1123" spans="1:19">
      <c r="A1123" s="295">
        <v>46192</v>
      </c>
      <c r="B1123" s="259" t="s">
        <v>88</v>
      </c>
      <c r="C1123" s="258"/>
      <c r="D1123" s="261"/>
      <c r="E1123" s="261"/>
      <c r="F1123" s="261"/>
      <c r="G1123" s="261"/>
      <c r="H1123" s="261"/>
      <c r="I1123" s="261"/>
      <c r="J1123" s="261"/>
      <c r="K1123" s="261"/>
      <c r="L1123" s="261"/>
      <c r="M1123" s="261"/>
      <c r="N1123" s="261"/>
      <c r="O1123" s="261"/>
      <c r="P1123" s="261"/>
      <c r="Q1123" s="261"/>
      <c r="R1123" s="261"/>
      <c r="S1123" s="261"/>
    </row>
    <row r="1124" spans="1:19">
      <c r="A1124" s="295"/>
      <c r="B1124" s="259" t="s">
        <v>89</v>
      </c>
      <c r="C1124" s="258"/>
      <c r="D1124" s="261"/>
      <c r="E1124" s="261"/>
      <c r="F1124" s="261"/>
      <c r="G1124" s="261"/>
      <c r="H1124" s="261"/>
      <c r="I1124" s="261"/>
      <c r="J1124" s="261"/>
      <c r="K1124" s="261"/>
      <c r="L1124" s="261"/>
      <c r="M1124" s="261"/>
      <c r="N1124" s="261"/>
      <c r="O1124" s="261"/>
      <c r="P1124" s="261"/>
      <c r="Q1124" s="261"/>
      <c r="R1124" s="261"/>
      <c r="S1124" s="261"/>
    </row>
    <row r="1125" spans="1:19">
      <c r="A1125" s="296"/>
      <c r="B1125" s="267" t="s">
        <v>90</v>
      </c>
      <c r="C1125" s="258"/>
      <c r="D1125" s="261"/>
      <c r="E1125" s="261"/>
      <c r="F1125" s="261"/>
      <c r="G1125" s="261"/>
      <c r="H1125" s="261"/>
      <c r="I1125" s="261"/>
      <c r="J1125" s="261"/>
      <c r="K1125" s="261"/>
      <c r="L1125" s="261"/>
      <c r="M1125" s="261"/>
      <c r="N1125" s="261"/>
      <c r="O1125" s="261"/>
      <c r="P1125" s="261"/>
      <c r="Q1125" s="261"/>
      <c r="R1125" s="261"/>
      <c r="S1125" s="261"/>
    </row>
    <row r="1126" spans="1:19">
      <c r="A1126" s="295">
        <v>46193</v>
      </c>
      <c r="B1126" s="259" t="s">
        <v>88</v>
      </c>
      <c r="C1126" s="258"/>
      <c r="D1126" s="261"/>
      <c r="E1126" s="261"/>
      <c r="F1126" s="261"/>
      <c r="G1126" s="261"/>
      <c r="H1126" s="261"/>
      <c r="I1126" s="261"/>
      <c r="J1126" s="261"/>
      <c r="K1126" s="261"/>
      <c r="L1126" s="261"/>
      <c r="M1126" s="261"/>
      <c r="N1126" s="261"/>
      <c r="O1126" s="261"/>
      <c r="P1126" s="261"/>
      <c r="Q1126" s="261"/>
      <c r="R1126" s="261"/>
      <c r="S1126" s="261"/>
    </row>
    <row r="1127" spans="1:19">
      <c r="A1127" s="295"/>
      <c r="B1127" s="259" t="s">
        <v>89</v>
      </c>
      <c r="C1127" s="258"/>
      <c r="D1127" s="261"/>
      <c r="E1127" s="261"/>
      <c r="F1127" s="261"/>
      <c r="G1127" s="261"/>
      <c r="H1127" s="261"/>
      <c r="I1127" s="261"/>
      <c r="J1127" s="261"/>
      <c r="K1127" s="261"/>
      <c r="L1127" s="261"/>
      <c r="M1127" s="261"/>
      <c r="N1127" s="261"/>
      <c r="O1127" s="261"/>
      <c r="P1127" s="261"/>
      <c r="Q1127" s="261"/>
      <c r="R1127" s="261"/>
      <c r="S1127" s="261"/>
    </row>
    <row r="1128" spans="1:19">
      <c r="A1128" s="296"/>
      <c r="B1128" s="267" t="s">
        <v>90</v>
      </c>
      <c r="C1128" s="258"/>
      <c r="D1128" s="261"/>
      <c r="E1128" s="261"/>
      <c r="F1128" s="261"/>
      <c r="G1128" s="261"/>
      <c r="H1128" s="261"/>
      <c r="I1128" s="261"/>
      <c r="J1128" s="261"/>
      <c r="K1128" s="261"/>
      <c r="L1128" s="261"/>
      <c r="M1128" s="261"/>
      <c r="N1128" s="261"/>
      <c r="O1128" s="261"/>
      <c r="P1128" s="261"/>
      <c r="Q1128" s="261"/>
      <c r="R1128" s="261"/>
      <c r="S1128" s="261"/>
    </row>
    <row r="1129" spans="1:19">
      <c r="A1129" s="295">
        <v>46194</v>
      </c>
      <c r="B1129" s="259" t="s">
        <v>88</v>
      </c>
      <c r="C1129" s="258"/>
      <c r="D1129" s="261"/>
      <c r="E1129" s="261"/>
      <c r="F1129" s="261"/>
      <c r="G1129" s="261"/>
      <c r="H1129" s="261"/>
      <c r="I1129" s="261"/>
      <c r="J1129" s="261"/>
      <c r="K1129" s="261"/>
      <c r="L1129" s="261"/>
      <c r="M1129" s="261"/>
      <c r="N1129" s="261"/>
      <c r="O1129" s="261"/>
      <c r="P1129" s="261"/>
      <c r="Q1129" s="261"/>
      <c r="R1129" s="261"/>
      <c r="S1129" s="261"/>
    </row>
    <row r="1130" spans="1:19">
      <c r="A1130" s="295"/>
      <c r="B1130" s="259" t="s">
        <v>89</v>
      </c>
      <c r="C1130" s="258"/>
      <c r="D1130" s="261"/>
      <c r="E1130" s="261"/>
      <c r="F1130" s="261"/>
      <c r="G1130" s="261"/>
      <c r="H1130" s="261"/>
      <c r="I1130" s="261"/>
      <c r="J1130" s="261"/>
      <c r="K1130" s="261"/>
      <c r="L1130" s="261"/>
      <c r="M1130" s="261"/>
      <c r="N1130" s="261"/>
      <c r="O1130" s="261"/>
      <c r="P1130" s="261"/>
      <c r="Q1130" s="261"/>
      <c r="R1130" s="261"/>
      <c r="S1130" s="261"/>
    </row>
    <row r="1131" spans="1:19">
      <c r="A1131" s="296"/>
      <c r="B1131" s="267" t="s">
        <v>90</v>
      </c>
      <c r="C1131" s="258"/>
      <c r="D1131" s="261"/>
      <c r="E1131" s="261"/>
      <c r="F1131" s="261"/>
      <c r="G1131" s="261"/>
      <c r="H1131" s="261"/>
      <c r="I1131" s="261"/>
      <c r="J1131" s="261"/>
      <c r="K1131" s="261"/>
      <c r="L1131" s="261"/>
      <c r="M1131" s="261"/>
      <c r="N1131" s="261"/>
      <c r="O1131" s="261"/>
      <c r="P1131" s="261"/>
      <c r="Q1131" s="261"/>
      <c r="R1131" s="261"/>
      <c r="S1131" s="261"/>
    </row>
    <row r="1132" spans="1:19">
      <c r="A1132" s="295">
        <v>46195</v>
      </c>
      <c r="B1132" s="259" t="s">
        <v>88</v>
      </c>
      <c r="C1132" s="258"/>
      <c r="D1132" s="261"/>
      <c r="E1132" s="261"/>
      <c r="F1132" s="261"/>
      <c r="G1132" s="261"/>
      <c r="H1132" s="261"/>
      <c r="I1132" s="261"/>
      <c r="J1132" s="261"/>
      <c r="K1132" s="261"/>
      <c r="L1132" s="261"/>
      <c r="M1132" s="261"/>
      <c r="N1132" s="261"/>
      <c r="O1132" s="261"/>
      <c r="P1132" s="261"/>
      <c r="Q1132" s="261"/>
      <c r="R1132" s="261"/>
      <c r="S1132" s="261"/>
    </row>
    <row r="1133" spans="1:19">
      <c r="A1133" s="295"/>
      <c r="B1133" s="259" t="s">
        <v>89</v>
      </c>
      <c r="C1133" s="258"/>
      <c r="D1133" s="261"/>
      <c r="E1133" s="261"/>
      <c r="F1133" s="261"/>
      <c r="G1133" s="261"/>
      <c r="H1133" s="261"/>
      <c r="I1133" s="261"/>
      <c r="J1133" s="261"/>
      <c r="K1133" s="261"/>
      <c r="L1133" s="261"/>
      <c r="M1133" s="261"/>
      <c r="N1133" s="261"/>
      <c r="O1133" s="261"/>
      <c r="P1133" s="261"/>
      <c r="Q1133" s="261"/>
      <c r="R1133" s="261"/>
      <c r="S1133" s="261"/>
    </row>
    <row r="1134" spans="1:19">
      <c r="A1134" s="296"/>
      <c r="B1134" s="267" t="s">
        <v>90</v>
      </c>
      <c r="C1134" s="258"/>
      <c r="D1134" s="261"/>
      <c r="E1134" s="261"/>
      <c r="F1134" s="261"/>
      <c r="G1134" s="261"/>
      <c r="H1134" s="261"/>
      <c r="I1134" s="261"/>
      <c r="J1134" s="261"/>
      <c r="K1134" s="261"/>
      <c r="L1134" s="261"/>
      <c r="M1134" s="261"/>
      <c r="N1134" s="261"/>
      <c r="O1134" s="261"/>
      <c r="P1134" s="261"/>
      <c r="Q1134" s="261"/>
      <c r="R1134" s="261"/>
      <c r="S1134" s="261"/>
    </row>
    <row r="1135" spans="1:19">
      <c r="A1135" s="295">
        <v>46196</v>
      </c>
      <c r="B1135" s="259" t="s">
        <v>88</v>
      </c>
      <c r="C1135" s="258"/>
      <c r="D1135" s="261"/>
      <c r="E1135" s="261"/>
      <c r="F1135" s="261"/>
      <c r="G1135" s="261"/>
      <c r="H1135" s="261"/>
      <c r="I1135" s="261"/>
      <c r="J1135" s="261"/>
      <c r="K1135" s="261"/>
      <c r="L1135" s="261"/>
      <c r="M1135" s="261"/>
      <c r="N1135" s="261"/>
      <c r="O1135" s="261"/>
      <c r="P1135" s="261"/>
      <c r="Q1135" s="261"/>
      <c r="R1135" s="261"/>
      <c r="S1135" s="261"/>
    </row>
    <row r="1136" spans="1:19">
      <c r="A1136" s="295"/>
      <c r="B1136" s="259" t="s">
        <v>89</v>
      </c>
      <c r="C1136" s="258"/>
      <c r="D1136" s="261"/>
      <c r="E1136" s="261"/>
      <c r="F1136" s="261"/>
      <c r="G1136" s="261"/>
      <c r="H1136" s="261"/>
      <c r="I1136" s="261"/>
      <c r="J1136" s="261"/>
      <c r="K1136" s="261"/>
      <c r="L1136" s="261"/>
      <c r="M1136" s="261"/>
      <c r="N1136" s="261"/>
      <c r="O1136" s="261"/>
      <c r="P1136" s="261"/>
      <c r="Q1136" s="261"/>
      <c r="R1136" s="261"/>
      <c r="S1136" s="261"/>
    </row>
    <row r="1137" spans="1:19">
      <c r="A1137" s="296"/>
      <c r="B1137" s="267" t="s">
        <v>90</v>
      </c>
      <c r="C1137" s="258"/>
      <c r="D1137" s="261"/>
      <c r="E1137" s="261"/>
      <c r="F1137" s="261"/>
      <c r="G1137" s="261"/>
      <c r="H1137" s="261"/>
      <c r="I1137" s="261"/>
      <c r="J1137" s="261"/>
      <c r="K1137" s="261"/>
      <c r="L1137" s="261"/>
      <c r="M1137" s="261"/>
      <c r="N1137" s="261"/>
      <c r="O1137" s="261"/>
      <c r="P1137" s="261"/>
      <c r="Q1137" s="261"/>
      <c r="R1137" s="261"/>
      <c r="S1137" s="261"/>
    </row>
    <row r="1138" spans="1:19">
      <c r="A1138" s="295">
        <v>46197</v>
      </c>
      <c r="B1138" s="259" t="s">
        <v>88</v>
      </c>
      <c r="C1138" s="258"/>
      <c r="D1138" s="261"/>
      <c r="E1138" s="261"/>
      <c r="F1138" s="261"/>
      <c r="G1138" s="261"/>
      <c r="H1138" s="261"/>
      <c r="I1138" s="261"/>
      <c r="J1138" s="261"/>
      <c r="K1138" s="261"/>
      <c r="L1138" s="261"/>
      <c r="M1138" s="261"/>
      <c r="N1138" s="261"/>
      <c r="O1138" s="261"/>
      <c r="P1138" s="261"/>
      <c r="Q1138" s="261"/>
      <c r="R1138" s="261"/>
      <c r="S1138" s="261"/>
    </row>
    <row r="1139" spans="1:19">
      <c r="A1139" s="295"/>
      <c r="B1139" s="259" t="s">
        <v>89</v>
      </c>
      <c r="C1139" s="258"/>
      <c r="D1139" s="261"/>
      <c r="E1139" s="261"/>
      <c r="F1139" s="261"/>
      <c r="G1139" s="261"/>
      <c r="H1139" s="261"/>
      <c r="I1139" s="261"/>
      <c r="J1139" s="261"/>
      <c r="K1139" s="261"/>
      <c r="L1139" s="261"/>
      <c r="M1139" s="261"/>
      <c r="N1139" s="261"/>
      <c r="O1139" s="261"/>
      <c r="P1139" s="261"/>
      <c r="Q1139" s="261"/>
      <c r="R1139" s="261"/>
      <c r="S1139" s="261"/>
    </row>
    <row r="1140" spans="1:19">
      <c r="A1140" s="296"/>
      <c r="B1140" s="267" t="s">
        <v>90</v>
      </c>
      <c r="C1140" s="258"/>
      <c r="D1140" s="261"/>
      <c r="E1140" s="261"/>
      <c r="F1140" s="261"/>
      <c r="G1140" s="261"/>
      <c r="H1140" s="261"/>
      <c r="I1140" s="261"/>
      <c r="J1140" s="261"/>
      <c r="K1140" s="261"/>
      <c r="L1140" s="261"/>
      <c r="M1140" s="261"/>
      <c r="N1140" s="261"/>
      <c r="O1140" s="261"/>
      <c r="P1140" s="261"/>
      <c r="Q1140" s="261"/>
      <c r="R1140" s="261"/>
      <c r="S1140" s="261"/>
    </row>
    <row r="1141" spans="1:19">
      <c r="A1141" s="295">
        <v>46198</v>
      </c>
      <c r="B1141" s="259" t="s">
        <v>88</v>
      </c>
      <c r="C1141" s="258"/>
      <c r="D1141" s="261"/>
      <c r="E1141" s="261"/>
      <c r="F1141" s="261"/>
      <c r="G1141" s="261"/>
      <c r="H1141" s="261"/>
      <c r="I1141" s="261"/>
      <c r="J1141" s="261"/>
      <c r="K1141" s="261"/>
      <c r="L1141" s="261"/>
      <c r="M1141" s="261"/>
      <c r="N1141" s="261"/>
      <c r="O1141" s="261"/>
      <c r="P1141" s="261"/>
      <c r="Q1141" s="261"/>
      <c r="R1141" s="261"/>
      <c r="S1141" s="261"/>
    </row>
    <row r="1142" spans="1:19">
      <c r="A1142" s="295"/>
      <c r="B1142" s="259" t="s">
        <v>89</v>
      </c>
      <c r="C1142" s="258"/>
      <c r="D1142" s="261"/>
      <c r="E1142" s="261"/>
      <c r="F1142" s="261"/>
      <c r="G1142" s="261"/>
      <c r="H1142" s="261"/>
      <c r="I1142" s="261"/>
      <c r="J1142" s="261"/>
      <c r="K1142" s="261"/>
      <c r="L1142" s="261"/>
      <c r="M1142" s="261"/>
      <c r="N1142" s="261"/>
      <c r="O1142" s="261"/>
      <c r="P1142" s="261"/>
      <c r="Q1142" s="261"/>
      <c r="R1142" s="261"/>
      <c r="S1142" s="261"/>
    </row>
    <row r="1143" spans="1:19">
      <c r="A1143" s="296"/>
      <c r="B1143" s="267" t="s">
        <v>90</v>
      </c>
      <c r="C1143" s="258"/>
      <c r="D1143" s="261"/>
      <c r="E1143" s="261"/>
      <c r="F1143" s="261"/>
      <c r="G1143" s="261"/>
      <c r="H1143" s="261"/>
      <c r="I1143" s="261"/>
      <c r="J1143" s="261"/>
      <c r="K1143" s="261"/>
      <c r="L1143" s="261"/>
      <c r="M1143" s="261"/>
      <c r="N1143" s="261"/>
      <c r="O1143" s="261"/>
      <c r="P1143" s="261"/>
      <c r="Q1143" s="261"/>
      <c r="R1143" s="261"/>
      <c r="S1143" s="261"/>
    </row>
    <row r="1144" spans="1:19">
      <c r="A1144" s="295">
        <v>46199</v>
      </c>
      <c r="B1144" s="259" t="s">
        <v>88</v>
      </c>
      <c r="C1144" s="258"/>
      <c r="D1144" s="261"/>
      <c r="E1144" s="261"/>
      <c r="F1144" s="261"/>
      <c r="G1144" s="261"/>
      <c r="H1144" s="261"/>
      <c r="I1144" s="261"/>
      <c r="J1144" s="261"/>
      <c r="K1144" s="261"/>
      <c r="L1144" s="261"/>
      <c r="M1144" s="261"/>
      <c r="N1144" s="261"/>
      <c r="O1144" s="261"/>
      <c r="P1144" s="261"/>
      <c r="Q1144" s="261"/>
      <c r="R1144" s="261"/>
      <c r="S1144" s="261"/>
    </row>
    <row r="1145" spans="1:19">
      <c r="A1145" s="295"/>
      <c r="B1145" s="259" t="s">
        <v>89</v>
      </c>
      <c r="C1145" s="258"/>
      <c r="D1145" s="261"/>
      <c r="E1145" s="261"/>
      <c r="F1145" s="261"/>
      <c r="G1145" s="261"/>
      <c r="H1145" s="261"/>
      <c r="I1145" s="261"/>
      <c r="J1145" s="261"/>
      <c r="K1145" s="261"/>
      <c r="L1145" s="261"/>
      <c r="M1145" s="261"/>
      <c r="N1145" s="261"/>
      <c r="O1145" s="261"/>
      <c r="P1145" s="261"/>
      <c r="Q1145" s="261"/>
      <c r="R1145" s="261"/>
      <c r="S1145" s="261"/>
    </row>
    <row r="1146" spans="1:19">
      <c r="A1146" s="296"/>
      <c r="B1146" s="267" t="s">
        <v>90</v>
      </c>
      <c r="C1146" s="258"/>
      <c r="D1146" s="261"/>
      <c r="E1146" s="261"/>
      <c r="F1146" s="261"/>
      <c r="G1146" s="261"/>
      <c r="H1146" s="261"/>
      <c r="I1146" s="261"/>
      <c r="J1146" s="261"/>
      <c r="K1146" s="261"/>
      <c r="L1146" s="261"/>
      <c r="M1146" s="261"/>
      <c r="N1146" s="261"/>
      <c r="O1146" s="261"/>
      <c r="P1146" s="261"/>
      <c r="Q1146" s="261"/>
      <c r="R1146" s="261"/>
      <c r="S1146" s="261"/>
    </row>
    <row r="1147" spans="1:19">
      <c r="A1147" s="295">
        <v>46200</v>
      </c>
      <c r="B1147" s="259" t="s">
        <v>88</v>
      </c>
      <c r="C1147" s="258"/>
      <c r="D1147" s="261"/>
      <c r="E1147" s="261"/>
      <c r="F1147" s="261"/>
      <c r="G1147" s="261"/>
      <c r="H1147" s="261"/>
      <c r="I1147" s="261"/>
      <c r="J1147" s="261"/>
      <c r="K1147" s="261"/>
      <c r="L1147" s="261"/>
      <c r="M1147" s="261"/>
      <c r="N1147" s="261"/>
      <c r="O1147" s="261"/>
      <c r="P1147" s="261"/>
      <c r="Q1147" s="261"/>
      <c r="R1147" s="261"/>
      <c r="S1147" s="261"/>
    </row>
    <row r="1148" spans="1:19">
      <c r="A1148" s="295"/>
      <c r="B1148" s="259" t="s">
        <v>89</v>
      </c>
      <c r="C1148" s="258"/>
      <c r="D1148" s="261"/>
      <c r="E1148" s="261"/>
      <c r="F1148" s="261"/>
      <c r="G1148" s="261"/>
      <c r="H1148" s="261"/>
      <c r="I1148" s="261"/>
      <c r="J1148" s="261"/>
      <c r="K1148" s="261"/>
      <c r="L1148" s="261"/>
      <c r="M1148" s="261"/>
      <c r="N1148" s="261"/>
      <c r="O1148" s="261"/>
      <c r="P1148" s="261"/>
      <c r="Q1148" s="261"/>
      <c r="R1148" s="261"/>
      <c r="S1148" s="261"/>
    </row>
    <row r="1149" spans="1:19">
      <c r="A1149" s="296"/>
      <c r="B1149" s="267" t="s">
        <v>90</v>
      </c>
      <c r="C1149" s="258"/>
      <c r="D1149" s="261"/>
      <c r="E1149" s="261"/>
      <c r="F1149" s="261"/>
      <c r="G1149" s="261"/>
      <c r="H1149" s="261"/>
      <c r="I1149" s="261"/>
      <c r="J1149" s="261"/>
      <c r="K1149" s="261"/>
      <c r="L1149" s="261"/>
      <c r="M1149" s="261"/>
      <c r="N1149" s="261"/>
      <c r="O1149" s="261"/>
      <c r="P1149" s="261"/>
      <c r="Q1149" s="261"/>
      <c r="R1149" s="261"/>
      <c r="S1149" s="261"/>
    </row>
    <row r="1150" spans="1:19">
      <c r="A1150" s="295">
        <v>46201</v>
      </c>
      <c r="B1150" s="259" t="s">
        <v>88</v>
      </c>
      <c r="C1150" s="258"/>
      <c r="D1150" s="261"/>
      <c r="E1150" s="261"/>
      <c r="F1150" s="261"/>
      <c r="G1150" s="261"/>
      <c r="H1150" s="261"/>
      <c r="I1150" s="261"/>
      <c r="J1150" s="261"/>
      <c r="K1150" s="261"/>
      <c r="L1150" s="261"/>
      <c r="M1150" s="261"/>
      <c r="N1150" s="261"/>
      <c r="O1150" s="261"/>
      <c r="P1150" s="261"/>
      <c r="Q1150" s="261"/>
      <c r="R1150" s="261"/>
      <c r="S1150" s="261"/>
    </row>
    <row r="1151" spans="1:19">
      <c r="A1151" s="295"/>
      <c r="B1151" s="259" t="s">
        <v>89</v>
      </c>
      <c r="C1151" s="258"/>
      <c r="D1151" s="261"/>
      <c r="E1151" s="261"/>
      <c r="F1151" s="261"/>
      <c r="G1151" s="261"/>
      <c r="H1151" s="261"/>
      <c r="I1151" s="261"/>
      <c r="J1151" s="261"/>
      <c r="K1151" s="261"/>
      <c r="L1151" s="261"/>
      <c r="M1151" s="261"/>
      <c r="N1151" s="261"/>
      <c r="O1151" s="261"/>
      <c r="P1151" s="261"/>
      <c r="Q1151" s="261"/>
      <c r="R1151" s="261"/>
      <c r="S1151" s="261"/>
    </row>
    <row r="1152" spans="1:19">
      <c r="A1152" s="296"/>
      <c r="B1152" s="267" t="s">
        <v>90</v>
      </c>
      <c r="C1152" s="258"/>
      <c r="D1152" s="261"/>
      <c r="E1152" s="261"/>
      <c r="F1152" s="261"/>
      <c r="G1152" s="261"/>
      <c r="H1152" s="261"/>
      <c r="I1152" s="261"/>
      <c r="J1152" s="261"/>
      <c r="K1152" s="261"/>
      <c r="L1152" s="261"/>
      <c r="M1152" s="261"/>
      <c r="N1152" s="261"/>
      <c r="O1152" s="261"/>
      <c r="P1152" s="261"/>
      <c r="Q1152" s="261"/>
      <c r="R1152" s="261"/>
      <c r="S1152" s="261"/>
    </row>
    <row r="1153" spans="1:19">
      <c r="A1153" s="295">
        <v>46202</v>
      </c>
      <c r="B1153" s="259" t="s">
        <v>88</v>
      </c>
      <c r="C1153" s="258"/>
      <c r="D1153" s="261"/>
      <c r="E1153" s="261"/>
      <c r="F1153" s="261"/>
      <c r="G1153" s="261"/>
      <c r="H1153" s="261"/>
      <c r="I1153" s="261"/>
      <c r="J1153" s="261"/>
      <c r="K1153" s="261"/>
      <c r="L1153" s="261"/>
      <c r="M1153" s="261"/>
      <c r="N1153" s="261"/>
      <c r="O1153" s="261"/>
      <c r="P1153" s="261"/>
      <c r="Q1153" s="261"/>
      <c r="R1153" s="261"/>
      <c r="S1153" s="261"/>
    </row>
    <row r="1154" spans="1:19">
      <c r="A1154" s="295"/>
      <c r="B1154" s="259" t="s">
        <v>89</v>
      </c>
      <c r="C1154" s="258"/>
      <c r="D1154" s="261"/>
      <c r="E1154" s="261"/>
      <c r="F1154" s="261"/>
      <c r="G1154" s="261"/>
      <c r="H1154" s="261"/>
      <c r="I1154" s="261"/>
      <c r="J1154" s="261"/>
      <c r="K1154" s="261"/>
      <c r="L1154" s="261"/>
      <c r="M1154" s="261"/>
      <c r="N1154" s="261"/>
      <c r="O1154" s="261"/>
      <c r="P1154" s="261"/>
      <c r="Q1154" s="261"/>
      <c r="R1154" s="261"/>
      <c r="S1154" s="261"/>
    </row>
    <row r="1155" spans="1:19">
      <c r="A1155" s="296"/>
      <c r="B1155" s="267" t="s">
        <v>90</v>
      </c>
      <c r="C1155" s="258"/>
      <c r="D1155" s="261"/>
      <c r="E1155" s="261"/>
      <c r="F1155" s="261"/>
      <c r="G1155" s="261"/>
      <c r="H1155" s="261"/>
      <c r="I1155" s="261"/>
      <c r="J1155" s="261"/>
      <c r="K1155" s="261"/>
      <c r="L1155" s="261"/>
      <c r="M1155" s="261"/>
      <c r="N1155" s="261"/>
      <c r="O1155" s="261"/>
      <c r="P1155" s="261"/>
      <c r="Q1155" s="261"/>
      <c r="R1155" s="261"/>
      <c r="S1155" s="261"/>
    </row>
    <row r="1156" spans="1:19">
      <c r="A1156" s="295">
        <v>46203</v>
      </c>
      <c r="B1156" s="259" t="s">
        <v>88</v>
      </c>
      <c r="C1156" s="258"/>
      <c r="D1156" s="261"/>
      <c r="E1156" s="261"/>
      <c r="F1156" s="261"/>
      <c r="G1156" s="261"/>
      <c r="H1156" s="261"/>
      <c r="I1156" s="261"/>
      <c r="J1156" s="261"/>
      <c r="K1156" s="261"/>
      <c r="L1156" s="261"/>
      <c r="M1156" s="261"/>
      <c r="N1156" s="261"/>
      <c r="O1156" s="261"/>
      <c r="P1156" s="261"/>
      <c r="Q1156" s="261"/>
      <c r="R1156" s="261"/>
      <c r="S1156" s="261"/>
    </row>
    <row r="1157" spans="1:19">
      <c r="A1157" s="295"/>
      <c r="B1157" s="259" t="s">
        <v>89</v>
      </c>
      <c r="C1157" s="258"/>
      <c r="D1157" s="261"/>
      <c r="E1157" s="261"/>
      <c r="F1157" s="261"/>
      <c r="G1157" s="261"/>
      <c r="H1157" s="261"/>
      <c r="I1157" s="261"/>
      <c r="J1157" s="261"/>
      <c r="K1157" s="261"/>
      <c r="L1157" s="261"/>
      <c r="M1157" s="261"/>
      <c r="N1157" s="261"/>
      <c r="O1157" s="261"/>
      <c r="P1157" s="261"/>
      <c r="Q1157" s="261"/>
      <c r="R1157" s="261"/>
      <c r="S1157" s="261"/>
    </row>
    <row r="1158" spans="1:19">
      <c r="A1158" s="296"/>
      <c r="B1158" s="267" t="s">
        <v>90</v>
      </c>
      <c r="C1158" s="258"/>
      <c r="D1158" s="261"/>
      <c r="E1158" s="261"/>
      <c r="F1158" s="261"/>
      <c r="G1158" s="261"/>
      <c r="H1158" s="261"/>
      <c r="I1158" s="261"/>
      <c r="J1158" s="261"/>
      <c r="K1158" s="261"/>
      <c r="L1158" s="261"/>
      <c r="M1158" s="261"/>
      <c r="N1158" s="261"/>
      <c r="O1158" s="261"/>
      <c r="P1158" s="261"/>
      <c r="Q1158" s="261"/>
      <c r="R1158" s="261"/>
      <c r="S1158" s="261"/>
    </row>
    <row r="1159" spans="1:19">
      <c r="A1159" s="295">
        <v>46204</v>
      </c>
      <c r="B1159" s="259" t="s">
        <v>88</v>
      </c>
      <c r="C1159" s="258"/>
      <c r="D1159" s="261"/>
      <c r="E1159" s="261"/>
      <c r="F1159" s="261"/>
      <c r="G1159" s="261"/>
      <c r="H1159" s="261"/>
      <c r="I1159" s="261"/>
      <c r="J1159" s="261"/>
      <c r="K1159" s="261"/>
      <c r="L1159" s="261"/>
      <c r="M1159" s="261"/>
      <c r="N1159" s="261"/>
      <c r="O1159" s="261"/>
      <c r="P1159" s="261"/>
      <c r="Q1159" s="261"/>
      <c r="R1159" s="261"/>
      <c r="S1159" s="261"/>
    </row>
    <row r="1160" spans="1:19">
      <c r="A1160" s="295"/>
      <c r="B1160" s="259" t="s">
        <v>89</v>
      </c>
      <c r="C1160" s="258"/>
      <c r="D1160" s="261"/>
      <c r="E1160" s="261"/>
      <c r="F1160" s="261"/>
      <c r="G1160" s="261"/>
      <c r="H1160" s="261"/>
      <c r="I1160" s="261"/>
      <c r="J1160" s="261"/>
      <c r="K1160" s="261"/>
      <c r="L1160" s="261"/>
      <c r="M1160" s="261"/>
      <c r="N1160" s="261"/>
      <c r="O1160" s="261"/>
      <c r="P1160" s="261"/>
      <c r="Q1160" s="261"/>
      <c r="R1160" s="261"/>
      <c r="S1160" s="261"/>
    </row>
    <row r="1161" spans="1:19">
      <c r="A1161" s="296"/>
      <c r="B1161" s="267" t="s">
        <v>90</v>
      </c>
      <c r="C1161" s="258"/>
      <c r="D1161" s="261"/>
      <c r="E1161" s="261"/>
      <c r="F1161" s="261"/>
      <c r="G1161" s="261"/>
      <c r="H1161" s="261"/>
      <c r="I1161" s="261"/>
      <c r="J1161" s="261"/>
      <c r="K1161" s="261"/>
      <c r="L1161" s="261"/>
      <c r="M1161" s="261"/>
      <c r="N1161" s="261"/>
      <c r="O1161" s="261"/>
      <c r="P1161" s="261"/>
      <c r="Q1161" s="261"/>
      <c r="R1161" s="261"/>
      <c r="S1161" s="261"/>
    </row>
    <row r="1162" spans="1:19">
      <c r="A1162" s="295">
        <v>46205</v>
      </c>
      <c r="B1162" s="259" t="s">
        <v>88</v>
      </c>
      <c r="C1162" s="258"/>
      <c r="D1162" s="261"/>
      <c r="E1162" s="261"/>
      <c r="F1162" s="261"/>
      <c r="G1162" s="261"/>
      <c r="H1162" s="261"/>
      <c r="I1162" s="261"/>
      <c r="J1162" s="261"/>
      <c r="K1162" s="261"/>
      <c r="L1162" s="261"/>
      <c r="M1162" s="261"/>
      <c r="N1162" s="261"/>
      <c r="O1162" s="261"/>
      <c r="P1162" s="261"/>
      <c r="Q1162" s="261"/>
      <c r="R1162" s="261"/>
      <c r="S1162" s="261"/>
    </row>
    <row r="1163" spans="1:19">
      <c r="A1163" s="295"/>
      <c r="B1163" s="259" t="s">
        <v>89</v>
      </c>
      <c r="C1163" s="258"/>
      <c r="D1163" s="261"/>
      <c r="E1163" s="261"/>
      <c r="F1163" s="261"/>
      <c r="G1163" s="261"/>
      <c r="H1163" s="261"/>
      <c r="I1163" s="261"/>
      <c r="J1163" s="261"/>
      <c r="K1163" s="261"/>
      <c r="L1163" s="261"/>
      <c r="M1163" s="261"/>
      <c r="N1163" s="261"/>
      <c r="O1163" s="261"/>
      <c r="P1163" s="261"/>
      <c r="Q1163" s="261"/>
      <c r="R1163" s="261"/>
      <c r="S1163" s="261"/>
    </row>
    <row r="1164" spans="1:19">
      <c r="A1164" s="296"/>
      <c r="B1164" s="267" t="s">
        <v>90</v>
      </c>
      <c r="C1164" s="258"/>
      <c r="D1164" s="261"/>
      <c r="E1164" s="261"/>
      <c r="F1164" s="261"/>
      <c r="G1164" s="261"/>
      <c r="H1164" s="261"/>
      <c r="I1164" s="261"/>
      <c r="J1164" s="261"/>
      <c r="K1164" s="261"/>
      <c r="L1164" s="261"/>
      <c r="M1164" s="261"/>
      <c r="N1164" s="261"/>
      <c r="O1164" s="261"/>
      <c r="P1164" s="261"/>
      <c r="Q1164" s="261"/>
      <c r="R1164" s="261"/>
      <c r="S1164" s="261"/>
    </row>
    <row r="1165" spans="1:19">
      <c r="A1165" s="295">
        <v>46206</v>
      </c>
      <c r="B1165" s="259" t="s">
        <v>88</v>
      </c>
      <c r="C1165" s="258"/>
      <c r="D1165" s="261"/>
      <c r="E1165" s="261"/>
      <c r="F1165" s="261"/>
      <c r="G1165" s="261"/>
      <c r="H1165" s="261"/>
      <c r="I1165" s="261"/>
      <c r="J1165" s="261"/>
      <c r="K1165" s="261"/>
      <c r="L1165" s="261"/>
      <c r="M1165" s="261"/>
      <c r="N1165" s="261"/>
      <c r="O1165" s="261"/>
      <c r="P1165" s="261"/>
      <c r="Q1165" s="261"/>
      <c r="R1165" s="261"/>
      <c r="S1165" s="261"/>
    </row>
    <row r="1166" spans="1:19">
      <c r="A1166" s="295"/>
      <c r="B1166" s="259" t="s">
        <v>89</v>
      </c>
      <c r="C1166" s="258"/>
      <c r="D1166" s="261"/>
      <c r="E1166" s="261"/>
      <c r="F1166" s="261"/>
      <c r="G1166" s="261"/>
      <c r="H1166" s="261"/>
      <c r="I1166" s="261"/>
      <c r="J1166" s="261"/>
      <c r="K1166" s="261"/>
      <c r="L1166" s="261"/>
      <c r="M1166" s="261"/>
      <c r="N1166" s="261"/>
      <c r="O1166" s="261"/>
      <c r="P1166" s="261"/>
      <c r="Q1166" s="261"/>
      <c r="R1166" s="261"/>
      <c r="S1166" s="261"/>
    </row>
    <row r="1167" spans="1:19">
      <c r="A1167" s="296"/>
      <c r="B1167" s="267" t="s">
        <v>90</v>
      </c>
      <c r="C1167" s="258"/>
      <c r="D1167" s="261"/>
      <c r="E1167" s="261"/>
      <c r="F1167" s="261"/>
      <c r="G1167" s="261"/>
      <c r="H1167" s="261"/>
      <c r="I1167" s="261"/>
      <c r="J1167" s="261"/>
      <c r="K1167" s="261"/>
      <c r="L1167" s="261"/>
      <c r="M1167" s="261"/>
      <c r="N1167" s="261"/>
      <c r="O1167" s="261"/>
      <c r="P1167" s="261"/>
      <c r="Q1167" s="261"/>
      <c r="R1167" s="261"/>
      <c r="S1167" s="261"/>
    </row>
    <row r="1168" spans="1:19">
      <c r="A1168" s="295">
        <v>46207</v>
      </c>
      <c r="B1168" s="259" t="s">
        <v>88</v>
      </c>
      <c r="C1168" s="258"/>
      <c r="D1168" s="261"/>
      <c r="E1168" s="261"/>
      <c r="F1168" s="261"/>
      <c r="G1168" s="261"/>
      <c r="H1168" s="261"/>
      <c r="I1168" s="261"/>
      <c r="J1168" s="261"/>
      <c r="K1168" s="261"/>
      <c r="L1168" s="261"/>
      <c r="M1168" s="261"/>
      <c r="N1168" s="261"/>
      <c r="O1168" s="261"/>
      <c r="P1168" s="261"/>
      <c r="Q1168" s="261"/>
      <c r="R1168" s="261"/>
      <c r="S1168" s="261"/>
    </row>
    <row r="1169" spans="1:19">
      <c r="A1169" s="295"/>
      <c r="B1169" s="259" t="s">
        <v>89</v>
      </c>
      <c r="C1169" s="258"/>
      <c r="D1169" s="261"/>
      <c r="E1169" s="261"/>
      <c r="F1169" s="261"/>
      <c r="G1169" s="261"/>
      <c r="H1169" s="261"/>
      <c r="I1169" s="261"/>
      <c r="J1169" s="261"/>
      <c r="K1169" s="261"/>
      <c r="L1169" s="261"/>
      <c r="M1169" s="261"/>
      <c r="N1169" s="261"/>
      <c r="O1169" s="261"/>
      <c r="P1169" s="261"/>
      <c r="Q1169" s="261"/>
      <c r="R1169" s="261"/>
      <c r="S1169" s="261"/>
    </row>
    <row r="1170" spans="1:19">
      <c r="A1170" s="296"/>
      <c r="B1170" s="267" t="s">
        <v>90</v>
      </c>
      <c r="C1170" s="258"/>
      <c r="D1170" s="261"/>
      <c r="E1170" s="261"/>
      <c r="F1170" s="261"/>
      <c r="G1170" s="261"/>
      <c r="H1170" s="261"/>
      <c r="I1170" s="261"/>
      <c r="J1170" s="261"/>
      <c r="K1170" s="261"/>
      <c r="L1170" s="261"/>
      <c r="M1170" s="261"/>
      <c r="N1170" s="261"/>
      <c r="O1170" s="261"/>
      <c r="P1170" s="261"/>
      <c r="Q1170" s="261"/>
      <c r="R1170" s="261"/>
      <c r="S1170" s="261"/>
    </row>
    <row r="1171" spans="1:19">
      <c r="A1171" s="295">
        <v>46208</v>
      </c>
      <c r="B1171" s="259" t="s">
        <v>88</v>
      </c>
      <c r="C1171" s="258"/>
      <c r="D1171" s="261"/>
      <c r="E1171" s="261"/>
      <c r="F1171" s="261"/>
      <c r="G1171" s="261"/>
      <c r="H1171" s="261"/>
      <c r="I1171" s="261"/>
      <c r="J1171" s="261"/>
      <c r="K1171" s="261"/>
      <c r="L1171" s="261"/>
      <c r="M1171" s="261"/>
      <c r="N1171" s="261"/>
      <c r="O1171" s="261"/>
      <c r="P1171" s="261"/>
      <c r="Q1171" s="261"/>
      <c r="R1171" s="261"/>
      <c r="S1171" s="261"/>
    </row>
    <row r="1172" spans="1:19">
      <c r="A1172" s="295"/>
      <c r="B1172" s="259" t="s">
        <v>89</v>
      </c>
      <c r="C1172" s="258"/>
      <c r="D1172" s="261"/>
      <c r="E1172" s="261"/>
      <c r="F1172" s="261"/>
      <c r="G1172" s="261"/>
      <c r="H1172" s="261"/>
      <c r="I1172" s="261"/>
      <c r="J1172" s="261"/>
      <c r="K1172" s="261"/>
      <c r="L1172" s="261"/>
      <c r="M1172" s="261"/>
      <c r="N1172" s="261"/>
      <c r="O1172" s="261"/>
      <c r="P1172" s="261"/>
      <c r="Q1172" s="261"/>
      <c r="R1172" s="261"/>
      <c r="S1172" s="261"/>
    </row>
    <row r="1173" spans="1:19">
      <c r="A1173" s="296"/>
      <c r="B1173" s="267" t="s">
        <v>90</v>
      </c>
      <c r="C1173" s="258"/>
      <c r="D1173" s="261"/>
      <c r="E1173" s="261"/>
      <c r="F1173" s="261"/>
      <c r="G1173" s="261"/>
      <c r="H1173" s="261"/>
      <c r="I1173" s="261"/>
      <c r="J1173" s="261"/>
      <c r="K1173" s="261"/>
      <c r="L1173" s="261"/>
      <c r="M1173" s="261"/>
      <c r="N1173" s="261"/>
      <c r="O1173" s="261"/>
      <c r="P1173" s="261"/>
      <c r="Q1173" s="261"/>
      <c r="R1173" s="261"/>
      <c r="S1173" s="261"/>
    </row>
    <row r="1174" spans="1:19">
      <c r="A1174" s="295">
        <v>46209</v>
      </c>
      <c r="B1174" s="259" t="s">
        <v>88</v>
      </c>
      <c r="C1174" s="258"/>
      <c r="D1174" s="261"/>
      <c r="E1174" s="261"/>
      <c r="F1174" s="261"/>
      <c r="G1174" s="261"/>
      <c r="H1174" s="261"/>
      <c r="I1174" s="261"/>
      <c r="J1174" s="261"/>
      <c r="K1174" s="261"/>
      <c r="L1174" s="261"/>
      <c r="M1174" s="261"/>
      <c r="N1174" s="261"/>
      <c r="O1174" s="261"/>
      <c r="P1174" s="261"/>
      <c r="Q1174" s="261"/>
      <c r="R1174" s="261"/>
      <c r="S1174" s="261"/>
    </row>
    <row r="1175" spans="1:19">
      <c r="A1175" s="295"/>
      <c r="B1175" s="259" t="s">
        <v>89</v>
      </c>
      <c r="C1175" s="258"/>
      <c r="D1175" s="261"/>
      <c r="E1175" s="261"/>
      <c r="F1175" s="261"/>
      <c r="G1175" s="261"/>
      <c r="H1175" s="261"/>
      <c r="I1175" s="261"/>
      <c r="J1175" s="261"/>
      <c r="K1175" s="261"/>
      <c r="L1175" s="261"/>
      <c r="M1175" s="261"/>
      <c r="N1175" s="261"/>
      <c r="O1175" s="261"/>
      <c r="P1175" s="261"/>
      <c r="Q1175" s="261"/>
      <c r="R1175" s="261"/>
      <c r="S1175" s="261"/>
    </row>
    <row r="1176" spans="1:19">
      <c r="A1176" s="296"/>
      <c r="B1176" s="267" t="s">
        <v>90</v>
      </c>
      <c r="C1176" s="258"/>
      <c r="D1176" s="261"/>
      <c r="E1176" s="261"/>
      <c r="F1176" s="261"/>
      <c r="G1176" s="261"/>
      <c r="H1176" s="261"/>
      <c r="I1176" s="261"/>
      <c r="J1176" s="261"/>
      <c r="K1176" s="261"/>
      <c r="L1176" s="261"/>
      <c r="M1176" s="261"/>
      <c r="N1176" s="261"/>
      <c r="O1176" s="261"/>
      <c r="P1176" s="261"/>
      <c r="Q1176" s="261"/>
      <c r="R1176" s="261"/>
      <c r="S1176" s="261"/>
    </row>
    <row r="1177" spans="1:19">
      <c r="A1177" s="295">
        <v>46210</v>
      </c>
      <c r="B1177" s="259" t="s">
        <v>88</v>
      </c>
      <c r="C1177" s="258"/>
      <c r="D1177" s="261"/>
      <c r="E1177" s="261"/>
      <c r="F1177" s="261"/>
      <c r="G1177" s="261"/>
      <c r="H1177" s="261"/>
      <c r="I1177" s="261"/>
      <c r="J1177" s="261"/>
      <c r="K1177" s="261"/>
      <c r="L1177" s="261"/>
      <c r="M1177" s="261"/>
      <c r="N1177" s="261"/>
      <c r="O1177" s="261"/>
      <c r="P1177" s="261"/>
      <c r="Q1177" s="261"/>
      <c r="R1177" s="261"/>
      <c r="S1177" s="261"/>
    </row>
    <row r="1178" spans="1:19">
      <c r="A1178" s="295"/>
      <c r="B1178" s="259" t="s">
        <v>89</v>
      </c>
      <c r="C1178" s="258"/>
      <c r="D1178" s="261"/>
      <c r="E1178" s="261"/>
      <c r="F1178" s="261"/>
      <c r="G1178" s="261"/>
      <c r="H1178" s="261"/>
      <c r="I1178" s="261"/>
      <c r="J1178" s="261"/>
      <c r="K1178" s="261"/>
      <c r="L1178" s="261"/>
      <c r="M1178" s="261"/>
      <c r="N1178" s="261"/>
      <c r="O1178" s="261"/>
      <c r="P1178" s="261"/>
      <c r="Q1178" s="261"/>
      <c r="R1178" s="261"/>
      <c r="S1178" s="261"/>
    </row>
    <row r="1179" spans="1:19">
      <c r="A1179" s="296"/>
      <c r="B1179" s="267" t="s">
        <v>90</v>
      </c>
      <c r="C1179" s="258"/>
      <c r="D1179" s="261"/>
      <c r="E1179" s="261"/>
      <c r="F1179" s="261"/>
      <c r="G1179" s="261"/>
      <c r="H1179" s="261"/>
      <c r="I1179" s="261"/>
      <c r="J1179" s="261"/>
      <c r="K1179" s="261"/>
      <c r="L1179" s="261"/>
      <c r="M1179" s="261"/>
      <c r="N1179" s="261"/>
      <c r="O1179" s="261"/>
      <c r="P1179" s="261"/>
      <c r="Q1179" s="261"/>
      <c r="R1179" s="261"/>
      <c r="S1179" s="261"/>
    </row>
    <row r="1180" spans="1:19">
      <c r="A1180" s="295">
        <v>46211</v>
      </c>
      <c r="B1180" s="259" t="s">
        <v>88</v>
      </c>
      <c r="C1180" s="258"/>
      <c r="D1180" s="261"/>
      <c r="E1180" s="261"/>
      <c r="F1180" s="261"/>
      <c r="G1180" s="261"/>
      <c r="H1180" s="261"/>
      <c r="I1180" s="261"/>
      <c r="J1180" s="261"/>
      <c r="K1180" s="261"/>
      <c r="L1180" s="261"/>
      <c r="M1180" s="261"/>
      <c r="N1180" s="261"/>
      <c r="O1180" s="261"/>
      <c r="P1180" s="261"/>
      <c r="Q1180" s="261"/>
      <c r="R1180" s="261"/>
      <c r="S1180" s="261"/>
    </row>
    <row r="1181" spans="1:19">
      <c r="A1181" s="295"/>
      <c r="B1181" s="259" t="s">
        <v>89</v>
      </c>
      <c r="C1181" s="258"/>
      <c r="D1181" s="261"/>
      <c r="E1181" s="261"/>
      <c r="F1181" s="261"/>
      <c r="G1181" s="261"/>
      <c r="H1181" s="261"/>
      <c r="I1181" s="261"/>
      <c r="J1181" s="261"/>
      <c r="K1181" s="261"/>
      <c r="L1181" s="261"/>
      <c r="M1181" s="261"/>
      <c r="N1181" s="261"/>
      <c r="O1181" s="261"/>
      <c r="P1181" s="261"/>
      <c r="Q1181" s="261"/>
      <c r="R1181" s="261"/>
      <c r="S1181" s="261"/>
    </row>
    <row r="1182" spans="1:19">
      <c r="A1182" s="296"/>
      <c r="B1182" s="267" t="s">
        <v>90</v>
      </c>
      <c r="C1182" s="258"/>
      <c r="D1182" s="261"/>
      <c r="E1182" s="261"/>
      <c r="F1182" s="261"/>
      <c r="G1182" s="261"/>
      <c r="H1182" s="261"/>
      <c r="I1182" s="261"/>
      <c r="J1182" s="261"/>
      <c r="K1182" s="261"/>
      <c r="L1182" s="261"/>
      <c r="M1182" s="261"/>
      <c r="N1182" s="261"/>
      <c r="O1182" s="261"/>
      <c r="P1182" s="261"/>
      <c r="Q1182" s="261"/>
      <c r="R1182" s="261"/>
      <c r="S1182" s="261"/>
    </row>
    <row r="1183" spans="1:19">
      <c r="A1183" s="295">
        <v>46212</v>
      </c>
      <c r="B1183" s="259" t="s">
        <v>88</v>
      </c>
      <c r="C1183" s="258"/>
      <c r="D1183" s="261"/>
      <c r="E1183" s="261"/>
      <c r="F1183" s="261"/>
      <c r="G1183" s="261"/>
      <c r="H1183" s="261"/>
      <c r="I1183" s="261"/>
      <c r="J1183" s="261"/>
      <c r="K1183" s="261"/>
      <c r="L1183" s="261"/>
      <c r="M1183" s="261"/>
      <c r="N1183" s="261"/>
      <c r="O1183" s="261"/>
      <c r="P1183" s="261"/>
      <c r="Q1183" s="261"/>
      <c r="R1183" s="261"/>
      <c r="S1183" s="261"/>
    </row>
    <row r="1184" spans="1:19">
      <c r="A1184" s="295"/>
      <c r="B1184" s="259" t="s">
        <v>89</v>
      </c>
      <c r="C1184" s="258"/>
      <c r="D1184" s="261"/>
      <c r="E1184" s="261"/>
      <c r="F1184" s="261"/>
      <c r="G1184" s="261"/>
      <c r="H1184" s="261"/>
      <c r="I1184" s="261"/>
      <c r="J1184" s="261"/>
      <c r="K1184" s="261"/>
      <c r="L1184" s="261"/>
      <c r="M1184" s="261"/>
      <c r="N1184" s="261"/>
      <c r="O1184" s="261"/>
      <c r="P1184" s="261"/>
      <c r="Q1184" s="261"/>
      <c r="R1184" s="261"/>
      <c r="S1184" s="261"/>
    </row>
    <row r="1185" spans="1:19">
      <c r="A1185" s="296"/>
      <c r="B1185" s="267" t="s">
        <v>90</v>
      </c>
      <c r="C1185" s="258"/>
      <c r="D1185" s="261"/>
      <c r="E1185" s="261"/>
      <c r="F1185" s="261"/>
      <c r="G1185" s="261"/>
      <c r="H1185" s="261"/>
      <c r="I1185" s="261"/>
      <c r="J1185" s="261"/>
      <c r="K1185" s="261"/>
      <c r="L1185" s="261"/>
      <c r="M1185" s="261"/>
      <c r="N1185" s="261"/>
      <c r="O1185" s="261"/>
      <c r="P1185" s="261"/>
      <c r="Q1185" s="261"/>
      <c r="R1185" s="261"/>
      <c r="S1185" s="261"/>
    </row>
    <row r="1186" spans="1:19">
      <c r="A1186" s="295">
        <v>46213</v>
      </c>
      <c r="B1186" s="259" t="s">
        <v>88</v>
      </c>
      <c r="C1186" s="258"/>
      <c r="D1186" s="261"/>
      <c r="E1186" s="261"/>
      <c r="F1186" s="261"/>
      <c r="G1186" s="261"/>
      <c r="H1186" s="261"/>
      <c r="I1186" s="261"/>
      <c r="J1186" s="261"/>
      <c r="K1186" s="261"/>
      <c r="L1186" s="261"/>
      <c r="M1186" s="261"/>
      <c r="N1186" s="261"/>
      <c r="O1186" s="261"/>
      <c r="P1186" s="261"/>
      <c r="Q1186" s="261"/>
      <c r="R1186" s="261"/>
      <c r="S1186" s="261"/>
    </row>
    <row r="1187" spans="1:19">
      <c r="A1187" s="295"/>
      <c r="B1187" s="259" t="s">
        <v>89</v>
      </c>
      <c r="C1187" s="258"/>
      <c r="D1187" s="261"/>
      <c r="E1187" s="261"/>
      <c r="F1187" s="261"/>
      <c r="G1187" s="261"/>
      <c r="H1187" s="261"/>
      <c r="I1187" s="261"/>
      <c r="J1187" s="261"/>
      <c r="K1187" s="261"/>
      <c r="L1187" s="261"/>
      <c r="M1187" s="261"/>
      <c r="N1187" s="261"/>
      <c r="O1187" s="261"/>
      <c r="P1187" s="261"/>
      <c r="Q1187" s="261"/>
      <c r="R1187" s="261"/>
      <c r="S1187" s="261"/>
    </row>
    <row r="1188" spans="1:19">
      <c r="A1188" s="296"/>
      <c r="B1188" s="267" t="s">
        <v>90</v>
      </c>
      <c r="C1188" s="258"/>
      <c r="D1188" s="261"/>
      <c r="E1188" s="261"/>
      <c r="F1188" s="261"/>
      <c r="G1188" s="261"/>
      <c r="H1188" s="261"/>
      <c r="I1188" s="261"/>
      <c r="J1188" s="261"/>
      <c r="K1188" s="261"/>
      <c r="L1188" s="261"/>
      <c r="M1188" s="261"/>
      <c r="N1188" s="261"/>
      <c r="O1188" s="261"/>
      <c r="P1188" s="261"/>
      <c r="Q1188" s="261"/>
      <c r="R1188" s="261"/>
      <c r="S1188" s="261"/>
    </row>
    <row r="1189" spans="1:19">
      <c r="A1189" s="295">
        <v>46214</v>
      </c>
      <c r="B1189" s="259" t="s">
        <v>88</v>
      </c>
      <c r="C1189" s="258"/>
      <c r="D1189" s="261"/>
      <c r="E1189" s="261"/>
      <c r="F1189" s="261"/>
      <c r="G1189" s="261"/>
      <c r="H1189" s="261"/>
      <c r="I1189" s="261"/>
      <c r="J1189" s="261"/>
      <c r="K1189" s="261"/>
      <c r="L1189" s="261"/>
      <c r="M1189" s="261"/>
      <c r="N1189" s="261"/>
      <c r="O1189" s="261"/>
      <c r="P1189" s="261"/>
      <c r="Q1189" s="261"/>
      <c r="R1189" s="261"/>
      <c r="S1189" s="261"/>
    </row>
    <row r="1190" spans="1:19">
      <c r="A1190" s="295"/>
      <c r="B1190" s="259" t="s">
        <v>89</v>
      </c>
      <c r="C1190" s="258"/>
      <c r="D1190" s="261"/>
      <c r="E1190" s="261"/>
      <c r="F1190" s="261"/>
      <c r="G1190" s="261"/>
      <c r="H1190" s="261"/>
      <c r="I1190" s="261"/>
      <c r="J1190" s="261"/>
      <c r="K1190" s="261"/>
      <c r="L1190" s="261"/>
      <c r="M1190" s="261"/>
      <c r="N1190" s="261"/>
      <c r="O1190" s="261"/>
      <c r="P1190" s="261"/>
      <c r="Q1190" s="261"/>
      <c r="R1190" s="261"/>
      <c r="S1190" s="261"/>
    </row>
    <row r="1191" spans="1:19">
      <c r="A1191" s="296"/>
      <c r="B1191" s="267" t="s">
        <v>90</v>
      </c>
      <c r="C1191" s="258"/>
      <c r="D1191" s="261"/>
      <c r="E1191" s="261"/>
      <c r="F1191" s="261"/>
      <c r="G1191" s="261"/>
      <c r="H1191" s="261"/>
      <c r="I1191" s="261"/>
      <c r="J1191" s="261"/>
      <c r="K1191" s="261"/>
      <c r="L1191" s="261"/>
      <c r="M1191" s="261"/>
      <c r="N1191" s="261"/>
      <c r="O1191" s="261"/>
      <c r="P1191" s="261"/>
      <c r="Q1191" s="261"/>
      <c r="R1191" s="261"/>
      <c r="S1191" s="261"/>
    </row>
    <row r="1192" spans="1:19">
      <c r="A1192" s="295">
        <v>46215</v>
      </c>
      <c r="B1192" s="259" t="s">
        <v>88</v>
      </c>
      <c r="C1192" s="258"/>
      <c r="D1192" s="261"/>
      <c r="E1192" s="261"/>
      <c r="F1192" s="261"/>
      <c r="G1192" s="261"/>
      <c r="H1192" s="261"/>
      <c r="I1192" s="261"/>
      <c r="J1192" s="261"/>
      <c r="K1192" s="261"/>
      <c r="L1192" s="261"/>
      <c r="M1192" s="261"/>
      <c r="N1192" s="261"/>
      <c r="O1192" s="261"/>
      <c r="P1192" s="261"/>
      <c r="Q1192" s="261"/>
      <c r="R1192" s="261"/>
      <c r="S1192" s="261"/>
    </row>
    <row r="1193" spans="1:19">
      <c r="A1193" s="295"/>
      <c r="B1193" s="259" t="s">
        <v>89</v>
      </c>
      <c r="C1193" s="258"/>
      <c r="D1193" s="261"/>
      <c r="E1193" s="261"/>
      <c r="F1193" s="261"/>
      <c r="G1193" s="261"/>
      <c r="H1193" s="261"/>
      <c r="I1193" s="261"/>
      <c r="J1193" s="261"/>
      <c r="K1193" s="261"/>
      <c r="L1193" s="261"/>
      <c r="M1193" s="261"/>
      <c r="N1193" s="261"/>
      <c r="O1193" s="261"/>
      <c r="P1193" s="261"/>
      <c r="Q1193" s="261"/>
      <c r="R1193" s="261"/>
      <c r="S1193" s="261"/>
    </row>
    <row r="1194" spans="1:19">
      <c r="A1194" s="296"/>
      <c r="B1194" s="267" t="s">
        <v>90</v>
      </c>
      <c r="C1194" s="258"/>
      <c r="D1194" s="261"/>
      <c r="E1194" s="261"/>
      <c r="F1194" s="261"/>
      <c r="G1194" s="261"/>
      <c r="H1194" s="261"/>
      <c r="I1194" s="261"/>
      <c r="J1194" s="261"/>
      <c r="K1194" s="261"/>
      <c r="L1194" s="261"/>
      <c r="M1194" s="261"/>
      <c r="N1194" s="261"/>
      <c r="O1194" s="261"/>
      <c r="P1194" s="261"/>
      <c r="Q1194" s="261"/>
      <c r="R1194" s="261"/>
      <c r="S1194" s="261"/>
    </row>
    <row r="1195" spans="1:19">
      <c r="A1195" s="295">
        <v>46216</v>
      </c>
      <c r="B1195" s="259" t="s">
        <v>88</v>
      </c>
      <c r="C1195" s="258"/>
      <c r="D1195" s="261"/>
      <c r="E1195" s="261"/>
      <c r="F1195" s="261"/>
      <c r="G1195" s="261"/>
      <c r="H1195" s="261"/>
      <c r="I1195" s="261"/>
      <c r="J1195" s="261"/>
      <c r="K1195" s="261"/>
      <c r="L1195" s="261"/>
      <c r="M1195" s="261"/>
      <c r="N1195" s="261"/>
      <c r="O1195" s="261"/>
      <c r="P1195" s="261"/>
      <c r="Q1195" s="261"/>
      <c r="R1195" s="261"/>
      <c r="S1195" s="261"/>
    </row>
    <row r="1196" spans="1:19">
      <c r="A1196" s="295"/>
      <c r="B1196" s="259" t="s">
        <v>89</v>
      </c>
      <c r="C1196" s="258"/>
      <c r="D1196" s="261"/>
      <c r="E1196" s="261"/>
      <c r="F1196" s="261"/>
      <c r="G1196" s="261"/>
      <c r="H1196" s="261"/>
      <c r="I1196" s="261"/>
      <c r="J1196" s="261"/>
      <c r="K1196" s="261"/>
      <c r="L1196" s="261"/>
      <c r="M1196" s="261"/>
      <c r="N1196" s="261"/>
      <c r="O1196" s="261"/>
      <c r="P1196" s="261"/>
      <c r="Q1196" s="261"/>
      <c r="R1196" s="261"/>
      <c r="S1196" s="261"/>
    </row>
    <row r="1197" spans="1:19">
      <c r="A1197" s="296"/>
      <c r="B1197" s="267" t="s">
        <v>90</v>
      </c>
      <c r="C1197" s="258"/>
      <c r="D1197" s="261"/>
      <c r="E1197" s="261"/>
      <c r="F1197" s="261"/>
      <c r="G1197" s="261"/>
      <c r="H1197" s="261"/>
      <c r="I1197" s="261"/>
      <c r="J1197" s="261"/>
      <c r="K1197" s="261"/>
      <c r="L1197" s="261"/>
      <c r="M1197" s="261"/>
      <c r="N1197" s="261"/>
      <c r="O1197" s="261"/>
      <c r="P1197" s="261"/>
      <c r="Q1197" s="261"/>
      <c r="R1197" s="261"/>
      <c r="S1197" s="261"/>
    </row>
    <row r="1198" spans="1:19">
      <c r="A1198" s="295">
        <v>46217</v>
      </c>
      <c r="B1198" s="259" t="s">
        <v>88</v>
      </c>
      <c r="C1198" s="258"/>
      <c r="D1198" s="261"/>
      <c r="E1198" s="261"/>
      <c r="F1198" s="261"/>
      <c r="G1198" s="261"/>
      <c r="H1198" s="261"/>
      <c r="I1198" s="261"/>
      <c r="J1198" s="261"/>
      <c r="K1198" s="261"/>
      <c r="L1198" s="261"/>
      <c r="M1198" s="261"/>
      <c r="N1198" s="261"/>
      <c r="O1198" s="261"/>
      <c r="P1198" s="261"/>
      <c r="Q1198" s="261"/>
      <c r="R1198" s="261"/>
      <c r="S1198" s="261"/>
    </row>
    <row r="1199" spans="1:19">
      <c r="A1199" s="295"/>
      <c r="B1199" s="259" t="s">
        <v>89</v>
      </c>
      <c r="C1199" s="258"/>
      <c r="D1199" s="261"/>
      <c r="E1199" s="261"/>
      <c r="F1199" s="261"/>
      <c r="G1199" s="261"/>
      <c r="H1199" s="261"/>
      <c r="I1199" s="261"/>
      <c r="J1199" s="261"/>
      <c r="K1199" s="261"/>
      <c r="L1199" s="261"/>
      <c r="M1199" s="261"/>
      <c r="N1199" s="261"/>
      <c r="O1199" s="261"/>
      <c r="P1199" s="261"/>
      <c r="Q1199" s="261"/>
      <c r="R1199" s="261"/>
      <c r="S1199" s="261"/>
    </row>
    <row r="1200" spans="1:19">
      <c r="A1200" s="296"/>
      <c r="B1200" s="267" t="s">
        <v>90</v>
      </c>
      <c r="C1200" s="258"/>
      <c r="D1200" s="261"/>
      <c r="E1200" s="261"/>
      <c r="F1200" s="261"/>
      <c r="G1200" s="261"/>
      <c r="H1200" s="261"/>
      <c r="I1200" s="261"/>
      <c r="J1200" s="261"/>
      <c r="K1200" s="261"/>
      <c r="L1200" s="261"/>
      <c r="M1200" s="261"/>
      <c r="N1200" s="261"/>
      <c r="O1200" s="261"/>
      <c r="P1200" s="261"/>
      <c r="Q1200" s="261"/>
      <c r="R1200" s="261"/>
      <c r="S1200" s="261"/>
    </row>
    <row r="1201" spans="1:19">
      <c r="A1201" s="295">
        <v>46218</v>
      </c>
      <c r="B1201" s="259" t="s">
        <v>88</v>
      </c>
      <c r="C1201" s="258"/>
      <c r="D1201" s="261"/>
      <c r="E1201" s="261"/>
      <c r="F1201" s="261"/>
      <c r="G1201" s="261"/>
      <c r="H1201" s="261"/>
      <c r="I1201" s="261"/>
      <c r="J1201" s="261"/>
      <c r="K1201" s="261"/>
      <c r="L1201" s="261"/>
      <c r="M1201" s="261"/>
      <c r="N1201" s="261"/>
      <c r="O1201" s="261"/>
      <c r="P1201" s="261"/>
      <c r="Q1201" s="261"/>
      <c r="R1201" s="261"/>
      <c r="S1201" s="261"/>
    </row>
    <row r="1202" spans="1:19">
      <c r="A1202" s="295"/>
      <c r="B1202" s="259" t="s">
        <v>89</v>
      </c>
      <c r="C1202" s="258"/>
      <c r="D1202" s="261"/>
      <c r="E1202" s="261"/>
      <c r="F1202" s="261"/>
      <c r="G1202" s="261"/>
      <c r="H1202" s="261"/>
      <c r="I1202" s="261"/>
      <c r="J1202" s="261"/>
      <c r="K1202" s="261"/>
      <c r="L1202" s="261"/>
      <c r="M1202" s="261"/>
      <c r="N1202" s="261"/>
      <c r="O1202" s="261"/>
      <c r="P1202" s="261"/>
      <c r="Q1202" s="261"/>
      <c r="R1202" s="261"/>
      <c r="S1202" s="261"/>
    </row>
    <row r="1203" spans="1:19">
      <c r="A1203" s="296"/>
      <c r="B1203" s="267" t="s">
        <v>90</v>
      </c>
      <c r="C1203" s="258"/>
      <c r="D1203" s="261"/>
      <c r="E1203" s="261"/>
      <c r="F1203" s="261"/>
      <c r="G1203" s="261"/>
      <c r="H1203" s="261"/>
      <c r="I1203" s="261"/>
      <c r="J1203" s="261"/>
      <c r="K1203" s="261"/>
      <c r="L1203" s="261"/>
      <c r="M1203" s="261"/>
      <c r="N1203" s="261"/>
      <c r="O1203" s="261"/>
      <c r="P1203" s="261"/>
      <c r="Q1203" s="261"/>
      <c r="R1203" s="261"/>
      <c r="S1203" s="261"/>
    </row>
    <row r="1204" spans="1:19">
      <c r="A1204" s="295">
        <v>46219</v>
      </c>
      <c r="B1204" s="259" t="s">
        <v>88</v>
      </c>
      <c r="C1204" s="258"/>
      <c r="D1204" s="261"/>
      <c r="E1204" s="261"/>
      <c r="F1204" s="261"/>
      <c r="G1204" s="261"/>
      <c r="H1204" s="261"/>
      <c r="I1204" s="261"/>
      <c r="J1204" s="261"/>
      <c r="K1204" s="261"/>
      <c r="L1204" s="261"/>
      <c r="M1204" s="261"/>
      <c r="N1204" s="261"/>
      <c r="O1204" s="261"/>
      <c r="P1204" s="261"/>
      <c r="Q1204" s="261"/>
      <c r="R1204" s="261"/>
      <c r="S1204" s="261"/>
    </row>
    <row r="1205" spans="1:19">
      <c r="A1205" s="295"/>
      <c r="B1205" s="259" t="s">
        <v>89</v>
      </c>
      <c r="C1205" s="258"/>
      <c r="D1205" s="261"/>
      <c r="E1205" s="261"/>
      <c r="F1205" s="261"/>
      <c r="G1205" s="261"/>
      <c r="H1205" s="261"/>
      <c r="I1205" s="261"/>
      <c r="J1205" s="261"/>
      <c r="K1205" s="261"/>
      <c r="L1205" s="261"/>
      <c r="M1205" s="261"/>
      <c r="N1205" s="261"/>
      <c r="O1205" s="261"/>
      <c r="P1205" s="261"/>
      <c r="Q1205" s="261"/>
      <c r="R1205" s="261"/>
      <c r="S1205" s="261"/>
    </row>
    <row r="1206" spans="1:19">
      <c r="A1206" s="296"/>
      <c r="B1206" s="267" t="s">
        <v>90</v>
      </c>
      <c r="C1206" s="258"/>
      <c r="D1206" s="261"/>
      <c r="E1206" s="261"/>
      <c r="F1206" s="261"/>
      <c r="G1206" s="261"/>
      <c r="H1206" s="261"/>
      <c r="I1206" s="261"/>
      <c r="J1206" s="261"/>
      <c r="K1206" s="261"/>
      <c r="L1206" s="261"/>
      <c r="M1206" s="261"/>
      <c r="N1206" s="261"/>
      <c r="O1206" s="261"/>
      <c r="P1206" s="261"/>
      <c r="Q1206" s="261"/>
      <c r="R1206" s="261"/>
      <c r="S1206" s="261"/>
    </row>
    <row r="1207" spans="1:19">
      <c r="A1207" s="295">
        <v>46220</v>
      </c>
      <c r="B1207" s="259" t="s">
        <v>88</v>
      </c>
      <c r="C1207" s="258"/>
      <c r="D1207" s="261"/>
      <c r="E1207" s="261"/>
      <c r="F1207" s="261"/>
      <c r="G1207" s="261"/>
      <c r="H1207" s="261"/>
      <c r="I1207" s="261"/>
      <c r="J1207" s="261"/>
      <c r="K1207" s="261"/>
      <c r="L1207" s="261"/>
      <c r="M1207" s="261"/>
      <c r="N1207" s="261"/>
      <c r="O1207" s="261"/>
      <c r="P1207" s="261"/>
      <c r="Q1207" s="261"/>
      <c r="R1207" s="261"/>
      <c r="S1207" s="261"/>
    </row>
    <row r="1208" spans="1:19">
      <c r="A1208" s="295"/>
      <c r="B1208" s="259" t="s">
        <v>89</v>
      </c>
      <c r="C1208" s="258"/>
      <c r="D1208" s="261"/>
      <c r="E1208" s="261"/>
      <c r="F1208" s="261"/>
      <c r="G1208" s="261"/>
      <c r="H1208" s="261"/>
      <c r="I1208" s="261"/>
      <c r="J1208" s="261"/>
      <c r="K1208" s="261"/>
      <c r="L1208" s="261"/>
      <c r="M1208" s="261"/>
      <c r="N1208" s="261"/>
      <c r="O1208" s="261"/>
      <c r="P1208" s="261"/>
      <c r="Q1208" s="261"/>
      <c r="R1208" s="261"/>
      <c r="S1208" s="261"/>
    </row>
    <row r="1209" spans="1:19">
      <c r="A1209" s="296"/>
      <c r="B1209" s="267" t="s">
        <v>90</v>
      </c>
      <c r="C1209" s="258"/>
      <c r="D1209" s="261"/>
      <c r="E1209" s="261"/>
      <c r="F1209" s="261"/>
      <c r="G1209" s="261"/>
      <c r="H1209" s="261"/>
      <c r="I1209" s="261"/>
      <c r="J1209" s="261"/>
      <c r="K1209" s="261"/>
      <c r="L1209" s="261"/>
      <c r="M1209" s="261"/>
      <c r="N1209" s="261"/>
      <c r="O1209" s="261"/>
      <c r="P1209" s="261"/>
      <c r="Q1209" s="261"/>
      <c r="R1209" s="261"/>
      <c r="S1209" s="261"/>
    </row>
    <row r="1210" spans="1:19">
      <c r="A1210" s="295">
        <v>46221</v>
      </c>
      <c r="B1210" s="259" t="s">
        <v>88</v>
      </c>
      <c r="C1210" s="258"/>
      <c r="D1210" s="261"/>
      <c r="E1210" s="261"/>
      <c r="F1210" s="261"/>
      <c r="G1210" s="261"/>
      <c r="H1210" s="261"/>
      <c r="I1210" s="261"/>
      <c r="J1210" s="261"/>
      <c r="K1210" s="261"/>
      <c r="L1210" s="261"/>
      <c r="M1210" s="261"/>
      <c r="N1210" s="261"/>
      <c r="O1210" s="261"/>
      <c r="P1210" s="261"/>
      <c r="Q1210" s="261"/>
      <c r="R1210" s="261"/>
      <c r="S1210" s="261"/>
    </row>
    <row r="1211" spans="1:19">
      <c r="A1211" s="295"/>
      <c r="B1211" s="259" t="s">
        <v>89</v>
      </c>
      <c r="C1211" s="258"/>
      <c r="D1211" s="261"/>
      <c r="E1211" s="261"/>
      <c r="F1211" s="261"/>
      <c r="G1211" s="261"/>
      <c r="H1211" s="261"/>
      <c r="I1211" s="261"/>
      <c r="J1211" s="261"/>
      <c r="K1211" s="261"/>
      <c r="L1211" s="261"/>
      <c r="M1211" s="261"/>
      <c r="N1211" s="261"/>
      <c r="O1211" s="261"/>
      <c r="P1211" s="261"/>
      <c r="Q1211" s="261"/>
      <c r="R1211" s="261"/>
      <c r="S1211" s="261"/>
    </row>
    <row r="1212" spans="1:19">
      <c r="A1212" s="296"/>
      <c r="B1212" s="267" t="s">
        <v>90</v>
      </c>
      <c r="C1212" s="258"/>
      <c r="D1212" s="261"/>
      <c r="E1212" s="261"/>
      <c r="F1212" s="261"/>
      <c r="G1212" s="261"/>
      <c r="H1212" s="261"/>
      <c r="I1212" s="261"/>
      <c r="J1212" s="261"/>
      <c r="K1212" s="261"/>
      <c r="L1212" s="261"/>
      <c r="M1212" s="261"/>
      <c r="N1212" s="261"/>
      <c r="O1212" s="261"/>
      <c r="P1212" s="261"/>
      <c r="Q1212" s="261"/>
      <c r="R1212" s="261"/>
      <c r="S1212" s="261"/>
    </row>
    <row r="1213" spans="1:19">
      <c r="A1213" s="295">
        <v>46222</v>
      </c>
      <c r="B1213" s="259" t="s">
        <v>88</v>
      </c>
      <c r="C1213" s="258"/>
      <c r="D1213" s="261"/>
      <c r="E1213" s="261"/>
      <c r="F1213" s="261"/>
      <c r="G1213" s="261"/>
      <c r="H1213" s="261"/>
      <c r="I1213" s="261"/>
      <c r="J1213" s="261"/>
      <c r="K1213" s="261"/>
      <c r="L1213" s="261"/>
      <c r="M1213" s="261"/>
      <c r="N1213" s="261"/>
      <c r="O1213" s="261"/>
      <c r="P1213" s="261"/>
      <c r="Q1213" s="261"/>
      <c r="R1213" s="261"/>
      <c r="S1213" s="261"/>
    </row>
    <row r="1214" spans="1:19">
      <c r="A1214" s="295"/>
      <c r="B1214" s="259" t="s">
        <v>89</v>
      </c>
      <c r="C1214" s="258"/>
      <c r="D1214" s="261"/>
      <c r="E1214" s="261"/>
      <c r="F1214" s="261"/>
      <c r="G1214" s="261"/>
      <c r="H1214" s="261"/>
      <c r="I1214" s="261"/>
      <c r="J1214" s="261"/>
      <c r="K1214" s="261"/>
      <c r="L1214" s="261"/>
      <c r="M1214" s="261"/>
      <c r="N1214" s="261"/>
      <c r="O1214" s="261"/>
      <c r="P1214" s="261"/>
      <c r="Q1214" s="261"/>
      <c r="R1214" s="261"/>
      <c r="S1214" s="261"/>
    </row>
    <row r="1215" spans="1:19">
      <c r="A1215" s="296"/>
      <c r="B1215" s="267" t="s">
        <v>90</v>
      </c>
      <c r="C1215" s="258"/>
      <c r="D1215" s="261"/>
      <c r="E1215" s="261"/>
      <c r="F1215" s="261"/>
      <c r="G1215" s="261"/>
      <c r="H1215" s="261"/>
      <c r="I1215" s="261"/>
      <c r="J1215" s="261"/>
      <c r="K1215" s="261"/>
      <c r="L1215" s="261"/>
      <c r="M1215" s="261"/>
      <c r="N1215" s="261"/>
      <c r="O1215" s="261"/>
      <c r="P1215" s="261"/>
      <c r="Q1215" s="261"/>
      <c r="R1215" s="261"/>
      <c r="S1215" s="261"/>
    </row>
    <row r="1216" spans="1:19">
      <c r="A1216" s="295">
        <v>46223</v>
      </c>
      <c r="B1216" s="259" t="s">
        <v>88</v>
      </c>
      <c r="C1216" s="258"/>
      <c r="D1216" s="261"/>
      <c r="E1216" s="261"/>
      <c r="F1216" s="261"/>
      <c r="G1216" s="261"/>
      <c r="H1216" s="261"/>
      <c r="I1216" s="261"/>
      <c r="J1216" s="261"/>
      <c r="K1216" s="261"/>
      <c r="L1216" s="261"/>
      <c r="M1216" s="261"/>
      <c r="N1216" s="261"/>
      <c r="O1216" s="261"/>
      <c r="P1216" s="261"/>
      <c r="Q1216" s="261"/>
      <c r="R1216" s="261"/>
      <c r="S1216" s="261"/>
    </row>
    <row r="1217" spans="1:19">
      <c r="A1217" s="295"/>
      <c r="B1217" s="259" t="s">
        <v>89</v>
      </c>
      <c r="C1217" s="258"/>
      <c r="D1217" s="261"/>
      <c r="E1217" s="261"/>
      <c r="F1217" s="261"/>
      <c r="G1217" s="261"/>
      <c r="H1217" s="261"/>
      <c r="I1217" s="261"/>
      <c r="J1217" s="261"/>
      <c r="K1217" s="261"/>
      <c r="L1217" s="261"/>
      <c r="M1217" s="261"/>
      <c r="N1217" s="261"/>
      <c r="O1217" s="261"/>
      <c r="P1217" s="261"/>
      <c r="Q1217" s="261"/>
      <c r="R1217" s="261"/>
      <c r="S1217" s="261"/>
    </row>
    <row r="1218" spans="1:19">
      <c r="A1218" s="296"/>
      <c r="B1218" s="267" t="s">
        <v>90</v>
      </c>
      <c r="C1218" s="258"/>
      <c r="D1218" s="261"/>
      <c r="E1218" s="261"/>
      <c r="F1218" s="261"/>
      <c r="G1218" s="261"/>
      <c r="H1218" s="261"/>
      <c r="I1218" s="261"/>
      <c r="J1218" s="261"/>
      <c r="K1218" s="261"/>
      <c r="L1218" s="261"/>
      <c r="M1218" s="261"/>
      <c r="N1218" s="261"/>
      <c r="O1218" s="261"/>
      <c r="P1218" s="261"/>
      <c r="Q1218" s="261"/>
      <c r="R1218" s="261"/>
      <c r="S1218" s="261"/>
    </row>
    <row r="1219" spans="1:19">
      <c r="A1219" s="295">
        <v>46224</v>
      </c>
      <c r="B1219" s="259" t="s">
        <v>88</v>
      </c>
      <c r="C1219" s="258"/>
      <c r="D1219" s="261"/>
      <c r="E1219" s="261"/>
      <c r="F1219" s="261"/>
      <c r="G1219" s="261"/>
      <c r="H1219" s="261"/>
      <c r="I1219" s="261"/>
      <c r="J1219" s="261"/>
      <c r="K1219" s="261"/>
      <c r="L1219" s="261"/>
      <c r="M1219" s="261"/>
      <c r="N1219" s="261"/>
      <c r="O1219" s="261"/>
      <c r="P1219" s="261"/>
      <c r="Q1219" s="261"/>
      <c r="R1219" s="261"/>
      <c r="S1219" s="261"/>
    </row>
    <row r="1220" spans="1:19">
      <c r="A1220" s="295"/>
      <c r="B1220" s="259" t="s">
        <v>89</v>
      </c>
      <c r="C1220" s="258"/>
      <c r="D1220" s="261"/>
      <c r="E1220" s="261"/>
      <c r="F1220" s="261"/>
      <c r="G1220" s="261"/>
      <c r="H1220" s="261"/>
      <c r="I1220" s="261"/>
      <c r="J1220" s="261"/>
      <c r="K1220" s="261"/>
      <c r="L1220" s="261"/>
      <c r="M1220" s="261"/>
      <c r="N1220" s="261"/>
      <c r="O1220" s="261"/>
      <c r="P1220" s="261"/>
      <c r="Q1220" s="261"/>
      <c r="R1220" s="261"/>
      <c r="S1220" s="261"/>
    </row>
    <row r="1221" spans="1:19">
      <c r="A1221" s="296"/>
      <c r="B1221" s="267" t="s">
        <v>90</v>
      </c>
      <c r="C1221" s="258"/>
      <c r="D1221" s="261"/>
      <c r="E1221" s="261"/>
      <c r="F1221" s="261"/>
      <c r="G1221" s="261"/>
      <c r="H1221" s="261"/>
      <c r="I1221" s="261"/>
      <c r="J1221" s="261"/>
      <c r="K1221" s="261"/>
      <c r="L1221" s="261"/>
      <c r="M1221" s="261"/>
      <c r="N1221" s="261"/>
      <c r="O1221" s="261"/>
      <c r="P1221" s="261"/>
      <c r="Q1221" s="261"/>
      <c r="R1221" s="261"/>
      <c r="S1221" s="261"/>
    </row>
    <row r="1222" spans="1:19">
      <c r="A1222" s="295">
        <v>46225</v>
      </c>
      <c r="B1222" s="259" t="s">
        <v>88</v>
      </c>
      <c r="C1222" s="258"/>
      <c r="D1222" s="261"/>
      <c r="E1222" s="261"/>
      <c r="F1222" s="261"/>
      <c r="G1222" s="261"/>
      <c r="H1222" s="261"/>
      <c r="I1222" s="261"/>
      <c r="J1222" s="261"/>
      <c r="K1222" s="261"/>
      <c r="L1222" s="261"/>
      <c r="M1222" s="261"/>
      <c r="N1222" s="261"/>
      <c r="O1222" s="261"/>
      <c r="P1222" s="261"/>
      <c r="Q1222" s="261"/>
      <c r="R1222" s="261"/>
      <c r="S1222" s="261"/>
    </row>
    <row r="1223" spans="1:19">
      <c r="A1223" s="295"/>
      <c r="B1223" s="259" t="s">
        <v>89</v>
      </c>
      <c r="C1223" s="258"/>
      <c r="D1223" s="261"/>
      <c r="E1223" s="261"/>
      <c r="F1223" s="261"/>
      <c r="G1223" s="261"/>
      <c r="H1223" s="261"/>
      <c r="I1223" s="261"/>
      <c r="J1223" s="261"/>
      <c r="K1223" s="261"/>
      <c r="L1223" s="261"/>
      <c r="M1223" s="261"/>
      <c r="N1223" s="261"/>
      <c r="O1223" s="261"/>
      <c r="P1223" s="261"/>
      <c r="Q1223" s="261"/>
      <c r="R1223" s="261"/>
      <c r="S1223" s="261"/>
    </row>
    <row r="1224" spans="1:19">
      <c r="A1224" s="296"/>
      <c r="B1224" s="267" t="s">
        <v>90</v>
      </c>
      <c r="C1224" s="258"/>
      <c r="D1224" s="261"/>
      <c r="E1224" s="261"/>
      <c r="F1224" s="261"/>
      <c r="G1224" s="261"/>
      <c r="H1224" s="261"/>
      <c r="I1224" s="261"/>
      <c r="J1224" s="261"/>
      <c r="K1224" s="261"/>
      <c r="L1224" s="261"/>
      <c r="M1224" s="261"/>
      <c r="N1224" s="261"/>
      <c r="O1224" s="261"/>
      <c r="P1224" s="261"/>
      <c r="Q1224" s="261"/>
      <c r="R1224" s="261"/>
      <c r="S1224" s="261"/>
    </row>
    <row r="1225" spans="1:19">
      <c r="A1225" s="295">
        <v>46226</v>
      </c>
      <c r="B1225" s="259" t="s">
        <v>88</v>
      </c>
      <c r="C1225" s="258"/>
      <c r="D1225" s="261"/>
      <c r="E1225" s="261"/>
      <c r="F1225" s="261"/>
      <c r="G1225" s="261"/>
      <c r="H1225" s="261"/>
      <c r="I1225" s="261"/>
      <c r="J1225" s="261"/>
      <c r="K1225" s="261"/>
      <c r="L1225" s="261"/>
      <c r="M1225" s="261"/>
      <c r="N1225" s="261"/>
      <c r="O1225" s="261"/>
      <c r="P1225" s="261"/>
      <c r="Q1225" s="261"/>
      <c r="R1225" s="261"/>
      <c r="S1225" s="261"/>
    </row>
    <row r="1226" spans="1:19">
      <c r="A1226" s="295"/>
      <c r="B1226" s="259" t="s">
        <v>89</v>
      </c>
      <c r="C1226" s="258"/>
      <c r="D1226" s="261"/>
      <c r="E1226" s="261"/>
      <c r="F1226" s="261"/>
      <c r="G1226" s="261"/>
      <c r="H1226" s="261"/>
      <c r="I1226" s="261"/>
      <c r="J1226" s="261"/>
      <c r="K1226" s="261"/>
      <c r="L1226" s="261"/>
      <c r="M1226" s="261"/>
      <c r="N1226" s="261"/>
      <c r="O1226" s="261"/>
      <c r="P1226" s="261"/>
      <c r="Q1226" s="261"/>
      <c r="R1226" s="261"/>
      <c r="S1226" s="261"/>
    </row>
    <row r="1227" spans="1:19">
      <c r="A1227" s="296"/>
      <c r="B1227" s="267" t="s">
        <v>90</v>
      </c>
      <c r="C1227" s="258"/>
      <c r="D1227" s="261"/>
      <c r="E1227" s="261"/>
      <c r="F1227" s="261"/>
      <c r="G1227" s="261"/>
      <c r="H1227" s="261"/>
      <c r="I1227" s="261"/>
      <c r="J1227" s="261"/>
      <c r="K1227" s="261"/>
      <c r="L1227" s="261"/>
      <c r="M1227" s="261"/>
      <c r="N1227" s="261"/>
      <c r="O1227" s="261"/>
      <c r="P1227" s="261"/>
      <c r="Q1227" s="261"/>
      <c r="R1227" s="261"/>
      <c r="S1227" s="261"/>
    </row>
    <row r="1228" spans="1:19">
      <c r="A1228" s="295">
        <v>46227</v>
      </c>
      <c r="B1228" s="259" t="s">
        <v>88</v>
      </c>
      <c r="C1228" s="258"/>
      <c r="D1228" s="261"/>
      <c r="E1228" s="261"/>
      <c r="F1228" s="261"/>
      <c r="G1228" s="261"/>
      <c r="H1228" s="261"/>
      <c r="I1228" s="261"/>
      <c r="J1228" s="261"/>
      <c r="K1228" s="261"/>
      <c r="L1228" s="261"/>
      <c r="M1228" s="261"/>
      <c r="N1228" s="261"/>
      <c r="O1228" s="261"/>
      <c r="P1228" s="261"/>
      <c r="Q1228" s="261"/>
      <c r="R1228" s="261"/>
      <c r="S1228" s="261"/>
    </row>
    <row r="1229" spans="1:19">
      <c r="A1229" s="295"/>
      <c r="B1229" s="259" t="s">
        <v>89</v>
      </c>
      <c r="C1229" s="258"/>
      <c r="D1229" s="261"/>
      <c r="E1229" s="261"/>
      <c r="F1229" s="261"/>
      <c r="G1229" s="261"/>
      <c r="H1229" s="261"/>
      <c r="I1229" s="261"/>
      <c r="J1229" s="261"/>
      <c r="K1229" s="261"/>
      <c r="L1229" s="261"/>
      <c r="M1229" s="261"/>
      <c r="N1229" s="261"/>
      <c r="O1229" s="261"/>
      <c r="P1229" s="261"/>
      <c r="Q1229" s="261"/>
      <c r="R1229" s="261"/>
      <c r="S1229" s="261"/>
    </row>
    <row r="1230" spans="1:19">
      <c r="A1230" s="296"/>
      <c r="B1230" s="267" t="s">
        <v>90</v>
      </c>
      <c r="C1230" s="258"/>
      <c r="D1230" s="261"/>
      <c r="E1230" s="261"/>
      <c r="F1230" s="261"/>
      <c r="G1230" s="261"/>
      <c r="H1230" s="261"/>
      <c r="I1230" s="261"/>
      <c r="J1230" s="261"/>
      <c r="K1230" s="261"/>
      <c r="L1230" s="261"/>
      <c r="M1230" s="261"/>
      <c r="N1230" s="261"/>
      <c r="O1230" s="261"/>
      <c r="P1230" s="261"/>
      <c r="Q1230" s="261"/>
      <c r="R1230" s="261"/>
      <c r="S1230" s="261"/>
    </row>
    <row r="1231" spans="1:19">
      <c r="A1231" s="295">
        <v>46228</v>
      </c>
      <c r="B1231" s="259" t="s">
        <v>88</v>
      </c>
      <c r="C1231" s="258"/>
      <c r="D1231" s="261"/>
      <c r="E1231" s="261"/>
      <c r="F1231" s="261"/>
      <c r="G1231" s="261"/>
      <c r="H1231" s="261"/>
      <c r="I1231" s="261"/>
      <c r="J1231" s="261"/>
      <c r="K1231" s="261"/>
      <c r="L1231" s="261"/>
      <c r="M1231" s="261"/>
      <c r="N1231" s="261"/>
      <c r="O1231" s="261"/>
      <c r="P1231" s="261"/>
      <c r="Q1231" s="261"/>
      <c r="R1231" s="261"/>
      <c r="S1231" s="261"/>
    </row>
    <row r="1232" spans="1:19">
      <c r="A1232" s="295"/>
      <c r="B1232" s="259" t="s">
        <v>89</v>
      </c>
      <c r="C1232" s="258"/>
      <c r="D1232" s="261"/>
      <c r="E1232" s="261"/>
      <c r="F1232" s="261"/>
      <c r="G1232" s="261"/>
      <c r="H1232" s="261"/>
      <c r="I1232" s="261"/>
      <c r="J1232" s="261"/>
      <c r="K1232" s="261"/>
      <c r="L1232" s="261"/>
      <c r="M1232" s="261"/>
      <c r="N1232" s="261"/>
      <c r="O1232" s="261"/>
      <c r="P1232" s="261"/>
      <c r="Q1232" s="261"/>
      <c r="R1232" s="261"/>
      <c r="S1232" s="261"/>
    </row>
    <row r="1233" spans="1:19">
      <c r="A1233" s="296"/>
      <c r="B1233" s="267" t="s">
        <v>90</v>
      </c>
      <c r="C1233" s="258"/>
      <c r="D1233" s="261"/>
      <c r="E1233" s="261"/>
      <c r="F1233" s="261"/>
      <c r="G1233" s="261"/>
      <c r="H1233" s="261"/>
      <c r="I1233" s="261"/>
      <c r="J1233" s="261"/>
      <c r="K1233" s="261"/>
      <c r="L1233" s="261"/>
      <c r="M1233" s="261"/>
      <c r="N1233" s="261"/>
      <c r="O1233" s="261"/>
      <c r="P1233" s="261"/>
      <c r="Q1233" s="261"/>
      <c r="R1233" s="261"/>
      <c r="S1233" s="261"/>
    </row>
    <row r="1234" spans="1:19">
      <c r="A1234" s="295">
        <v>46229</v>
      </c>
      <c r="B1234" s="259" t="s">
        <v>88</v>
      </c>
      <c r="C1234" s="258"/>
      <c r="D1234" s="261"/>
      <c r="E1234" s="261"/>
      <c r="F1234" s="261"/>
      <c r="G1234" s="261"/>
      <c r="H1234" s="261"/>
      <c r="I1234" s="261"/>
      <c r="J1234" s="261"/>
      <c r="K1234" s="261"/>
      <c r="L1234" s="261"/>
      <c r="M1234" s="261"/>
      <c r="N1234" s="261"/>
      <c r="O1234" s="261"/>
      <c r="P1234" s="261"/>
      <c r="Q1234" s="261"/>
      <c r="R1234" s="261"/>
      <c r="S1234" s="261"/>
    </row>
    <row r="1235" spans="1:19">
      <c r="A1235" s="295"/>
      <c r="B1235" s="259" t="s">
        <v>89</v>
      </c>
      <c r="C1235" s="258"/>
      <c r="D1235" s="261"/>
      <c r="E1235" s="261"/>
      <c r="F1235" s="261"/>
      <c r="G1235" s="261"/>
      <c r="H1235" s="261"/>
      <c r="I1235" s="261"/>
      <c r="J1235" s="261"/>
      <c r="K1235" s="261"/>
      <c r="L1235" s="261"/>
      <c r="M1235" s="261"/>
      <c r="N1235" s="261"/>
      <c r="O1235" s="261"/>
      <c r="P1235" s="261"/>
      <c r="Q1235" s="261"/>
      <c r="R1235" s="261"/>
      <c r="S1235" s="261"/>
    </row>
    <row r="1236" spans="1:19">
      <c r="A1236" s="296"/>
      <c r="B1236" s="267" t="s">
        <v>90</v>
      </c>
      <c r="C1236" s="258"/>
      <c r="D1236" s="261"/>
      <c r="E1236" s="261"/>
      <c r="F1236" s="261"/>
      <c r="G1236" s="261"/>
      <c r="H1236" s="261"/>
      <c r="I1236" s="261"/>
      <c r="J1236" s="261"/>
      <c r="K1236" s="261"/>
      <c r="L1236" s="261"/>
      <c r="M1236" s="261"/>
      <c r="N1236" s="261"/>
      <c r="O1236" s="261"/>
      <c r="P1236" s="261"/>
      <c r="Q1236" s="261"/>
      <c r="R1236" s="261"/>
      <c r="S1236" s="261"/>
    </row>
    <row r="1237" spans="1:19">
      <c r="A1237" s="295">
        <v>46230</v>
      </c>
      <c r="B1237" s="259" t="s">
        <v>88</v>
      </c>
      <c r="C1237" s="258"/>
      <c r="D1237" s="261"/>
      <c r="E1237" s="261"/>
      <c r="F1237" s="261"/>
      <c r="G1237" s="261"/>
      <c r="H1237" s="261"/>
      <c r="I1237" s="261"/>
      <c r="J1237" s="261"/>
      <c r="K1237" s="261"/>
      <c r="L1237" s="261"/>
      <c r="M1237" s="261"/>
      <c r="N1237" s="261"/>
      <c r="O1237" s="261"/>
      <c r="P1237" s="261"/>
      <c r="Q1237" s="261"/>
      <c r="R1237" s="261"/>
      <c r="S1237" s="261"/>
    </row>
    <row r="1238" spans="1:19">
      <c r="A1238" s="295"/>
      <c r="B1238" s="259" t="s">
        <v>89</v>
      </c>
      <c r="C1238" s="258"/>
      <c r="D1238" s="261"/>
      <c r="E1238" s="261"/>
      <c r="F1238" s="261"/>
      <c r="G1238" s="261"/>
      <c r="H1238" s="261"/>
      <c r="I1238" s="261"/>
      <c r="J1238" s="261"/>
      <c r="K1238" s="261"/>
      <c r="L1238" s="261"/>
      <c r="M1238" s="261"/>
      <c r="N1238" s="261"/>
      <c r="O1238" s="261"/>
      <c r="P1238" s="261"/>
      <c r="Q1238" s="261"/>
      <c r="R1238" s="261"/>
      <c r="S1238" s="261"/>
    </row>
    <row r="1239" spans="1:19">
      <c r="A1239" s="296"/>
      <c r="B1239" s="267" t="s">
        <v>90</v>
      </c>
      <c r="C1239" s="258"/>
      <c r="D1239" s="261"/>
      <c r="E1239" s="261"/>
      <c r="F1239" s="261"/>
      <c r="G1239" s="261"/>
      <c r="H1239" s="261"/>
      <c r="I1239" s="261"/>
      <c r="J1239" s="261"/>
      <c r="K1239" s="261"/>
      <c r="L1239" s="261"/>
      <c r="M1239" s="261"/>
      <c r="N1239" s="261"/>
      <c r="O1239" s="261"/>
      <c r="P1239" s="261"/>
      <c r="Q1239" s="261"/>
      <c r="R1239" s="261"/>
      <c r="S1239" s="261"/>
    </row>
    <row r="1240" spans="1:19">
      <c r="A1240" s="295">
        <v>46231</v>
      </c>
      <c r="B1240" s="259" t="s">
        <v>88</v>
      </c>
      <c r="C1240" s="258"/>
      <c r="D1240" s="261"/>
      <c r="E1240" s="261"/>
      <c r="F1240" s="261"/>
      <c r="G1240" s="261"/>
      <c r="H1240" s="261"/>
      <c r="I1240" s="261"/>
      <c r="J1240" s="261"/>
      <c r="K1240" s="261"/>
      <c r="L1240" s="261"/>
      <c r="M1240" s="261"/>
      <c r="N1240" s="261"/>
      <c r="O1240" s="261"/>
      <c r="P1240" s="261"/>
      <c r="Q1240" s="261"/>
      <c r="R1240" s="261"/>
      <c r="S1240" s="261"/>
    </row>
    <row r="1241" spans="1:19">
      <c r="A1241" s="295"/>
      <c r="B1241" s="259" t="s">
        <v>89</v>
      </c>
      <c r="C1241" s="258"/>
      <c r="D1241" s="261"/>
      <c r="E1241" s="261"/>
      <c r="F1241" s="261"/>
      <c r="G1241" s="261"/>
      <c r="H1241" s="261"/>
      <c r="I1241" s="261"/>
      <c r="J1241" s="261"/>
      <c r="K1241" s="261"/>
      <c r="L1241" s="261"/>
      <c r="M1241" s="261"/>
      <c r="N1241" s="261"/>
      <c r="O1241" s="261"/>
      <c r="P1241" s="261"/>
      <c r="Q1241" s="261"/>
      <c r="R1241" s="261"/>
      <c r="S1241" s="261"/>
    </row>
    <row r="1242" spans="1:19">
      <c r="A1242" s="296"/>
      <c r="B1242" s="267" t="s">
        <v>90</v>
      </c>
      <c r="C1242" s="258"/>
      <c r="D1242" s="261"/>
      <c r="E1242" s="261"/>
      <c r="F1242" s="261"/>
      <c r="G1242" s="261"/>
      <c r="H1242" s="261"/>
      <c r="I1242" s="261"/>
      <c r="J1242" s="261"/>
      <c r="K1242" s="261"/>
      <c r="L1242" s="261"/>
      <c r="M1242" s="261"/>
      <c r="N1242" s="261"/>
      <c r="O1242" s="261"/>
      <c r="P1242" s="261"/>
      <c r="Q1242" s="261"/>
      <c r="R1242" s="261"/>
      <c r="S1242" s="261"/>
    </row>
    <row r="1243" spans="1:19">
      <c r="A1243" s="295">
        <v>46232</v>
      </c>
      <c r="B1243" s="259" t="s">
        <v>88</v>
      </c>
      <c r="C1243" s="258"/>
      <c r="D1243" s="261"/>
      <c r="E1243" s="261"/>
      <c r="F1243" s="261"/>
      <c r="G1243" s="261"/>
      <c r="H1243" s="261"/>
      <c r="I1243" s="261"/>
      <c r="J1243" s="261"/>
      <c r="K1243" s="261"/>
      <c r="L1243" s="261"/>
      <c r="M1243" s="261"/>
      <c r="N1243" s="261"/>
      <c r="O1243" s="261"/>
      <c r="P1243" s="261"/>
      <c r="Q1243" s="261"/>
      <c r="R1243" s="261"/>
      <c r="S1243" s="261"/>
    </row>
    <row r="1244" spans="1:19">
      <c r="A1244" s="295"/>
      <c r="B1244" s="259" t="s">
        <v>89</v>
      </c>
      <c r="C1244" s="258"/>
      <c r="D1244" s="261"/>
      <c r="E1244" s="261"/>
      <c r="F1244" s="261"/>
      <c r="G1244" s="261"/>
      <c r="H1244" s="261"/>
      <c r="I1244" s="261"/>
      <c r="J1244" s="261"/>
      <c r="K1244" s="261"/>
      <c r="L1244" s="261"/>
      <c r="M1244" s="261"/>
      <c r="N1244" s="261"/>
      <c r="O1244" s="261"/>
      <c r="P1244" s="261"/>
      <c r="Q1244" s="261"/>
      <c r="R1244" s="261"/>
      <c r="S1244" s="261"/>
    </row>
    <row r="1245" spans="1:19">
      <c r="A1245" s="296"/>
      <c r="B1245" s="267" t="s">
        <v>90</v>
      </c>
      <c r="C1245" s="258"/>
      <c r="D1245" s="261"/>
      <c r="E1245" s="261"/>
      <c r="F1245" s="261"/>
      <c r="G1245" s="261"/>
      <c r="H1245" s="261"/>
      <c r="I1245" s="261"/>
      <c r="J1245" s="261"/>
      <c r="K1245" s="261"/>
      <c r="L1245" s="261"/>
      <c r="M1245" s="261"/>
      <c r="N1245" s="261"/>
      <c r="O1245" s="261"/>
      <c r="P1245" s="261"/>
      <c r="Q1245" s="261"/>
      <c r="R1245" s="261"/>
      <c r="S1245" s="261"/>
    </row>
    <row r="1246" spans="1:19">
      <c r="A1246" s="295">
        <v>46233</v>
      </c>
      <c r="B1246" s="259" t="s">
        <v>88</v>
      </c>
      <c r="C1246" s="258"/>
      <c r="D1246" s="261"/>
      <c r="E1246" s="261"/>
      <c r="F1246" s="261"/>
      <c r="G1246" s="261"/>
      <c r="H1246" s="261"/>
      <c r="I1246" s="261"/>
      <c r="J1246" s="261"/>
      <c r="K1246" s="261"/>
      <c r="L1246" s="261"/>
      <c r="M1246" s="261"/>
      <c r="N1246" s="261"/>
      <c r="O1246" s="261"/>
      <c r="P1246" s="261"/>
      <c r="Q1246" s="261"/>
      <c r="R1246" s="261"/>
      <c r="S1246" s="261"/>
    </row>
    <row r="1247" spans="1:19">
      <c r="A1247" s="295"/>
      <c r="B1247" s="259" t="s">
        <v>89</v>
      </c>
      <c r="C1247" s="258"/>
      <c r="D1247" s="261"/>
      <c r="E1247" s="261"/>
      <c r="F1247" s="261"/>
      <c r="G1247" s="261"/>
      <c r="H1247" s="261"/>
      <c r="I1247" s="261"/>
      <c r="J1247" s="261"/>
      <c r="K1247" s="261"/>
      <c r="L1247" s="261"/>
      <c r="M1247" s="261"/>
      <c r="N1247" s="261"/>
      <c r="O1247" s="261"/>
      <c r="P1247" s="261"/>
      <c r="Q1247" s="261"/>
      <c r="R1247" s="261"/>
      <c r="S1247" s="261"/>
    </row>
    <row r="1248" spans="1:19">
      <c r="A1248" s="296"/>
      <c r="B1248" s="267" t="s">
        <v>90</v>
      </c>
      <c r="C1248" s="258"/>
      <c r="D1248" s="261"/>
      <c r="E1248" s="261"/>
      <c r="F1248" s="261"/>
      <c r="G1248" s="261"/>
      <c r="H1248" s="261"/>
      <c r="I1248" s="261"/>
      <c r="J1248" s="261"/>
      <c r="K1248" s="261"/>
      <c r="L1248" s="261"/>
      <c r="M1248" s="261"/>
      <c r="N1248" s="261"/>
      <c r="O1248" s="261"/>
      <c r="P1248" s="261"/>
      <c r="Q1248" s="261"/>
      <c r="R1248" s="261"/>
      <c r="S1248" s="261"/>
    </row>
    <row r="1249" spans="1:19">
      <c r="A1249" s="295">
        <v>46234</v>
      </c>
      <c r="B1249" s="259" t="s">
        <v>88</v>
      </c>
      <c r="C1249" s="258"/>
      <c r="D1249" s="261"/>
      <c r="E1249" s="261"/>
      <c r="F1249" s="261"/>
      <c r="G1249" s="261"/>
      <c r="H1249" s="261"/>
      <c r="I1249" s="261"/>
      <c r="J1249" s="261"/>
      <c r="K1249" s="261"/>
      <c r="L1249" s="261"/>
      <c r="M1249" s="261"/>
      <c r="N1249" s="261"/>
      <c r="O1249" s="261"/>
      <c r="P1249" s="261"/>
      <c r="Q1249" s="261"/>
      <c r="R1249" s="261"/>
      <c r="S1249" s="261"/>
    </row>
    <row r="1250" spans="1:19">
      <c r="A1250" s="295"/>
      <c r="B1250" s="259" t="s">
        <v>89</v>
      </c>
      <c r="C1250" s="258"/>
      <c r="D1250" s="261"/>
      <c r="E1250" s="261"/>
      <c r="F1250" s="261"/>
      <c r="G1250" s="261"/>
      <c r="H1250" s="261"/>
      <c r="I1250" s="261"/>
      <c r="J1250" s="261"/>
      <c r="K1250" s="261"/>
      <c r="L1250" s="261"/>
      <c r="M1250" s="261"/>
      <c r="N1250" s="261"/>
      <c r="O1250" s="261"/>
      <c r="P1250" s="261"/>
      <c r="Q1250" s="261"/>
      <c r="R1250" s="261"/>
      <c r="S1250" s="261"/>
    </row>
    <row r="1251" spans="1:19">
      <c r="A1251" s="296"/>
      <c r="B1251" s="267" t="s">
        <v>90</v>
      </c>
      <c r="C1251" s="258"/>
      <c r="D1251" s="261"/>
      <c r="E1251" s="261"/>
      <c r="F1251" s="261"/>
      <c r="G1251" s="261"/>
      <c r="H1251" s="261"/>
      <c r="I1251" s="261"/>
      <c r="J1251" s="261"/>
      <c r="K1251" s="261"/>
      <c r="L1251" s="261"/>
      <c r="M1251" s="261"/>
      <c r="N1251" s="261"/>
      <c r="O1251" s="261"/>
      <c r="P1251" s="261"/>
      <c r="Q1251" s="261"/>
      <c r="R1251" s="261"/>
      <c r="S1251" s="261"/>
    </row>
    <row r="1252" spans="1:19">
      <c r="A1252" s="295">
        <v>46235</v>
      </c>
      <c r="B1252" s="259" t="s">
        <v>88</v>
      </c>
      <c r="C1252" s="258"/>
      <c r="D1252" s="261"/>
      <c r="E1252" s="261"/>
      <c r="F1252" s="261"/>
      <c r="G1252" s="261"/>
      <c r="H1252" s="261"/>
      <c r="I1252" s="261"/>
      <c r="J1252" s="261"/>
      <c r="K1252" s="261"/>
      <c r="L1252" s="261"/>
      <c r="M1252" s="261"/>
      <c r="N1252" s="261"/>
      <c r="O1252" s="261"/>
      <c r="P1252" s="261"/>
      <c r="Q1252" s="261"/>
      <c r="R1252" s="261"/>
      <c r="S1252" s="261"/>
    </row>
    <row r="1253" spans="1:19">
      <c r="A1253" s="295"/>
      <c r="B1253" s="259" t="s">
        <v>89</v>
      </c>
      <c r="C1253" s="258"/>
      <c r="D1253" s="261"/>
      <c r="E1253" s="261"/>
      <c r="F1253" s="261"/>
      <c r="G1253" s="261"/>
      <c r="H1253" s="261"/>
      <c r="I1253" s="261"/>
      <c r="J1253" s="261"/>
      <c r="K1253" s="261"/>
      <c r="L1253" s="261"/>
      <c r="M1253" s="261"/>
      <c r="N1253" s="261"/>
      <c r="O1253" s="261"/>
      <c r="P1253" s="261"/>
      <c r="Q1253" s="261"/>
      <c r="R1253" s="261"/>
      <c r="S1253" s="261"/>
    </row>
    <row r="1254" spans="1:19">
      <c r="A1254" s="296"/>
      <c r="B1254" s="267" t="s">
        <v>90</v>
      </c>
      <c r="C1254" s="258"/>
      <c r="D1254" s="261"/>
      <c r="E1254" s="261"/>
      <c r="F1254" s="261"/>
      <c r="G1254" s="261"/>
      <c r="H1254" s="261"/>
      <c r="I1254" s="261"/>
      <c r="J1254" s="261"/>
      <c r="K1254" s="261"/>
      <c r="L1254" s="261"/>
      <c r="M1254" s="261"/>
      <c r="N1254" s="261"/>
      <c r="O1254" s="261"/>
      <c r="P1254" s="261"/>
      <c r="Q1254" s="261"/>
      <c r="R1254" s="261"/>
      <c r="S1254" s="261"/>
    </row>
    <row r="1255" spans="1:19">
      <c r="A1255" s="295">
        <v>46236</v>
      </c>
      <c r="B1255" s="259" t="s">
        <v>88</v>
      </c>
      <c r="C1255" s="258"/>
      <c r="D1255" s="261"/>
      <c r="E1255" s="261"/>
      <c r="F1255" s="261"/>
      <c r="G1255" s="261"/>
      <c r="H1255" s="261"/>
      <c r="I1255" s="261"/>
      <c r="J1255" s="261"/>
      <c r="K1255" s="261"/>
      <c r="L1255" s="261"/>
      <c r="M1255" s="261"/>
      <c r="N1255" s="261"/>
      <c r="O1255" s="261"/>
      <c r="P1255" s="261"/>
      <c r="Q1255" s="261"/>
      <c r="R1255" s="261"/>
      <c r="S1255" s="261"/>
    </row>
    <row r="1256" spans="1:19">
      <c r="A1256" s="295"/>
      <c r="B1256" s="259" t="s">
        <v>89</v>
      </c>
      <c r="C1256" s="258"/>
      <c r="D1256" s="261"/>
      <c r="E1256" s="261"/>
      <c r="F1256" s="261"/>
      <c r="G1256" s="261"/>
      <c r="H1256" s="261"/>
      <c r="I1256" s="261"/>
      <c r="J1256" s="261"/>
      <c r="K1256" s="261"/>
      <c r="L1256" s="261"/>
      <c r="M1256" s="261"/>
      <c r="N1256" s="261"/>
      <c r="O1256" s="261"/>
      <c r="P1256" s="261"/>
      <c r="Q1256" s="261"/>
      <c r="R1256" s="261"/>
      <c r="S1256" s="261"/>
    </row>
    <row r="1257" spans="1:19">
      <c r="A1257" s="296"/>
      <c r="B1257" s="267" t="s">
        <v>90</v>
      </c>
      <c r="C1257" s="258"/>
      <c r="D1257" s="261"/>
      <c r="E1257" s="261"/>
      <c r="F1257" s="261"/>
      <c r="G1257" s="261"/>
      <c r="H1257" s="261"/>
      <c r="I1257" s="261"/>
      <c r="J1257" s="261"/>
      <c r="K1257" s="261"/>
      <c r="L1257" s="261"/>
      <c r="M1257" s="261"/>
      <c r="N1257" s="261"/>
      <c r="O1257" s="261"/>
      <c r="P1257" s="261"/>
      <c r="Q1257" s="261"/>
      <c r="R1257" s="261"/>
      <c r="S1257" s="261"/>
    </row>
    <row r="1258" spans="1:19">
      <c r="A1258" s="295">
        <v>46237</v>
      </c>
      <c r="B1258" s="259" t="s">
        <v>88</v>
      </c>
      <c r="C1258" s="258"/>
      <c r="D1258" s="261"/>
      <c r="E1258" s="261"/>
      <c r="F1258" s="261"/>
      <c r="G1258" s="261"/>
      <c r="H1258" s="261"/>
      <c r="I1258" s="261"/>
      <c r="J1258" s="261"/>
      <c r="K1258" s="261"/>
      <c r="L1258" s="261"/>
      <c r="M1258" s="261"/>
      <c r="N1258" s="261"/>
      <c r="O1258" s="261"/>
      <c r="P1258" s="261"/>
      <c r="Q1258" s="261"/>
      <c r="R1258" s="261"/>
      <c r="S1258" s="261"/>
    </row>
    <row r="1259" spans="1:19">
      <c r="A1259" s="295"/>
      <c r="B1259" s="259" t="s">
        <v>89</v>
      </c>
      <c r="C1259" s="258"/>
      <c r="D1259" s="261"/>
      <c r="E1259" s="261"/>
      <c r="F1259" s="261"/>
      <c r="G1259" s="261"/>
      <c r="H1259" s="261"/>
      <c r="I1259" s="261"/>
      <c r="J1259" s="261"/>
      <c r="K1259" s="261"/>
      <c r="L1259" s="261"/>
      <c r="M1259" s="261"/>
      <c r="N1259" s="261"/>
      <c r="O1259" s="261"/>
      <c r="P1259" s="261"/>
      <c r="Q1259" s="261"/>
      <c r="R1259" s="261"/>
      <c r="S1259" s="261"/>
    </row>
    <row r="1260" spans="1:19">
      <c r="A1260" s="296"/>
      <c r="B1260" s="267" t="s">
        <v>90</v>
      </c>
      <c r="C1260" s="258"/>
      <c r="D1260" s="261"/>
      <c r="E1260" s="261"/>
      <c r="F1260" s="261"/>
      <c r="G1260" s="261"/>
      <c r="H1260" s="261"/>
      <c r="I1260" s="261"/>
      <c r="J1260" s="261"/>
      <c r="K1260" s="261"/>
      <c r="L1260" s="261"/>
      <c r="M1260" s="261"/>
      <c r="N1260" s="261"/>
      <c r="O1260" s="261"/>
      <c r="P1260" s="261"/>
      <c r="Q1260" s="261"/>
      <c r="R1260" s="261"/>
      <c r="S1260" s="261"/>
    </row>
    <row r="1261" spans="1:19">
      <c r="A1261" s="295">
        <v>46238</v>
      </c>
      <c r="B1261" s="259" t="s">
        <v>88</v>
      </c>
      <c r="C1261" s="258"/>
      <c r="D1261" s="261"/>
      <c r="E1261" s="261"/>
      <c r="F1261" s="261"/>
      <c r="G1261" s="261"/>
      <c r="H1261" s="261"/>
      <c r="I1261" s="261"/>
      <c r="J1261" s="261"/>
      <c r="K1261" s="261"/>
      <c r="L1261" s="261"/>
      <c r="M1261" s="261"/>
      <c r="N1261" s="261"/>
      <c r="O1261" s="261"/>
      <c r="P1261" s="261"/>
      <c r="Q1261" s="261"/>
      <c r="R1261" s="261"/>
      <c r="S1261" s="261"/>
    </row>
    <row r="1262" spans="1:19">
      <c r="A1262" s="295"/>
      <c r="B1262" s="259" t="s">
        <v>89</v>
      </c>
      <c r="C1262" s="258"/>
      <c r="D1262" s="261"/>
      <c r="E1262" s="261"/>
      <c r="F1262" s="261"/>
      <c r="G1262" s="261"/>
      <c r="H1262" s="261"/>
      <c r="I1262" s="261"/>
      <c r="J1262" s="261"/>
      <c r="K1262" s="261"/>
      <c r="L1262" s="261"/>
      <c r="M1262" s="261"/>
      <c r="N1262" s="261"/>
      <c r="O1262" s="261"/>
      <c r="P1262" s="261"/>
      <c r="Q1262" s="261"/>
      <c r="R1262" s="261"/>
      <c r="S1262" s="261"/>
    </row>
    <row r="1263" spans="1:19">
      <c r="A1263" s="296"/>
      <c r="B1263" s="267" t="s">
        <v>90</v>
      </c>
      <c r="C1263" s="258"/>
      <c r="D1263" s="261"/>
      <c r="E1263" s="261"/>
      <c r="F1263" s="261"/>
      <c r="G1263" s="261"/>
      <c r="H1263" s="261"/>
      <c r="I1263" s="261"/>
      <c r="J1263" s="261"/>
      <c r="K1263" s="261"/>
      <c r="L1263" s="261"/>
      <c r="M1263" s="261"/>
      <c r="N1263" s="261"/>
      <c r="O1263" s="261"/>
      <c r="P1263" s="261"/>
      <c r="Q1263" s="261"/>
      <c r="R1263" s="261"/>
      <c r="S1263" s="261"/>
    </row>
    <row r="1264" spans="1:19">
      <c r="A1264" s="295">
        <v>46239</v>
      </c>
      <c r="B1264" s="259" t="s">
        <v>88</v>
      </c>
      <c r="C1264" s="258"/>
      <c r="D1264" s="261"/>
      <c r="E1264" s="261"/>
      <c r="F1264" s="261"/>
      <c r="G1264" s="261"/>
      <c r="H1264" s="261"/>
      <c r="I1264" s="261"/>
      <c r="J1264" s="261"/>
      <c r="K1264" s="261"/>
      <c r="L1264" s="261"/>
      <c r="M1264" s="261"/>
      <c r="N1264" s="261"/>
      <c r="O1264" s="261"/>
      <c r="P1264" s="261"/>
      <c r="Q1264" s="261"/>
      <c r="R1264" s="261"/>
      <c r="S1264" s="261"/>
    </row>
    <row r="1265" spans="1:19">
      <c r="A1265" s="295"/>
      <c r="B1265" s="259" t="s">
        <v>89</v>
      </c>
      <c r="C1265" s="258"/>
      <c r="D1265" s="261"/>
      <c r="E1265" s="261"/>
      <c r="F1265" s="261"/>
      <c r="G1265" s="261"/>
      <c r="H1265" s="261"/>
      <c r="I1265" s="261"/>
      <c r="J1265" s="261"/>
      <c r="K1265" s="261"/>
      <c r="L1265" s="261"/>
      <c r="M1265" s="261"/>
      <c r="N1265" s="261"/>
      <c r="O1265" s="261"/>
      <c r="P1265" s="261"/>
      <c r="Q1265" s="261"/>
      <c r="R1265" s="261"/>
      <c r="S1265" s="261"/>
    </row>
    <row r="1266" spans="1:19">
      <c r="A1266" s="296"/>
      <c r="B1266" s="267" t="s">
        <v>90</v>
      </c>
      <c r="C1266" s="258"/>
      <c r="D1266" s="261"/>
      <c r="E1266" s="261"/>
      <c r="F1266" s="261"/>
      <c r="G1266" s="261"/>
      <c r="H1266" s="261"/>
      <c r="I1266" s="261"/>
      <c r="J1266" s="261"/>
      <c r="K1266" s="261"/>
      <c r="L1266" s="261"/>
      <c r="M1266" s="261"/>
      <c r="N1266" s="261"/>
      <c r="O1266" s="261"/>
      <c r="P1266" s="261"/>
      <c r="Q1266" s="261"/>
      <c r="R1266" s="261"/>
      <c r="S1266" s="261"/>
    </row>
    <row r="1267" spans="1:19">
      <c r="A1267" s="295">
        <v>46240</v>
      </c>
      <c r="B1267" s="259" t="s">
        <v>88</v>
      </c>
      <c r="C1267" s="258"/>
      <c r="D1267" s="261"/>
      <c r="E1267" s="261"/>
      <c r="F1267" s="261"/>
      <c r="G1267" s="261"/>
      <c r="H1267" s="261"/>
      <c r="I1267" s="261"/>
      <c r="J1267" s="261"/>
      <c r="K1267" s="261"/>
      <c r="L1267" s="261"/>
      <c r="M1267" s="261"/>
      <c r="N1267" s="261"/>
      <c r="O1267" s="261"/>
      <c r="P1267" s="261"/>
      <c r="Q1267" s="261"/>
      <c r="R1267" s="261"/>
      <c r="S1267" s="261"/>
    </row>
    <row r="1268" spans="1:19">
      <c r="A1268" s="295"/>
      <c r="B1268" s="259" t="s">
        <v>89</v>
      </c>
      <c r="C1268" s="258"/>
      <c r="D1268" s="261"/>
      <c r="E1268" s="261"/>
      <c r="F1268" s="261"/>
      <c r="G1268" s="261"/>
      <c r="H1268" s="261"/>
      <c r="I1268" s="261"/>
      <c r="J1268" s="261"/>
      <c r="K1268" s="261"/>
      <c r="L1268" s="261"/>
      <c r="M1268" s="261"/>
      <c r="N1268" s="261"/>
      <c r="O1268" s="261"/>
      <c r="P1268" s="261"/>
      <c r="Q1268" s="261"/>
      <c r="R1268" s="261"/>
      <c r="S1268" s="261"/>
    </row>
    <row r="1269" spans="1:19">
      <c r="A1269" s="296"/>
      <c r="B1269" s="267" t="s">
        <v>90</v>
      </c>
      <c r="C1269" s="258"/>
      <c r="D1269" s="261"/>
      <c r="E1269" s="261"/>
      <c r="F1269" s="261"/>
      <c r="G1269" s="261"/>
      <c r="H1269" s="261"/>
      <c r="I1269" s="261"/>
      <c r="J1269" s="261"/>
      <c r="K1269" s="261"/>
      <c r="L1269" s="261"/>
      <c r="M1269" s="261"/>
      <c r="N1269" s="261"/>
      <c r="O1269" s="261"/>
      <c r="P1269" s="261"/>
      <c r="Q1269" s="261"/>
      <c r="R1269" s="261"/>
      <c r="S1269" s="261"/>
    </row>
    <row r="1270" spans="1:19">
      <c r="A1270" s="295">
        <v>46241</v>
      </c>
      <c r="B1270" s="259" t="s">
        <v>88</v>
      </c>
      <c r="C1270" s="258"/>
      <c r="D1270" s="261"/>
      <c r="E1270" s="261"/>
      <c r="F1270" s="261"/>
      <c r="G1270" s="261"/>
      <c r="H1270" s="261"/>
      <c r="I1270" s="261"/>
      <c r="J1270" s="261"/>
      <c r="K1270" s="261"/>
      <c r="L1270" s="261"/>
      <c r="M1270" s="261"/>
      <c r="N1270" s="261"/>
      <c r="O1270" s="261"/>
      <c r="P1270" s="261"/>
      <c r="Q1270" s="261"/>
      <c r="R1270" s="261"/>
      <c r="S1270" s="261"/>
    </row>
    <row r="1271" spans="1:19">
      <c r="A1271" s="295"/>
      <c r="B1271" s="259" t="s">
        <v>89</v>
      </c>
      <c r="C1271" s="258"/>
      <c r="D1271" s="261"/>
      <c r="E1271" s="261"/>
      <c r="F1271" s="261"/>
      <c r="G1271" s="261"/>
      <c r="H1271" s="261"/>
      <c r="I1271" s="261"/>
      <c r="J1271" s="261"/>
      <c r="K1271" s="261"/>
      <c r="L1271" s="261"/>
      <c r="M1271" s="261"/>
      <c r="N1271" s="261"/>
      <c r="O1271" s="261"/>
      <c r="P1271" s="261"/>
      <c r="Q1271" s="261"/>
      <c r="R1271" s="261"/>
      <c r="S1271" s="261"/>
    </row>
    <row r="1272" spans="1:19">
      <c r="A1272" s="296"/>
      <c r="B1272" s="267" t="s">
        <v>90</v>
      </c>
      <c r="C1272" s="258"/>
      <c r="D1272" s="261"/>
      <c r="E1272" s="261"/>
      <c r="F1272" s="261"/>
      <c r="G1272" s="261"/>
      <c r="H1272" s="261"/>
      <c r="I1272" s="261"/>
      <c r="J1272" s="261"/>
      <c r="K1272" s="261"/>
      <c r="L1272" s="261"/>
      <c r="M1272" s="261"/>
      <c r="N1272" s="261"/>
      <c r="O1272" s="261"/>
      <c r="P1272" s="261"/>
      <c r="Q1272" s="261"/>
      <c r="R1272" s="261"/>
      <c r="S1272" s="261"/>
    </row>
    <row r="1273" spans="1:19">
      <c r="A1273" s="295">
        <v>46242</v>
      </c>
      <c r="B1273" s="259" t="s">
        <v>88</v>
      </c>
      <c r="C1273" s="258"/>
      <c r="D1273" s="261"/>
      <c r="E1273" s="261"/>
      <c r="F1273" s="261"/>
      <c r="G1273" s="261"/>
      <c r="H1273" s="261"/>
      <c r="I1273" s="261"/>
      <c r="J1273" s="261"/>
      <c r="K1273" s="261"/>
      <c r="L1273" s="261"/>
      <c r="M1273" s="261"/>
      <c r="N1273" s="261"/>
      <c r="O1273" s="261"/>
      <c r="P1273" s="261"/>
      <c r="Q1273" s="261"/>
      <c r="R1273" s="261"/>
      <c r="S1273" s="261"/>
    </row>
    <row r="1274" spans="1:19">
      <c r="A1274" s="295"/>
      <c r="B1274" s="259" t="s">
        <v>89</v>
      </c>
      <c r="C1274" s="258"/>
      <c r="D1274" s="261"/>
      <c r="E1274" s="261"/>
      <c r="F1274" s="261"/>
      <c r="G1274" s="261"/>
      <c r="H1274" s="261"/>
      <c r="I1274" s="261"/>
      <c r="J1274" s="261"/>
      <c r="K1274" s="261"/>
      <c r="L1274" s="261"/>
      <c r="M1274" s="261"/>
      <c r="N1274" s="261"/>
      <c r="O1274" s="261"/>
      <c r="P1274" s="261"/>
      <c r="Q1274" s="261"/>
      <c r="R1274" s="261"/>
      <c r="S1274" s="261"/>
    </row>
    <row r="1275" spans="1:19">
      <c r="A1275" s="296"/>
      <c r="B1275" s="267" t="s">
        <v>90</v>
      </c>
      <c r="C1275" s="258"/>
      <c r="D1275" s="261"/>
      <c r="E1275" s="261"/>
      <c r="F1275" s="261"/>
      <c r="G1275" s="261"/>
      <c r="H1275" s="261"/>
      <c r="I1275" s="261"/>
      <c r="J1275" s="261"/>
      <c r="K1275" s="261"/>
      <c r="L1275" s="261"/>
      <c r="M1275" s="261"/>
      <c r="N1275" s="261"/>
      <c r="O1275" s="261"/>
      <c r="P1275" s="261"/>
      <c r="Q1275" s="261"/>
      <c r="R1275" s="261"/>
      <c r="S1275" s="261"/>
    </row>
    <row r="1276" spans="1:19">
      <c r="A1276" s="295">
        <v>46243</v>
      </c>
      <c r="B1276" s="259" t="s">
        <v>88</v>
      </c>
      <c r="C1276" s="258"/>
      <c r="D1276" s="261"/>
      <c r="E1276" s="261"/>
      <c r="F1276" s="261"/>
      <c r="G1276" s="261"/>
      <c r="H1276" s="261"/>
      <c r="I1276" s="261"/>
      <c r="J1276" s="261"/>
      <c r="K1276" s="261"/>
      <c r="L1276" s="261"/>
      <c r="M1276" s="261"/>
      <c r="N1276" s="261"/>
      <c r="O1276" s="261"/>
      <c r="P1276" s="261"/>
      <c r="Q1276" s="261"/>
      <c r="R1276" s="261"/>
      <c r="S1276" s="261"/>
    </row>
    <row r="1277" spans="1:19">
      <c r="A1277" s="295"/>
      <c r="B1277" s="259" t="s">
        <v>89</v>
      </c>
      <c r="C1277" s="258"/>
      <c r="D1277" s="261"/>
      <c r="E1277" s="261"/>
      <c r="F1277" s="261"/>
      <c r="G1277" s="261"/>
      <c r="H1277" s="261"/>
      <c r="I1277" s="261"/>
      <c r="J1277" s="261"/>
      <c r="K1277" s="261"/>
      <c r="L1277" s="261"/>
      <c r="M1277" s="261"/>
      <c r="N1277" s="261"/>
      <c r="O1277" s="261"/>
      <c r="P1277" s="261"/>
      <c r="Q1277" s="261"/>
      <c r="R1277" s="261"/>
      <c r="S1277" s="261"/>
    </row>
    <row r="1278" spans="1:19">
      <c r="A1278" s="296"/>
      <c r="B1278" s="267" t="s">
        <v>90</v>
      </c>
      <c r="C1278" s="258"/>
      <c r="D1278" s="261"/>
      <c r="E1278" s="261"/>
      <c r="F1278" s="261"/>
      <c r="G1278" s="261"/>
      <c r="H1278" s="261"/>
      <c r="I1278" s="261"/>
      <c r="J1278" s="261"/>
      <c r="K1278" s="261"/>
      <c r="L1278" s="261"/>
      <c r="M1278" s="261"/>
      <c r="N1278" s="261"/>
      <c r="O1278" s="261"/>
      <c r="P1278" s="261"/>
      <c r="Q1278" s="261"/>
      <c r="R1278" s="261"/>
      <c r="S1278" s="261"/>
    </row>
    <row r="1279" spans="1:19">
      <c r="A1279" s="295">
        <v>46244</v>
      </c>
      <c r="B1279" s="259" t="s">
        <v>88</v>
      </c>
      <c r="C1279" s="258"/>
      <c r="D1279" s="261"/>
      <c r="E1279" s="261"/>
      <c r="F1279" s="261"/>
      <c r="G1279" s="261"/>
      <c r="H1279" s="261"/>
      <c r="I1279" s="261"/>
      <c r="J1279" s="261"/>
      <c r="K1279" s="261"/>
      <c r="L1279" s="261"/>
      <c r="M1279" s="261"/>
      <c r="N1279" s="261"/>
      <c r="O1279" s="261"/>
      <c r="P1279" s="261"/>
      <c r="Q1279" s="261"/>
      <c r="R1279" s="261"/>
      <c r="S1279" s="261"/>
    </row>
    <row r="1280" spans="1:19">
      <c r="A1280" s="295"/>
      <c r="B1280" s="259" t="s">
        <v>89</v>
      </c>
      <c r="C1280" s="258"/>
      <c r="D1280" s="261"/>
      <c r="E1280" s="261"/>
      <c r="F1280" s="261"/>
      <c r="G1280" s="261"/>
      <c r="H1280" s="261"/>
      <c r="I1280" s="261"/>
      <c r="J1280" s="261"/>
      <c r="K1280" s="261"/>
      <c r="L1280" s="261"/>
      <c r="M1280" s="261"/>
      <c r="N1280" s="261"/>
      <c r="O1280" s="261"/>
      <c r="P1280" s="261"/>
      <c r="Q1280" s="261"/>
      <c r="R1280" s="261"/>
      <c r="S1280" s="261"/>
    </row>
    <row r="1281" spans="1:19">
      <c r="A1281" s="296"/>
      <c r="B1281" s="267" t="s">
        <v>90</v>
      </c>
      <c r="C1281" s="258"/>
      <c r="D1281" s="261"/>
      <c r="E1281" s="261"/>
      <c r="F1281" s="261"/>
      <c r="G1281" s="261"/>
      <c r="H1281" s="261"/>
      <c r="I1281" s="261"/>
      <c r="J1281" s="261"/>
      <c r="K1281" s="261"/>
      <c r="L1281" s="261"/>
      <c r="M1281" s="261"/>
      <c r="N1281" s="261"/>
      <c r="O1281" s="261"/>
      <c r="P1281" s="261"/>
      <c r="Q1281" s="261"/>
      <c r="R1281" s="261"/>
      <c r="S1281" s="261"/>
    </row>
    <row r="1282" spans="1:19">
      <c r="A1282" s="295">
        <v>46245</v>
      </c>
      <c r="B1282" s="259" t="s">
        <v>88</v>
      </c>
      <c r="C1282" s="258"/>
      <c r="D1282" s="261"/>
      <c r="E1282" s="261"/>
      <c r="F1282" s="261"/>
      <c r="G1282" s="261"/>
      <c r="H1282" s="261"/>
      <c r="I1282" s="261"/>
      <c r="J1282" s="261"/>
      <c r="K1282" s="261"/>
      <c r="L1282" s="261"/>
      <c r="M1282" s="261"/>
      <c r="N1282" s="261"/>
      <c r="O1282" s="261"/>
      <c r="P1282" s="261"/>
      <c r="Q1282" s="261"/>
      <c r="R1282" s="261"/>
      <c r="S1282" s="261"/>
    </row>
    <row r="1283" spans="1:19">
      <c r="A1283" s="295"/>
      <c r="B1283" s="259" t="s">
        <v>89</v>
      </c>
      <c r="C1283" s="258"/>
      <c r="D1283" s="261"/>
      <c r="E1283" s="261"/>
      <c r="F1283" s="261"/>
      <c r="G1283" s="261"/>
      <c r="H1283" s="261"/>
      <c r="I1283" s="261"/>
      <c r="J1283" s="261"/>
      <c r="K1283" s="261"/>
      <c r="L1283" s="261"/>
      <c r="M1283" s="261"/>
      <c r="N1283" s="261"/>
      <c r="O1283" s="261"/>
      <c r="P1283" s="261"/>
      <c r="Q1283" s="261"/>
      <c r="R1283" s="261"/>
      <c r="S1283" s="261"/>
    </row>
    <row r="1284" spans="1:19">
      <c r="A1284" s="296"/>
      <c r="B1284" s="267" t="s">
        <v>90</v>
      </c>
      <c r="C1284" s="258"/>
      <c r="D1284" s="261"/>
      <c r="E1284" s="261"/>
      <c r="F1284" s="261"/>
      <c r="G1284" s="261"/>
      <c r="H1284" s="261"/>
      <c r="I1284" s="261"/>
      <c r="J1284" s="261"/>
      <c r="K1284" s="261"/>
      <c r="L1284" s="261"/>
      <c r="M1284" s="261"/>
      <c r="N1284" s="261"/>
      <c r="O1284" s="261"/>
      <c r="P1284" s="261"/>
      <c r="Q1284" s="261"/>
      <c r="R1284" s="261"/>
      <c r="S1284" s="261"/>
    </row>
    <row r="1285" spans="1:19">
      <c r="A1285" s="295">
        <v>46246</v>
      </c>
      <c r="B1285" s="259" t="s">
        <v>88</v>
      </c>
      <c r="C1285" s="258"/>
      <c r="D1285" s="261"/>
      <c r="E1285" s="261"/>
      <c r="F1285" s="261"/>
      <c r="G1285" s="261"/>
      <c r="H1285" s="261"/>
      <c r="I1285" s="261"/>
      <c r="J1285" s="261"/>
      <c r="K1285" s="261"/>
      <c r="L1285" s="261"/>
      <c r="M1285" s="261"/>
      <c r="N1285" s="261"/>
      <c r="O1285" s="261"/>
      <c r="P1285" s="261"/>
      <c r="Q1285" s="261"/>
      <c r="R1285" s="261"/>
      <c r="S1285" s="261"/>
    </row>
    <row r="1286" spans="1:19">
      <c r="A1286" s="295"/>
      <c r="B1286" s="259" t="s">
        <v>89</v>
      </c>
      <c r="C1286" s="258"/>
      <c r="D1286" s="261"/>
      <c r="E1286" s="261"/>
      <c r="F1286" s="261"/>
      <c r="G1286" s="261"/>
      <c r="H1286" s="261"/>
      <c r="I1286" s="261"/>
      <c r="J1286" s="261"/>
      <c r="K1286" s="261"/>
      <c r="L1286" s="261"/>
      <c r="M1286" s="261"/>
      <c r="N1286" s="261"/>
      <c r="O1286" s="261"/>
      <c r="P1286" s="261"/>
      <c r="Q1286" s="261"/>
      <c r="R1286" s="261"/>
      <c r="S1286" s="261"/>
    </row>
    <row r="1287" spans="1:19">
      <c r="A1287" s="296"/>
      <c r="B1287" s="267" t="s">
        <v>90</v>
      </c>
      <c r="C1287" s="258"/>
      <c r="D1287" s="261"/>
      <c r="E1287" s="261"/>
      <c r="F1287" s="261"/>
      <c r="G1287" s="261"/>
      <c r="H1287" s="261"/>
      <c r="I1287" s="261"/>
      <c r="J1287" s="261"/>
      <c r="K1287" s="261"/>
      <c r="L1287" s="261"/>
      <c r="M1287" s="261"/>
      <c r="N1287" s="261"/>
      <c r="O1287" s="261"/>
      <c r="P1287" s="261"/>
      <c r="Q1287" s="261"/>
      <c r="R1287" s="261"/>
      <c r="S1287" s="261"/>
    </row>
    <row r="1288" spans="1:19">
      <c r="A1288" s="295">
        <v>46247</v>
      </c>
      <c r="B1288" s="259" t="s">
        <v>88</v>
      </c>
      <c r="C1288" s="258"/>
      <c r="D1288" s="261"/>
      <c r="E1288" s="261"/>
      <c r="F1288" s="261"/>
      <c r="G1288" s="261"/>
      <c r="H1288" s="261"/>
      <c r="I1288" s="261"/>
      <c r="J1288" s="261"/>
      <c r="K1288" s="261"/>
      <c r="L1288" s="261"/>
      <c r="M1288" s="261"/>
      <c r="N1288" s="261"/>
      <c r="O1288" s="261"/>
      <c r="P1288" s="261"/>
      <c r="Q1288" s="261"/>
      <c r="R1288" s="261"/>
      <c r="S1288" s="261"/>
    </row>
    <row r="1289" spans="1:19">
      <c r="A1289" s="295"/>
      <c r="B1289" s="259" t="s">
        <v>89</v>
      </c>
      <c r="C1289" s="258"/>
      <c r="D1289" s="261"/>
      <c r="E1289" s="261"/>
      <c r="F1289" s="261"/>
      <c r="G1289" s="261"/>
      <c r="H1289" s="261"/>
      <c r="I1289" s="261"/>
      <c r="J1289" s="261"/>
      <c r="K1289" s="261"/>
      <c r="L1289" s="261"/>
      <c r="M1289" s="261"/>
      <c r="N1289" s="261"/>
      <c r="O1289" s="261"/>
      <c r="P1289" s="261"/>
      <c r="Q1289" s="261"/>
      <c r="R1289" s="261"/>
      <c r="S1289" s="261"/>
    </row>
    <row r="1290" spans="1:19">
      <c r="A1290" s="296"/>
      <c r="B1290" s="267" t="s">
        <v>90</v>
      </c>
      <c r="C1290" s="258"/>
      <c r="D1290" s="261"/>
      <c r="E1290" s="261"/>
      <c r="F1290" s="261"/>
      <c r="G1290" s="261"/>
      <c r="H1290" s="261"/>
      <c r="I1290" s="261"/>
      <c r="J1290" s="261"/>
      <c r="K1290" s="261"/>
      <c r="L1290" s="261"/>
      <c r="M1290" s="261"/>
      <c r="N1290" s="261"/>
      <c r="O1290" s="261"/>
      <c r="P1290" s="261"/>
      <c r="Q1290" s="261"/>
      <c r="R1290" s="261"/>
      <c r="S1290" s="261"/>
    </row>
    <row r="1291" spans="1:19">
      <c r="A1291" s="295">
        <v>46248</v>
      </c>
      <c r="B1291" s="259" t="s">
        <v>88</v>
      </c>
      <c r="C1291" s="258"/>
      <c r="D1291" s="261"/>
      <c r="E1291" s="261"/>
      <c r="F1291" s="261"/>
      <c r="G1291" s="261"/>
      <c r="H1291" s="261"/>
      <c r="I1291" s="261"/>
      <c r="J1291" s="261"/>
      <c r="K1291" s="261"/>
      <c r="L1291" s="261"/>
      <c r="M1291" s="261"/>
      <c r="N1291" s="261"/>
      <c r="O1291" s="261"/>
      <c r="P1291" s="261"/>
      <c r="Q1291" s="261"/>
      <c r="R1291" s="261"/>
      <c r="S1291" s="261"/>
    </row>
    <row r="1292" spans="1:19">
      <c r="A1292" s="295"/>
      <c r="B1292" s="259" t="s">
        <v>89</v>
      </c>
      <c r="C1292" s="258"/>
      <c r="D1292" s="261"/>
      <c r="E1292" s="261"/>
      <c r="F1292" s="261"/>
      <c r="G1292" s="261"/>
      <c r="H1292" s="261"/>
      <c r="I1292" s="261"/>
      <c r="J1292" s="261"/>
      <c r="K1292" s="261"/>
      <c r="L1292" s="261"/>
      <c r="M1292" s="261"/>
      <c r="N1292" s="261"/>
      <c r="O1292" s="261"/>
      <c r="P1292" s="261"/>
      <c r="Q1292" s="261"/>
      <c r="R1292" s="261"/>
      <c r="S1292" s="261"/>
    </row>
    <row r="1293" spans="1:19">
      <c r="A1293" s="296"/>
      <c r="B1293" s="267" t="s">
        <v>90</v>
      </c>
      <c r="C1293" s="258"/>
      <c r="D1293" s="261"/>
      <c r="E1293" s="261"/>
      <c r="F1293" s="261"/>
      <c r="G1293" s="261"/>
      <c r="H1293" s="261"/>
      <c r="I1293" s="261"/>
      <c r="J1293" s="261"/>
      <c r="K1293" s="261"/>
      <c r="L1293" s="261"/>
      <c r="M1293" s="261"/>
      <c r="N1293" s="261"/>
      <c r="O1293" s="261"/>
      <c r="P1293" s="261"/>
      <c r="Q1293" s="261"/>
      <c r="R1293" s="261"/>
      <c r="S1293" s="261"/>
    </row>
    <row r="1294" spans="1:19">
      <c r="A1294" s="295">
        <v>46249</v>
      </c>
      <c r="B1294" s="259" t="s">
        <v>88</v>
      </c>
      <c r="C1294" s="258"/>
      <c r="D1294" s="261"/>
      <c r="E1294" s="261"/>
      <c r="F1294" s="261"/>
      <c r="G1294" s="261"/>
      <c r="H1294" s="261"/>
      <c r="I1294" s="261"/>
      <c r="J1294" s="261"/>
      <c r="K1294" s="261"/>
      <c r="L1294" s="261"/>
      <c r="M1294" s="261"/>
      <c r="N1294" s="261"/>
      <c r="O1294" s="261"/>
      <c r="P1294" s="261"/>
      <c r="Q1294" s="261"/>
      <c r="R1294" s="261"/>
      <c r="S1294" s="261"/>
    </row>
    <row r="1295" spans="1:19">
      <c r="A1295" s="295"/>
      <c r="B1295" s="259" t="s">
        <v>89</v>
      </c>
      <c r="C1295" s="258"/>
      <c r="D1295" s="261"/>
      <c r="E1295" s="261"/>
      <c r="F1295" s="261"/>
      <c r="G1295" s="261"/>
      <c r="H1295" s="261"/>
      <c r="I1295" s="261"/>
      <c r="J1295" s="261"/>
      <c r="K1295" s="261"/>
      <c r="L1295" s="261"/>
      <c r="M1295" s="261"/>
      <c r="N1295" s="261"/>
      <c r="O1295" s="261"/>
      <c r="P1295" s="261"/>
      <c r="Q1295" s="261"/>
      <c r="R1295" s="261"/>
      <c r="S1295" s="261"/>
    </row>
    <row r="1296" spans="1:19">
      <c r="A1296" s="296"/>
      <c r="B1296" s="267" t="s">
        <v>90</v>
      </c>
      <c r="C1296" s="258"/>
      <c r="D1296" s="261"/>
      <c r="E1296" s="261"/>
      <c r="F1296" s="261"/>
      <c r="G1296" s="261"/>
      <c r="H1296" s="261"/>
      <c r="I1296" s="261"/>
      <c r="J1296" s="261"/>
      <c r="K1296" s="261"/>
      <c r="L1296" s="261"/>
      <c r="M1296" s="261"/>
      <c r="N1296" s="261"/>
      <c r="O1296" s="261"/>
      <c r="P1296" s="261"/>
      <c r="Q1296" s="261"/>
      <c r="R1296" s="261"/>
      <c r="S1296" s="261"/>
    </row>
    <row r="1297" spans="1:19">
      <c r="A1297" s="295">
        <v>46250</v>
      </c>
      <c r="B1297" s="259" t="s">
        <v>88</v>
      </c>
      <c r="C1297" s="258"/>
      <c r="D1297" s="261"/>
      <c r="E1297" s="261"/>
      <c r="F1297" s="261"/>
      <c r="G1297" s="261"/>
      <c r="H1297" s="261"/>
      <c r="I1297" s="261"/>
      <c r="J1297" s="261"/>
      <c r="K1297" s="261"/>
      <c r="L1297" s="261"/>
      <c r="M1297" s="261"/>
      <c r="N1297" s="261"/>
      <c r="O1297" s="261"/>
      <c r="P1297" s="261"/>
      <c r="Q1297" s="261"/>
      <c r="R1297" s="261"/>
      <c r="S1297" s="261"/>
    </row>
    <row r="1298" spans="1:19">
      <c r="A1298" s="295"/>
      <c r="B1298" s="259" t="s">
        <v>89</v>
      </c>
      <c r="C1298" s="258"/>
      <c r="D1298" s="261"/>
      <c r="E1298" s="261"/>
      <c r="F1298" s="261"/>
      <c r="G1298" s="261"/>
      <c r="H1298" s="261"/>
      <c r="I1298" s="261"/>
      <c r="J1298" s="261"/>
      <c r="K1298" s="261"/>
      <c r="L1298" s="261"/>
      <c r="M1298" s="261"/>
      <c r="N1298" s="261"/>
      <c r="O1298" s="261"/>
      <c r="P1298" s="261"/>
      <c r="Q1298" s="261"/>
      <c r="R1298" s="261"/>
      <c r="S1298" s="261"/>
    </row>
    <row r="1299" spans="1:19">
      <c r="A1299" s="296"/>
      <c r="B1299" s="267" t="s">
        <v>90</v>
      </c>
      <c r="C1299" s="258"/>
      <c r="D1299" s="261"/>
      <c r="E1299" s="261"/>
      <c r="F1299" s="261"/>
      <c r="G1299" s="261"/>
      <c r="H1299" s="261"/>
      <c r="I1299" s="261"/>
      <c r="J1299" s="261"/>
      <c r="K1299" s="261"/>
      <c r="L1299" s="261"/>
      <c r="M1299" s="261"/>
      <c r="N1299" s="261"/>
      <c r="O1299" s="261"/>
      <c r="P1299" s="261"/>
      <c r="Q1299" s="261"/>
      <c r="R1299" s="261"/>
      <c r="S1299" s="261"/>
    </row>
    <row r="1300" spans="1:19">
      <c r="A1300" s="295">
        <v>46251</v>
      </c>
      <c r="B1300" s="259" t="s">
        <v>88</v>
      </c>
      <c r="C1300" s="258"/>
      <c r="D1300" s="261"/>
      <c r="E1300" s="261"/>
      <c r="F1300" s="261"/>
      <c r="G1300" s="261"/>
      <c r="H1300" s="261"/>
      <c r="I1300" s="261"/>
      <c r="J1300" s="261"/>
      <c r="K1300" s="261"/>
      <c r="L1300" s="261"/>
      <c r="M1300" s="261"/>
      <c r="N1300" s="261"/>
      <c r="O1300" s="261"/>
      <c r="P1300" s="261"/>
      <c r="Q1300" s="261"/>
      <c r="R1300" s="261"/>
      <c r="S1300" s="261"/>
    </row>
    <row r="1301" spans="1:19">
      <c r="A1301" s="295"/>
      <c r="B1301" s="259" t="s">
        <v>89</v>
      </c>
      <c r="C1301" s="258"/>
      <c r="D1301" s="261"/>
      <c r="E1301" s="261"/>
      <c r="F1301" s="261"/>
      <c r="G1301" s="261"/>
      <c r="H1301" s="261"/>
      <c r="I1301" s="261"/>
      <c r="J1301" s="261"/>
      <c r="K1301" s="261"/>
      <c r="L1301" s="261"/>
      <c r="M1301" s="261"/>
      <c r="N1301" s="261"/>
      <c r="O1301" s="261"/>
      <c r="P1301" s="261"/>
      <c r="Q1301" s="261"/>
      <c r="R1301" s="261"/>
      <c r="S1301" s="261"/>
    </row>
    <row r="1302" spans="1:19">
      <c r="A1302" s="296"/>
      <c r="B1302" s="267" t="s">
        <v>90</v>
      </c>
      <c r="C1302" s="258"/>
      <c r="D1302" s="261"/>
      <c r="E1302" s="261"/>
      <c r="F1302" s="261"/>
      <c r="G1302" s="261"/>
      <c r="H1302" s="261"/>
      <c r="I1302" s="261"/>
      <c r="J1302" s="261"/>
      <c r="K1302" s="261"/>
      <c r="L1302" s="261"/>
      <c r="M1302" s="261"/>
      <c r="N1302" s="261"/>
      <c r="O1302" s="261"/>
      <c r="P1302" s="261"/>
      <c r="Q1302" s="261"/>
      <c r="R1302" s="261"/>
      <c r="S1302" s="261"/>
    </row>
    <row r="1303" spans="1:19">
      <c r="A1303" s="295">
        <v>46252</v>
      </c>
      <c r="B1303" s="259" t="s">
        <v>88</v>
      </c>
      <c r="C1303" s="258"/>
      <c r="D1303" s="261"/>
      <c r="E1303" s="261"/>
      <c r="F1303" s="261"/>
      <c r="G1303" s="261"/>
      <c r="H1303" s="261"/>
      <c r="I1303" s="261"/>
      <c r="J1303" s="261"/>
      <c r="K1303" s="261"/>
      <c r="L1303" s="261"/>
      <c r="M1303" s="261"/>
      <c r="N1303" s="261"/>
      <c r="O1303" s="261"/>
      <c r="P1303" s="261"/>
      <c r="Q1303" s="261"/>
      <c r="R1303" s="261"/>
      <c r="S1303" s="261"/>
    </row>
    <row r="1304" spans="1:19">
      <c r="A1304" s="295"/>
      <c r="B1304" s="259" t="s">
        <v>89</v>
      </c>
      <c r="C1304" s="258"/>
      <c r="D1304" s="261"/>
      <c r="E1304" s="261"/>
      <c r="F1304" s="261"/>
      <c r="G1304" s="261"/>
      <c r="H1304" s="261"/>
      <c r="I1304" s="261"/>
      <c r="J1304" s="261"/>
      <c r="K1304" s="261"/>
      <c r="L1304" s="261"/>
      <c r="M1304" s="261"/>
      <c r="N1304" s="261"/>
      <c r="O1304" s="261"/>
      <c r="P1304" s="261"/>
      <c r="Q1304" s="261"/>
      <c r="R1304" s="261"/>
      <c r="S1304" s="261"/>
    </row>
    <row r="1305" spans="1:19">
      <c r="A1305" s="296"/>
      <c r="B1305" s="267" t="s">
        <v>90</v>
      </c>
      <c r="C1305" s="258"/>
      <c r="D1305" s="261"/>
      <c r="E1305" s="261"/>
      <c r="F1305" s="261"/>
      <c r="G1305" s="261"/>
      <c r="H1305" s="261"/>
      <c r="I1305" s="261"/>
      <c r="J1305" s="261"/>
      <c r="K1305" s="261"/>
      <c r="L1305" s="261"/>
      <c r="M1305" s="261"/>
      <c r="N1305" s="261"/>
      <c r="O1305" s="261"/>
      <c r="P1305" s="261"/>
      <c r="Q1305" s="261"/>
      <c r="R1305" s="261"/>
      <c r="S1305" s="261"/>
    </row>
    <row r="1306" spans="1:19">
      <c r="A1306" s="295">
        <v>46253</v>
      </c>
      <c r="B1306" s="259" t="s">
        <v>88</v>
      </c>
      <c r="C1306" s="258"/>
      <c r="D1306" s="261"/>
      <c r="E1306" s="261"/>
      <c r="F1306" s="261"/>
      <c r="G1306" s="261"/>
      <c r="H1306" s="261"/>
      <c r="I1306" s="261"/>
      <c r="J1306" s="261"/>
      <c r="K1306" s="261"/>
      <c r="L1306" s="261"/>
      <c r="M1306" s="261"/>
      <c r="N1306" s="261"/>
      <c r="O1306" s="261"/>
      <c r="P1306" s="261"/>
      <c r="Q1306" s="261"/>
      <c r="R1306" s="261"/>
      <c r="S1306" s="261"/>
    </row>
    <row r="1307" spans="1:19">
      <c r="A1307" s="295"/>
      <c r="B1307" s="259" t="s">
        <v>89</v>
      </c>
      <c r="C1307" s="258"/>
      <c r="D1307" s="261"/>
      <c r="E1307" s="261"/>
      <c r="F1307" s="261"/>
      <c r="G1307" s="261"/>
      <c r="H1307" s="261"/>
      <c r="I1307" s="261"/>
      <c r="J1307" s="261"/>
      <c r="K1307" s="261"/>
      <c r="L1307" s="261"/>
      <c r="M1307" s="261"/>
      <c r="N1307" s="261"/>
      <c r="O1307" s="261"/>
      <c r="P1307" s="261"/>
      <c r="Q1307" s="261"/>
      <c r="R1307" s="261"/>
      <c r="S1307" s="261"/>
    </row>
    <row r="1308" spans="1:19">
      <c r="A1308" s="296"/>
      <c r="B1308" s="267" t="s">
        <v>90</v>
      </c>
      <c r="C1308" s="258"/>
      <c r="D1308" s="261"/>
      <c r="E1308" s="261"/>
      <c r="F1308" s="261"/>
      <c r="G1308" s="261"/>
      <c r="H1308" s="261"/>
      <c r="I1308" s="261"/>
      <c r="J1308" s="261"/>
      <c r="K1308" s="261"/>
      <c r="L1308" s="261"/>
      <c r="M1308" s="261"/>
      <c r="N1308" s="261"/>
      <c r="O1308" s="261"/>
      <c r="P1308" s="261"/>
      <c r="Q1308" s="261"/>
      <c r="R1308" s="261"/>
      <c r="S1308" s="261"/>
    </row>
    <row r="1309" spans="1:19">
      <c r="A1309" s="295">
        <v>46254</v>
      </c>
      <c r="B1309" s="259" t="s">
        <v>88</v>
      </c>
      <c r="C1309" s="258"/>
      <c r="D1309" s="261"/>
      <c r="E1309" s="261"/>
      <c r="F1309" s="261"/>
      <c r="G1309" s="261"/>
      <c r="H1309" s="261"/>
      <c r="I1309" s="261"/>
      <c r="J1309" s="261"/>
      <c r="K1309" s="261"/>
      <c r="L1309" s="261"/>
      <c r="M1309" s="261"/>
      <c r="N1309" s="261"/>
      <c r="O1309" s="261"/>
      <c r="P1309" s="261"/>
      <c r="Q1309" s="261"/>
      <c r="R1309" s="261"/>
      <c r="S1309" s="261"/>
    </row>
    <row r="1310" spans="1:19">
      <c r="A1310" s="295"/>
      <c r="B1310" s="259" t="s">
        <v>89</v>
      </c>
      <c r="C1310" s="258"/>
      <c r="D1310" s="261"/>
      <c r="E1310" s="261"/>
      <c r="F1310" s="261"/>
      <c r="G1310" s="261"/>
      <c r="H1310" s="261"/>
      <c r="I1310" s="261"/>
      <c r="J1310" s="261"/>
      <c r="K1310" s="261"/>
      <c r="L1310" s="261"/>
      <c r="M1310" s="261"/>
      <c r="N1310" s="261"/>
      <c r="O1310" s="261"/>
      <c r="P1310" s="261"/>
      <c r="Q1310" s="261"/>
      <c r="R1310" s="261"/>
      <c r="S1310" s="261"/>
    </row>
    <row r="1311" spans="1:19">
      <c r="A1311" s="296"/>
      <c r="B1311" s="267" t="s">
        <v>90</v>
      </c>
      <c r="C1311" s="258"/>
      <c r="D1311" s="261"/>
      <c r="E1311" s="261"/>
      <c r="F1311" s="261"/>
      <c r="G1311" s="261"/>
      <c r="H1311" s="261"/>
      <c r="I1311" s="261"/>
      <c r="J1311" s="261"/>
      <c r="K1311" s="261"/>
      <c r="L1311" s="261"/>
      <c r="M1311" s="261"/>
      <c r="N1311" s="261"/>
      <c r="O1311" s="261"/>
      <c r="P1311" s="261"/>
      <c r="Q1311" s="261"/>
      <c r="R1311" s="261"/>
      <c r="S1311" s="261"/>
    </row>
    <row r="1312" spans="1:19">
      <c r="A1312" s="295">
        <v>46255</v>
      </c>
      <c r="B1312" s="259" t="s">
        <v>88</v>
      </c>
      <c r="C1312" s="258"/>
      <c r="D1312" s="261"/>
      <c r="E1312" s="261"/>
      <c r="F1312" s="261"/>
      <c r="G1312" s="261"/>
      <c r="H1312" s="261"/>
      <c r="I1312" s="261"/>
      <c r="J1312" s="261"/>
      <c r="K1312" s="261"/>
      <c r="L1312" s="261"/>
      <c r="M1312" s="261"/>
      <c r="N1312" s="261"/>
      <c r="O1312" s="261"/>
      <c r="P1312" s="261"/>
      <c r="Q1312" s="261"/>
      <c r="R1312" s="261"/>
      <c r="S1312" s="261"/>
    </row>
    <row r="1313" spans="1:19">
      <c r="A1313" s="295"/>
      <c r="B1313" s="259" t="s">
        <v>89</v>
      </c>
      <c r="C1313" s="258"/>
      <c r="D1313" s="261"/>
      <c r="E1313" s="261"/>
      <c r="F1313" s="261"/>
      <c r="G1313" s="261"/>
      <c r="H1313" s="261"/>
      <c r="I1313" s="261"/>
      <c r="J1313" s="261"/>
      <c r="K1313" s="261"/>
      <c r="L1313" s="261"/>
      <c r="M1313" s="261"/>
      <c r="N1313" s="261"/>
      <c r="O1313" s="261"/>
      <c r="P1313" s="261"/>
      <c r="Q1313" s="261"/>
      <c r="R1313" s="261"/>
      <c r="S1313" s="261"/>
    </row>
    <row r="1314" spans="1:19">
      <c r="A1314" s="296"/>
      <c r="B1314" s="267" t="s">
        <v>90</v>
      </c>
      <c r="C1314" s="258"/>
      <c r="D1314" s="261"/>
      <c r="E1314" s="261"/>
      <c r="F1314" s="261"/>
      <c r="G1314" s="261"/>
      <c r="H1314" s="261"/>
      <c r="I1314" s="261"/>
      <c r="J1314" s="261"/>
      <c r="K1314" s="261"/>
      <c r="L1314" s="261"/>
      <c r="M1314" s="261"/>
      <c r="N1314" s="261"/>
      <c r="O1314" s="261"/>
      <c r="P1314" s="261"/>
      <c r="Q1314" s="261"/>
      <c r="R1314" s="261"/>
      <c r="S1314" s="261"/>
    </row>
    <row r="1315" spans="1:19">
      <c r="A1315" s="295">
        <v>46256</v>
      </c>
      <c r="B1315" s="259" t="s">
        <v>88</v>
      </c>
      <c r="C1315" s="258"/>
      <c r="D1315" s="261"/>
      <c r="E1315" s="261"/>
      <c r="F1315" s="261"/>
      <c r="G1315" s="261"/>
      <c r="H1315" s="261"/>
      <c r="I1315" s="261"/>
      <c r="J1315" s="261"/>
      <c r="K1315" s="261"/>
      <c r="L1315" s="261"/>
      <c r="M1315" s="261"/>
      <c r="N1315" s="261"/>
      <c r="O1315" s="261"/>
      <c r="P1315" s="261"/>
      <c r="Q1315" s="261"/>
      <c r="R1315" s="261"/>
      <c r="S1315" s="261"/>
    </row>
    <row r="1316" spans="1:19">
      <c r="A1316" s="295"/>
      <c r="B1316" s="259" t="s">
        <v>89</v>
      </c>
      <c r="C1316" s="258"/>
      <c r="D1316" s="261"/>
      <c r="E1316" s="261"/>
      <c r="F1316" s="261"/>
      <c r="G1316" s="261"/>
      <c r="H1316" s="261"/>
      <c r="I1316" s="261"/>
      <c r="J1316" s="261"/>
      <c r="K1316" s="261"/>
      <c r="L1316" s="261"/>
      <c r="M1316" s="261"/>
      <c r="N1316" s="261"/>
      <c r="O1316" s="261"/>
      <c r="P1316" s="261"/>
      <c r="Q1316" s="261"/>
      <c r="R1316" s="261"/>
      <c r="S1316" s="261"/>
    </row>
    <row r="1317" spans="1:19">
      <c r="A1317" s="296"/>
      <c r="B1317" s="267" t="s">
        <v>90</v>
      </c>
      <c r="C1317" s="258"/>
      <c r="D1317" s="261"/>
      <c r="E1317" s="261"/>
      <c r="F1317" s="261"/>
      <c r="G1317" s="261"/>
      <c r="H1317" s="261"/>
      <c r="I1317" s="261"/>
      <c r="J1317" s="261"/>
      <c r="K1317" s="261"/>
      <c r="L1317" s="261"/>
      <c r="M1317" s="261"/>
      <c r="N1317" s="261"/>
      <c r="O1317" s="261"/>
      <c r="P1317" s="261"/>
      <c r="Q1317" s="261"/>
      <c r="R1317" s="261"/>
      <c r="S1317" s="261"/>
    </row>
    <row r="1318" spans="1:19">
      <c r="A1318" s="295">
        <v>46257</v>
      </c>
      <c r="B1318" s="259" t="s">
        <v>88</v>
      </c>
      <c r="C1318" s="258"/>
      <c r="D1318" s="261"/>
      <c r="E1318" s="261"/>
      <c r="F1318" s="261"/>
      <c r="G1318" s="261"/>
      <c r="H1318" s="261"/>
      <c r="I1318" s="261"/>
      <c r="J1318" s="261"/>
      <c r="K1318" s="261"/>
      <c r="L1318" s="261"/>
      <c r="M1318" s="261"/>
      <c r="N1318" s="261"/>
      <c r="O1318" s="261"/>
      <c r="P1318" s="261"/>
      <c r="Q1318" s="261"/>
      <c r="R1318" s="261"/>
      <c r="S1318" s="261"/>
    </row>
    <row r="1319" spans="1:19">
      <c r="A1319" s="295"/>
      <c r="B1319" s="259" t="s">
        <v>89</v>
      </c>
      <c r="C1319" s="258"/>
      <c r="D1319" s="261"/>
      <c r="E1319" s="261"/>
      <c r="F1319" s="261"/>
      <c r="G1319" s="261"/>
      <c r="H1319" s="261"/>
      <c r="I1319" s="261"/>
      <c r="J1319" s="261"/>
      <c r="K1319" s="261"/>
      <c r="L1319" s="261"/>
      <c r="M1319" s="261"/>
      <c r="N1319" s="261"/>
      <c r="O1319" s="261"/>
      <c r="P1319" s="261"/>
      <c r="Q1319" s="261"/>
      <c r="R1319" s="261"/>
      <c r="S1319" s="261"/>
    </row>
    <row r="1320" spans="1:19">
      <c r="A1320" s="296"/>
      <c r="B1320" s="267" t="s">
        <v>90</v>
      </c>
      <c r="C1320" s="258"/>
      <c r="D1320" s="261"/>
      <c r="E1320" s="261"/>
      <c r="F1320" s="261"/>
      <c r="G1320" s="261"/>
      <c r="H1320" s="261"/>
      <c r="I1320" s="261"/>
      <c r="J1320" s="261"/>
      <c r="K1320" s="261"/>
      <c r="L1320" s="261"/>
      <c r="M1320" s="261"/>
      <c r="N1320" s="261"/>
      <c r="O1320" s="261"/>
      <c r="P1320" s="261"/>
      <c r="Q1320" s="261"/>
      <c r="R1320" s="261"/>
      <c r="S1320" s="261"/>
    </row>
    <row r="1321" spans="1:19">
      <c r="A1321" s="295">
        <v>46258</v>
      </c>
      <c r="B1321" s="259" t="s">
        <v>88</v>
      </c>
      <c r="C1321" s="258"/>
      <c r="D1321" s="261"/>
      <c r="E1321" s="261"/>
      <c r="F1321" s="261"/>
      <c r="G1321" s="261"/>
      <c r="H1321" s="261"/>
      <c r="I1321" s="261"/>
      <c r="J1321" s="261"/>
      <c r="K1321" s="261"/>
      <c r="L1321" s="261"/>
      <c r="M1321" s="261"/>
      <c r="N1321" s="261"/>
      <c r="O1321" s="261"/>
      <c r="P1321" s="261"/>
      <c r="Q1321" s="261"/>
      <c r="R1321" s="261"/>
      <c r="S1321" s="261"/>
    </row>
    <row r="1322" spans="1:19">
      <c r="A1322" s="295"/>
      <c r="B1322" s="259" t="s">
        <v>89</v>
      </c>
      <c r="C1322" s="258"/>
      <c r="D1322" s="261"/>
      <c r="E1322" s="261"/>
      <c r="F1322" s="261"/>
      <c r="G1322" s="261"/>
      <c r="H1322" s="261"/>
      <c r="I1322" s="261"/>
      <c r="J1322" s="261"/>
      <c r="K1322" s="261"/>
      <c r="L1322" s="261"/>
      <c r="M1322" s="261"/>
      <c r="N1322" s="261"/>
      <c r="O1322" s="261"/>
      <c r="P1322" s="261"/>
      <c r="Q1322" s="261"/>
      <c r="R1322" s="261"/>
      <c r="S1322" s="261"/>
    </row>
    <row r="1323" spans="1:19">
      <c r="A1323" s="296"/>
      <c r="B1323" s="267" t="s">
        <v>90</v>
      </c>
      <c r="C1323" s="258"/>
      <c r="D1323" s="261"/>
      <c r="E1323" s="261"/>
      <c r="F1323" s="261"/>
      <c r="G1323" s="261"/>
      <c r="H1323" s="261"/>
      <c r="I1323" s="261"/>
      <c r="J1323" s="261"/>
      <c r="K1323" s="261"/>
      <c r="L1323" s="261"/>
      <c r="M1323" s="261"/>
      <c r="N1323" s="261"/>
      <c r="O1323" s="261"/>
      <c r="P1323" s="261"/>
      <c r="Q1323" s="261"/>
      <c r="R1323" s="261"/>
      <c r="S1323" s="261"/>
    </row>
    <row r="1324" spans="1:19">
      <c r="A1324" s="295">
        <v>46259</v>
      </c>
      <c r="B1324" s="259" t="s">
        <v>88</v>
      </c>
      <c r="C1324" s="258"/>
      <c r="D1324" s="261"/>
      <c r="E1324" s="261"/>
      <c r="F1324" s="261"/>
      <c r="G1324" s="261"/>
      <c r="H1324" s="261"/>
      <c r="I1324" s="261"/>
      <c r="J1324" s="261"/>
      <c r="K1324" s="261"/>
      <c r="L1324" s="261"/>
      <c r="M1324" s="261"/>
      <c r="N1324" s="261"/>
      <c r="O1324" s="261"/>
      <c r="P1324" s="261"/>
      <c r="Q1324" s="261"/>
      <c r="R1324" s="261"/>
      <c r="S1324" s="261"/>
    </row>
    <row r="1325" spans="1:19">
      <c r="A1325" s="295"/>
      <c r="B1325" s="259" t="s">
        <v>89</v>
      </c>
      <c r="C1325" s="258"/>
      <c r="D1325" s="261"/>
      <c r="E1325" s="261"/>
      <c r="F1325" s="261"/>
      <c r="G1325" s="261"/>
      <c r="H1325" s="261"/>
      <c r="I1325" s="261"/>
      <c r="J1325" s="261"/>
      <c r="K1325" s="261"/>
      <c r="L1325" s="261"/>
      <c r="M1325" s="261"/>
      <c r="N1325" s="261"/>
      <c r="O1325" s="261"/>
      <c r="P1325" s="261"/>
      <c r="Q1325" s="261"/>
      <c r="R1325" s="261"/>
      <c r="S1325" s="261"/>
    </row>
    <row r="1326" spans="1:19">
      <c r="A1326" s="296"/>
      <c r="B1326" s="267" t="s">
        <v>90</v>
      </c>
      <c r="C1326" s="258"/>
      <c r="D1326" s="261"/>
      <c r="E1326" s="261"/>
      <c r="F1326" s="261"/>
      <c r="G1326" s="261"/>
      <c r="H1326" s="261"/>
      <c r="I1326" s="261"/>
      <c r="J1326" s="261"/>
      <c r="K1326" s="261"/>
      <c r="L1326" s="261"/>
      <c r="M1326" s="261"/>
      <c r="N1326" s="261"/>
      <c r="O1326" s="261"/>
      <c r="P1326" s="261"/>
      <c r="Q1326" s="261"/>
      <c r="R1326" s="261"/>
      <c r="S1326" s="261"/>
    </row>
    <row r="1327" spans="1:19">
      <c r="A1327" s="295">
        <v>46260</v>
      </c>
      <c r="B1327" s="259" t="s">
        <v>88</v>
      </c>
      <c r="C1327" s="258"/>
      <c r="D1327" s="261"/>
      <c r="E1327" s="261"/>
      <c r="F1327" s="261"/>
      <c r="G1327" s="261"/>
      <c r="H1327" s="261"/>
      <c r="I1327" s="261"/>
      <c r="J1327" s="261"/>
      <c r="K1327" s="261"/>
      <c r="L1327" s="261"/>
      <c r="M1327" s="261"/>
      <c r="N1327" s="261"/>
      <c r="O1327" s="261"/>
      <c r="P1327" s="261"/>
      <c r="Q1327" s="261"/>
      <c r="R1327" s="261"/>
      <c r="S1327" s="261"/>
    </row>
    <row r="1328" spans="1:19">
      <c r="A1328" s="295"/>
      <c r="B1328" s="259" t="s">
        <v>89</v>
      </c>
      <c r="C1328" s="258"/>
      <c r="D1328" s="261"/>
      <c r="E1328" s="261"/>
      <c r="F1328" s="261"/>
      <c r="G1328" s="261"/>
      <c r="H1328" s="261"/>
      <c r="I1328" s="261"/>
      <c r="J1328" s="261"/>
      <c r="K1328" s="261"/>
      <c r="L1328" s="261"/>
      <c r="M1328" s="261"/>
      <c r="N1328" s="261"/>
      <c r="O1328" s="261"/>
      <c r="P1328" s="261"/>
      <c r="Q1328" s="261"/>
      <c r="R1328" s="261"/>
      <c r="S1328" s="261"/>
    </row>
    <row r="1329" spans="1:19">
      <c r="A1329" s="296"/>
      <c r="B1329" s="267" t="s">
        <v>90</v>
      </c>
      <c r="C1329" s="258"/>
      <c r="D1329" s="261"/>
      <c r="E1329" s="261"/>
      <c r="F1329" s="261"/>
      <c r="G1329" s="261"/>
      <c r="H1329" s="261"/>
      <c r="I1329" s="261"/>
      <c r="J1329" s="261"/>
      <c r="K1329" s="261"/>
      <c r="L1329" s="261"/>
      <c r="M1329" s="261"/>
      <c r="N1329" s="261"/>
      <c r="O1329" s="261"/>
      <c r="P1329" s="261"/>
      <c r="Q1329" s="261"/>
      <c r="R1329" s="261"/>
      <c r="S1329" s="261"/>
    </row>
    <row r="1330" spans="1:19">
      <c r="A1330" s="295">
        <v>46261</v>
      </c>
      <c r="B1330" s="259" t="s">
        <v>88</v>
      </c>
      <c r="C1330" s="258"/>
      <c r="D1330" s="261"/>
      <c r="E1330" s="261"/>
      <c r="F1330" s="261"/>
      <c r="G1330" s="261"/>
      <c r="H1330" s="261"/>
      <c r="I1330" s="261"/>
      <c r="J1330" s="261"/>
      <c r="K1330" s="261"/>
      <c r="L1330" s="261"/>
      <c r="M1330" s="261"/>
      <c r="N1330" s="261"/>
      <c r="O1330" s="261"/>
      <c r="P1330" s="261"/>
      <c r="Q1330" s="261"/>
      <c r="R1330" s="261"/>
      <c r="S1330" s="261"/>
    </row>
    <row r="1331" spans="1:19">
      <c r="A1331" s="295"/>
      <c r="B1331" s="259" t="s">
        <v>89</v>
      </c>
      <c r="C1331" s="258"/>
      <c r="D1331" s="261"/>
      <c r="E1331" s="261"/>
      <c r="F1331" s="261"/>
      <c r="G1331" s="261"/>
      <c r="H1331" s="261"/>
      <c r="I1331" s="261"/>
      <c r="J1331" s="261"/>
      <c r="K1331" s="261"/>
      <c r="L1331" s="261"/>
      <c r="M1331" s="261"/>
      <c r="N1331" s="261"/>
      <c r="O1331" s="261"/>
      <c r="P1331" s="261"/>
      <c r="Q1331" s="261"/>
      <c r="R1331" s="261"/>
      <c r="S1331" s="261"/>
    </row>
    <row r="1332" spans="1:19">
      <c r="A1332" s="296"/>
      <c r="B1332" s="267" t="s">
        <v>90</v>
      </c>
      <c r="C1332" s="258"/>
      <c r="D1332" s="261"/>
      <c r="E1332" s="261"/>
      <c r="F1332" s="261"/>
      <c r="G1332" s="261"/>
      <c r="H1332" s="261"/>
      <c r="I1332" s="261"/>
      <c r="J1332" s="261"/>
      <c r="K1332" s="261"/>
      <c r="L1332" s="261"/>
      <c r="M1332" s="261"/>
      <c r="N1332" s="261"/>
      <c r="O1332" s="261"/>
      <c r="P1332" s="261"/>
      <c r="Q1332" s="261"/>
      <c r="R1332" s="261"/>
      <c r="S1332" s="261"/>
    </row>
    <row r="1333" spans="1:19">
      <c r="A1333" s="295">
        <v>46262</v>
      </c>
      <c r="B1333" s="259" t="s">
        <v>88</v>
      </c>
      <c r="C1333" s="258"/>
      <c r="D1333" s="261"/>
      <c r="E1333" s="261"/>
      <c r="F1333" s="261"/>
      <c r="G1333" s="261"/>
      <c r="H1333" s="261"/>
      <c r="I1333" s="261"/>
      <c r="J1333" s="261"/>
      <c r="K1333" s="261"/>
      <c r="L1333" s="261"/>
      <c r="M1333" s="261"/>
      <c r="N1333" s="261"/>
      <c r="O1333" s="261"/>
      <c r="P1333" s="261"/>
      <c r="Q1333" s="261"/>
      <c r="R1333" s="261"/>
      <c r="S1333" s="261"/>
    </row>
    <row r="1334" spans="1:19">
      <c r="A1334" s="295"/>
      <c r="B1334" s="259" t="s">
        <v>89</v>
      </c>
      <c r="C1334" s="258"/>
      <c r="D1334" s="261"/>
      <c r="E1334" s="261"/>
      <c r="F1334" s="261"/>
      <c r="G1334" s="261"/>
      <c r="H1334" s="261"/>
      <c r="I1334" s="261"/>
      <c r="J1334" s="261"/>
      <c r="K1334" s="261"/>
      <c r="L1334" s="261"/>
      <c r="M1334" s="261"/>
      <c r="N1334" s="261"/>
      <c r="O1334" s="261"/>
      <c r="P1334" s="261"/>
      <c r="Q1334" s="261"/>
      <c r="R1334" s="261"/>
      <c r="S1334" s="261"/>
    </row>
    <row r="1335" spans="1:19">
      <c r="A1335" s="296"/>
      <c r="B1335" s="267" t="s">
        <v>90</v>
      </c>
      <c r="C1335" s="258"/>
      <c r="D1335" s="261"/>
      <c r="E1335" s="261"/>
      <c r="F1335" s="261"/>
      <c r="G1335" s="261"/>
      <c r="H1335" s="261"/>
      <c r="I1335" s="261"/>
      <c r="J1335" s="261"/>
      <c r="K1335" s="261"/>
      <c r="L1335" s="261"/>
      <c r="M1335" s="261"/>
      <c r="N1335" s="261"/>
      <c r="O1335" s="261"/>
      <c r="P1335" s="261"/>
      <c r="Q1335" s="261"/>
      <c r="R1335" s="261"/>
      <c r="S1335" s="261"/>
    </row>
    <row r="1336" spans="1:19">
      <c r="A1336" s="295">
        <v>46263</v>
      </c>
      <c r="B1336" s="259" t="s">
        <v>88</v>
      </c>
      <c r="C1336" s="258"/>
      <c r="D1336" s="261"/>
      <c r="E1336" s="261"/>
      <c r="F1336" s="261"/>
      <c r="G1336" s="261"/>
      <c r="H1336" s="261"/>
      <c r="I1336" s="261"/>
      <c r="J1336" s="261"/>
      <c r="K1336" s="261"/>
      <c r="L1336" s="261"/>
      <c r="M1336" s="261"/>
      <c r="N1336" s="261"/>
      <c r="O1336" s="261"/>
      <c r="P1336" s="261"/>
      <c r="Q1336" s="261"/>
      <c r="R1336" s="261"/>
      <c r="S1336" s="261"/>
    </row>
    <row r="1337" spans="1:19">
      <c r="A1337" s="295"/>
      <c r="B1337" s="259" t="s">
        <v>89</v>
      </c>
      <c r="C1337" s="258"/>
      <c r="D1337" s="261"/>
      <c r="E1337" s="261"/>
      <c r="F1337" s="261"/>
      <c r="G1337" s="261"/>
      <c r="H1337" s="261"/>
      <c r="I1337" s="261"/>
      <c r="J1337" s="261"/>
      <c r="K1337" s="261"/>
      <c r="L1337" s="261"/>
      <c r="M1337" s="261"/>
      <c r="N1337" s="261"/>
      <c r="O1337" s="261"/>
      <c r="P1337" s="261"/>
      <c r="Q1337" s="261"/>
      <c r="R1337" s="261"/>
      <c r="S1337" s="261"/>
    </row>
    <row r="1338" spans="1:19">
      <c r="A1338" s="296"/>
      <c r="B1338" s="267" t="s">
        <v>90</v>
      </c>
      <c r="C1338" s="258"/>
      <c r="D1338" s="261"/>
      <c r="E1338" s="261"/>
      <c r="F1338" s="261"/>
      <c r="G1338" s="261"/>
      <c r="H1338" s="261"/>
      <c r="I1338" s="261"/>
      <c r="J1338" s="261"/>
      <c r="K1338" s="261"/>
      <c r="L1338" s="261"/>
      <c r="M1338" s="261"/>
      <c r="N1338" s="261"/>
      <c r="O1338" s="261"/>
      <c r="P1338" s="261"/>
      <c r="Q1338" s="261"/>
      <c r="R1338" s="261"/>
      <c r="S1338" s="261"/>
    </row>
    <row r="1339" spans="1:19">
      <c r="A1339" s="295">
        <v>46264</v>
      </c>
      <c r="B1339" s="259" t="s">
        <v>88</v>
      </c>
      <c r="C1339" s="258"/>
      <c r="D1339" s="261"/>
      <c r="E1339" s="261"/>
      <c r="F1339" s="261"/>
      <c r="G1339" s="261"/>
      <c r="H1339" s="261"/>
      <c r="I1339" s="261"/>
      <c r="J1339" s="261"/>
      <c r="K1339" s="261"/>
      <c r="L1339" s="261"/>
      <c r="M1339" s="261"/>
      <c r="N1339" s="261"/>
      <c r="O1339" s="261"/>
      <c r="P1339" s="261"/>
      <c r="Q1339" s="261"/>
      <c r="R1339" s="261"/>
      <c r="S1339" s="261"/>
    </row>
    <row r="1340" spans="1:19">
      <c r="A1340" s="295"/>
      <c r="B1340" s="259" t="s">
        <v>89</v>
      </c>
      <c r="C1340" s="258"/>
      <c r="D1340" s="261"/>
      <c r="E1340" s="261"/>
      <c r="F1340" s="261"/>
      <c r="G1340" s="261"/>
      <c r="H1340" s="261"/>
      <c r="I1340" s="261"/>
      <c r="J1340" s="261"/>
      <c r="K1340" s="261"/>
      <c r="L1340" s="261"/>
      <c r="M1340" s="261"/>
      <c r="N1340" s="261"/>
      <c r="O1340" s="261"/>
      <c r="P1340" s="261"/>
      <c r="Q1340" s="261"/>
      <c r="R1340" s="261"/>
      <c r="S1340" s="261"/>
    </row>
    <row r="1341" spans="1:19">
      <c r="A1341" s="296"/>
      <c r="B1341" s="267" t="s">
        <v>90</v>
      </c>
      <c r="C1341" s="258"/>
      <c r="D1341" s="261"/>
      <c r="E1341" s="261"/>
      <c r="F1341" s="261"/>
      <c r="G1341" s="261"/>
      <c r="H1341" s="261"/>
      <c r="I1341" s="261"/>
      <c r="J1341" s="261"/>
      <c r="K1341" s="261"/>
      <c r="L1341" s="261"/>
      <c r="M1341" s="261"/>
      <c r="N1341" s="261"/>
      <c r="O1341" s="261"/>
      <c r="P1341" s="261"/>
      <c r="Q1341" s="261"/>
      <c r="R1341" s="261"/>
      <c r="S1341" s="261"/>
    </row>
    <row r="1342" spans="1:19">
      <c r="A1342" s="295">
        <v>46265</v>
      </c>
      <c r="B1342" s="259" t="s">
        <v>88</v>
      </c>
      <c r="C1342" s="258"/>
      <c r="D1342" s="261"/>
      <c r="E1342" s="261"/>
      <c r="F1342" s="261"/>
      <c r="G1342" s="261"/>
      <c r="H1342" s="261"/>
      <c r="I1342" s="261"/>
      <c r="J1342" s="261"/>
      <c r="K1342" s="261"/>
      <c r="L1342" s="261"/>
      <c r="M1342" s="261"/>
      <c r="N1342" s="261"/>
      <c r="O1342" s="261"/>
      <c r="P1342" s="261"/>
      <c r="Q1342" s="261"/>
      <c r="R1342" s="261"/>
      <c r="S1342" s="261"/>
    </row>
    <row r="1343" spans="1:19">
      <c r="A1343" s="295"/>
      <c r="B1343" s="259" t="s">
        <v>89</v>
      </c>
      <c r="C1343" s="258"/>
      <c r="D1343" s="261"/>
      <c r="E1343" s="261"/>
      <c r="F1343" s="261"/>
      <c r="G1343" s="261"/>
      <c r="H1343" s="261"/>
      <c r="I1343" s="261"/>
      <c r="J1343" s="261"/>
      <c r="K1343" s="261"/>
      <c r="L1343" s="261"/>
      <c r="M1343" s="261"/>
      <c r="N1343" s="261"/>
      <c r="O1343" s="261"/>
      <c r="P1343" s="261"/>
      <c r="Q1343" s="261"/>
      <c r="R1343" s="261"/>
      <c r="S1343" s="261"/>
    </row>
    <row r="1344" spans="1:19">
      <c r="A1344" s="296"/>
      <c r="B1344" s="267" t="s">
        <v>90</v>
      </c>
      <c r="C1344" s="258"/>
      <c r="D1344" s="261"/>
      <c r="E1344" s="261"/>
      <c r="F1344" s="261"/>
      <c r="G1344" s="261"/>
      <c r="H1344" s="261"/>
      <c r="I1344" s="261"/>
      <c r="J1344" s="261"/>
      <c r="K1344" s="261"/>
      <c r="L1344" s="261"/>
      <c r="M1344" s="261"/>
      <c r="N1344" s="261"/>
      <c r="O1344" s="261"/>
      <c r="P1344" s="261"/>
      <c r="Q1344" s="261"/>
      <c r="R1344" s="261"/>
      <c r="S1344" s="261"/>
    </row>
    <row r="1345" spans="1:19">
      <c r="A1345" s="295">
        <v>46266</v>
      </c>
      <c r="B1345" s="259" t="s">
        <v>88</v>
      </c>
      <c r="C1345" s="258"/>
      <c r="D1345" s="261"/>
      <c r="E1345" s="261"/>
      <c r="F1345" s="261"/>
      <c r="G1345" s="261"/>
      <c r="H1345" s="261"/>
      <c r="I1345" s="261"/>
      <c r="J1345" s="261"/>
      <c r="K1345" s="261"/>
      <c r="L1345" s="261"/>
      <c r="M1345" s="261"/>
      <c r="N1345" s="261"/>
      <c r="O1345" s="261"/>
      <c r="P1345" s="261"/>
      <c r="Q1345" s="261"/>
      <c r="R1345" s="261"/>
      <c r="S1345" s="261"/>
    </row>
    <row r="1346" spans="1:19">
      <c r="A1346" s="295"/>
      <c r="B1346" s="259" t="s">
        <v>89</v>
      </c>
      <c r="C1346" s="258"/>
      <c r="D1346" s="261"/>
      <c r="E1346" s="261"/>
      <c r="F1346" s="261"/>
      <c r="G1346" s="261"/>
      <c r="H1346" s="261"/>
      <c r="I1346" s="261"/>
      <c r="J1346" s="261"/>
      <c r="K1346" s="261"/>
      <c r="L1346" s="261"/>
      <c r="M1346" s="261"/>
      <c r="N1346" s="261"/>
      <c r="O1346" s="261"/>
      <c r="P1346" s="261"/>
      <c r="Q1346" s="261"/>
      <c r="R1346" s="261"/>
      <c r="S1346" s="261"/>
    </row>
    <row r="1347" spans="1:19">
      <c r="A1347" s="296"/>
      <c r="B1347" s="267" t="s">
        <v>90</v>
      </c>
      <c r="C1347" s="258"/>
      <c r="D1347" s="261"/>
      <c r="E1347" s="261"/>
      <c r="F1347" s="261"/>
      <c r="G1347" s="261"/>
      <c r="H1347" s="261"/>
      <c r="I1347" s="261"/>
      <c r="J1347" s="261"/>
      <c r="K1347" s="261"/>
      <c r="L1347" s="261"/>
      <c r="M1347" s="261"/>
      <c r="N1347" s="261"/>
      <c r="O1347" s="261"/>
      <c r="P1347" s="261"/>
      <c r="Q1347" s="261"/>
      <c r="R1347" s="261"/>
      <c r="S1347" s="261"/>
    </row>
    <row r="1348" spans="1:19">
      <c r="A1348" s="295">
        <v>46267</v>
      </c>
      <c r="B1348" s="259" t="s">
        <v>88</v>
      </c>
      <c r="C1348" s="258"/>
      <c r="D1348" s="261"/>
      <c r="E1348" s="261"/>
      <c r="F1348" s="261"/>
      <c r="G1348" s="261"/>
      <c r="H1348" s="261"/>
      <c r="I1348" s="261"/>
      <c r="J1348" s="261"/>
      <c r="K1348" s="261"/>
      <c r="L1348" s="261"/>
      <c r="M1348" s="261"/>
      <c r="N1348" s="261"/>
      <c r="O1348" s="261"/>
      <c r="P1348" s="261"/>
      <c r="Q1348" s="261"/>
      <c r="R1348" s="261"/>
      <c r="S1348" s="261"/>
    </row>
    <row r="1349" spans="1:19">
      <c r="A1349" s="295"/>
      <c r="B1349" s="259" t="s">
        <v>89</v>
      </c>
      <c r="C1349" s="258"/>
      <c r="D1349" s="261"/>
      <c r="E1349" s="261"/>
      <c r="F1349" s="261"/>
      <c r="G1349" s="261"/>
      <c r="H1349" s="261"/>
      <c r="I1349" s="261"/>
      <c r="J1349" s="261"/>
      <c r="K1349" s="261"/>
      <c r="L1349" s="261"/>
      <c r="M1349" s="261"/>
      <c r="N1349" s="261"/>
      <c r="O1349" s="261"/>
      <c r="P1349" s="261"/>
      <c r="Q1349" s="261"/>
      <c r="R1349" s="261"/>
      <c r="S1349" s="261"/>
    </row>
    <row r="1350" spans="1:19">
      <c r="A1350" s="296"/>
      <c r="B1350" s="267" t="s">
        <v>90</v>
      </c>
      <c r="C1350" s="258"/>
      <c r="D1350" s="261"/>
      <c r="E1350" s="261"/>
      <c r="F1350" s="261"/>
      <c r="G1350" s="261"/>
      <c r="H1350" s="261"/>
      <c r="I1350" s="261"/>
      <c r="J1350" s="261"/>
      <c r="K1350" s="261"/>
      <c r="L1350" s="261"/>
      <c r="M1350" s="261"/>
      <c r="N1350" s="261"/>
      <c r="O1350" s="261"/>
      <c r="P1350" s="261"/>
      <c r="Q1350" s="261"/>
      <c r="R1350" s="261"/>
      <c r="S1350" s="261"/>
    </row>
    <row r="1351" spans="1:19">
      <c r="A1351" s="295">
        <v>46268</v>
      </c>
      <c r="B1351" s="259" t="s">
        <v>88</v>
      </c>
      <c r="C1351" s="258"/>
      <c r="D1351" s="261"/>
      <c r="E1351" s="261"/>
      <c r="F1351" s="261"/>
      <c r="G1351" s="261"/>
      <c r="H1351" s="261"/>
      <c r="I1351" s="261"/>
      <c r="J1351" s="261"/>
      <c r="K1351" s="261"/>
      <c r="L1351" s="261"/>
      <c r="M1351" s="261"/>
      <c r="N1351" s="261"/>
      <c r="O1351" s="261"/>
      <c r="P1351" s="261"/>
      <c r="Q1351" s="261"/>
      <c r="R1351" s="261"/>
      <c r="S1351" s="261"/>
    </row>
    <row r="1352" spans="1:19">
      <c r="A1352" s="295"/>
      <c r="B1352" s="259" t="s">
        <v>89</v>
      </c>
      <c r="C1352" s="258"/>
      <c r="D1352" s="261"/>
      <c r="E1352" s="261"/>
      <c r="F1352" s="261"/>
      <c r="G1352" s="261"/>
      <c r="H1352" s="261"/>
      <c r="I1352" s="261"/>
      <c r="J1352" s="261"/>
      <c r="K1352" s="261"/>
      <c r="L1352" s="261"/>
      <c r="M1352" s="261"/>
      <c r="N1352" s="261"/>
      <c r="O1352" s="261"/>
      <c r="P1352" s="261"/>
      <c r="Q1352" s="261"/>
      <c r="R1352" s="261"/>
      <c r="S1352" s="261"/>
    </row>
    <row r="1353" spans="1:19">
      <c r="A1353" s="296"/>
      <c r="B1353" s="267" t="s">
        <v>90</v>
      </c>
      <c r="C1353" s="258"/>
      <c r="D1353" s="261"/>
      <c r="E1353" s="261"/>
      <c r="F1353" s="261"/>
      <c r="G1353" s="261"/>
      <c r="H1353" s="261"/>
      <c r="I1353" s="261"/>
      <c r="J1353" s="261"/>
      <c r="K1353" s="261"/>
      <c r="L1353" s="261"/>
      <c r="M1353" s="261"/>
      <c r="N1353" s="261"/>
      <c r="O1353" s="261"/>
      <c r="P1353" s="261"/>
      <c r="Q1353" s="261"/>
      <c r="R1353" s="261"/>
      <c r="S1353" s="261"/>
    </row>
    <row r="1354" spans="1:19">
      <c r="A1354" s="295">
        <v>46269</v>
      </c>
      <c r="B1354" s="259" t="s">
        <v>88</v>
      </c>
      <c r="C1354" s="258"/>
      <c r="D1354" s="261"/>
      <c r="E1354" s="261"/>
      <c r="F1354" s="261"/>
      <c r="G1354" s="261"/>
      <c r="H1354" s="261"/>
      <c r="I1354" s="261"/>
      <c r="J1354" s="261"/>
      <c r="K1354" s="261"/>
      <c r="L1354" s="261"/>
      <c r="M1354" s="261"/>
      <c r="N1354" s="261"/>
      <c r="O1354" s="261"/>
      <c r="P1354" s="261"/>
      <c r="Q1354" s="261"/>
      <c r="R1354" s="261"/>
      <c r="S1354" s="261"/>
    </row>
    <row r="1355" spans="1:19">
      <c r="A1355" s="295"/>
      <c r="B1355" s="259" t="s">
        <v>89</v>
      </c>
      <c r="C1355" s="258"/>
      <c r="D1355" s="261"/>
      <c r="E1355" s="261"/>
      <c r="F1355" s="261"/>
      <c r="G1355" s="261"/>
      <c r="H1355" s="261"/>
      <c r="I1355" s="261"/>
      <c r="J1355" s="261"/>
      <c r="K1355" s="261"/>
      <c r="L1355" s="261"/>
      <c r="M1355" s="261"/>
      <c r="N1355" s="261"/>
      <c r="O1355" s="261"/>
      <c r="P1355" s="261"/>
      <c r="Q1355" s="261"/>
      <c r="R1355" s="261"/>
      <c r="S1355" s="261"/>
    </row>
    <row r="1356" spans="1:19">
      <c r="A1356" s="296"/>
      <c r="B1356" s="267" t="s">
        <v>90</v>
      </c>
      <c r="C1356" s="258"/>
      <c r="D1356" s="261"/>
      <c r="E1356" s="261"/>
      <c r="F1356" s="261"/>
      <c r="G1356" s="261"/>
      <c r="H1356" s="261"/>
      <c r="I1356" s="261"/>
      <c r="J1356" s="261"/>
      <c r="K1356" s="261"/>
      <c r="L1356" s="261"/>
      <c r="M1356" s="261"/>
      <c r="N1356" s="261"/>
      <c r="O1356" s="261"/>
      <c r="P1356" s="261"/>
      <c r="Q1356" s="261"/>
      <c r="R1356" s="261"/>
      <c r="S1356" s="261"/>
    </row>
    <row r="1357" spans="1:19">
      <c r="A1357" s="295">
        <v>46270</v>
      </c>
      <c r="B1357" s="259" t="s">
        <v>88</v>
      </c>
      <c r="C1357" s="258"/>
      <c r="D1357" s="261"/>
      <c r="E1357" s="261"/>
      <c r="F1357" s="261"/>
      <c r="G1357" s="261"/>
      <c r="H1357" s="261"/>
      <c r="I1357" s="261"/>
      <c r="J1357" s="261"/>
      <c r="K1357" s="261"/>
      <c r="L1357" s="261"/>
      <c r="M1357" s="261"/>
      <c r="N1357" s="261"/>
      <c r="O1357" s="261"/>
      <c r="P1357" s="261"/>
      <c r="Q1357" s="261"/>
      <c r="R1357" s="261"/>
      <c r="S1357" s="261"/>
    </row>
    <row r="1358" spans="1:19">
      <c r="A1358" s="295"/>
      <c r="B1358" s="259" t="s">
        <v>89</v>
      </c>
      <c r="C1358" s="258"/>
      <c r="D1358" s="261"/>
      <c r="E1358" s="261"/>
      <c r="F1358" s="261"/>
      <c r="G1358" s="261"/>
      <c r="H1358" s="261"/>
      <c r="I1358" s="261"/>
      <c r="J1358" s="261"/>
      <c r="K1358" s="261"/>
      <c r="L1358" s="261"/>
      <c r="M1358" s="261"/>
      <c r="N1358" s="261"/>
      <c r="O1358" s="261"/>
      <c r="P1358" s="261"/>
      <c r="Q1358" s="261"/>
      <c r="R1358" s="261"/>
      <c r="S1358" s="261"/>
    </row>
    <row r="1359" spans="1:19">
      <c r="A1359" s="296"/>
      <c r="B1359" s="267" t="s">
        <v>90</v>
      </c>
      <c r="C1359" s="258"/>
      <c r="D1359" s="261"/>
      <c r="E1359" s="261"/>
      <c r="F1359" s="261"/>
      <c r="G1359" s="261"/>
      <c r="H1359" s="261"/>
      <c r="I1359" s="261"/>
      <c r="J1359" s="261"/>
      <c r="K1359" s="261"/>
      <c r="L1359" s="261"/>
      <c r="M1359" s="261"/>
      <c r="N1359" s="261"/>
      <c r="O1359" s="261"/>
      <c r="P1359" s="261"/>
      <c r="Q1359" s="261"/>
      <c r="R1359" s="261"/>
      <c r="S1359" s="261"/>
    </row>
    <row r="1360" spans="1:19">
      <c r="A1360" s="295">
        <v>46271</v>
      </c>
      <c r="B1360" s="259" t="s">
        <v>88</v>
      </c>
      <c r="C1360" s="258"/>
      <c r="D1360" s="261"/>
      <c r="E1360" s="261"/>
      <c r="F1360" s="261"/>
      <c r="G1360" s="261"/>
      <c r="H1360" s="261"/>
      <c r="I1360" s="261"/>
      <c r="J1360" s="261"/>
      <c r="K1360" s="261"/>
      <c r="L1360" s="261"/>
      <c r="M1360" s="261"/>
      <c r="N1360" s="261"/>
      <c r="O1360" s="261"/>
      <c r="P1360" s="261"/>
      <c r="Q1360" s="261"/>
      <c r="R1360" s="261"/>
      <c r="S1360" s="261"/>
    </row>
    <row r="1361" spans="1:19">
      <c r="A1361" s="295"/>
      <c r="B1361" s="259" t="s">
        <v>89</v>
      </c>
      <c r="C1361" s="258"/>
      <c r="D1361" s="261"/>
      <c r="E1361" s="261"/>
      <c r="F1361" s="261"/>
      <c r="G1361" s="261"/>
      <c r="H1361" s="261"/>
      <c r="I1361" s="261"/>
      <c r="J1361" s="261"/>
      <c r="K1361" s="261"/>
      <c r="L1361" s="261"/>
      <c r="M1361" s="261"/>
      <c r="N1361" s="261"/>
      <c r="O1361" s="261"/>
      <c r="P1361" s="261"/>
      <c r="Q1361" s="261"/>
      <c r="R1361" s="261"/>
      <c r="S1361" s="261"/>
    </row>
    <row r="1362" spans="1:19">
      <c r="A1362" s="296"/>
      <c r="B1362" s="267" t="s">
        <v>90</v>
      </c>
      <c r="C1362" s="258"/>
      <c r="D1362" s="261"/>
      <c r="E1362" s="261"/>
      <c r="F1362" s="261"/>
      <c r="G1362" s="261"/>
      <c r="H1362" s="261"/>
      <c r="I1362" s="261"/>
      <c r="J1362" s="261"/>
      <c r="K1362" s="261"/>
      <c r="L1362" s="261"/>
      <c r="M1362" s="261"/>
      <c r="N1362" s="261"/>
      <c r="O1362" s="261"/>
      <c r="P1362" s="261"/>
      <c r="Q1362" s="261"/>
      <c r="R1362" s="261"/>
      <c r="S1362" s="261"/>
    </row>
    <row r="1363" spans="1:19">
      <c r="A1363" s="295">
        <v>46272</v>
      </c>
      <c r="B1363" s="259" t="s">
        <v>88</v>
      </c>
      <c r="C1363" s="258"/>
      <c r="D1363" s="261"/>
      <c r="E1363" s="261"/>
      <c r="F1363" s="261"/>
      <c r="G1363" s="261"/>
      <c r="H1363" s="261"/>
      <c r="I1363" s="261"/>
      <c r="J1363" s="261"/>
      <c r="K1363" s="261"/>
      <c r="L1363" s="261"/>
      <c r="M1363" s="261"/>
      <c r="N1363" s="261"/>
      <c r="O1363" s="261"/>
      <c r="P1363" s="261"/>
      <c r="Q1363" s="261"/>
      <c r="R1363" s="261"/>
      <c r="S1363" s="261"/>
    </row>
    <row r="1364" spans="1:19">
      <c r="A1364" s="295"/>
      <c r="B1364" s="259" t="s">
        <v>89</v>
      </c>
      <c r="C1364" s="258"/>
      <c r="D1364" s="261"/>
      <c r="E1364" s="261"/>
      <c r="F1364" s="261"/>
      <c r="G1364" s="261"/>
      <c r="H1364" s="261"/>
      <c r="I1364" s="261"/>
      <c r="J1364" s="261"/>
      <c r="K1364" s="261"/>
      <c r="L1364" s="261"/>
      <c r="M1364" s="261"/>
      <c r="N1364" s="261"/>
      <c r="O1364" s="261"/>
      <c r="P1364" s="261"/>
      <c r="Q1364" s="261"/>
      <c r="R1364" s="261"/>
      <c r="S1364" s="261"/>
    </row>
    <row r="1365" spans="1:19">
      <c r="A1365" s="296"/>
      <c r="B1365" s="267" t="s">
        <v>90</v>
      </c>
      <c r="C1365" s="258"/>
      <c r="D1365" s="261"/>
      <c r="E1365" s="261"/>
      <c r="F1365" s="261"/>
      <c r="G1365" s="261"/>
      <c r="H1365" s="261"/>
      <c r="I1365" s="261"/>
      <c r="J1365" s="261"/>
      <c r="K1365" s="261"/>
      <c r="L1365" s="261"/>
      <c r="M1365" s="261"/>
      <c r="N1365" s="261"/>
      <c r="O1365" s="261"/>
      <c r="P1365" s="261"/>
      <c r="Q1365" s="261"/>
      <c r="R1365" s="261"/>
      <c r="S1365" s="261"/>
    </row>
    <row r="1366" spans="1:19">
      <c r="A1366" s="295">
        <v>46273</v>
      </c>
      <c r="B1366" s="259" t="s">
        <v>88</v>
      </c>
      <c r="C1366" s="258"/>
      <c r="D1366" s="261"/>
      <c r="E1366" s="261"/>
      <c r="F1366" s="261"/>
      <c r="G1366" s="261"/>
      <c r="H1366" s="261"/>
      <c r="I1366" s="261"/>
      <c r="J1366" s="261"/>
      <c r="K1366" s="261"/>
      <c r="L1366" s="261"/>
      <c r="M1366" s="261"/>
      <c r="N1366" s="261"/>
      <c r="O1366" s="261"/>
      <c r="P1366" s="261"/>
      <c r="Q1366" s="261"/>
      <c r="R1366" s="261"/>
      <c r="S1366" s="261"/>
    </row>
    <row r="1367" spans="1:19">
      <c r="A1367" s="295"/>
      <c r="B1367" s="259" t="s">
        <v>89</v>
      </c>
      <c r="C1367" s="258"/>
      <c r="D1367" s="261"/>
      <c r="E1367" s="261"/>
      <c r="F1367" s="261"/>
      <c r="G1367" s="261"/>
      <c r="H1367" s="261"/>
      <c r="I1367" s="261"/>
      <c r="J1367" s="261"/>
      <c r="K1367" s="261"/>
      <c r="L1367" s="261"/>
      <c r="M1367" s="261"/>
      <c r="N1367" s="261"/>
      <c r="O1367" s="261"/>
      <c r="P1367" s="261"/>
      <c r="Q1367" s="261"/>
      <c r="R1367" s="261"/>
      <c r="S1367" s="261"/>
    </row>
    <row r="1368" spans="1:19">
      <c r="A1368" s="296"/>
      <c r="B1368" s="267" t="s">
        <v>90</v>
      </c>
      <c r="C1368" s="258"/>
      <c r="D1368" s="261"/>
      <c r="E1368" s="261"/>
      <c r="F1368" s="261"/>
      <c r="G1368" s="261"/>
      <c r="H1368" s="261"/>
      <c r="I1368" s="261"/>
      <c r="J1368" s="261"/>
      <c r="K1368" s="261"/>
      <c r="L1368" s="261"/>
      <c r="M1368" s="261"/>
      <c r="N1368" s="261"/>
      <c r="O1368" s="261"/>
      <c r="P1368" s="261"/>
      <c r="Q1368" s="261"/>
      <c r="R1368" s="261"/>
      <c r="S1368" s="261"/>
    </row>
    <row r="1369" spans="1:19">
      <c r="A1369" s="295">
        <v>46274</v>
      </c>
      <c r="B1369" s="259" t="s">
        <v>88</v>
      </c>
      <c r="C1369" s="258"/>
      <c r="D1369" s="261"/>
      <c r="E1369" s="261"/>
      <c r="F1369" s="261"/>
      <c r="G1369" s="261"/>
      <c r="H1369" s="261"/>
      <c r="I1369" s="261"/>
      <c r="J1369" s="261"/>
      <c r="K1369" s="261"/>
      <c r="L1369" s="261"/>
      <c r="M1369" s="261"/>
      <c r="N1369" s="261"/>
      <c r="O1369" s="261"/>
      <c r="P1369" s="261"/>
      <c r="Q1369" s="261"/>
      <c r="R1369" s="261"/>
      <c r="S1369" s="261"/>
    </row>
    <row r="1370" spans="1:19">
      <c r="A1370" s="295"/>
      <c r="B1370" s="259" t="s">
        <v>89</v>
      </c>
      <c r="C1370" s="258"/>
      <c r="D1370" s="261"/>
      <c r="E1370" s="261"/>
      <c r="F1370" s="261"/>
      <c r="G1370" s="261"/>
      <c r="H1370" s="261"/>
      <c r="I1370" s="261"/>
      <c r="J1370" s="261"/>
      <c r="K1370" s="261"/>
      <c r="L1370" s="261"/>
      <c r="M1370" s="261"/>
      <c r="N1370" s="261"/>
      <c r="O1370" s="261"/>
      <c r="P1370" s="261"/>
      <c r="Q1370" s="261"/>
      <c r="R1370" s="261"/>
      <c r="S1370" s="261"/>
    </row>
    <row r="1371" spans="1:19">
      <c r="A1371" s="296"/>
      <c r="B1371" s="267" t="s">
        <v>90</v>
      </c>
      <c r="C1371" s="258"/>
      <c r="D1371" s="261"/>
      <c r="E1371" s="261"/>
      <c r="F1371" s="261"/>
      <c r="G1371" s="261"/>
      <c r="H1371" s="261"/>
      <c r="I1371" s="261"/>
      <c r="J1371" s="261"/>
      <c r="K1371" s="261"/>
      <c r="L1371" s="261"/>
      <c r="M1371" s="261"/>
      <c r="N1371" s="261"/>
      <c r="O1371" s="261"/>
      <c r="P1371" s="261"/>
      <c r="Q1371" s="261"/>
      <c r="R1371" s="261"/>
      <c r="S1371" s="261"/>
    </row>
    <row r="1372" spans="1:19">
      <c r="A1372" s="295">
        <v>46275</v>
      </c>
      <c r="B1372" s="259" t="s">
        <v>88</v>
      </c>
      <c r="C1372" s="258"/>
      <c r="D1372" s="261"/>
      <c r="E1372" s="261"/>
      <c r="F1372" s="261"/>
      <c r="G1372" s="261"/>
      <c r="H1372" s="261"/>
      <c r="I1372" s="261"/>
      <c r="J1372" s="261"/>
      <c r="K1372" s="261"/>
      <c r="L1372" s="261"/>
      <c r="M1372" s="261"/>
      <c r="N1372" s="261"/>
      <c r="O1372" s="261"/>
      <c r="P1372" s="261"/>
      <c r="Q1372" s="261"/>
      <c r="R1372" s="261"/>
      <c r="S1372" s="261"/>
    </row>
    <row r="1373" spans="1:19">
      <c r="A1373" s="295"/>
      <c r="B1373" s="259" t="s">
        <v>89</v>
      </c>
      <c r="C1373" s="258"/>
      <c r="D1373" s="261"/>
      <c r="E1373" s="261"/>
      <c r="F1373" s="261"/>
      <c r="G1373" s="261"/>
      <c r="H1373" s="261"/>
      <c r="I1373" s="261"/>
      <c r="J1373" s="261"/>
      <c r="K1373" s="261"/>
      <c r="L1373" s="261"/>
      <c r="M1373" s="261"/>
      <c r="N1373" s="261"/>
      <c r="O1373" s="261"/>
      <c r="P1373" s="261"/>
      <c r="Q1373" s="261"/>
      <c r="R1373" s="261"/>
      <c r="S1373" s="261"/>
    </row>
    <row r="1374" spans="1:19">
      <c r="A1374" s="296"/>
      <c r="B1374" s="267" t="s">
        <v>90</v>
      </c>
      <c r="C1374" s="258"/>
      <c r="D1374" s="261"/>
      <c r="E1374" s="261"/>
      <c r="F1374" s="261"/>
      <c r="G1374" s="261"/>
      <c r="H1374" s="261"/>
      <c r="I1374" s="261"/>
      <c r="J1374" s="261"/>
      <c r="K1374" s="261"/>
      <c r="L1374" s="261"/>
      <c r="M1374" s="261"/>
      <c r="N1374" s="261"/>
      <c r="O1374" s="261"/>
      <c r="P1374" s="261"/>
      <c r="Q1374" s="261"/>
      <c r="R1374" s="261"/>
      <c r="S1374" s="261"/>
    </row>
    <row r="1375" spans="1:19">
      <c r="A1375" s="295">
        <v>46276</v>
      </c>
      <c r="B1375" s="259" t="s">
        <v>88</v>
      </c>
      <c r="C1375" s="258"/>
      <c r="D1375" s="261"/>
      <c r="E1375" s="261"/>
      <c r="F1375" s="261"/>
      <c r="G1375" s="261"/>
      <c r="H1375" s="261"/>
      <c r="I1375" s="261"/>
      <c r="J1375" s="261"/>
      <c r="K1375" s="261"/>
      <c r="L1375" s="261"/>
      <c r="M1375" s="261"/>
      <c r="N1375" s="261"/>
      <c r="O1375" s="261"/>
      <c r="P1375" s="261"/>
      <c r="Q1375" s="261"/>
      <c r="R1375" s="261"/>
      <c r="S1375" s="261"/>
    </row>
    <row r="1376" spans="1:19">
      <c r="A1376" s="295"/>
      <c r="B1376" s="259" t="s">
        <v>89</v>
      </c>
      <c r="C1376" s="258"/>
      <c r="D1376" s="261"/>
      <c r="E1376" s="261"/>
      <c r="F1376" s="261"/>
      <c r="G1376" s="261"/>
      <c r="H1376" s="261"/>
      <c r="I1376" s="261"/>
      <c r="J1376" s="261"/>
      <c r="K1376" s="261"/>
      <c r="L1376" s="261"/>
      <c r="M1376" s="261"/>
      <c r="N1376" s="261"/>
      <c r="O1376" s="261"/>
      <c r="P1376" s="261"/>
      <c r="Q1376" s="261"/>
      <c r="R1376" s="261"/>
      <c r="S1376" s="261"/>
    </row>
    <row r="1377" spans="1:19">
      <c r="A1377" s="296"/>
      <c r="B1377" s="267" t="s">
        <v>90</v>
      </c>
      <c r="C1377" s="258"/>
      <c r="D1377" s="261"/>
      <c r="E1377" s="261"/>
      <c r="F1377" s="261"/>
      <c r="G1377" s="261"/>
      <c r="H1377" s="261"/>
      <c r="I1377" s="261"/>
      <c r="J1377" s="261"/>
      <c r="K1377" s="261"/>
      <c r="L1377" s="261"/>
      <c r="M1377" s="261"/>
      <c r="N1377" s="261"/>
      <c r="O1377" s="261"/>
      <c r="P1377" s="261"/>
      <c r="Q1377" s="261"/>
      <c r="R1377" s="261"/>
      <c r="S1377" s="261"/>
    </row>
    <row r="1378" spans="1:19">
      <c r="A1378" s="295">
        <v>46277</v>
      </c>
      <c r="B1378" s="259" t="s">
        <v>88</v>
      </c>
      <c r="C1378" s="258"/>
      <c r="D1378" s="261"/>
      <c r="E1378" s="261"/>
      <c r="F1378" s="261"/>
      <c r="G1378" s="261"/>
      <c r="H1378" s="261"/>
      <c r="I1378" s="261"/>
      <c r="J1378" s="261"/>
      <c r="K1378" s="261"/>
      <c r="L1378" s="261"/>
      <c r="M1378" s="261"/>
      <c r="N1378" s="261"/>
      <c r="O1378" s="261"/>
      <c r="P1378" s="261"/>
      <c r="Q1378" s="261"/>
      <c r="R1378" s="261"/>
      <c r="S1378" s="261"/>
    </row>
    <row r="1379" spans="1:19">
      <c r="A1379" s="295"/>
      <c r="B1379" s="259" t="s">
        <v>89</v>
      </c>
      <c r="C1379" s="258"/>
      <c r="D1379" s="261"/>
      <c r="E1379" s="261"/>
      <c r="F1379" s="261"/>
      <c r="G1379" s="261"/>
      <c r="H1379" s="261"/>
      <c r="I1379" s="261"/>
      <c r="J1379" s="261"/>
      <c r="K1379" s="261"/>
      <c r="L1379" s="261"/>
      <c r="M1379" s="261"/>
      <c r="N1379" s="261"/>
      <c r="O1379" s="261"/>
      <c r="P1379" s="261"/>
      <c r="Q1379" s="261"/>
      <c r="R1379" s="261"/>
      <c r="S1379" s="261"/>
    </row>
    <row r="1380" spans="1:19">
      <c r="A1380" s="296"/>
      <c r="B1380" s="267" t="s">
        <v>90</v>
      </c>
      <c r="C1380" s="258"/>
      <c r="D1380" s="261"/>
      <c r="E1380" s="261"/>
      <c r="F1380" s="261"/>
      <c r="G1380" s="261"/>
      <c r="H1380" s="261"/>
      <c r="I1380" s="261"/>
      <c r="J1380" s="261"/>
      <c r="K1380" s="261"/>
      <c r="L1380" s="261"/>
      <c r="M1380" s="261"/>
      <c r="N1380" s="261"/>
      <c r="O1380" s="261"/>
      <c r="P1380" s="261"/>
      <c r="Q1380" s="261"/>
      <c r="R1380" s="261"/>
      <c r="S1380" s="261"/>
    </row>
    <row r="1381" spans="1:19">
      <c r="A1381" s="295">
        <v>46278</v>
      </c>
      <c r="B1381" s="259" t="s">
        <v>88</v>
      </c>
      <c r="C1381" s="258"/>
      <c r="D1381" s="261"/>
      <c r="E1381" s="261"/>
      <c r="F1381" s="261"/>
      <c r="G1381" s="261"/>
      <c r="H1381" s="261"/>
      <c r="I1381" s="261"/>
      <c r="J1381" s="261"/>
      <c r="K1381" s="261"/>
      <c r="L1381" s="261"/>
      <c r="M1381" s="261"/>
      <c r="N1381" s="261"/>
      <c r="O1381" s="261"/>
      <c r="P1381" s="261"/>
      <c r="Q1381" s="261"/>
      <c r="R1381" s="261"/>
      <c r="S1381" s="261"/>
    </row>
    <row r="1382" spans="1:19">
      <c r="A1382" s="295"/>
      <c r="B1382" s="259" t="s">
        <v>89</v>
      </c>
      <c r="C1382" s="258"/>
      <c r="D1382" s="261"/>
      <c r="E1382" s="261"/>
      <c r="F1382" s="261"/>
      <c r="G1382" s="261"/>
      <c r="H1382" s="261"/>
      <c r="I1382" s="261"/>
      <c r="J1382" s="261"/>
      <c r="K1382" s="261"/>
      <c r="L1382" s="261"/>
      <c r="M1382" s="261"/>
      <c r="N1382" s="261"/>
      <c r="O1382" s="261"/>
      <c r="P1382" s="261"/>
      <c r="Q1382" s="261"/>
      <c r="R1382" s="261"/>
      <c r="S1382" s="261"/>
    </row>
    <row r="1383" spans="1:19">
      <c r="A1383" s="296"/>
      <c r="B1383" s="267" t="s">
        <v>90</v>
      </c>
      <c r="C1383" s="258"/>
      <c r="D1383" s="261"/>
      <c r="E1383" s="261"/>
      <c r="F1383" s="261"/>
      <c r="G1383" s="261"/>
      <c r="H1383" s="261"/>
      <c r="I1383" s="261"/>
      <c r="J1383" s="261"/>
      <c r="K1383" s="261"/>
      <c r="L1383" s="261"/>
      <c r="M1383" s="261"/>
      <c r="N1383" s="261"/>
      <c r="O1383" s="261"/>
      <c r="P1383" s="261"/>
      <c r="Q1383" s="261"/>
      <c r="R1383" s="261"/>
      <c r="S1383" s="261"/>
    </row>
    <row r="1384" spans="1:19">
      <c r="A1384" s="295">
        <v>46279</v>
      </c>
      <c r="B1384" s="259" t="s">
        <v>88</v>
      </c>
      <c r="C1384" s="258"/>
      <c r="D1384" s="261"/>
      <c r="E1384" s="261"/>
      <c r="F1384" s="261"/>
      <c r="G1384" s="261"/>
      <c r="H1384" s="261"/>
      <c r="I1384" s="261"/>
      <c r="J1384" s="261"/>
      <c r="K1384" s="261"/>
      <c r="L1384" s="261"/>
      <c r="M1384" s="261"/>
      <c r="N1384" s="261"/>
      <c r="O1384" s="261"/>
      <c r="P1384" s="261"/>
      <c r="Q1384" s="261"/>
      <c r="R1384" s="261"/>
      <c r="S1384" s="261"/>
    </row>
    <row r="1385" spans="1:19">
      <c r="A1385" s="295"/>
      <c r="B1385" s="259" t="s">
        <v>89</v>
      </c>
      <c r="C1385" s="258"/>
      <c r="D1385" s="261"/>
      <c r="E1385" s="261"/>
      <c r="F1385" s="261"/>
      <c r="G1385" s="261"/>
      <c r="H1385" s="261"/>
      <c r="I1385" s="261"/>
      <c r="J1385" s="261"/>
      <c r="K1385" s="261"/>
      <c r="L1385" s="261"/>
      <c r="M1385" s="261"/>
      <c r="N1385" s="261"/>
      <c r="O1385" s="261"/>
      <c r="P1385" s="261"/>
      <c r="Q1385" s="261"/>
      <c r="R1385" s="261"/>
      <c r="S1385" s="261"/>
    </row>
    <row r="1386" spans="1:19">
      <c r="A1386" s="296"/>
      <c r="B1386" s="267" t="s">
        <v>90</v>
      </c>
      <c r="C1386" s="258"/>
      <c r="D1386" s="261"/>
      <c r="E1386" s="261"/>
      <c r="F1386" s="261"/>
      <c r="G1386" s="261"/>
      <c r="H1386" s="261"/>
      <c r="I1386" s="261"/>
      <c r="J1386" s="261"/>
      <c r="K1386" s="261"/>
      <c r="L1386" s="261"/>
      <c r="M1386" s="261"/>
      <c r="N1386" s="261"/>
      <c r="O1386" s="261"/>
      <c r="P1386" s="261"/>
      <c r="Q1386" s="261"/>
      <c r="R1386" s="261"/>
      <c r="S1386" s="261"/>
    </row>
    <row r="1387" spans="1:19">
      <c r="A1387" s="295">
        <v>46280</v>
      </c>
      <c r="B1387" s="259" t="s">
        <v>88</v>
      </c>
      <c r="C1387" s="258"/>
      <c r="D1387" s="261"/>
      <c r="E1387" s="261"/>
      <c r="F1387" s="261"/>
      <c r="G1387" s="261"/>
      <c r="H1387" s="261"/>
      <c r="I1387" s="261"/>
      <c r="J1387" s="261"/>
      <c r="K1387" s="261"/>
      <c r="L1387" s="261"/>
      <c r="M1387" s="261"/>
      <c r="N1387" s="261"/>
      <c r="O1387" s="261"/>
      <c r="P1387" s="261"/>
      <c r="Q1387" s="261"/>
      <c r="R1387" s="261"/>
      <c r="S1387" s="261"/>
    </row>
    <row r="1388" spans="1:19">
      <c r="A1388" s="295"/>
      <c r="B1388" s="259" t="s">
        <v>89</v>
      </c>
      <c r="C1388" s="258"/>
      <c r="D1388" s="261"/>
      <c r="E1388" s="261"/>
      <c r="F1388" s="261"/>
      <c r="G1388" s="261"/>
      <c r="H1388" s="261"/>
      <c r="I1388" s="261"/>
      <c r="J1388" s="261"/>
      <c r="K1388" s="261"/>
      <c r="L1388" s="261"/>
      <c r="M1388" s="261"/>
      <c r="N1388" s="261"/>
      <c r="O1388" s="261"/>
      <c r="P1388" s="261"/>
      <c r="Q1388" s="261"/>
      <c r="R1388" s="261"/>
      <c r="S1388" s="261"/>
    </row>
    <row r="1389" spans="1:19">
      <c r="A1389" s="296"/>
      <c r="B1389" s="267" t="s">
        <v>90</v>
      </c>
      <c r="C1389" s="258"/>
      <c r="D1389" s="261"/>
      <c r="E1389" s="261"/>
      <c r="F1389" s="261"/>
      <c r="G1389" s="261"/>
      <c r="H1389" s="261"/>
      <c r="I1389" s="261"/>
      <c r="J1389" s="261"/>
      <c r="K1389" s="261"/>
      <c r="L1389" s="261"/>
      <c r="M1389" s="261"/>
      <c r="N1389" s="261"/>
      <c r="O1389" s="261"/>
      <c r="P1389" s="261"/>
      <c r="Q1389" s="261"/>
      <c r="R1389" s="261"/>
      <c r="S1389" s="261"/>
    </row>
    <row r="1390" spans="1:19">
      <c r="A1390" s="295">
        <v>46281</v>
      </c>
      <c r="B1390" s="259" t="s">
        <v>88</v>
      </c>
      <c r="C1390" s="258"/>
      <c r="D1390" s="261"/>
      <c r="E1390" s="261"/>
      <c r="F1390" s="261"/>
      <c r="G1390" s="261"/>
      <c r="H1390" s="261"/>
      <c r="I1390" s="261"/>
      <c r="J1390" s="261"/>
      <c r="K1390" s="261"/>
      <c r="L1390" s="261"/>
      <c r="M1390" s="261"/>
      <c r="N1390" s="261"/>
      <c r="O1390" s="261"/>
      <c r="P1390" s="261"/>
      <c r="Q1390" s="261"/>
      <c r="R1390" s="261"/>
      <c r="S1390" s="261"/>
    </row>
    <row r="1391" spans="1:19">
      <c r="A1391" s="295"/>
      <c r="B1391" s="259" t="s">
        <v>89</v>
      </c>
      <c r="C1391" s="258"/>
      <c r="D1391" s="261"/>
      <c r="E1391" s="261"/>
      <c r="F1391" s="261"/>
      <c r="G1391" s="261"/>
      <c r="H1391" s="261"/>
      <c r="I1391" s="261"/>
      <c r="J1391" s="261"/>
      <c r="K1391" s="261"/>
      <c r="L1391" s="261"/>
      <c r="M1391" s="261"/>
      <c r="N1391" s="261"/>
      <c r="O1391" s="261"/>
      <c r="P1391" s="261"/>
      <c r="Q1391" s="261"/>
      <c r="R1391" s="261"/>
      <c r="S1391" s="261"/>
    </row>
    <row r="1392" spans="1:19">
      <c r="A1392" s="296"/>
      <c r="B1392" s="267" t="s">
        <v>90</v>
      </c>
      <c r="C1392" s="258"/>
      <c r="D1392" s="261"/>
      <c r="E1392" s="261"/>
      <c r="F1392" s="261"/>
      <c r="G1392" s="261"/>
      <c r="H1392" s="261"/>
      <c r="I1392" s="261"/>
      <c r="J1392" s="261"/>
      <c r="K1392" s="261"/>
      <c r="L1392" s="261"/>
      <c r="M1392" s="261"/>
      <c r="N1392" s="261"/>
      <c r="O1392" s="261"/>
      <c r="P1392" s="261"/>
      <c r="Q1392" s="261"/>
      <c r="R1392" s="261"/>
      <c r="S1392" s="261"/>
    </row>
    <row r="1393" spans="1:19">
      <c r="A1393" s="295">
        <v>46282</v>
      </c>
      <c r="B1393" s="259" t="s">
        <v>88</v>
      </c>
      <c r="C1393" s="258"/>
      <c r="D1393" s="261"/>
      <c r="E1393" s="261"/>
      <c r="F1393" s="261"/>
      <c r="G1393" s="261"/>
      <c r="H1393" s="261"/>
      <c r="I1393" s="261"/>
      <c r="J1393" s="261"/>
      <c r="K1393" s="261"/>
      <c r="L1393" s="261"/>
      <c r="M1393" s="261"/>
      <c r="N1393" s="261"/>
      <c r="O1393" s="261"/>
      <c r="P1393" s="261"/>
      <c r="Q1393" s="261"/>
      <c r="R1393" s="261"/>
      <c r="S1393" s="261"/>
    </row>
    <row r="1394" spans="1:19">
      <c r="A1394" s="295"/>
      <c r="B1394" s="259" t="s">
        <v>89</v>
      </c>
      <c r="C1394" s="258"/>
      <c r="D1394" s="261"/>
      <c r="E1394" s="261"/>
      <c r="F1394" s="261"/>
      <c r="G1394" s="261"/>
      <c r="H1394" s="261"/>
      <c r="I1394" s="261"/>
      <c r="J1394" s="261"/>
      <c r="K1394" s="261"/>
      <c r="L1394" s="261"/>
      <c r="M1394" s="261"/>
      <c r="N1394" s="261"/>
      <c r="O1394" s="261"/>
      <c r="P1394" s="261"/>
      <c r="Q1394" s="261"/>
      <c r="R1394" s="261"/>
      <c r="S1394" s="261"/>
    </row>
    <row r="1395" spans="1:19">
      <c r="A1395" s="296"/>
      <c r="B1395" s="267" t="s">
        <v>90</v>
      </c>
      <c r="C1395" s="258"/>
      <c r="D1395" s="261"/>
      <c r="E1395" s="261"/>
      <c r="F1395" s="261"/>
      <c r="G1395" s="261"/>
      <c r="H1395" s="261"/>
      <c r="I1395" s="261"/>
      <c r="J1395" s="261"/>
      <c r="K1395" s="261"/>
      <c r="L1395" s="261"/>
      <c r="M1395" s="261"/>
      <c r="N1395" s="261"/>
      <c r="O1395" s="261"/>
      <c r="P1395" s="261"/>
      <c r="Q1395" s="261"/>
      <c r="R1395" s="261"/>
      <c r="S1395" s="261"/>
    </row>
    <row r="1396" spans="1:19">
      <c r="A1396" s="295">
        <v>46283</v>
      </c>
      <c r="B1396" s="259" t="s">
        <v>88</v>
      </c>
      <c r="C1396" s="258"/>
      <c r="D1396" s="261"/>
      <c r="E1396" s="261"/>
      <c r="F1396" s="261"/>
      <c r="G1396" s="261"/>
      <c r="H1396" s="261"/>
      <c r="I1396" s="261"/>
      <c r="J1396" s="261"/>
      <c r="K1396" s="261"/>
      <c r="L1396" s="261"/>
      <c r="M1396" s="261"/>
      <c r="N1396" s="261"/>
      <c r="O1396" s="261"/>
      <c r="P1396" s="261"/>
      <c r="Q1396" s="261"/>
      <c r="R1396" s="261"/>
      <c r="S1396" s="261"/>
    </row>
    <row r="1397" spans="1:19">
      <c r="A1397" s="295"/>
      <c r="B1397" s="259" t="s">
        <v>89</v>
      </c>
      <c r="C1397" s="258"/>
      <c r="D1397" s="261"/>
      <c r="E1397" s="261"/>
      <c r="F1397" s="261"/>
      <c r="G1397" s="261"/>
      <c r="H1397" s="261"/>
      <c r="I1397" s="261"/>
      <c r="J1397" s="261"/>
      <c r="K1397" s="261"/>
      <c r="L1397" s="261"/>
      <c r="M1397" s="261"/>
      <c r="N1397" s="261"/>
      <c r="O1397" s="261"/>
      <c r="P1397" s="261"/>
      <c r="Q1397" s="261"/>
      <c r="R1397" s="261"/>
      <c r="S1397" s="261"/>
    </row>
    <row r="1398" spans="1:19">
      <c r="A1398" s="296"/>
      <c r="B1398" s="267" t="s">
        <v>90</v>
      </c>
      <c r="C1398" s="258"/>
      <c r="D1398" s="261"/>
      <c r="E1398" s="261"/>
      <c r="F1398" s="261"/>
      <c r="G1398" s="261"/>
      <c r="H1398" s="261"/>
      <c r="I1398" s="261"/>
      <c r="J1398" s="261"/>
      <c r="K1398" s="261"/>
      <c r="L1398" s="261"/>
      <c r="M1398" s="261"/>
      <c r="N1398" s="261"/>
      <c r="O1398" s="261"/>
      <c r="P1398" s="261"/>
      <c r="Q1398" s="261"/>
      <c r="R1398" s="261"/>
      <c r="S1398" s="261"/>
    </row>
    <row r="1399" spans="1:19">
      <c r="A1399" s="295">
        <v>46284</v>
      </c>
      <c r="B1399" s="259" t="s">
        <v>88</v>
      </c>
      <c r="C1399" s="258"/>
      <c r="D1399" s="261"/>
      <c r="E1399" s="261"/>
      <c r="F1399" s="261"/>
      <c r="G1399" s="261"/>
      <c r="H1399" s="261"/>
      <c r="I1399" s="261"/>
      <c r="J1399" s="261"/>
      <c r="K1399" s="261"/>
      <c r="L1399" s="261"/>
      <c r="M1399" s="261"/>
      <c r="N1399" s="261"/>
      <c r="O1399" s="261"/>
      <c r="P1399" s="261"/>
      <c r="Q1399" s="261"/>
      <c r="R1399" s="261"/>
      <c r="S1399" s="261"/>
    </row>
    <row r="1400" spans="1:19">
      <c r="A1400" s="295"/>
      <c r="B1400" s="259" t="s">
        <v>89</v>
      </c>
      <c r="C1400" s="258"/>
      <c r="D1400" s="261"/>
      <c r="E1400" s="261"/>
      <c r="F1400" s="261"/>
      <c r="G1400" s="261"/>
      <c r="H1400" s="261"/>
      <c r="I1400" s="261"/>
      <c r="J1400" s="261"/>
      <c r="K1400" s="261"/>
      <c r="L1400" s="261"/>
      <c r="M1400" s="261"/>
      <c r="N1400" s="261"/>
      <c r="O1400" s="261"/>
      <c r="P1400" s="261"/>
      <c r="Q1400" s="261"/>
      <c r="R1400" s="261"/>
      <c r="S1400" s="261"/>
    </row>
    <row r="1401" spans="1:19">
      <c r="A1401" s="296"/>
      <c r="B1401" s="267" t="s">
        <v>90</v>
      </c>
      <c r="C1401" s="258"/>
      <c r="D1401" s="261"/>
      <c r="E1401" s="261"/>
      <c r="F1401" s="261"/>
      <c r="G1401" s="261"/>
      <c r="H1401" s="261"/>
      <c r="I1401" s="261"/>
      <c r="J1401" s="261"/>
      <c r="K1401" s="261"/>
      <c r="L1401" s="261"/>
      <c r="M1401" s="261"/>
      <c r="N1401" s="261"/>
      <c r="O1401" s="261"/>
      <c r="P1401" s="261"/>
      <c r="Q1401" s="261"/>
      <c r="R1401" s="261"/>
      <c r="S1401" s="261"/>
    </row>
    <row r="1402" spans="1:19">
      <c r="A1402" s="295">
        <v>46285</v>
      </c>
      <c r="B1402" s="259" t="s">
        <v>88</v>
      </c>
      <c r="C1402" s="258"/>
      <c r="D1402" s="261"/>
      <c r="E1402" s="261"/>
      <c r="F1402" s="261"/>
      <c r="G1402" s="261"/>
      <c r="H1402" s="261"/>
      <c r="I1402" s="261"/>
      <c r="J1402" s="261"/>
      <c r="K1402" s="261"/>
      <c r="L1402" s="261"/>
      <c r="M1402" s="261"/>
      <c r="N1402" s="261"/>
      <c r="O1402" s="261"/>
      <c r="P1402" s="261"/>
      <c r="Q1402" s="261"/>
      <c r="R1402" s="261"/>
      <c r="S1402" s="261"/>
    </row>
    <row r="1403" spans="1:19">
      <c r="A1403" s="295"/>
      <c r="B1403" s="259" t="s">
        <v>89</v>
      </c>
      <c r="C1403" s="258"/>
      <c r="D1403" s="261"/>
      <c r="E1403" s="261"/>
      <c r="F1403" s="261"/>
      <c r="G1403" s="261"/>
      <c r="H1403" s="261"/>
      <c r="I1403" s="261"/>
      <c r="J1403" s="261"/>
      <c r="K1403" s="261"/>
      <c r="L1403" s="261"/>
      <c r="M1403" s="261"/>
      <c r="N1403" s="261"/>
      <c r="O1403" s="261"/>
      <c r="P1403" s="261"/>
      <c r="Q1403" s="261"/>
      <c r="R1403" s="261"/>
      <c r="S1403" s="261"/>
    </row>
    <row r="1404" spans="1:19">
      <c r="A1404" s="296"/>
      <c r="B1404" s="267" t="s">
        <v>90</v>
      </c>
      <c r="C1404" s="258"/>
      <c r="D1404" s="261"/>
      <c r="E1404" s="261"/>
      <c r="F1404" s="261"/>
      <c r="G1404" s="261"/>
      <c r="H1404" s="261"/>
      <c r="I1404" s="261"/>
      <c r="J1404" s="261"/>
      <c r="K1404" s="261"/>
      <c r="L1404" s="261"/>
      <c r="M1404" s="261"/>
      <c r="N1404" s="261"/>
      <c r="O1404" s="261"/>
      <c r="P1404" s="261"/>
      <c r="Q1404" s="261"/>
      <c r="R1404" s="261"/>
      <c r="S1404" s="261"/>
    </row>
    <row r="1405" spans="1:19">
      <c r="A1405" s="295">
        <v>46286</v>
      </c>
      <c r="B1405" s="259" t="s">
        <v>88</v>
      </c>
      <c r="C1405" s="258"/>
      <c r="D1405" s="261"/>
      <c r="E1405" s="261"/>
      <c r="F1405" s="261"/>
      <c r="G1405" s="261"/>
      <c r="H1405" s="261"/>
      <c r="I1405" s="261"/>
      <c r="J1405" s="261"/>
      <c r="K1405" s="261"/>
      <c r="L1405" s="261"/>
      <c r="M1405" s="261"/>
      <c r="N1405" s="261"/>
      <c r="O1405" s="261"/>
      <c r="P1405" s="261"/>
      <c r="Q1405" s="261"/>
      <c r="R1405" s="261"/>
      <c r="S1405" s="261"/>
    </row>
    <row r="1406" spans="1:19">
      <c r="A1406" s="295"/>
      <c r="B1406" s="259" t="s">
        <v>89</v>
      </c>
      <c r="C1406" s="258"/>
      <c r="D1406" s="261"/>
      <c r="E1406" s="261"/>
      <c r="F1406" s="261"/>
      <c r="G1406" s="261"/>
      <c r="H1406" s="261"/>
      <c r="I1406" s="261"/>
      <c r="J1406" s="261"/>
      <c r="K1406" s="261"/>
      <c r="L1406" s="261"/>
      <c r="M1406" s="261"/>
      <c r="N1406" s="261"/>
      <c r="O1406" s="261"/>
      <c r="P1406" s="261"/>
      <c r="Q1406" s="261"/>
      <c r="R1406" s="261"/>
      <c r="S1406" s="261"/>
    </row>
    <row r="1407" spans="1:19">
      <c r="A1407" s="296"/>
      <c r="B1407" s="267" t="s">
        <v>90</v>
      </c>
      <c r="C1407" s="258"/>
      <c r="D1407" s="261"/>
      <c r="E1407" s="261"/>
      <c r="F1407" s="261"/>
      <c r="G1407" s="261"/>
      <c r="H1407" s="261"/>
      <c r="I1407" s="261"/>
      <c r="J1407" s="261"/>
      <c r="K1407" s="261"/>
      <c r="L1407" s="261"/>
      <c r="M1407" s="261"/>
      <c r="N1407" s="261"/>
      <c r="O1407" s="261"/>
      <c r="P1407" s="261"/>
      <c r="Q1407" s="261"/>
      <c r="R1407" s="261"/>
      <c r="S1407" s="261"/>
    </row>
    <row r="1408" spans="1:19">
      <c r="A1408" s="295">
        <v>46287</v>
      </c>
      <c r="B1408" s="259" t="s">
        <v>88</v>
      </c>
      <c r="C1408" s="258"/>
      <c r="D1408" s="261"/>
      <c r="E1408" s="261"/>
      <c r="F1408" s="261"/>
      <c r="G1408" s="261"/>
      <c r="H1408" s="261"/>
      <c r="I1408" s="261"/>
      <c r="J1408" s="261"/>
      <c r="K1408" s="261"/>
      <c r="L1408" s="261"/>
      <c r="M1408" s="261"/>
      <c r="N1408" s="261"/>
      <c r="O1408" s="261"/>
      <c r="P1408" s="261"/>
      <c r="Q1408" s="261"/>
      <c r="R1408" s="261"/>
      <c r="S1408" s="261"/>
    </row>
    <row r="1409" spans="1:19">
      <c r="A1409" s="295"/>
      <c r="B1409" s="259" t="s">
        <v>89</v>
      </c>
      <c r="C1409" s="258"/>
      <c r="D1409" s="261"/>
      <c r="E1409" s="261"/>
      <c r="F1409" s="261"/>
      <c r="G1409" s="261"/>
      <c r="H1409" s="261"/>
      <c r="I1409" s="261"/>
      <c r="J1409" s="261"/>
      <c r="K1409" s="261"/>
      <c r="L1409" s="261"/>
      <c r="M1409" s="261"/>
      <c r="N1409" s="261"/>
      <c r="O1409" s="261"/>
      <c r="P1409" s="261"/>
      <c r="Q1409" s="261"/>
      <c r="R1409" s="261"/>
      <c r="S1409" s="261"/>
    </row>
    <row r="1410" spans="1:19">
      <c r="A1410" s="296"/>
      <c r="B1410" s="267" t="s">
        <v>90</v>
      </c>
      <c r="C1410" s="258"/>
      <c r="D1410" s="261"/>
      <c r="E1410" s="261"/>
      <c r="F1410" s="261"/>
      <c r="G1410" s="261"/>
      <c r="H1410" s="261"/>
      <c r="I1410" s="261"/>
      <c r="J1410" s="261"/>
      <c r="K1410" s="261"/>
      <c r="L1410" s="261"/>
      <c r="M1410" s="261"/>
      <c r="N1410" s="261"/>
      <c r="O1410" s="261"/>
      <c r="P1410" s="261"/>
      <c r="Q1410" s="261"/>
      <c r="R1410" s="261"/>
      <c r="S1410" s="261"/>
    </row>
    <row r="1411" spans="1:19">
      <c r="A1411" s="295">
        <v>46288</v>
      </c>
      <c r="B1411" s="259" t="s">
        <v>88</v>
      </c>
      <c r="C1411" s="258"/>
      <c r="D1411" s="261"/>
      <c r="E1411" s="261"/>
      <c r="F1411" s="261"/>
      <c r="G1411" s="261"/>
      <c r="H1411" s="261"/>
      <c r="I1411" s="261"/>
      <c r="J1411" s="261"/>
      <c r="K1411" s="261"/>
      <c r="L1411" s="261"/>
      <c r="M1411" s="261"/>
      <c r="N1411" s="261"/>
      <c r="O1411" s="261"/>
      <c r="P1411" s="261"/>
      <c r="Q1411" s="261"/>
      <c r="R1411" s="261"/>
      <c r="S1411" s="261"/>
    </row>
    <row r="1412" spans="1:19">
      <c r="A1412" s="295"/>
      <c r="B1412" s="259" t="s">
        <v>89</v>
      </c>
      <c r="C1412" s="258"/>
      <c r="D1412" s="261"/>
      <c r="E1412" s="261"/>
      <c r="F1412" s="261"/>
      <c r="G1412" s="261"/>
      <c r="H1412" s="261"/>
      <c r="I1412" s="261"/>
      <c r="J1412" s="261"/>
      <c r="K1412" s="261"/>
      <c r="L1412" s="261"/>
      <c r="M1412" s="261"/>
      <c r="N1412" s="261"/>
      <c r="O1412" s="261"/>
      <c r="P1412" s="261"/>
      <c r="Q1412" s="261"/>
      <c r="R1412" s="261"/>
      <c r="S1412" s="261"/>
    </row>
    <row r="1413" spans="1:19">
      <c r="A1413" s="296"/>
      <c r="B1413" s="267" t="s">
        <v>90</v>
      </c>
      <c r="C1413" s="258"/>
      <c r="D1413" s="261"/>
      <c r="E1413" s="261"/>
      <c r="F1413" s="261"/>
      <c r="G1413" s="261"/>
      <c r="H1413" s="261"/>
      <c r="I1413" s="261"/>
      <c r="J1413" s="261"/>
      <c r="K1413" s="261"/>
      <c r="L1413" s="261"/>
      <c r="M1413" s="261"/>
      <c r="N1413" s="261"/>
      <c r="O1413" s="261"/>
      <c r="P1413" s="261"/>
      <c r="Q1413" s="261"/>
      <c r="R1413" s="261"/>
      <c r="S1413" s="261"/>
    </row>
    <row r="1414" spans="1:19">
      <c r="A1414" s="295">
        <v>46289</v>
      </c>
      <c r="B1414" s="259" t="s">
        <v>88</v>
      </c>
      <c r="C1414" s="258"/>
      <c r="D1414" s="261"/>
      <c r="E1414" s="261"/>
      <c r="F1414" s="261"/>
      <c r="G1414" s="261"/>
      <c r="H1414" s="261"/>
      <c r="I1414" s="261"/>
      <c r="J1414" s="261"/>
      <c r="K1414" s="261"/>
      <c r="L1414" s="261"/>
      <c r="M1414" s="261"/>
      <c r="N1414" s="261"/>
      <c r="O1414" s="261"/>
      <c r="P1414" s="261"/>
      <c r="Q1414" s="261"/>
      <c r="R1414" s="261"/>
      <c r="S1414" s="261"/>
    </row>
    <row r="1415" spans="1:19">
      <c r="A1415" s="295"/>
      <c r="B1415" s="259" t="s">
        <v>89</v>
      </c>
      <c r="C1415" s="258"/>
      <c r="D1415" s="261"/>
      <c r="E1415" s="261"/>
      <c r="F1415" s="261"/>
      <c r="G1415" s="261"/>
      <c r="H1415" s="261"/>
      <c r="I1415" s="261"/>
      <c r="J1415" s="261"/>
      <c r="K1415" s="261"/>
      <c r="L1415" s="261"/>
      <c r="M1415" s="261"/>
      <c r="N1415" s="261"/>
      <c r="O1415" s="261"/>
      <c r="P1415" s="261"/>
      <c r="Q1415" s="261"/>
      <c r="R1415" s="261"/>
      <c r="S1415" s="261"/>
    </row>
    <row r="1416" spans="1:19">
      <c r="A1416" s="296"/>
      <c r="B1416" s="267" t="s">
        <v>90</v>
      </c>
      <c r="C1416" s="258"/>
      <c r="D1416" s="261"/>
      <c r="E1416" s="261"/>
      <c r="F1416" s="261"/>
      <c r="G1416" s="261"/>
      <c r="H1416" s="261"/>
      <c r="I1416" s="261"/>
      <c r="J1416" s="261"/>
      <c r="K1416" s="261"/>
      <c r="L1416" s="261"/>
      <c r="M1416" s="261"/>
      <c r="N1416" s="261"/>
      <c r="O1416" s="261"/>
      <c r="P1416" s="261"/>
      <c r="Q1416" s="261"/>
      <c r="R1416" s="261"/>
      <c r="S1416" s="261"/>
    </row>
    <row r="1417" spans="1:19">
      <c r="A1417" s="295">
        <v>46290</v>
      </c>
      <c r="B1417" s="259" t="s">
        <v>88</v>
      </c>
      <c r="C1417" s="258"/>
      <c r="D1417" s="261"/>
      <c r="E1417" s="261"/>
      <c r="F1417" s="261"/>
      <c r="G1417" s="261"/>
      <c r="H1417" s="261"/>
      <c r="I1417" s="261"/>
      <c r="J1417" s="261"/>
      <c r="K1417" s="261"/>
      <c r="L1417" s="261"/>
      <c r="M1417" s="261"/>
      <c r="N1417" s="261"/>
      <c r="O1417" s="261"/>
      <c r="P1417" s="261"/>
      <c r="Q1417" s="261"/>
      <c r="R1417" s="261"/>
      <c r="S1417" s="261"/>
    </row>
    <row r="1418" spans="1:19">
      <c r="A1418" s="295"/>
      <c r="B1418" s="259" t="s">
        <v>89</v>
      </c>
      <c r="C1418" s="258"/>
      <c r="D1418" s="261"/>
      <c r="E1418" s="261"/>
      <c r="F1418" s="261"/>
      <c r="G1418" s="261"/>
      <c r="H1418" s="261"/>
      <c r="I1418" s="261"/>
      <c r="J1418" s="261"/>
      <c r="K1418" s="261"/>
      <c r="L1418" s="261"/>
      <c r="M1418" s="261"/>
      <c r="N1418" s="261"/>
      <c r="O1418" s="261"/>
      <c r="P1418" s="261"/>
      <c r="Q1418" s="261"/>
      <c r="R1418" s="261"/>
      <c r="S1418" s="261"/>
    </row>
    <row r="1419" spans="1:19">
      <c r="A1419" s="296"/>
      <c r="B1419" s="267" t="s">
        <v>90</v>
      </c>
      <c r="C1419" s="258"/>
      <c r="D1419" s="261"/>
      <c r="E1419" s="261"/>
      <c r="F1419" s="261"/>
      <c r="G1419" s="261"/>
      <c r="H1419" s="261"/>
      <c r="I1419" s="261"/>
      <c r="J1419" s="261"/>
      <c r="K1419" s="261"/>
      <c r="L1419" s="261"/>
      <c r="M1419" s="261"/>
      <c r="N1419" s="261"/>
      <c r="O1419" s="261"/>
      <c r="P1419" s="261"/>
      <c r="Q1419" s="261"/>
      <c r="R1419" s="261"/>
      <c r="S1419" s="261"/>
    </row>
    <row r="1420" spans="1:19">
      <c r="A1420" s="295">
        <v>46291</v>
      </c>
      <c r="B1420" s="259" t="s">
        <v>88</v>
      </c>
      <c r="C1420" s="258"/>
      <c r="D1420" s="261"/>
      <c r="E1420" s="261"/>
      <c r="F1420" s="261"/>
      <c r="G1420" s="261"/>
      <c r="H1420" s="261"/>
      <c r="I1420" s="261"/>
      <c r="J1420" s="261"/>
      <c r="K1420" s="261"/>
      <c r="L1420" s="261"/>
      <c r="M1420" s="261"/>
      <c r="N1420" s="261"/>
      <c r="O1420" s="261"/>
      <c r="P1420" s="261"/>
      <c r="Q1420" s="261"/>
      <c r="R1420" s="261"/>
      <c r="S1420" s="261"/>
    </row>
    <row r="1421" spans="1:19">
      <c r="A1421" s="295"/>
      <c r="B1421" s="259" t="s">
        <v>89</v>
      </c>
      <c r="C1421" s="258"/>
      <c r="D1421" s="261"/>
      <c r="E1421" s="261"/>
      <c r="F1421" s="261"/>
      <c r="G1421" s="261"/>
      <c r="H1421" s="261"/>
      <c r="I1421" s="261"/>
      <c r="J1421" s="261"/>
      <c r="K1421" s="261"/>
      <c r="L1421" s="261"/>
      <c r="M1421" s="261"/>
      <c r="N1421" s="261"/>
      <c r="O1421" s="261"/>
      <c r="P1421" s="261"/>
      <c r="Q1421" s="261"/>
      <c r="R1421" s="261"/>
      <c r="S1421" s="261"/>
    </row>
    <row r="1422" spans="1:19">
      <c r="A1422" s="296"/>
      <c r="B1422" s="267" t="s">
        <v>90</v>
      </c>
      <c r="C1422" s="258"/>
      <c r="D1422" s="261"/>
      <c r="E1422" s="261"/>
      <c r="F1422" s="261"/>
      <c r="G1422" s="261"/>
      <c r="H1422" s="261"/>
      <c r="I1422" s="261"/>
      <c r="J1422" s="261"/>
      <c r="K1422" s="261"/>
      <c r="L1422" s="261"/>
      <c r="M1422" s="261"/>
      <c r="N1422" s="261"/>
      <c r="O1422" s="261"/>
      <c r="P1422" s="261"/>
      <c r="Q1422" s="261"/>
      <c r="R1422" s="261"/>
      <c r="S1422" s="261"/>
    </row>
    <row r="1423" spans="1:19">
      <c r="A1423" s="295">
        <v>46292</v>
      </c>
      <c r="B1423" s="259" t="s">
        <v>88</v>
      </c>
      <c r="C1423" s="258"/>
      <c r="D1423" s="261"/>
      <c r="E1423" s="261"/>
      <c r="F1423" s="261"/>
      <c r="G1423" s="261"/>
      <c r="H1423" s="261"/>
      <c r="I1423" s="261"/>
      <c r="J1423" s="261"/>
      <c r="K1423" s="261"/>
      <c r="L1423" s="261"/>
      <c r="M1423" s="261"/>
      <c r="N1423" s="261"/>
      <c r="O1423" s="261"/>
      <c r="P1423" s="261"/>
      <c r="Q1423" s="261"/>
      <c r="R1423" s="261"/>
      <c r="S1423" s="261"/>
    </row>
    <row r="1424" spans="1:19">
      <c r="A1424" s="295"/>
      <c r="B1424" s="259" t="s">
        <v>89</v>
      </c>
      <c r="C1424" s="258"/>
      <c r="D1424" s="261"/>
      <c r="E1424" s="261"/>
      <c r="F1424" s="261"/>
      <c r="G1424" s="261"/>
      <c r="H1424" s="261"/>
      <c r="I1424" s="261"/>
      <c r="J1424" s="261"/>
      <c r="K1424" s="261"/>
      <c r="L1424" s="261"/>
      <c r="M1424" s="261"/>
      <c r="N1424" s="261"/>
      <c r="O1424" s="261"/>
      <c r="P1424" s="261"/>
      <c r="Q1424" s="261"/>
      <c r="R1424" s="261"/>
      <c r="S1424" s="261"/>
    </row>
    <row r="1425" spans="1:19">
      <c r="A1425" s="296"/>
      <c r="B1425" s="267" t="s">
        <v>90</v>
      </c>
      <c r="C1425" s="258"/>
      <c r="D1425" s="261"/>
      <c r="E1425" s="261"/>
      <c r="F1425" s="261"/>
      <c r="G1425" s="261"/>
      <c r="H1425" s="261"/>
      <c r="I1425" s="261"/>
      <c r="J1425" s="261"/>
      <c r="K1425" s="261"/>
      <c r="L1425" s="261"/>
      <c r="M1425" s="261"/>
      <c r="N1425" s="261"/>
      <c r="O1425" s="261"/>
      <c r="P1425" s="261"/>
      <c r="Q1425" s="261"/>
      <c r="R1425" s="261"/>
      <c r="S1425" s="261"/>
    </row>
    <row r="1426" spans="1:19">
      <c r="A1426" s="295">
        <v>46293</v>
      </c>
      <c r="B1426" s="259" t="s">
        <v>88</v>
      </c>
      <c r="C1426" s="258"/>
      <c r="D1426" s="261"/>
      <c r="E1426" s="261"/>
      <c r="F1426" s="261"/>
      <c r="G1426" s="261"/>
      <c r="H1426" s="261"/>
      <c r="I1426" s="261"/>
      <c r="J1426" s="261"/>
      <c r="K1426" s="261"/>
      <c r="L1426" s="261"/>
      <c r="M1426" s="261"/>
      <c r="N1426" s="261"/>
      <c r="O1426" s="261"/>
      <c r="P1426" s="261"/>
      <c r="Q1426" s="261"/>
      <c r="R1426" s="261"/>
      <c r="S1426" s="261"/>
    </row>
    <row r="1427" spans="1:19">
      <c r="A1427" s="295"/>
      <c r="B1427" s="259" t="s">
        <v>89</v>
      </c>
      <c r="C1427" s="258"/>
      <c r="D1427" s="261"/>
      <c r="E1427" s="261"/>
      <c r="F1427" s="261"/>
      <c r="G1427" s="261"/>
      <c r="H1427" s="261"/>
      <c r="I1427" s="261"/>
      <c r="J1427" s="261"/>
      <c r="K1427" s="261"/>
      <c r="L1427" s="261"/>
      <c r="M1427" s="261"/>
      <c r="N1427" s="261"/>
      <c r="O1427" s="261"/>
      <c r="P1427" s="261"/>
      <c r="Q1427" s="261"/>
      <c r="R1427" s="261"/>
      <c r="S1427" s="261"/>
    </row>
    <row r="1428" spans="1:19">
      <c r="A1428" s="296"/>
      <c r="B1428" s="267" t="s">
        <v>90</v>
      </c>
      <c r="C1428" s="258"/>
      <c r="D1428" s="261"/>
      <c r="E1428" s="261"/>
      <c r="F1428" s="261"/>
      <c r="G1428" s="261"/>
      <c r="H1428" s="261"/>
      <c r="I1428" s="261"/>
      <c r="J1428" s="261"/>
      <c r="K1428" s="261"/>
      <c r="L1428" s="261"/>
      <c r="M1428" s="261"/>
      <c r="N1428" s="261"/>
      <c r="O1428" s="261"/>
      <c r="P1428" s="261"/>
      <c r="Q1428" s="261"/>
      <c r="R1428" s="261"/>
      <c r="S1428" s="261"/>
    </row>
    <row r="1429" spans="1:19">
      <c r="A1429" s="295">
        <v>46294</v>
      </c>
      <c r="B1429" s="259" t="s">
        <v>88</v>
      </c>
      <c r="C1429" s="258"/>
      <c r="D1429" s="261"/>
      <c r="E1429" s="261"/>
      <c r="F1429" s="261"/>
      <c r="G1429" s="261"/>
      <c r="H1429" s="261"/>
      <c r="I1429" s="261"/>
      <c r="J1429" s="261"/>
      <c r="K1429" s="261"/>
      <c r="L1429" s="261"/>
      <c r="M1429" s="261"/>
      <c r="N1429" s="261"/>
      <c r="O1429" s="261"/>
      <c r="P1429" s="261"/>
      <c r="Q1429" s="261"/>
      <c r="R1429" s="261"/>
      <c r="S1429" s="261"/>
    </row>
    <row r="1430" spans="1:19">
      <c r="A1430" s="295"/>
      <c r="B1430" s="259" t="s">
        <v>89</v>
      </c>
      <c r="C1430" s="258"/>
      <c r="D1430" s="261"/>
      <c r="E1430" s="261"/>
      <c r="F1430" s="261"/>
      <c r="G1430" s="261"/>
      <c r="H1430" s="261"/>
      <c r="I1430" s="261"/>
      <c r="J1430" s="261"/>
      <c r="K1430" s="261"/>
      <c r="L1430" s="261"/>
      <c r="M1430" s="261"/>
      <c r="N1430" s="261"/>
      <c r="O1430" s="261"/>
      <c r="P1430" s="261"/>
      <c r="Q1430" s="261"/>
      <c r="R1430" s="261"/>
      <c r="S1430" s="261"/>
    </row>
    <row r="1431" spans="1:19">
      <c r="A1431" s="296"/>
      <c r="B1431" s="267" t="s">
        <v>90</v>
      </c>
      <c r="C1431" s="258"/>
      <c r="D1431" s="261"/>
      <c r="E1431" s="261"/>
      <c r="F1431" s="261"/>
      <c r="G1431" s="261"/>
      <c r="H1431" s="261"/>
      <c r="I1431" s="261"/>
      <c r="J1431" s="261"/>
      <c r="K1431" s="261"/>
      <c r="L1431" s="261"/>
      <c r="M1431" s="261"/>
      <c r="N1431" s="261"/>
      <c r="O1431" s="261"/>
      <c r="P1431" s="261"/>
      <c r="Q1431" s="261"/>
      <c r="R1431" s="261"/>
      <c r="S1431" s="261"/>
    </row>
    <row r="1432" spans="1:19">
      <c r="A1432" s="295">
        <v>46295</v>
      </c>
      <c r="B1432" s="259" t="s">
        <v>88</v>
      </c>
      <c r="C1432" s="258"/>
      <c r="D1432" s="261"/>
      <c r="E1432" s="261"/>
      <c r="F1432" s="261"/>
      <c r="G1432" s="261"/>
      <c r="H1432" s="261"/>
      <c r="I1432" s="261"/>
      <c r="J1432" s="261"/>
      <c r="K1432" s="261"/>
      <c r="L1432" s="261"/>
      <c r="M1432" s="261"/>
      <c r="N1432" s="261"/>
      <c r="O1432" s="261"/>
      <c r="P1432" s="261"/>
      <c r="Q1432" s="261"/>
      <c r="R1432" s="261"/>
      <c r="S1432" s="261"/>
    </row>
    <row r="1433" spans="1:19">
      <c r="A1433" s="295"/>
      <c r="B1433" s="259" t="s">
        <v>89</v>
      </c>
      <c r="C1433" s="258"/>
      <c r="D1433" s="261"/>
      <c r="E1433" s="261"/>
      <c r="F1433" s="261"/>
      <c r="G1433" s="261"/>
      <c r="H1433" s="261"/>
      <c r="I1433" s="261"/>
      <c r="J1433" s="261"/>
      <c r="K1433" s="261"/>
      <c r="L1433" s="261"/>
      <c r="M1433" s="261"/>
      <c r="N1433" s="261"/>
      <c r="O1433" s="261"/>
      <c r="P1433" s="261"/>
      <c r="Q1433" s="261"/>
      <c r="R1433" s="261"/>
      <c r="S1433" s="261"/>
    </row>
    <row r="1434" spans="1:19">
      <c r="A1434" s="296"/>
      <c r="B1434" s="267" t="s">
        <v>90</v>
      </c>
      <c r="C1434" s="258"/>
      <c r="D1434" s="261"/>
      <c r="E1434" s="261"/>
      <c r="F1434" s="261"/>
      <c r="G1434" s="261"/>
      <c r="H1434" s="261"/>
      <c r="I1434" s="261"/>
      <c r="J1434" s="261"/>
      <c r="K1434" s="261"/>
      <c r="L1434" s="261"/>
      <c r="M1434" s="261"/>
      <c r="N1434" s="261"/>
      <c r="O1434" s="261"/>
      <c r="P1434" s="261"/>
      <c r="Q1434" s="261"/>
      <c r="R1434" s="261"/>
      <c r="S1434" s="261"/>
    </row>
    <row r="1435" spans="1:19">
      <c r="A1435" s="295">
        <v>46296</v>
      </c>
      <c r="B1435" s="259" t="s">
        <v>88</v>
      </c>
      <c r="C1435" s="258"/>
      <c r="D1435" s="261"/>
      <c r="E1435" s="261"/>
      <c r="F1435" s="261"/>
      <c r="G1435" s="261"/>
      <c r="H1435" s="261"/>
      <c r="I1435" s="261"/>
      <c r="J1435" s="261"/>
      <c r="K1435" s="261"/>
      <c r="L1435" s="261"/>
      <c r="M1435" s="261"/>
      <c r="N1435" s="261"/>
      <c r="O1435" s="261"/>
      <c r="P1435" s="261"/>
      <c r="Q1435" s="261"/>
      <c r="R1435" s="261"/>
      <c r="S1435" s="261"/>
    </row>
    <row r="1436" spans="1:19">
      <c r="A1436" s="295"/>
      <c r="B1436" s="259" t="s">
        <v>89</v>
      </c>
      <c r="C1436" s="258"/>
      <c r="D1436" s="261"/>
      <c r="E1436" s="261"/>
      <c r="F1436" s="261"/>
      <c r="G1436" s="261"/>
      <c r="H1436" s="261"/>
      <c r="I1436" s="261"/>
      <c r="J1436" s="261"/>
      <c r="K1436" s="261"/>
      <c r="L1436" s="261"/>
      <c r="M1436" s="261"/>
      <c r="N1436" s="261"/>
      <c r="O1436" s="261"/>
      <c r="P1436" s="261"/>
      <c r="Q1436" s="261"/>
      <c r="R1436" s="261"/>
      <c r="S1436" s="261"/>
    </row>
    <row r="1437" spans="1:19">
      <c r="A1437" s="296"/>
      <c r="B1437" s="267" t="s">
        <v>90</v>
      </c>
      <c r="C1437" s="258"/>
      <c r="D1437" s="261"/>
      <c r="E1437" s="261"/>
      <c r="F1437" s="261"/>
      <c r="G1437" s="261"/>
      <c r="H1437" s="261"/>
      <c r="I1437" s="261"/>
      <c r="J1437" s="261"/>
      <c r="K1437" s="261"/>
      <c r="L1437" s="261"/>
      <c r="M1437" s="261"/>
      <c r="N1437" s="261"/>
      <c r="O1437" s="261"/>
      <c r="P1437" s="261"/>
      <c r="Q1437" s="261"/>
      <c r="R1437" s="261"/>
      <c r="S1437" s="261"/>
    </row>
    <row r="1438" spans="1:19">
      <c r="A1438" s="295">
        <v>46297</v>
      </c>
      <c r="B1438" s="259" t="s">
        <v>88</v>
      </c>
      <c r="C1438" s="258"/>
      <c r="D1438" s="261"/>
      <c r="E1438" s="261"/>
      <c r="F1438" s="261"/>
      <c r="G1438" s="261"/>
      <c r="H1438" s="261"/>
      <c r="I1438" s="261"/>
      <c r="J1438" s="261"/>
      <c r="K1438" s="261"/>
      <c r="L1438" s="261"/>
      <c r="M1438" s="261"/>
      <c r="N1438" s="261"/>
      <c r="O1438" s="261"/>
      <c r="P1438" s="261"/>
      <c r="Q1438" s="261"/>
      <c r="R1438" s="261"/>
      <c r="S1438" s="261"/>
    </row>
    <row r="1439" spans="1:19">
      <c r="A1439" s="295"/>
      <c r="B1439" s="259" t="s">
        <v>89</v>
      </c>
      <c r="C1439" s="258"/>
      <c r="D1439" s="261"/>
      <c r="E1439" s="261"/>
      <c r="F1439" s="261"/>
      <c r="G1439" s="261"/>
      <c r="H1439" s="261"/>
      <c r="I1439" s="261"/>
      <c r="J1439" s="261"/>
      <c r="K1439" s="261"/>
      <c r="L1439" s="261"/>
      <c r="M1439" s="261"/>
      <c r="N1439" s="261"/>
      <c r="O1439" s="261"/>
      <c r="P1439" s="261"/>
      <c r="Q1439" s="261"/>
      <c r="R1439" s="261"/>
      <c r="S1439" s="261"/>
    </row>
    <row r="1440" spans="1:19">
      <c r="A1440" s="296"/>
      <c r="B1440" s="267" t="s">
        <v>90</v>
      </c>
      <c r="C1440" s="258"/>
      <c r="D1440" s="261"/>
      <c r="E1440" s="261"/>
      <c r="F1440" s="261"/>
      <c r="G1440" s="261"/>
      <c r="H1440" s="261"/>
      <c r="I1440" s="261"/>
      <c r="J1440" s="261"/>
      <c r="K1440" s="261"/>
      <c r="L1440" s="261"/>
      <c r="M1440" s="261"/>
      <c r="N1440" s="261"/>
      <c r="O1440" s="261"/>
      <c r="P1440" s="261"/>
      <c r="Q1440" s="261"/>
      <c r="R1440" s="261"/>
      <c r="S1440" s="261"/>
    </row>
    <row r="1441" spans="1:19">
      <c r="A1441" s="295">
        <v>46298</v>
      </c>
      <c r="B1441" s="259" t="s">
        <v>88</v>
      </c>
      <c r="C1441" s="258"/>
      <c r="D1441" s="261"/>
      <c r="E1441" s="261"/>
      <c r="F1441" s="261"/>
      <c r="G1441" s="261"/>
      <c r="H1441" s="261"/>
      <c r="I1441" s="261"/>
      <c r="J1441" s="261"/>
      <c r="K1441" s="261"/>
      <c r="L1441" s="261"/>
      <c r="M1441" s="261"/>
      <c r="N1441" s="261"/>
      <c r="O1441" s="261"/>
      <c r="P1441" s="261"/>
      <c r="Q1441" s="261"/>
      <c r="R1441" s="261"/>
      <c r="S1441" s="261"/>
    </row>
    <row r="1442" spans="1:19">
      <c r="A1442" s="295"/>
      <c r="B1442" s="259" t="s">
        <v>89</v>
      </c>
      <c r="C1442" s="258"/>
      <c r="D1442" s="261"/>
      <c r="E1442" s="261"/>
      <c r="F1442" s="261"/>
      <c r="G1442" s="261"/>
      <c r="H1442" s="261"/>
      <c r="I1442" s="261"/>
      <c r="J1442" s="261"/>
      <c r="K1442" s="261"/>
      <c r="L1442" s="261"/>
      <c r="M1442" s="261"/>
      <c r="N1442" s="261"/>
      <c r="O1442" s="261"/>
      <c r="P1442" s="261"/>
      <c r="Q1442" s="261"/>
      <c r="R1442" s="261"/>
      <c r="S1442" s="261"/>
    </row>
    <row r="1443" spans="1:19">
      <c r="A1443" s="296"/>
      <c r="B1443" s="267" t="s">
        <v>90</v>
      </c>
      <c r="C1443" s="258"/>
      <c r="D1443" s="261"/>
      <c r="E1443" s="261"/>
      <c r="F1443" s="261"/>
      <c r="G1443" s="261"/>
      <c r="H1443" s="261"/>
      <c r="I1443" s="261"/>
      <c r="J1443" s="261"/>
      <c r="K1443" s="261"/>
      <c r="L1443" s="261"/>
      <c r="M1443" s="261"/>
      <c r="N1443" s="261"/>
      <c r="O1443" s="261"/>
      <c r="P1443" s="261"/>
      <c r="Q1443" s="261"/>
      <c r="R1443" s="261"/>
      <c r="S1443" s="261"/>
    </row>
    <row r="1444" spans="1:19">
      <c r="A1444" s="295">
        <v>46299</v>
      </c>
      <c r="B1444" s="259" t="s">
        <v>88</v>
      </c>
      <c r="C1444" s="258"/>
      <c r="D1444" s="261"/>
      <c r="E1444" s="261"/>
      <c r="F1444" s="261"/>
      <c r="G1444" s="261"/>
      <c r="H1444" s="261"/>
      <c r="I1444" s="261"/>
      <c r="J1444" s="261"/>
      <c r="K1444" s="261"/>
      <c r="L1444" s="261"/>
      <c r="M1444" s="261"/>
      <c r="N1444" s="261"/>
      <c r="O1444" s="261"/>
      <c r="P1444" s="261"/>
      <c r="Q1444" s="261"/>
      <c r="R1444" s="261"/>
      <c r="S1444" s="261"/>
    </row>
    <row r="1445" spans="1:19">
      <c r="A1445" s="295"/>
      <c r="B1445" s="259" t="s">
        <v>89</v>
      </c>
      <c r="C1445" s="258"/>
      <c r="D1445" s="261"/>
      <c r="E1445" s="261"/>
      <c r="F1445" s="261"/>
      <c r="G1445" s="261"/>
      <c r="H1445" s="261"/>
      <c r="I1445" s="261"/>
      <c r="J1445" s="261"/>
      <c r="K1445" s="261"/>
      <c r="L1445" s="261"/>
      <c r="M1445" s="261"/>
      <c r="N1445" s="261"/>
      <c r="O1445" s="261"/>
      <c r="P1445" s="261"/>
      <c r="Q1445" s="261"/>
      <c r="R1445" s="261"/>
      <c r="S1445" s="261"/>
    </row>
    <row r="1446" spans="1:19">
      <c r="A1446" s="296"/>
      <c r="B1446" s="267" t="s">
        <v>90</v>
      </c>
      <c r="C1446" s="258"/>
      <c r="D1446" s="261"/>
      <c r="E1446" s="261"/>
      <c r="F1446" s="261"/>
      <c r="G1446" s="261"/>
      <c r="H1446" s="261"/>
      <c r="I1446" s="261"/>
      <c r="J1446" s="261"/>
      <c r="K1446" s="261"/>
      <c r="L1446" s="261"/>
      <c r="M1446" s="261"/>
      <c r="N1446" s="261"/>
      <c r="O1446" s="261"/>
      <c r="P1446" s="261"/>
      <c r="Q1446" s="261"/>
      <c r="R1446" s="261"/>
      <c r="S1446" s="261"/>
    </row>
    <row r="1447" spans="1:19">
      <c r="A1447" s="295">
        <v>46300</v>
      </c>
      <c r="B1447" s="259" t="s">
        <v>88</v>
      </c>
      <c r="C1447" s="258"/>
      <c r="D1447" s="261"/>
      <c r="E1447" s="261"/>
      <c r="F1447" s="261"/>
      <c r="G1447" s="261"/>
      <c r="H1447" s="261"/>
      <c r="I1447" s="261"/>
      <c r="J1447" s="261"/>
      <c r="K1447" s="261"/>
      <c r="L1447" s="261"/>
      <c r="M1447" s="261"/>
      <c r="N1447" s="261"/>
      <c r="O1447" s="261"/>
      <c r="P1447" s="261"/>
      <c r="Q1447" s="261"/>
      <c r="R1447" s="261"/>
      <c r="S1447" s="261"/>
    </row>
    <row r="1448" spans="1:19">
      <c r="A1448" s="295"/>
      <c r="B1448" s="259" t="s">
        <v>89</v>
      </c>
      <c r="C1448" s="258"/>
      <c r="D1448" s="261"/>
      <c r="E1448" s="261"/>
      <c r="F1448" s="261"/>
      <c r="G1448" s="261"/>
      <c r="H1448" s="261"/>
      <c r="I1448" s="261"/>
      <c r="J1448" s="261"/>
      <c r="K1448" s="261"/>
      <c r="L1448" s="261"/>
      <c r="M1448" s="261"/>
      <c r="N1448" s="261"/>
      <c r="O1448" s="261"/>
      <c r="P1448" s="261"/>
      <c r="Q1448" s="261"/>
      <c r="R1448" s="261"/>
      <c r="S1448" s="261"/>
    </row>
    <row r="1449" spans="1:19">
      <c r="A1449" s="296"/>
      <c r="B1449" s="267" t="s">
        <v>90</v>
      </c>
      <c r="C1449" s="258"/>
      <c r="D1449" s="261"/>
      <c r="E1449" s="261"/>
      <c r="F1449" s="261"/>
      <c r="G1449" s="261"/>
      <c r="H1449" s="261"/>
      <c r="I1449" s="261"/>
      <c r="J1449" s="261"/>
      <c r="K1449" s="261"/>
      <c r="L1449" s="261"/>
      <c r="M1449" s="261"/>
      <c r="N1449" s="261"/>
      <c r="O1449" s="261"/>
      <c r="P1449" s="261"/>
      <c r="Q1449" s="261"/>
      <c r="R1449" s="261"/>
      <c r="S1449" s="261"/>
    </row>
    <row r="1450" spans="1:19">
      <c r="A1450" s="295">
        <v>46301</v>
      </c>
      <c r="B1450" s="259" t="s">
        <v>88</v>
      </c>
      <c r="C1450" s="258"/>
      <c r="D1450" s="261"/>
      <c r="E1450" s="261"/>
      <c r="F1450" s="261"/>
      <c r="G1450" s="261"/>
      <c r="H1450" s="261"/>
      <c r="I1450" s="261"/>
      <c r="J1450" s="261"/>
      <c r="K1450" s="261"/>
      <c r="L1450" s="261"/>
      <c r="M1450" s="261"/>
      <c r="N1450" s="261"/>
      <c r="O1450" s="261"/>
      <c r="P1450" s="261"/>
      <c r="Q1450" s="261"/>
      <c r="R1450" s="261"/>
      <c r="S1450" s="261"/>
    </row>
    <row r="1451" spans="1:19">
      <c r="A1451" s="295"/>
      <c r="B1451" s="259" t="s">
        <v>89</v>
      </c>
      <c r="C1451" s="258"/>
      <c r="D1451" s="261"/>
      <c r="E1451" s="261"/>
      <c r="F1451" s="261"/>
      <c r="G1451" s="261"/>
      <c r="H1451" s="261"/>
      <c r="I1451" s="261"/>
      <c r="J1451" s="261"/>
      <c r="K1451" s="261"/>
      <c r="L1451" s="261"/>
      <c r="M1451" s="261"/>
      <c r="N1451" s="261"/>
      <c r="O1451" s="261"/>
      <c r="P1451" s="261"/>
      <c r="Q1451" s="261"/>
      <c r="R1451" s="261"/>
      <c r="S1451" s="261"/>
    </row>
    <row r="1452" spans="1:19">
      <c r="A1452" s="296"/>
      <c r="B1452" s="267" t="s">
        <v>90</v>
      </c>
      <c r="C1452" s="258"/>
      <c r="D1452" s="261"/>
      <c r="E1452" s="261"/>
      <c r="F1452" s="261"/>
      <c r="G1452" s="261"/>
      <c r="H1452" s="261"/>
      <c r="I1452" s="261"/>
      <c r="J1452" s="261"/>
      <c r="K1452" s="261"/>
      <c r="L1452" s="261"/>
      <c r="M1452" s="261"/>
      <c r="N1452" s="261"/>
      <c r="O1452" s="261"/>
      <c r="P1452" s="261"/>
      <c r="Q1452" s="261"/>
      <c r="R1452" s="261"/>
      <c r="S1452" s="261"/>
    </row>
    <row r="1453" spans="1:19">
      <c r="A1453" s="295">
        <v>46302</v>
      </c>
      <c r="B1453" s="259" t="s">
        <v>88</v>
      </c>
      <c r="C1453" s="258"/>
      <c r="D1453" s="261"/>
      <c r="E1453" s="261"/>
      <c r="F1453" s="261"/>
      <c r="G1453" s="261"/>
      <c r="H1453" s="261"/>
      <c r="I1453" s="261"/>
      <c r="J1453" s="261"/>
      <c r="K1453" s="261"/>
      <c r="L1453" s="261"/>
      <c r="M1453" s="261"/>
      <c r="N1453" s="261"/>
      <c r="O1453" s="261"/>
      <c r="P1453" s="261"/>
      <c r="Q1453" s="261"/>
      <c r="R1453" s="261"/>
      <c r="S1453" s="261"/>
    </row>
    <row r="1454" spans="1:19">
      <c r="A1454" s="295"/>
      <c r="B1454" s="259" t="s">
        <v>89</v>
      </c>
      <c r="C1454" s="258"/>
      <c r="D1454" s="261"/>
      <c r="E1454" s="261"/>
      <c r="F1454" s="261"/>
      <c r="G1454" s="261"/>
      <c r="H1454" s="261"/>
      <c r="I1454" s="261"/>
      <c r="J1454" s="261"/>
      <c r="K1454" s="261"/>
      <c r="L1454" s="261"/>
      <c r="M1454" s="261"/>
      <c r="N1454" s="261"/>
      <c r="O1454" s="261"/>
      <c r="P1454" s="261"/>
      <c r="Q1454" s="261"/>
      <c r="R1454" s="261"/>
      <c r="S1454" s="261"/>
    </row>
    <row r="1455" spans="1:19">
      <c r="A1455" s="296"/>
      <c r="B1455" s="267" t="s">
        <v>90</v>
      </c>
      <c r="C1455" s="258"/>
      <c r="D1455" s="261"/>
      <c r="E1455" s="261"/>
      <c r="F1455" s="261"/>
      <c r="G1455" s="261"/>
      <c r="H1455" s="261"/>
      <c r="I1455" s="261"/>
      <c r="J1455" s="261"/>
      <c r="K1455" s="261"/>
      <c r="L1455" s="261"/>
      <c r="M1455" s="261"/>
      <c r="N1455" s="261"/>
      <c r="O1455" s="261"/>
      <c r="P1455" s="261"/>
      <c r="Q1455" s="261"/>
      <c r="R1455" s="261"/>
      <c r="S1455" s="261"/>
    </row>
    <row r="1456" spans="1:19">
      <c r="A1456" s="295">
        <v>46303</v>
      </c>
      <c r="B1456" s="259" t="s">
        <v>88</v>
      </c>
      <c r="C1456" s="258"/>
      <c r="D1456" s="261"/>
      <c r="E1456" s="261"/>
      <c r="F1456" s="261"/>
      <c r="G1456" s="261"/>
      <c r="H1456" s="261"/>
      <c r="I1456" s="261"/>
      <c r="J1456" s="261"/>
      <c r="K1456" s="261"/>
      <c r="L1456" s="261"/>
      <c r="M1456" s="261"/>
      <c r="N1456" s="261"/>
      <c r="O1456" s="261"/>
      <c r="P1456" s="261"/>
      <c r="Q1456" s="261"/>
      <c r="R1456" s="261"/>
      <c r="S1456" s="261"/>
    </row>
    <row r="1457" spans="1:19">
      <c r="A1457" s="295"/>
      <c r="B1457" s="259" t="s">
        <v>89</v>
      </c>
      <c r="C1457" s="258"/>
      <c r="D1457" s="261"/>
      <c r="E1457" s="261"/>
      <c r="F1457" s="261"/>
      <c r="G1457" s="261"/>
      <c r="H1457" s="261"/>
      <c r="I1457" s="261"/>
      <c r="J1457" s="261"/>
      <c r="K1457" s="261"/>
      <c r="L1457" s="261"/>
      <c r="M1457" s="261"/>
      <c r="N1457" s="261"/>
      <c r="O1457" s="261"/>
      <c r="P1457" s="261"/>
      <c r="Q1457" s="261"/>
      <c r="R1457" s="261"/>
      <c r="S1457" s="261"/>
    </row>
    <row r="1458" spans="1:19">
      <c r="A1458" s="296"/>
      <c r="B1458" s="267" t="s">
        <v>90</v>
      </c>
      <c r="C1458" s="258"/>
      <c r="D1458" s="261"/>
      <c r="E1458" s="261"/>
      <c r="F1458" s="261"/>
      <c r="G1458" s="261"/>
      <c r="H1458" s="261"/>
      <c r="I1458" s="261"/>
      <c r="J1458" s="261"/>
      <c r="K1458" s="261"/>
      <c r="L1458" s="261"/>
      <c r="M1458" s="261"/>
      <c r="N1458" s="261"/>
      <c r="O1458" s="261"/>
      <c r="P1458" s="261"/>
      <c r="Q1458" s="261"/>
      <c r="R1458" s="261"/>
      <c r="S1458" s="261"/>
    </row>
    <row r="1459" spans="1:19">
      <c r="A1459" s="295">
        <v>46304</v>
      </c>
      <c r="B1459" s="259" t="s">
        <v>88</v>
      </c>
      <c r="C1459" s="258"/>
      <c r="D1459" s="261"/>
      <c r="E1459" s="261"/>
      <c r="F1459" s="261"/>
      <c r="G1459" s="261"/>
      <c r="H1459" s="261"/>
      <c r="I1459" s="261"/>
      <c r="J1459" s="261"/>
      <c r="K1459" s="261"/>
      <c r="L1459" s="261"/>
      <c r="M1459" s="261"/>
      <c r="N1459" s="261"/>
      <c r="O1459" s="261"/>
      <c r="P1459" s="261"/>
      <c r="Q1459" s="261"/>
      <c r="R1459" s="261"/>
      <c r="S1459" s="261"/>
    </row>
    <row r="1460" spans="1:19">
      <c r="A1460" s="295"/>
      <c r="B1460" s="259" t="s">
        <v>89</v>
      </c>
      <c r="C1460" s="258"/>
      <c r="D1460" s="261"/>
      <c r="E1460" s="261"/>
      <c r="F1460" s="261"/>
      <c r="G1460" s="261"/>
      <c r="H1460" s="261"/>
      <c r="I1460" s="261"/>
      <c r="J1460" s="261"/>
      <c r="K1460" s="261"/>
      <c r="L1460" s="261"/>
      <c r="M1460" s="261"/>
      <c r="N1460" s="261"/>
      <c r="O1460" s="261"/>
      <c r="P1460" s="261"/>
      <c r="Q1460" s="261"/>
      <c r="R1460" s="261"/>
      <c r="S1460" s="261"/>
    </row>
    <row r="1461" spans="1:19">
      <c r="A1461" s="296"/>
      <c r="B1461" s="267" t="s">
        <v>90</v>
      </c>
      <c r="C1461" s="258"/>
      <c r="D1461" s="261"/>
      <c r="E1461" s="261"/>
      <c r="F1461" s="261"/>
      <c r="G1461" s="261"/>
      <c r="H1461" s="261"/>
      <c r="I1461" s="261"/>
      <c r="J1461" s="261"/>
      <c r="K1461" s="261"/>
      <c r="L1461" s="261"/>
      <c r="M1461" s="261"/>
      <c r="N1461" s="261"/>
      <c r="O1461" s="261"/>
      <c r="P1461" s="261"/>
      <c r="Q1461" s="261"/>
      <c r="R1461" s="261"/>
      <c r="S1461" s="261"/>
    </row>
    <row r="1462" spans="1:19">
      <c r="A1462" s="295">
        <v>46305</v>
      </c>
      <c r="B1462" s="259" t="s">
        <v>88</v>
      </c>
      <c r="C1462" s="258"/>
      <c r="D1462" s="261"/>
      <c r="E1462" s="261"/>
      <c r="F1462" s="261"/>
      <c r="G1462" s="261"/>
      <c r="H1462" s="261"/>
      <c r="I1462" s="261"/>
      <c r="J1462" s="261"/>
      <c r="K1462" s="261"/>
      <c r="L1462" s="261"/>
      <c r="M1462" s="261"/>
      <c r="N1462" s="261"/>
      <c r="O1462" s="261"/>
      <c r="P1462" s="261"/>
      <c r="Q1462" s="261"/>
      <c r="R1462" s="261"/>
      <c r="S1462" s="261"/>
    </row>
    <row r="1463" spans="1:19">
      <c r="A1463" s="295"/>
      <c r="B1463" s="259" t="s">
        <v>89</v>
      </c>
      <c r="C1463" s="258"/>
      <c r="D1463" s="261"/>
      <c r="E1463" s="261"/>
      <c r="F1463" s="261"/>
      <c r="G1463" s="261"/>
      <c r="H1463" s="261"/>
      <c r="I1463" s="261"/>
      <c r="J1463" s="261"/>
      <c r="K1463" s="261"/>
      <c r="L1463" s="261"/>
      <c r="M1463" s="261"/>
      <c r="N1463" s="261"/>
      <c r="O1463" s="261"/>
      <c r="P1463" s="261"/>
      <c r="Q1463" s="261"/>
      <c r="R1463" s="261"/>
      <c r="S1463" s="261"/>
    </row>
    <row r="1464" spans="1:19">
      <c r="A1464" s="296"/>
      <c r="B1464" s="267" t="s">
        <v>90</v>
      </c>
      <c r="C1464" s="258"/>
      <c r="D1464" s="261"/>
      <c r="E1464" s="261"/>
      <c r="F1464" s="261"/>
      <c r="G1464" s="261"/>
      <c r="H1464" s="261"/>
      <c r="I1464" s="261"/>
      <c r="J1464" s="261"/>
      <c r="K1464" s="261"/>
      <c r="L1464" s="261"/>
      <c r="M1464" s="261"/>
      <c r="N1464" s="261"/>
      <c r="O1464" s="261"/>
      <c r="P1464" s="261"/>
      <c r="Q1464" s="261"/>
      <c r="R1464" s="261"/>
      <c r="S1464" s="261"/>
    </row>
    <row r="1465" spans="1:19">
      <c r="A1465" s="295">
        <v>46306</v>
      </c>
      <c r="B1465" s="259" t="s">
        <v>88</v>
      </c>
      <c r="C1465" s="258"/>
      <c r="D1465" s="261"/>
      <c r="E1465" s="261"/>
      <c r="F1465" s="261"/>
      <c r="G1465" s="261"/>
      <c r="H1465" s="261"/>
      <c r="I1465" s="261"/>
      <c r="J1465" s="261"/>
      <c r="K1465" s="261"/>
      <c r="L1465" s="261"/>
      <c r="M1465" s="261"/>
      <c r="N1465" s="261"/>
      <c r="O1465" s="261"/>
      <c r="P1465" s="261"/>
      <c r="Q1465" s="261"/>
      <c r="R1465" s="261"/>
      <c r="S1465" s="261"/>
    </row>
    <row r="1466" spans="1:19">
      <c r="A1466" s="295"/>
      <c r="B1466" s="259" t="s">
        <v>89</v>
      </c>
      <c r="C1466" s="258"/>
      <c r="D1466" s="261"/>
      <c r="E1466" s="261"/>
      <c r="F1466" s="261"/>
      <c r="G1466" s="261"/>
      <c r="H1466" s="261"/>
      <c r="I1466" s="261"/>
      <c r="J1466" s="261"/>
      <c r="K1466" s="261"/>
      <c r="L1466" s="261"/>
      <c r="M1466" s="261"/>
      <c r="N1466" s="261"/>
      <c r="O1466" s="261"/>
      <c r="P1466" s="261"/>
      <c r="Q1466" s="261"/>
      <c r="R1466" s="261"/>
      <c r="S1466" s="261"/>
    </row>
    <row r="1467" spans="1:19">
      <c r="A1467" s="296"/>
      <c r="B1467" s="267" t="s">
        <v>90</v>
      </c>
      <c r="C1467" s="258"/>
      <c r="D1467" s="261"/>
      <c r="E1467" s="261"/>
      <c r="F1467" s="261"/>
      <c r="G1467" s="261"/>
      <c r="H1467" s="261"/>
      <c r="I1467" s="261"/>
      <c r="J1467" s="261"/>
      <c r="K1467" s="261"/>
      <c r="L1467" s="261"/>
      <c r="M1467" s="261"/>
      <c r="N1467" s="261"/>
      <c r="O1467" s="261"/>
      <c r="P1467" s="261"/>
      <c r="Q1467" s="261"/>
      <c r="R1467" s="261"/>
      <c r="S1467" s="261"/>
    </row>
    <row r="1468" spans="1:19">
      <c r="A1468" s="295">
        <v>46307</v>
      </c>
      <c r="B1468" s="259" t="s">
        <v>88</v>
      </c>
      <c r="C1468" s="258"/>
      <c r="D1468" s="261"/>
      <c r="E1468" s="261"/>
      <c r="F1468" s="261"/>
      <c r="G1468" s="261"/>
      <c r="H1468" s="261"/>
      <c r="I1468" s="261"/>
      <c r="J1468" s="261"/>
      <c r="K1468" s="261"/>
      <c r="L1468" s="261"/>
      <c r="M1468" s="261"/>
      <c r="N1468" s="261"/>
      <c r="O1468" s="261"/>
      <c r="P1468" s="261"/>
      <c r="Q1468" s="261"/>
      <c r="R1468" s="261"/>
      <c r="S1468" s="261"/>
    </row>
    <row r="1469" spans="1:19">
      <c r="A1469" s="295"/>
      <c r="B1469" s="259" t="s">
        <v>89</v>
      </c>
      <c r="C1469" s="258"/>
      <c r="D1469" s="261"/>
      <c r="E1469" s="261"/>
      <c r="F1469" s="261"/>
      <c r="G1469" s="261"/>
      <c r="H1469" s="261"/>
      <c r="I1469" s="261"/>
      <c r="J1469" s="261"/>
      <c r="K1469" s="261"/>
      <c r="L1469" s="261"/>
      <c r="M1469" s="261"/>
      <c r="N1469" s="261"/>
      <c r="O1469" s="261"/>
      <c r="P1469" s="261"/>
      <c r="Q1469" s="261"/>
      <c r="R1469" s="261"/>
      <c r="S1469" s="261"/>
    </row>
    <row r="1470" spans="1:19">
      <c r="A1470" s="296"/>
      <c r="B1470" s="267" t="s">
        <v>90</v>
      </c>
      <c r="C1470" s="258"/>
      <c r="D1470" s="261"/>
      <c r="E1470" s="261"/>
      <c r="F1470" s="261"/>
      <c r="G1470" s="261"/>
      <c r="H1470" s="261"/>
      <c r="I1470" s="261"/>
      <c r="J1470" s="261"/>
      <c r="K1470" s="261"/>
      <c r="L1470" s="261"/>
      <c r="M1470" s="261"/>
      <c r="N1470" s="261"/>
      <c r="O1470" s="261"/>
      <c r="P1470" s="261"/>
      <c r="Q1470" s="261"/>
      <c r="R1470" s="261"/>
      <c r="S1470" s="261"/>
    </row>
    <row r="1471" spans="1:19">
      <c r="A1471" s="295">
        <v>46308</v>
      </c>
      <c r="B1471" s="259" t="s">
        <v>88</v>
      </c>
      <c r="C1471" s="258"/>
      <c r="D1471" s="261"/>
      <c r="E1471" s="261"/>
      <c r="F1471" s="261"/>
      <c r="G1471" s="261"/>
      <c r="H1471" s="261"/>
      <c r="I1471" s="261"/>
      <c r="J1471" s="261"/>
      <c r="K1471" s="261"/>
      <c r="L1471" s="261"/>
      <c r="M1471" s="261"/>
      <c r="N1471" s="261"/>
      <c r="O1471" s="261"/>
      <c r="P1471" s="261"/>
      <c r="Q1471" s="261"/>
      <c r="R1471" s="261"/>
      <c r="S1471" s="261"/>
    </row>
    <row r="1472" spans="1:19">
      <c r="A1472" s="295"/>
      <c r="B1472" s="259" t="s">
        <v>89</v>
      </c>
      <c r="C1472" s="258"/>
      <c r="D1472" s="261"/>
      <c r="E1472" s="261"/>
      <c r="F1472" s="261"/>
      <c r="G1472" s="261"/>
      <c r="H1472" s="261"/>
      <c r="I1472" s="261"/>
      <c r="J1472" s="261"/>
      <c r="K1472" s="261"/>
      <c r="L1472" s="261"/>
      <c r="M1472" s="261"/>
      <c r="N1472" s="261"/>
      <c r="O1472" s="261"/>
      <c r="P1472" s="261"/>
      <c r="Q1472" s="261"/>
      <c r="R1472" s="261"/>
      <c r="S1472" s="261"/>
    </row>
    <row r="1473" spans="1:19">
      <c r="A1473" s="296"/>
      <c r="B1473" s="267" t="s">
        <v>90</v>
      </c>
      <c r="C1473" s="258"/>
      <c r="D1473" s="261"/>
      <c r="E1473" s="261"/>
      <c r="F1473" s="261"/>
      <c r="G1473" s="261"/>
      <c r="H1473" s="261"/>
      <c r="I1473" s="261"/>
      <c r="J1473" s="261"/>
      <c r="K1473" s="261"/>
      <c r="L1473" s="261"/>
      <c r="M1473" s="261"/>
      <c r="N1473" s="261"/>
      <c r="O1473" s="261"/>
      <c r="P1473" s="261"/>
      <c r="Q1473" s="261"/>
      <c r="R1473" s="261"/>
      <c r="S1473" s="261"/>
    </row>
    <row r="1474" spans="1:19">
      <c r="A1474" s="295">
        <v>46309</v>
      </c>
      <c r="B1474" s="259" t="s">
        <v>88</v>
      </c>
      <c r="C1474" s="258"/>
      <c r="D1474" s="261"/>
      <c r="E1474" s="261"/>
      <c r="F1474" s="261"/>
      <c r="G1474" s="261"/>
      <c r="H1474" s="261"/>
      <c r="I1474" s="261"/>
      <c r="J1474" s="261"/>
      <c r="K1474" s="261"/>
      <c r="L1474" s="261"/>
      <c r="M1474" s="261"/>
      <c r="N1474" s="261"/>
      <c r="O1474" s="261"/>
      <c r="P1474" s="261"/>
      <c r="Q1474" s="261"/>
      <c r="R1474" s="261"/>
      <c r="S1474" s="261"/>
    </row>
    <row r="1475" spans="1:19">
      <c r="A1475" s="295"/>
      <c r="B1475" s="259" t="s">
        <v>89</v>
      </c>
      <c r="C1475" s="258"/>
      <c r="D1475" s="261"/>
      <c r="E1475" s="261"/>
      <c r="F1475" s="261"/>
      <c r="G1475" s="261"/>
      <c r="H1475" s="261"/>
      <c r="I1475" s="261"/>
      <c r="J1475" s="261"/>
      <c r="K1475" s="261"/>
      <c r="L1475" s="261"/>
      <c r="M1475" s="261"/>
      <c r="N1475" s="261"/>
      <c r="O1475" s="261"/>
      <c r="P1475" s="261"/>
      <c r="Q1475" s="261"/>
      <c r="R1475" s="261"/>
      <c r="S1475" s="261"/>
    </row>
    <row r="1476" spans="1:19">
      <c r="A1476" s="296"/>
      <c r="B1476" s="267" t="s">
        <v>90</v>
      </c>
      <c r="C1476" s="258"/>
      <c r="D1476" s="261"/>
      <c r="E1476" s="261"/>
      <c r="F1476" s="261"/>
      <c r="G1476" s="261"/>
      <c r="H1476" s="261"/>
      <c r="I1476" s="261"/>
      <c r="J1476" s="261"/>
      <c r="K1476" s="261"/>
      <c r="L1476" s="261"/>
      <c r="M1476" s="261"/>
      <c r="N1476" s="261"/>
      <c r="O1476" s="261"/>
      <c r="P1476" s="261"/>
      <c r="Q1476" s="261"/>
      <c r="R1476" s="261"/>
      <c r="S1476" s="261"/>
    </row>
    <row r="1477" spans="1:19">
      <c r="A1477" s="295">
        <v>46310</v>
      </c>
      <c r="B1477" s="259" t="s">
        <v>88</v>
      </c>
      <c r="C1477" s="258"/>
      <c r="D1477" s="261"/>
      <c r="E1477" s="261"/>
      <c r="F1477" s="261"/>
      <c r="G1477" s="261"/>
      <c r="H1477" s="261"/>
      <c r="I1477" s="261"/>
      <c r="J1477" s="261"/>
      <c r="K1477" s="261"/>
      <c r="L1477" s="261"/>
      <c r="M1477" s="261"/>
      <c r="N1477" s="261"/>
      <c r="O1477" s="261"/>
      <c r="P1477" s="261"/>
      <c r="Q1477" s="261"/>
      <c r="R1477" s="261"/>
      <c r="S1477" s="261"/>
    </row>
    <row r="1478" spans="1:19">
      <c r="A1478" s="295"/>
      <c r="B1478" s="259" t="s">
        <v>89</v>
      </c>
      <c r="C1478" s="258"/>
      <c r="D1478" s="261"/>
      <c r="E1478" s="261"/>
      <c r="F1478" s="261"/>
      <c r="G1478" s="261"/>
      <c r="H1478" s="261"/>
      <c r="I1478" s="261"/>
      <c r="J1478" s="261"/>
      <c r="K1478" s="261"/>
      <c r="L1478" s="261"/>
      <c r="M1478" s="261"/>
      <c r="N1478" s="261"/>
      <c r="O1478" s="261"/>
      <c r="P1478" s="261"/>
      <c r="Q1478" s="261"/>
      <c r="R1478" s="261"/>
      <c r="S1478" s="261"/>
    </row>
    <row r="1479" spans="1:19">
      <c r="A1479" s="296"/>
      <c r="B1479" s="267" t="s">
        <v>90</v>
      </c>
      <c r="C1479" s="258"/>
      <c r="D1479" s="261"/>
      <c r="E1479" s="261"/>
      <c r="F1479" s="261"/>
      <c r="G1479" s="261"/>
      <c r="H1479" s="261"/>
      <c r="I1479" s="261"/>
      <c r="J1479" s="261"/>
      <c r="K1479" s="261"/>
      <c r="L1479" s="261"/>
      <c r="M1479" s="261"/>
      <c r="N1479" s="261"/>
      <c r="O1479" s="261"/>
      <c r="P1479" s="261"/>
      <c r="Q1479" s="261"/>
      <c r="R1479" s="261"/>
      <c r="S1479" s="261"/>
    </row>
    <row r="1480" spans="1:19">
      <c r="A1480" s="295">
        <v>46311</v>
      </c>
      <c r="B1480" s="259" t="s">
        <v>88</v>
      </c>
      <c r="C1480" s="258"/>
      <c r="D1480" s="261"/>
      <c r="E1480" s="261"/>
      <c r="F1480" s="261"/>
      <c r="G1480" s="261"/>
      <c r="H1480" s="261"/>
      <c r="I1480" s="261"/>
      <c r="J1480" s="261"/>
      <c r="K1480" s="261"/>
      <c r="L1480" s="261"/>
      <c r="M1480" s="261"/>
      <c r="N1480" s="261"/>
      <c r="O1480" s="261"/>
      <c r="P1480" s="261"/>
      <c r="Q1480" s="261"/>
      <c r="R1480" s="261"/>
      <c r="S1480" s="261"/>
    </row>
    <row r="1481" spans="1:19">
      <c r="A1481" s="295"/>
      <c r="B1481" s="259" t="s">
        <v>89</v>
      </c>
      <c r="C1481" s="258"/>
      <c r="D1481" s="261"/>
      <c r="E1481" s="261"/>
      <c r="F1481" s="261"/>
      <c r="G1481" s="261"/>
      <c r="H1481" s="261"/>
      <c r="I1481" s="261"/>
      <c r="J1481" s="261"/>
      <c r="K1481" s="261"/>
      <c r="L1481" s="261"/>
      <c r="M1481" s="261"/>
      <c r="N1481" s="261"/>
      <c r="O1481" s="261"/>
      <c r="P1481" s="261"/>
      <c r="Q1481" s="261"/>
      <c r="R1481" s="261"/>
      <c r="S1481" s="261"/>
    </row>
    <row r="1482" spans="1:19">
      <c r="A1482" s="296"/>
      <c r="B1482" s="267" t="s">
        <v>90</v>
      </c>
      <c r="C1482" s="258"/>
      <c r="D1482" s="261"/>
      <c r="E1482" s="261"/>
      <c r="F1482" s="261"/>
      <c r="G1482" s="261"/>
      <c r="H1482" s="261"/>
      <c r="I1482" s="261"/>
      <c r="J1482" s="261"/>
      <c r="K1482" s="261"/>
      <c r="L1482" s="261"/>
      <c r="M1482" s="261"/>
      <c r="N1482" s="261"/>
      <c r="O1482" s="261"/>
      <c r="P1482" s="261"/>
      <c r="Q1482" s="261"/>
      <c r="R1482" s="261"/>
      <c r="S1482" s="261"/>
    </row>
    <row r="1483" spans="1:19">
      <c r="A1483" s="295">
        <v>46312</v>
      </c>
      <c r="B1483" s="259" t="s">
        <v>88</v>
      </c>
      <c r="C1483" s="258"/>
      <c r="D1483" s="261"/>
      <c r="E1483" s="261"/>
      <c r="F1483" s="261"/>
      <c r="G1483" s="261"/>
      <c r="H1483" s="261"/>
      <c r="I1483" s="261"/>
      <c r="J1483" s="261"/>
      <c r="K1483" s="261"/>
      <c r="L1483" s="261"/>
      <c r="M1483" s="261"/>
      <c r="N1483" s="261"/>
      <c r="O1483" s="261"/>
      <c r="P1483" s="261"/>
      <c r="Q1483" s="261"/>
      <c r="R1483" s="261"/>
      <c r="S1483" s="261"/>
    </row>
    <row r="1484" spans="1:19">
      <c r="A1484" s="295"/>
      <c r="B1484" s="259" t="s">
        <v>89</v>
      </c>
      <c r="C1484" s="258"/>
      <c r="D1484" s="261"/>
      <c r="E1484" s="261"/>
      <c r="F1484" s="261"/>
      <c r="G1484" s="261"/>
      <c r="H1484" s="261"/>
      <c r="I1484" s="261"/>
      <c r="J1484" s="261"/>
      <c r="K1484" s="261"/>
      <c r="L1484" s="261"/>
      <c r="M1484" s="261"/>
      <c r="N1484" s="261"/>
      <c r="O1484" s="261"/>
      <c r="P1484" s="261"/>
      <c r="Q1484" s="261"/>
      <c r="R1484" s="261"/>
      <c r="S1484" s="261"/>
    </row>
    <row r="1485" spans="1:19">
      <c r="A1485" s="296"/>
      <c r="B1485" s="267" t="s">
        <v>90</v>
      </c>
      <c r="C1485" s="258"/>
      <c r="D1485" s="261"/>
      <c r="E1485" s="261"/>
      <c r="F1485" s="261"/>
      <c r="G1485" s="261"/>
      <c r="H1485" s="261"/>
      <c r="I1485" s="261"/>
      <c r="J1485" s="261"/>
      <c r="K1485" s="261"/>
      <c r="L1485" s="261"/>
      <c r="M1485" s="261"/>
      <c r="N1485" s="261"/>
      <c r="O1485" s="261"/>
      <c r="P1485" s="261"/>
      <c r="Q1485" s="261"/>
      <c r="R1485" s="261"/>
      <c r="S1485" s="261"/>
    </row>
    <row r="1486" spans="1:19">
      <c r="A1486" s="295">
        <v>46313</v>
      </c>
      <c r="B1486" s="259" t="s">
        <v>88</v>
      </c>
      <c r="C1486" s="258"/>
      <c r="D1486" s="261"/>
      <c r="E1486" s="261"/>
      <c r="F1486" s="261"/>
      <c r="G1486" s="261"/>
      <c r="H1486" s="261"/>
      <c r="I1486" s="261"/>
      <c r="J1486" s="261"/>
      <c r="K1486" s="261"/>
      <c r="L1486" s="261"/>
      <c r="M1486" s="261"/>
      <c r="N1486" s="261"/>
      <c r="O1486" s="261"/>
      <c r="P1486" s="261"/>
      <c r="Q1486" s="261"/>
      <c r="R1486" s="261"/>
      <c r="S1486" s="261"/>
    </row>
    <row r="1487" spans="1:19">
      <c r="A1487" s="295"/>
      <c r="B1487" s="259" t="s">
        <v>89</v>
      </c>
      <c r="C1487" s="258"/>
      <c r="D1487" s="261"/>
      <c r="E1487" s="261"/>
      <c r="F1487" s="261"/>
      <c r="G1487" s="261"/>
      <c r="H1487" s="261"/>
      <c r="I1487" s="261"/>
      <c r="J1487" s="261"/>
      <c r="K1487" s="261"/>
      <c r="L1487" s="261"/>
      <c r="M1487" s="261"/>
      <c r="N1487" s="261"/>
      <c r="O1487" s="261"/>
      <c r="P1487" s="261"/>
      <c r="Q1487" s="261"/>
      <c r="R1487" s="261"/>
      <c r="S1487" s="261"/>
    </row>
    <row r="1488" spans="1:19">
      <c r="A1488" s="296"/>
      <c r="B1488" s="267" t="s">
        <v>90</v>
      </c>
      <c r="C1488" s="258"/>
      <c r="D1488" s="261"/>
      <c r="E1488" s="261"/>
      <c r="F1488" s="261"/>
      <c r="G1488" s="261"/>
      <c r="H1488" s="261"/>
      <c r="I1488" s="261"/>
      <c r="J1488" s="261"/>
      <c r="K1488" s="261"/>
      <c r="L1488" s="261"/>
      <c r="M1488" s="261"/>
      <c r="N1488" s="261"/>
      <c r="O1488" s="261"/>
      <c r="P1488" s="261"/>
      <c r="Q1488" s="261"/>
      <c r="R1488" s="261"/>
      <c r="S1488" s="261"/>
    </row>
    <row r="1489" spans="1:19">
      <c r="A1489" s="295">
        <v>46314</v>
      </c>
      <c r="B1489" s="259" t="s">
        <v>88</v>
      </c>
      <c r="C1489" s="258"/>
      <c r="D1489" s="261"/>
      <c r="E1489" s="261"/>
      <c r="F1489" s="261"/>
      <c r="G1489" s="261"/>
      <c r="H1489" s="261"/>
      <c r="I1489" s="261"/>
      <c r="J1489" s="261"/>
      <c r="K1489" s="261"/>
      <c r="L1489" s="261"/>
      <c r="M1489" s="261"/>
      <c r="N1489" s="261"/>
      <c r="O1489" s="261"/>
      <c r="P1489" s="261"/>
      <c r="Q1489" s="261"/>
      <c r="R1489" s="261"/>
      <c r="S1489" s="261"/>
    </row>
    <row r="1490" spans="1:19">
      <c r="A1490" s="295"/>
      <c r="B1490" s="259" t="s">
        <v>89</v>
      </c>
      <c r="C1490" s="258"/>
      <c r="D1490" s="261"/>
      <c r="E1490" s="261"/>
      <c r="F1490" s="261"/>
      <c r="G1490" s="261"/>
      <c r="H1490" s="261"/>
      <c r="I1490" s="261"/>
      <c r="J1490" s="261"/>
      <c r="K1490" s="261"/>
      <c r="L1490" s="261"/>
      <c r="M1490" s="261"/>
      <c r="N1490" s="261"/>
      <c r="O1490" s="261"/>
      <c r="P1490" s="261"/>
      <c r="Q1490" s="261"/>
      <c r="R1490" s="261"/>
      <c r="S1490" s="261"/>
    </row>
    <row r="1491" spans="1:19">
      <c r="A1491" s="296"/>
      <c r="B1491" s="267" t="s">
        <v>90</v>
      </c>
      <c r="C1491" s="258"/>
      <c r="D1491" s="261"/>
      <c r="E1491" s="261"/>
      <c r="F1491" s="261"/>
      <c r="G1491" s="261"/>
      <c r="H1491" s="261"/>
      <c r="I1491" s="261"/>
      <c r="J1491" s="261"/>
      <c r="K1491" s="261"/>
      <c r="L1491" s="261"/>
      <c r="M1491" s="261"/>
      <c r="N1491" s="261"/>
      <c r="O1491" s="261"/>
      <c r="P1491" s="261"/>
      <c r="Q1491" s="261"/>
      <c r="R1491" s="261"/>
      <c r="S1491" s="261"/>
    </row>
    <row r="1492" spans="1:19">
      <c r="A1492" s="295">
        <v>46315</v>
      </c>
      <c r="B1492" s="259" t="s">
        <v>88</v>
      </c>
      <c r="C1492" s="258"/>
      <c r="D1492" s="261"/>
      <c r="E1492" s="261"/>
      <c r="F1492" s="261"/>
      <c r="G1492" s="261"/>
      <c r="H1492" s="261"/>
      <c r="I1492" s="261"/>
      <c r="J1492" s="261"/>
      <c r="K1492" s="261"/>
      <c r="L1492" s="261"/>
      <c r="M1492" s="261"/>
      <c r="N1492" s="261"/>
      <c r="O1492" s="261"/>
      <c r="P1492" s="261"/>
      <c r="Q1492" s="261"/>
      <c r="R1492" s="261"/>
      <c r="S1492" s="261"/>
    </row>
    <row r="1493" spans="1:19">
      <c r="A1493" s="295"/>
      <c r="B1493" s="259" t="s">
        <v>89</v>
      </c>
      <c r="C1493" s="258"/>
      <c r="D1493" s="261"/>
      <c r="E1493" s="261"/>
      <c r="F1493" s="261"/>
      <c r="G1493" s="261"/>
      <c r="H1493" s="261"/>
      <c r="I1493" s="261"/>
      <c r="J1493" s="261"/>
      <c r="K1493" s="261"/>
      <c r="L1493" s="261"/>
      <c r="M1493" s="261"/>
      <c r="N1493" s="261"/>
      <c r="O1493" s="261"/>
      <c r="P1493" s="261"/>
      <c r="Q1493" s="261"/>
      <c r="R1493" s="261"/>
      <c r="S1493" s="261"/>
    </row>
    <row r="1494" spans="1:19">
      <c r="A1494" s="296"/>
      <c r="B1494" s="267" t="s">
        <v>90</v>
      </c>
      <c r="C1494" s="258"/>
      <c r="D1494" s="261"/>
      <c r="E1494" s="261"/>
      <c r="F1494" s="261"/>
      <c r="G1494" s="261"/>
      <c r="H1494" s="261"/>
      <c r="I1494" s="261"/>
      <c r="J1494" s="261"/>
      <c r="K1494" s="261"/>
      <c r="L1494" s="261"/>
      <c r="M1494" s="261"/>
      <c r="N1494" s="261"/>
      <c r="O1494" s="261"/>
      <c r="P1494" s="261"/>
      <c r="Q1494" s="261"/>
      <c r="R1494" s="261"/>
      <c r="S1494" s="261"/>
    </row>
    <row r="1495" spans="1:19">
      <c r="A1495" s="295">
        <v>46316</v>
      </c>
      <c r="B1495" s="259" t="s">
        <v>88</v>
      </c>
      <c r="C1495" s="258"/>
      <c r="D1495" s="261"/>
      <c r="E1495" s="261"/>
      <c r="F1495" s="261"/>
      <c r="G1495" s="261"/>
      <c r="H1495" s="261"/>
      <c r="I1495" s="261"/>
      <c r="J1495" s="261"/>
      <c r="K1495" s="261"/>
      <c r="L1495" s="261"/>
      <c r="M1495" s="261"/>
      <c r="N1495" s="261"/>
      <c r="O1495" s="261"/>
      <c r="P1495" s="261"/>
      <c r="Q1495" s="261"/>
      <c r="R1495" s="261"/>
      <c r="S1495" s="261"/>
    </row>
    <row r="1496" spans="1:19">
      <c r="A1496" s="295"/>
      <c r="B1496" s="259" t="s">
        <v>89</v>
      </c>
      <c r="C1496" s="258"/>
      <c r="D1496" s="261"/>
      <c r="E1496" s="261"/>
      <c r="F1496" s="261"/>
      <c r="G1496" s="261"/>
      <c r="H1496" s="261"/>
      <c r="I1496" s="261"/>
      <c r="J1496" s="261"/>
      <c r="K1496" s="261"/>
      <c r="L1496" s="261"/>
      <c r="M1496" s="261"/>
      <c r="N1496" s="261"/>
      <c r="O1496" s="261"/>
      <c r="P1496" s="261"/>
      <c r="Q1496" s="261"/>
      <c r="R1496" s="261"/>
      <c r="S1496" s="261"/>
    </row>
    <row r="1497" spans="1:19">
      <c r="A1497" s="296"/>
      <c r="B1497" s="267" t="s">
        <v>90</v>
      </c>
      <c r="C1497" s="258"/>
      <c r="D1497" s="261"/>
      <c r="E1497" s="261"/>
      <c r="F1497" s="261"/>
      <c r="G1497" s="261"/>
      <c r="H1497" s="261"/>
      <c r="I1497" s="261"/>
      <c r="J1497" s="261"/>
      <c r="K1497" s="261"/>
      <c r="L1497" s="261"/>
      <c r="M1497" s="261"/>
      <c r="N1497" s="261"/>
      <c r="O1497" s="261"/>
      <c r="P1497" s="261"/>
      <c r="Q1497" s="261"/>
      <c r="R1497" s="261"/>
      <c r="S1497" s="261"/>
    </row>
    <row r="1498" spans="1:19">
      <c r="A1498" s="295">
        <v>46317</v>
      </c>
      <c r="B1498" s="259" t="s">
        <v>88</v>
      </c>
      <c r="C1498" s="258"/>
      <c r="D1498" s="261"/>
      <c r="E1498" s="261"/>
      <c r="F1498" s="261"/>
      <c r="G1498" s="261"/>
      <c r="H1498" s="261"/>
      <c r="I1498" s="261"/>
      <c r="J1498" s="261"/>
      <c r="K1498" s="261"/>
      <c r="L1498" s="261"/>
      <c r="M1498" s="261"/>
      <c r="N1498" s="261"/>
      <c r="O1498" s="261"/>
      <c r="P1498" s="261"/>
      <c r="Q1498" s="261"/>
      <c r="R1498" s="261"/>
      <c r="S1498" s="261"/>
    </row>
    <row r="1499" spans="1:19">
      <c r="A1499" s="295"/>
      <c r="B1499" s="259" t="s">
        <v>89</v>
      </c>
      <c r="C1499" s="258"/>
      <c r="D1499" s="261"/>
      <c r="E1499" s="261"/>
      <c r="F1499" s="261"/>
      <c r="G1499" s="261"/>
      <c r="H1499" s="261"/>
      <c r="I1499" s="261"/>
      <c r="J1499" s="261"/>
      <c r="K1499" s="261"/>
      <c r="L1499" s="261"/>
      <c r="M1499" s="261"/>
      <c r="N1499" s="261"/>
      <c r="O1499" s="261"/>
      <c r="P1499" s="261"/>
      <c r="Q1499" s="261"/>
      <c r="R1499" s="261"/>
      <c r="S1499" s="261"/>
    </row>
    <row r="1500" spans="1:19">
      <c r="A1500" s="296"/>
      <c r="B1500" s="267" t="s">
        <v>90</v>
      </c>
      <c r="C1500" s="258"/>
      <c r="D1500" s="261"/>
      <c r="E1500" s="261"/>
      <c r="F1500" s="261"/>
      <c r="G1500" s="261"/>
      <c r="H1500" s="261"/>
      <c r="I1500" s="261"/>
      <c r="J1500" s="261"/>
      <c r="K1500" s="261"/>
      <c r="L1500" s="261"/>
      <c r="M1500" s="261"/>
      <c r="N1500" s="261"/>
      <c r="O1500" s="261"/>
      <c r="P1500" s="261"/>
      <c r="Q1500" s="261"/>
      <c r="R1500" s="261"/>
      <c r="S1500" s="261"/>
    </row>
    <row r="1501" spans="1:19">
      <c r="A1501" s="295">
        <v>46318</v>
      </c>
      <c r="B1501" s="259" t="s">
        <v>88</v>
      </c>
      <c r="C1501" s="258"/>
      <c r="D1501" s="261"/>
      <c r="E1501" s="261"/>
      <c r="F1501" s="261"/>
      <c r="G1501" s="261"/>
      <c r="H1501" s="261"/>
      <c r="I1501" s="261"/>
      <c r="J1501" s="261"/>
      <c r="K1501" s="261"/>
      <c r="L1501" s="261"/>
      <c r="M1501" s="261"/>
      <c r="N1501" s="261"/>
      <c r="O1501" s="261"/>
      <c r="P1501" s="261"/>
      <c r="Q1501" s="261"/>
      <c r="R1501" s="261"/>
      <c r="S1501" s="261"/>
    </row>
    <row r="1502" spans="1:19">
      <c r="A1502" s="295"/>
      <c r="B1502" s="259" t="s">
        <v>89</v>
      </c>
      <c r="C1502" s="258"/>
      <c r="D1502" s="261"/>
      <c r="E1502" s="261"/>
      <c r="F1502" s="261"/>
      <c r="G1502" s="261"/>
      <c r="H1502" s="261"/>
      <c r="I1502" s="261"/>
      <c r="J1502" s="261"/>
      <c r="K1502" s="261"/>
      <c r="L1502" s="261"/>
      <c r="M1502" s="261"/>
      <c r="N1502" s="261"/>
      <c r="O1502" s="261"/>
      <c r="P1502" s="261"/>
      <c r="Q1502" s="261"/>
      <c r="R1502" s="261"/>
      <c r="S1502" s="261"/>
    </row>
    <row r="1503" spans="1:19">
      <c r="A1503" s="296"/>
      <c r="B1503" s="267" t="s">
        <v>90</v>
      </c>
      <c r="C1503" s="258"/>
      <c r="D1503" s="261"/>
      <c r="E1503" s="261"/>
      <c r="F1503" s="261"/>
      <c r="G1503" s="261"/>
      <c r="H1503" s="261"/>
      <c r="I1503" s="261"/>
      <c r="J1503" s="261"/>
      <c r="K1503" s="261"/>
      <c r="L1503" s="261"/>
      <c r="M1503" s="261"/>
      <c r="N1503" s="261"/>
      <c r="O1503" s="261"/>
      <c r="P1503" s="261"/>
      <c r="Q1503" s="261"/>
      <c r="R1503" s="261"/>
      <c r="S1503" s="261"/>
    </row>
    <row r="1504" spans="1:19">
      <c r="A1504" s="295">
        <v>46319</v>
      </c>
      <c r="B1504" s="259" t="s">
        <v>88</v>
      </c>
      <c r="C1504" s="258"/>
      <c r="D1504" s="261"/>
      <c r="E1504" s="261"/>
      <c r="F1504" s="261"/>
      <c r="G1504" s="261"/>
      <c r="H1504" s="261"/>
      <c r="I1504" s="261"/>
      <c r="J1504" s="261"/>
      <c r="K1504" s="261"/>
      <c r="L1504" s="261"/>
      <c r="M1504" s="261"/>
      <c r="N1504" s="261"/>
      <c r="O1504" s="261"/>
      <c r="P1504" s="261"/>
      <c r="Q1504" s="261"/>
      <c r="R1504" s="261"/>
      <c r="S1504" s="261"/>
    </row>
    <row r="1505" spans="1:19">
      <c r="A1505" s="295"/>
      <c r="B1505" s="259" t="s">
        <v>89</v>
      </c>
      <c r="C1505" s="258"/>
      <c r="D1505" s="261"/>
      <c r="E1505" s="261"/>
      <c r="F1505" s="261"/>
      <c r="G1505" s="261"/>
      <c r="H1505" s="261"/>
      <c r="I1505" s="261"/>
      <c r="J1505" s="261"/>
      <c r="K1505" s="261"/>
      <c r="L1505" s="261"/>
      <c r="M1505" s="261"/>
      <c r="N1505" s="261"/>
      <c r="O1505" s="261"/>
      <c r="P1505" s="261"/>
      <c r="Q1505" s="261"/>
      <c r="R1505" s="261"/>
      <c r="S1505" s="261"/>
    </row>
    <row r="1506" spans="1:19">
      <c r="A1506" s="296"/>
      <c r="B1506" s="267" t="s">
        <v>90</v>
      </c>
      <c r="C1506" s="258"/>
      <c r="D1506" s="261"/>
      <c r="E1506" s="261"/>
      <c r="F1506" s="261"/>
      <c r="G1506" s="261"/>
      <c r="H1506" s="261"/>
      <c r="I1506" s="261"/>
      <c r="J1506" s="261"/>
      <c r="K1506" s="261"/>
      <c r="L1506" s="261"/>
      <c r="M1506" s="261"/>
      <c r="N1506" s="261"/>
      <c r="O1506" s="261"/>
      <c r="P1506" s="261"/>
      <c r="Q1506" s="261"/>
      <c r="R1506" s="261"/>
      <c r="S1506" s="261"/>
    </row>
    <row r="1507" spans="1:19">
      <c r="A1507" s="295">
        <v>46320</v>
      </c>
      <c r="B1507" s="259" t="s">
        <v>88</v>
      </c>
      <c r="C1507" s="258"/>
      <c r="D1507" s="261"/>
      <c r="E1507" s="261"/>
      <c r="F1507" s="261"/>
      <c r="G1507" s="261"/>
      <c r="H1507" s="261"/>
      <c r="I1507" s="261"/>
      <c r="J1507" s="261"/>
      <c r="K1507" s="261"/>
      <c r="L1507" s="261"/>
      <c r="M1507" s="261"/>
      <c r="N1507" s="261"/>
      <c r="O1507" s="261"/>
      <c r="P1507" s="261"/>
      <c r="Q1507" s="261"/>
      <c r="R1507" s="261"/>
      <c r="S1507" s="261"/>
    </row>
    <row r="1508" spans="1:19">
      <c r="A1508" s="295"/>
      <c r="B1508" s="259" t="s">
        <v>89</v>
      </c>
      <c r="C1508" s="258"/>
      <c r="D1508" s="261"/>
      <c r="E1508" s="261"/>
      <c r="F1508" s="261"/>
      <c r="G1508" s="261"/>
      <c r="H1508" s="261"/>
      <c r="I1508" s="261"/>
      <c r="J1508" s="261"/>
      <c r="K1508" s="261"/>
      <c r="L1508" s="261"/>
      <c r="M1508" s="261"/>
      <c r="N1508" s="261"/>
      <c r="O1508" s="261"/>
      <c r="P1508" s="261"/>
      <c r="Q1508" s="261"/>
      <c r="R1508" s="261"/>
      <c r="S1508" s="261"/>
    </row>
    <row r="1509" spans="1:19">
      <c r="A1509" s="296"/>
      <c r="B1509" s="267" t="s">
        <v>90</v>
      </c>
      <c r="C1509" s="258"/>
      <c r="D1509" s="261"/>
      <c r="E1509" s="261"/>
      <c r="F1509" s="261"/>
      <c r="G1509" s="261"/>
      <c r="H1509" s="261"/>
      <c r="I1509" s="261"/>
      <c r="J1509" s="261"/>
      <c r="K1509" s="261"/>
      <c r="L1509" s="261"/>
      <c r="M1509" s="261"/>
      <c r="N1509" s="261"/>
      <c r="O1509" s="261"/>
      <c r="P1509" s="261"/>
      <c r="Q1509" s="261"/>
      <c r="R1509" s="261"/>
      <c r="S1509" s="261"/>
    </row>
    <row r="1510" spans="1:19">
      <c r="A1510" s="295">
        <v>46321</v>
      </c>
      <c r="B1510" s="259" t="s">
        <v>88</v>
      </c>
      <c r="C1510" s="258"/>
      <c r="D1510" s="261"/>
      <c r="E1510" s="261"/>
      <c r="F1510" s="261"/>
      <c r="G1510" s="261"/>
      <c r="H1510" s="261"/>
      <c r="I1510" s="261"/>
      <c r="J1510" s="261"/>
      <c r="K1510" s="261"/>
      <c r="L1510" s="261"/>
      <c r="M1510" s="261"/>
      <c r="N1510" s="261"/>
      <c r="O1510" s="261"/>
      <c r="P1510" s="261"/>
      <c r="Q1510" s="261"/>
      <c r="R1510" s="261"/>
      <c r="S1510" s="261"/>
    </row>
    <row r="1511" spans="1:19">
      <c r="A1511" s="295"/>
      <c r="B1511" s="259" t="s">
        <v>89</v>
      </c>
      <c r="C1511" s="258"/>
      <c r="D1511" s="261"/>
      <c r="E1511" s="261"/>
      <c r="F1511" s="261"/>
      <c r="G1511" s="261"/>
      <c r="H1511" s="261"/>
      <c r="I1511" s="261"/>
      <c r="J1511" s="261"/>
      <c r="K1511" s="261"/>
      <c r="L1511" s="261"/>
      <c r="M1511" s="261"/>
      <c r="N1511" s="261"/>
      <c r="O1511" s="261"/>
      <c r="P1511" s="261"/>
      <c r="Q1511" s="261"/>
      <c r="R1511" s="261"/>
      <c r="S1511" s="261"/>
    </row>
    <row r="1512" spans="1:19">
      <c r="A1512" s="296"/>
      <c r="B1512" s="267" t="s">
        <v>90</v>
      </c>
      <c r="C1512" s="258"/>
      <c r="D1512" s="261"/>
      <c r="E1512" s="261"/>
      <c r="F1512" s="261"/>
      <c r="G1512" s="261"/>
      <c r="H1512" s="261"/>
      <c r="I1512" s="261"/>
      <c r="J1512" s="261"/>
      <c r="K1512" s="261"/>
      <c r="L1512" s="261"/>
      <c r="M1512" s="261"/>
      <c r="N1512" s="261"/>
      <c r="O1512" s="261"/>
      <c r="P1512" s="261"/>
      <c r="Q1512" s="261"/>
      <c r="R1512" s="261"/>
      <c r="S1512" s="261"/>
    </row>
    <row r="1513" spans="1:19">
      <c r="A1513" s="295">
        <v>46322</v>
      </c>
      <c r="B1513" s="259" t="s">
        <v>88</v>
      </c>
      <c r="C1513" s="258"/>
      <c r="D1513" s="261"/>
      <c r="E1513" s="261"/>
      <c r="F1513" s="261"/>
      <c r="G1513" s="261"/>
      <c r="H1513" s="261"/>
      <c r="I1513" s="261"/>
      <c r="J1513" s="261"/>
      <c r="K1513" s="261"/>
      <c r="L1513" s="261"/>
      <c r="M1513" s="261"/>
      <c r="N1513" s="261"/>
      <c r="O1513" s="261"/>
      <c r="P1513" s="261"/>
      <c r="Q1513" s="261"/>
      <c r="R1513" s="261"/>
      <c r="S1513" s="261"/>
    </row>
    <row r="1514" spans="1:19">
      <c r="A1514" s="295"/>
      <c r="B1514" s="259" t="s">
        <v>89</v>
      </c>
      <c r="C1514" s="258"/>
      <c r="D1514" s="261"/>
      <c r="E1514" s="261"/>
      <c r="F1514" s="261"/>
      <c r="G1514" s="261"/>
      <c r="H1514" s="261"/>
      <c r="I1514" s="261"/>
      <c r="J1514" s="261"/>
      <c r="K1514" s="261"/>
      <c r="L1514" s="261"/>
      <c r="M1514" s="261"/>
      <c r="N1514" s="261"/>
      <c r="O1514" s="261"/>
      <c r="P1514" s="261"/>
      <c r="Q1514" s="261"/>
      <c r="R1514" s="261"/>
      <c r="S1514" s="261"/>
    </row>
    <row r="1515" spans="1:19">
      <c r="A1515" s="296"/>
      <c r="B1515" s="267" t="s">
        <v>90</v>
      </c>
      <c r="C1515" s="258"/>
      <c r="D1515" s="261"/>
      <c r="E1515" s="261"/>
      <c r="F1515" s="261"/>
      <c r="G1515" s="261"/>
      <c r="H1515" s="261"/>
      <c r="I1515" s="261"/>
      <c r="J1515" s="261"/>
      <c r="K1515" s="261"/>
      <c r="L1515" s="261"/>
      <c r="M1515" s="261"/>
      <c r="N1515" s="261"/>
      <c r="O1515" s="261"/>
      <c r="P1515" s="261"/>
      <c r="Q1515" s="261"/>
      <c r="R1515" s="261"/>
      <c r="S1515" s="261"/>
    </row>
    <row r="1516" spans="1:19">
      <c r="A1516" s="295">
        <v>46323</v>
      </c>
      <c r="B1516" s="259" t="s">
        <v>88</v>
      </c>
      <c r="C1516" s="258"/>
      <c r="D1516" s="261"/>
      <c r="E1516" s="261"/>
      <c r="F1516" s="261"/>
      <c r="G1516" s="261"/>
      <c r="H1516" s="261"/>
      <c r="I1516" s="261"/>
      <c r="J1516" s="261"/>
      <c r="K1516" s="261"/>
      <c r="L1516" s="261"/>
      <c r="M1516" s="261"/>
      <c r="N1516" s="261"/>
      <c r="O1516" s="261"/>
      <c r="P1516" s="261"/>
      <c r="Q1516" s="261"/>
      <c r="R1516" s="261"/>
      <c r="S1516" s="261"/>
    </row>
    <row r="1517" spans="1:19">
      <c r="A1517" s="295"/>
      <c r="B1517" s="259" t="s">
        <v>89</v>
      </c>
      <c r="C1517" s="258"/>
      <c r="D1517" s="261"/>
      <c r="E1517" s="261"/>
      <c r="F1517" s="261"/>
      <c r="G1517" s="261"/>
      <c r="H1517" s="261"/>
      <c r="I1517" s="261"/>
      <c r="J1517" s="261"/>
      <c r="K1517" s="261"/>
      <c r="L1517" s="261"/>
      <c r="M1517" s="261"/>
      <c r="N1517" s="261"/>
      <c r="O1517" s="261"/>
      <c r="P1517" s="261"/>
      <c r="Q1517" s="261"/>
      <c r="R1517" s="261"/>
      <c r="S1517" s="261"/>
    </row>
    <row r="1518" spans="1:19">
      <c r="A1518" s="296"/>
      <c r="B1518" s="267" t="s">
        <v>90</v>
      </c>
      <c r="C1518" s="258"/>
      <c r="D1518" s="261"/>
      <c r="E1518" s="261"/>
      <c r="F1518" s="261"/>
      <c r="G1518" s="261"/>
      <c r="H1518" s="261"/>
      <c r="I1518" s="261"/>
      <c r="J1518" s="261"/>
      <c r="K1518" s="261"/>
      <c r="L1518" s="261"/>
      <c r="M1518" s="261"/>
      <c r="N1518" s="261"/>
      <c r="O1518" s="261"/>
      <c r="P1518" s="261"/>
      <c r="Q1518" s="261"/>
      <c r="R1518" s="261"/>
      <c r="S1518" s="261"/>
    </row>
    <row r="1519" spans="1:19">
      <c r="A1519" s="295">
        <v>46324</v>
      </c>
      <c r="B1519" s="259" t="s">
        <v>88</v>
      </c>
      <c r="C1519" s="258"/>
      <c r="D1519" s="261"/>
      <c r="E1519" s="261"/>
      <c r="F1519" s="261"/>
      <c r="G1519" s="261"/>
      <c r="H1519" s="261"/>
      <c r="I1519" s="261"/>
      <c r="J1519" s="261"/>
      <c r="K1519" s="261"/>
      <c r="L1519" s="261"/>
      <c r="M1519" s="261"/>
      <c r="N1519" s="261"/>
      <c r="O1519" s="261"/>
      <c r="P1519" s="261"/>
      <c r="Q1519" s="261"/>
      <c r="R1519" s="261"/>
      <c r="S1519" s="261"/>
    </row>
    <row r="1520" spans="1:19">
      <c r="A1520" s="295"/>
      <c r="B1520" s="259" t="s">
        <v>89</v>
      </c>
      <c r="C1520" s="258"/>
      <c r="D1520" s="261"/>
      <c r="E1520" s="261"/>
      <c r="F1520" s="261"/>
      <c r="G1520" s="261"/>
      <c r="H1520" s="261"/>
      <c r="I1520" s="261"/>
      <c r="J1520" s="261"/>
      <c r="K1520" s="261"/>
      <c r="L1520" s="261"/>
      <c r="M1520" s="261"/>
      <c r="N1520" s="261"/>
      <c r="O1520" s="261"/>
      <c r="P1520" s="261"/>
      <c r="Q1520" s="261"/>
      <c r="R1520" s="261"/>
      <c r="S1520" s="261"/>
    </row>
    <row r="1521" spans="1:19">
      <c r="A1521" s="296"/>
      <c r="B1521" s="267" t="s">
        <v>90</v>
      </c>
      <c r="C1521" s="258"/>
      <c r="D1521" s="261"/>
      <c r="E1521" s="261"/>
      <c r="F1521" s="261"/>
      <c r="G1521" s="261"/>
      <c r="H1521" s="261"/>
      <c r="I1521" s="261"/>
      <c r="J1521" s="261"/>
      <c r="K1521" s="261"/>
      <c r="L1521" s="261"/>
      <c r="M1521" s="261"/>
      <c r="N1521" s="261"/>
      <c r="O1521" s="261"/>
      <c r="P1521" s="261"/>
      <c r="Q1521" s="261"/>
      <c r="R1521" s="261"/>
      <c r="S1521" s="261"/>
    </row>
    <row r="1522" spans="1:19">
      <c r="A1522" s="295">
        <v>46325</v>
      </c>
      <c r="B1522" s="259" t="s">
        <v>88</v>
      </c>
      <c r="C1522" s="258"/>
      <c r="D1522" s="261"/>
      <c r="E1522" s="261"/>
      <c r="F1522" s="261"/>
      <c r="G1522" s="261"/>
      <c r="H1522" s="261"/>
      <c r="I1522" s="261"/>
      <c r="J1522" s="261"/>
      <c r="K1522" s="261"/>
      <c r="L1522" s="261"/>
      <c r="M1522" s="261"/>
      <c r="N1522" s="261"/>
      <c r="O1522" s="261"/>
      <c r="P1522" s="261"/>
      <c r="Q1522" s="261"/>
      <c r="R1522" s="261"/>
      <c r="S1522" s="261"/>
    </row>
    <row r="1523" spans="1:19">
      <c r="A1523" s="295"/>
      <c r="B1523" s="259" t="s">
        <v>89</v>
      </c>
      <c r="C1523" s="258"/>
      <c r="D1523" s="261"/>
      <c r="E1523" s="261"/>
      <c r="F1523" s="261"/>
      <c r="G1523" s="261"/>
      <c r="H1523" s="261"/>
      <c r="I1523" s="261"/>
      <c r="J1523" s="261"/>
      <c r="K1523" s="261"/>
      <c r="L1523" s="261"/>
      <c r="M1523" s="261"/>
      <c r="N1523" s="261"/>
      <c r="O1523" s="261"/>
      <c r="P1523" s="261"/>
      <c r="Q1523" s="261"/>
      <c r="R1523" s="261"/>
      <c r="S1523" s="261"/>
    </row>
    <row r="1524" spans="1:19">
      <c r="A1524" s="296"/>
      <c r="B1524" s="267" t="s">
        <v>90</v>
      </c>
      <c r="C1524" s="258"/>
      <c r="D1524" s="261"/>
      <c r="E1524" s="261"/>
      <c r="F1524" s="261"/>
      <c r="G1524" s="261"/>
      <c r="H1524" s="261"/>
      <c r="I1524" s="261"/>
      <c r="J1524" s="261"/>
      <c r="K1524" s="261"/>
      <c r="L1524" s="261"/>
      <c r="M1524" s="261"/>
      <c r="N1524" s="261"/>
      <c r="O1524" s="261"/>
      <c r="P1524" s="261"/>
      <c r="Q1524" s="261"/>
      <c r="R1524" s="261"/>
      <c r="S1524" s="261"/>
    </row>
    <row r="1525" spans="1:19">
      <c r="A1525" s="295">
        <v>46326</v>
      </c>
      <c r="B1525" s="259" t="s">
        <v>88</v>
      </c>
      <c r="C1525" s="258"/>
      <c r="D1525" s="261"/>
      <c r="E1525" s="261"/>
      <c r="F1525" s="261"/>
      <c r="G1525" s="261"/>
      <c r="H1525" s="261"/>
      <c r="I1525" s="261"/>
      <c r="J1525" s="261"/>
      <c r="K1525" s="261"/>
      <c r="L1525" s="261"/>
      <c r="M1525" s="261"/>
      <c r="N1525" s="261"/>
      <c r="O1525" s="261"/>
      <c r="P1525" s="261"/>
      <c r="Q1525" s="261"/>
      <c r="R1525" s="261"/>
      <c r="S1525" s="261"/>
    </row>
    <row r="1526" spans="1:19">
      <c r="A1526" s="295"/>
      <c r="B1526" s="259" t="s">
        <v>89</v>
      </c>
      <c r="C1526" s="258"/>
      <c r="D1526" s="261"/>
      <c r="E1526" s="261"/>
      <c r="F1526" s="261"/>
      <c r="G1526" s="261"/>
      <c r="H1526" s="261"/>
      <c r="I1526" s="261"/>
      <c r="J1526" s="261"/>
      <c r="K1526" s="261"/>
      <c r="L1526" s="261"/>
      <c r="M1526" s="261"/>
      <c r="N1526" s="261"/>
      <c r="O1526" s="261"/>
      <c r="P1526" s="261"/>
      <c r="Q1526" s="261"/>
      <c r="R1526" s="261"/>
      <c r="S1526" s="261"/>
    </row>
    <row r="1527" spans="1:19">
      <c r="A1527" s="296"/>
      <c r="B1527" s="267" t="s">
        <v>90</v>
      </c>
      <c r="C1527" s="258"/>
      <c r="D1527" s="261"/>
      <c r="E1527" s="261"/>
      <c r="F1527" s="261"/>
      <c r="G1527" s="261"/>
      <c r="H1527" s="261"/>
      <c r="I1527" s="261"/>
      <c r="J1527" s="261"/>
      <c r="K1527" s="261"/>
      <c r="L1527" s="261"/>
      <c r="M1527" s="261"/>
      <c r="N1527" s="261"/>
      <c r="O1527" s="261"/>
      <c r="P1527" s="261"/>
      <c r="Q1527" s="261"/>
      <c r="R1527" s="261"/>
      <c r="S1527" s="261"/>
    </row>
    <row r="1528" spans="1:19">
      <c r="A1528" s="295">
        <v>46327</v>
      </c>
      <c r="B1528" s="259" t="s">
        <v>88</v>
      </c>
      <c r="C1528" s="258"/>
      <c r="D1528" s="261"/>
      <c r="E1528" s="261"/>
      <c r="F1528" s="261"/>
      <c r="G1528" s="261"/>
      <c r="H1528" s="261"/>
      <c r="I1528" s="261"/>
      <c r="J1528" s="261"/>
      <c r="K1528" s="261"/>
      <c r="L1528" s="261"/>
      <c r="M1528" s="261"/>
      <c r="N1528" s="261"/>
      <c r="O1528" s="261"/>
      <c r="P1528" s="261"/>
      <c r="Q1528" s="261"/>
      <c r="R1528" s="261"/>
      <c r="S1528" s="261"/>
    </row>
    <row r="1529" spans="1:19">
      <c r="A1529" s="295"/>
      <c r="B1529" s="259" t="s">
        <v>89</v>
      </c>
      <c r="C1529" s="258"/>
      <c r="D1529" s="261"/>
      <c r="E1529" s="261"/>
      <c r="F1529" s="261"/>
      <c r="G1529" s="261"/>
      <c r="H1529" s="261"/>
      <c r="I1529" s="261"/>
      <c r="J1529" s="261"/>
      <c r="K1529" s="261"/>
      <c r="L1529" s="261"/>
      <c r="M1529" s="261"/>
      <c r="N1529" s="261"/>
      <c r="O1529" s="261"/>
      <c r="P1529" s="261"/>
      <c r="Q1529" s="261"/>
      <c r="R1529" s="261"/>
      <c r="S1529" s="261"/>
    </row>
    <row r="1530" spans="1:19">
      <c r="A1530" s="296"/>
      <c r="B1530" s="267" t="s">
        <v>90</v>
      </c>
      <c r="C1530" s="258"/>
      <c r="D1530" s="261"/>
      <c r="E1530" s="261"/>
      <c r="F1530" s="261"/>
      <c r="G1530" s="261"/>
      <c r="H1530" s="261"/>
      <c r="I1530" s="261"/>
      <c r="J1530" s="261"/>
      <c r="K1530" s="261"/>
      <c r="L1530" s="261"/>
      <c r="M1530" s="261"/>
      <c r="N1530" s="261"/>
      <c r="O1530" s="261"/>
      <c r="P1530" s="261"/>
      <c r="Q1530" s="261"/>
      <c r="R1530" s="261"/>
      <c r="S1530" s="261"/>
    </row>
    <row r="1531" spans="1:19">
      <c r="A1531" s="295">
        <v>46328</v>
      </c>
      <c r="B1531" s="259" t="s">
        <v>88</v>
      </c>
      <c r="C1531" s="258"/>
      <c r="D1531" s="261"/>
      <c r="E1531" s="261"/>
      <c r="F1531" s="261"/>
      <c r="G1531" s="261"/>
      <c r="H1531" s="261"/>
      <c r="I1531" s="261"/>
      <c r="J1531" s="261"/>
      <c r="K1531" s="261"/>
      <c r="L1531" s="261"/>
      <c r="M1531" s="261"/>
      <c r="N1531" s="261"/>
      <c r="O1531" s="261"/>
      <c r="P1531" s="261"/>
      <c r="Q1531" s="261"/>
      <c r="R1531" s="261"/>
      <c r="S1531" s="261"/>
    </row>
    <row r="1532" spans="1:19">
      <c r="A1532" s="295"/>
      <c r="B1532" s="259" t="s">
        <v>89</v>
      </c>
      <c r="C1532" s="258"/>
      <c r="D1532" s="261"/>
      <c r="E1532" s="261"/>
      <c r="F1532" s="261"/>
      <c r="G1532" s="261"/>
      <c r="H1532" s="261"/>
      <c r="I1532" s="261"/>
      <c r="J1532" s="261"/>
      <c r="K1532" s="261"/>
      <c r="L1532" s="261"/>
      <c r="M1532" s="261"/>
      <c r="N1532" s="261"/>
      <c r="O1532" s="261"/>
      <c r="P1532" s="261"/>
      <c r="Q1532" s="261"/>
      <c r="R1532" s="261"/>
      <c r="S1532" s="261"/>
    </row>
    <row r="1533" spans="1:19">
      <c r="A1533" s="296"/>
      <c r="B1533" s="267" t="s">
        <v>90</v>
      </c>
      <c r="C1533" s="258"/>
      <c r="D1533" s="261"/>
      <c r="E1533" s="261"/>
      <c r="F1533" s="261"/>
      <c r="G1533" s="261"/>
      <c r="H1533" s="261"/>
      <c r="I1533" s="261"/>
      <c r="J1533" s="261"/>
      <c r="K1533" s="261"/>
      <c r="L1533" s="261"/>
      <c r="M1533" s="261"/>
      <c r="N1533" s="261"/>
      <c r="O1533" s="261"/>
      <c r="P1533" s="261"/>
      <c r="Q1533" s="261"/>
      <c r="R1533" s="261"/>
      <c r="S1533" s="261"/>
    </row>
    <row r="1534" spans="1:19">
      <c r="A1534" s="295">
        <v>46329</v>
      </c>
      <c r="B1534" s="259" t="s">
        <v>88</v>
      </c>
      <c r="C1534" s="258"/>
      <c r="D1534" s="261"/>
      <c r="E1534" s="261"/>
      <c r="F1534" s="261"/>
      <c r="G1534" s="261"/>
      <c r="H1534" s="261"/>
      <c r="I1534" s="261"/>
      <c r="J1534" s="261"/>
      <c r="K1534" s="261"/>
      <c r="L1534" s="261"/>
      <c r="M1534" s="261"/>
      <c r="N1534" s="261"/>
      <c r="O1534" s="261"/>
      <c r="P1534" s="261"/>
      <c r="Q1534" s="261"/>
      <c r="R1534" s="261"/>
      <c r="S1534" s="261"/>
    </row>
    <row r="1535" spans="1:19">
      <c r="A1535" s="295"/>
      <c r="B1535" s="259" t="s">
        <v>89</v>
      </c>
      <c r="C1535" s="258"/>
      <c r="D1535" s="261"/>
      <c r="E1535" s="261"/>
      <c r="F1535" s="261"/>
      <c r="G1535" s="261"/>
      <c r="H1535" s="261"/>
      <c r="I1535" s="261"/>
      <c r="J1535" s="261"/>
      <c r="K1535" s="261"/>
      <c r="L1535" s="261"/>
      <c r="M1535" s="261"/>
      <c r="N1535" s="261"/>
      <c r="O1535" s="261"/>
      <c r="P1535" s="261"/>
      <c r="Q1535" s="261"/>
      <c r="R1535" s="261"/>
      <c r="S1535" s="261"/>
    </row>
    <row r="1536" spans="1:19">
      <c r="A1536" s="296"/>
      <c r="B1536" s="267" t="s">
        <v>90</v>
      </c>
      <c r="C1536" s="258"/>
      <c r="D1536" s="261"/>
      <c r="E1536" s="261"/>
      <c r="F1536" s="261"/>
      <c r="G1536" s="261"/>
      <c r="H1536" s="261"/>
      <c r="I1536" s="261"/>
      <c r="J1536" s="261"/>
      <c r="K1536" s="261"/>
      <c r="L1536" s="261"/>
      <c r="M1536" s="261"/>
      <c r="N1536" s="261"/>
      <c r="O1536" s="261"/>
      <c r="P1536" s="261"/>
      <c r="Q1536" s="261"/>
      <c r="R1536" s="261"/>
      <c r="S1536" s="261"/>
    </row>
    <row r="1537" spans="1:19">
      <c r="A1537" s="295">
        <v>46330</v>
      </c>
      <c r="B1537" s="259" t="s">
        <v>88</v>
      </c>
      <c r="C1537" s="258"/>
      <c r="D1537" s="261"/>
      <c r="E1537" s="261"/>
      <c r="F1537" s="261"/>
      <c r="G1537" s="261"/>
      <c r="H1537" s="261"/>
      <c r="I1537" s="261"/>
      <c r="J1537" s="261"/>
      <c r="K1537" s="261"/>
      <c r="L1537" s="261"/>
      <c r="M1537" s="261"/>
      <c r="N1537" s="261"/>
      <c r="O1537" s="261"/>
      <c r="P1537" s="261"/>
      <c r="Q1537" s="261"/>
      <c r="R1537" s="261"/>
      <c r="S1537" s="261"/>
    </row>
    <row r="1538" spans="1:19">
      <c r="A1538" s="295"/>
      <c r="B1538" s="259" t="s">
        <v>89</v>
      </c>
      <c r="C1538" s="258"/>
      <c r="D1538" s="261"/>
      <c r="E1538" s="261"/>
      <c r="F1538" s="261"/>
      <c r="G1538" s="261"/>
      <c r="H1538" s="261"/>
      <c r="I1538" s="261"/>
      <c r="J1538" s="261"/>
      <c r="K1538" s="261"/>
      <c r="L1538" s="261"/>
      <c r="M1538" s="261"/>
      <c r="N1538" s="261"/>
      <c r="O1538" s="261"/>
      <c r="P1538" s="261"/>
      <c r="Q1538" s="261"/>
      <c r="R1538" s="261"/>
      <c r="S1538" s="261"/>
    </row>
    <row r="1539" spans="1:19">
      <c r="A1539" s="296"/>
      <c r="B1539" s="267" t="s">
        <v>90</v>
      </c>
      <c r="C1539" s="258"/>
      <c r="D1539" s="261"/>
      <c r="E1539" s="261"/>
      <c r="F1539" s="261"/>
      <c r="G1539" s="261"/>
      <c r="H1539" s="261"/>
      <c r="I1539" s="261"/>
      <c r="J1539" s="261"/>
      <c r="K1539" s="261"/>
      <c r="L1539" s="261"/>
      <c r="M1539" s="261"/>
      <c r="N1539" s="261"/>
      <c r="O1539" s="261"/>
      <c r="P1539" s="261"/>
      <c r="Q1539" s="261"/>
      <c r="R1539" s="261"/>
      <c r="S1539" s="261"/>
    </row>
    <row r="1540" spans="1:19">
      <c r="A1540" s="295">
        <v>46331</v>
      </c>
      <c r="B1540" s="259" t="s">
        <v>88</v>
      </c>
      <c r="C1540" s="258"/>
      <c r="D1540" s="261"/>
      <c r="E1540" s="261"/>
      <c r="F1540" s="261"/>
      <c r="G1540" s="261"/>
      <c r="H1540" s="261"/>
      <c r="I1540" s="261"/>
      <c r="J1540" s="261"/>
      <c r="K1540" s="261"/>
      <c r="L1540" s="261"/>
      <c r="M1540" s="261"/>
      <c r="N1540" s="261"/>
      <c r="O1540" s="261"/>
      <c r="P1540" s="261"/>
      <c r="Q1540" s="261"/>
      <c r="R1540" s="261"/>
      <c r="S1540" s="261"/>
    </row>
    <row r="1541" spans="1:19">
      <c r="A1541" s="295"/>
      <c r="B1541" s="259" t="s">
        <v>89</v>
      </c>
      <c r="C1541" s="258"/>
      <c r="D1541" s="261"/>
      <c r="E1541" s="261"/>
      <c r="F1541" s="261"/>
      <c r="G1541" s="261"/>
      <c r="H1541" s="261"/>
      <c r="I1541" s="261"/>
      <c r="J1541" s="261"/>
      <c r="K1541" s="261"/>
      <c r="L1541" s="261"/>
      <c r="M1541" s="261"/>
      <c r="N1541" s="261"/>
      <c r="O1541" s="261"/>
      <c r="P1541" s="261"/>
      <c r="Q1541" s="261"/>
      <c r="R1541" s="261"/>
      <c r="S1541" s="261"/>
    </row>
    <row r="1542" spans="1:19">
      <c r="A1542" s="296"/>
      <c r="B1542" s="267" t="s">
        <v>90</v>
      </c>
      <c r="C1542" s="258"/>
      <c r="D1542" s="261"/>
      <c r="E1542" s="261"/>
      <c r="F1542" s="261"/>
      <c r="G1542" s="261"/>
      <c r="H1542" s="261"/>
      <c r="I1542" s="261"/>
      <c r="J1542" s="261"/>
      <c r="K1542" s="261"/>
      <c r="L1542" s="261"/>
      <c r="M1542" s="261"/>
      <c r="N1542" s="261"/>
      <c r="O1542" s="261"/>
      <c r="P1542" s="261"/>
      <c r="Q1542" s="261"/>
      <c r="R1542" s="261"/>
      <c r="S1542" s="261"/>
    </row>
    <row r="1543" spans="1:19">
      <c r="A1543" s="295">
        <v>46332</v>
      </c>
      <c r="B1543" s="259" t="s">
        <v>88</v>
      </c>
      <c r="C1543" s="258"/>
      <c r="D1543" s="261"/>
      <c r="E1543" s="261"/>
      <c r="F1543" s="261"/>
      <c r="G1543" s="261"/>
      <c r="H1543" s="261"/>
      <c r="I1543" s="261"/>
      <c r="J1543" s="261"/>
      <c r="K1543" s="261"/>
      <c r="L1543" s="261"/>
      <c r="M1543" s="261"/>
      <c r="N1543" s="261"/>
      <c r="O1543" s="261"/>
      <c r="P1543" s="261"/>
      <c r="Q1543" s="261"/>
      <c r="R1543" s="261"/>
      <c r="S1543" s="261"/>
    </row>
    <row r="1544" spans="1:19">
      <c r="A1544" s="295"/>
      <c r="B1544" s="259" t="s">
        <v>89</v>
      </c>
      <c r="C1544" s="258"/>
      <c r="D1544" s="261"/>
      <c r="E1544" s="261"/>
      <c r="F1544" s="261"/>
      <c r="G1544" s="261"/>
      <c r="H1544" s="261"/>
      <c r="I1544" s="261"/>
      <c r="J1544" s="261"/>
      <c r="K1544" s="261"/>
      <c r="L1544" s="261"/>
      <c r="M1544" s="261"/>
      <c r="N1544" s="261"/>
      <c r="O1544" s="261"/>
      <c r="P1544" s="261"/>
      <c r="Q1544" s="261"/>
      <c r="R1544" s="261"/>
      <c r="S1544" s="261"/>
    </row>
    <row r="1545" spans="1:19">
      <c r="A1545" s="296"/>
      <c r="B1545" s="267" t="s">
        <v>90</v>
      </c>
      <c r="C1545" s="258"/>
      <c r="D1545" s="261"/>
      <c r="E1545" s="261"/>
      <c r="F1545" s="261"/>
      <c r="G1545" s="261"/>
      <c r="H1545" s="261"/>
      <c r="I1545" s="261"/>
      <c r="J1545" s="261"/>
      <c r="K1545" s="261"/>
      <c r="L1545" s="261"/>
      <c r="M1545" s="261"/>
      <c r="N1545" s="261"/>
      <c r="O1545" s="261"/>
      <c r="P1545" s="261"/>
      <c r="Q1545" s="261"/>
      <c r="R1545" s="261"/>
      <c r="S1545" s="261"/>
    </row>
    <row r="1546" spans="1:19">
      <c r="A1546" s="295">
        <v>46333</v>
      </c>
      <c r="B1546" s="259" t="s">
        <v>88</v>
      </c>
      <c r="C1546" s="258"/>
      <c r="D1546" s="261"/>
      <c r="E1546" s="261"/>
      <c r="F1546" s="261"/>
      <c r="G1546" s="261"/>
      <c r="H1546" s="261"/>
      <c r="I1546" s="261"/>
      <c r="J1546" s="261"/>
      <c r="K1546" s="261"/>
      <c r="L1546" s="261"/>
      <c r="M1546" s="261"/>
      <c r="N1546" s="261"/>
      <c r="O1546" s="261"/>
      <c r="P1546" s="261"/>
      <c r="Q1546" s="261"/>
      <c r="R1546" s="261"/>
      <c r="S1546" s="261"/>
    </row>
    <row r="1547" spans="1:19">
      <c r="A1547" s="295"/>
      <c r="B1547" s="259" t="s">
        <v>89</v>
      </c>
      <c r="C1547" s="258"/>
      <c r="D1547" s="261"/>
      <c r="E1547" s="261"/>
      <c r="F1547" s="261"/>
      <c r="G1547" s="261"/>
      <c r="H1547" s="261"/>
      <c r="I1547" s="261"/>
      <c r="J1547" s="261"/>
      <c r="K1547" s="261"/>
      <c r="L1547" s="261"/>
      <c r="M1547" s="261"/>
      <c r="N1547" s="261"/>
      <c r="O1547" s="261"/>
      <c r="P1547" s="261"/>
      <c r="Q1547" s="261"/>
      <c r="R1547" s="261"/>
      <c r="S1547" s="261"/>
    </row>
    <row r="1548" spans="1:19">
      <c r="A1548" s="296"/>
      <c r="B1548" s="267" t="s">
        <v>90</v>
      </c>
      <c r="C1548" s="258"/>
      <c r="D1548" s="261"/>
      <c r="E1548" s="261"/>
      <c r="F1548" s="261"/>
      <c r="G1548" s="261"/>
      <c r="H1548" s="261"/>
      <c r="I1548" s="261"/>
      <c r="J1548" s="261"/>
      <c r="K1548" s="261"/>
      <c r="L1548" s="261"/>
      <c r="M1548" s="261"/>
      <c r="N1548" s="261"/>
      <c r="O1548" s="261"/>
      <c r="P1548" s="261"/>
      <c r="Q1548" s="261"/>
      <c r="R1548" s="261"/>
      <c r="S1548" s="261"/>
    </row>
    <row r="1549" spans="1:19">
      <c r="A1549" s="295">
        <v>46334</v>
      </c>
      <c r="B1549" s="259" t="s">
        <v>88</v>
      </c>
      <c r="C1549" s="258"/>
      <c r="D1549" s="261"/>
      <c r="E1549" s="261"/>
      <c r="F1549" s="261"/>
      <c r="G1549" s="261"/>
      <c r="H1549" s="261"/>
      <c r="I1549" s="261"/>
      <c r="J1549" s="261"/>
      <c r="K1549" s="261"/>
      <c r="L1549" s="261"/>
      <c r="M1549" s="261"/>
      <c r="N1549" s="261"/>
      <c r="O1549" s="261"/>
      <c r="P1549" s="261"/>
      <c r="Q1549" s="261"/>
      <c r="R1549" s="261"/>
      <c r="S1549" s="261"/>
    </row>
    <row r="1550" spans="1:19">
      <c r="A1550" s="295"/>
      <c r="B1550" s="259" t="s">
        <v>89</v>
      </c>
      <c r="C1550" s="258"/>
      <c r="D1550" s="261"/>
      <c r="E1550" s="261"/>
      <c r="F1550" s="261"/>
      <c r="G1550" s="261"/>
      <c r="H1550" s="261"/>
      <c r="I1550" s="261"/>
      <c r="J1550" s="261"/>
      <c r="K1550" s="261"/>
      <c r="L1550" s="261"/>
      <c r="M1550" s="261"/>
      <c r="N1550" s="261"/>
      <c r="O1550" s="261"/>
      <c r="P1550" s="261"/>
      <c r="Q1550" s="261"/>
      <c r="R1550" s="261"/>
      <c r="S1550" s="261"/>
    </row>
    <row r="1551" spans="1:19">
      <c r="A1551" s="296"/>
      <c r="B1551" s="267" t="s">
        <v>90</v>
      </c>
      <c r="C1551" s="258"/>
      <c r="D1551" s="261"/>
      <c r="E1551" s="261"/>
      <c r="F1551" s="261"/>
      <c r="G1551" s="261"/>
      <c r="H1551" s="261"/>
      <c r="I1551" s="261"/>
      <c r="J1551" s="261"/>
      <c r="K1551" s="261"/>
      <c r="L1551" s="261"/>
      <c r="M1551" s="261"/>
      <c r="N1551" s="261"/>
      <c r="O1551" s="261"/>
      <c r="P1551" s="261"/>
      <c r="Q1551" s="261"/>
      <c r="R1551" s="261"/>
      <c r="S1551" s="261"/>
    </row>
    <row r="1552" spans="1:19">
      <c r="A1552" s="295">
        <v>46335</v>
      </c>
      <c r="B1552" s="259" t="s">
        <v>88</v>
      </c>
      <c r="C1552" s="258"/>
      <c r="D1552" s="261"/>
      <c r="E1552" s="261"/>
      <c r="F1552" s="261"/>
      <c r="G1552" s="261"/>
      <c r="H1552" s="261"/>
      <c r="I1552" s="261"/>
      <c r="J1552" s="261"/>
      <c r="K1552" s="261"/>
      <c r="L1552" s="261"/>
      <c r="M1552" s="261"/>
      <c r="N1552" s="261"/>
      <c r="O1552" s="261"/>
      <c r="P1552" s="261"/>
      <c r="Q1552" s="261"/>
      <c r="R1552" s="261"/>
      <c r="S1552" s="261"/>
    </row>
    <row r="1553" spans="1:19">
      <c r="A1553" s="295"/>
      <c r="B1553" s="259" t="s">
        <v>89</v>
      </c>
      <c r="C1553" s="258"/>
      <c r="D1553" s="261"/>
      <c r="E1553" s="261"/>
      <c r="F1553" s="261"/>
      <c r="G1553" s="261"/>
      <c r="H1553" s="261"/>
      <c r="I1553" s="261"/>
      <c r="J1553" s="261"/>
      <c r="K1553" s="261"/>
      <c r="L1553" s="261"/>
      <c r="M1553" s="261"/>
      <c r="N1553" s="261"/>
      <c r="O1553" s="261"/>
      <c r="P1553" s="261"/>
      <c r="Q1553" s="261"/>
      <c r="R1553" s="261"/>
      <c r="S1553" s="261"/>
    </row>
    <row r="1554" spans="1:19">
      <c r="A1554" s="296"/>
      <c r="B1554" s="267" t="s">
        <v>90</v>
      </c>
      <c r="C1554" s="258"/>
      <c r="D1554" s="261"/>
      <c r="E1554" s="261"/>
      <c r="F1554" s="261"/>
      <c r="G1554" s="261"/>
      <c r="H1554" s="261"/>
      <c r="I1554" s="261"/>
      <c r="J1554" s="261"/>
      <c r="K1554" s="261"/>
      <c r="L1554" s="261"/>
      <c r="M1554" s="261"/>
      <c r="N1554" s="261"/>
      <c r="O1554" s="261"/>
      <c r="P1554" s="261"/>
      <c r="Q1554" s="261"/>
      <c r="R1554" s="261"/>
      <c r="S1554" s="261"/>
    </row>
    <row r="1555" spans="1:19">
      <c r="A1555" s="295">
        <v>46336</v>
      </c>
      <c r="B1555" s="259" t="s">
        <v>88</v>
      </c>
      <c r="C1555" s="258"/>
      <c r="D1555" s="261"/>
      <c r="E1555" s="261"/>
      <c r="F1555" s="261"/>
      <c r="G1555" s="261"/>
      <c r="H1555" s="261"/>
      <c r="I1555" s="261"/>
      <c r="J1555" s="261"/>
      <c r="K1555" s="261"/>
      <c r="L1555" s="261"/>
      <c r="M1555" s="261"/>
      <c r="N1555" s="261"/>
      <c r="O1555" s="261"/>
      <c r="P1555" s="261"/>
      <c r="Q1555" s="261"/>
      <c r="R1555" s="261"/>
      <c r="S1555" s="261"/>
    </row>
    <row r="1556" spans="1:19">
      <c r="A1556" s="295"/>
      <c r="B1556" s="259" t="s">
        <v>89</v>
      </c>
      <c r="C1556" s="258"/>
      <c r="D1556" s="261"/>
      <c r="E1556" s="261"/>
      <c r="F1556" s="261"/>
      <c r="G1556" s="261"/>
      <c r="H1556" s="261"/>
      <c r="I1556" s="261"/>
      <c r="J1556" s="261"/>
      <c r="K1556" s="261"/>
      <c r="L1556" s="261"/>
      <c r="M1556" s="261"/>
      <c r="N1556" s="261"/>
      <c r="O1556" s="261"/>
      <c r="P1556" s="261"/>
      <c r="Q1556" s="261"/>
      <c r="R1556" s="261"/>
      <c r="S1556" s="261"/>
    </row>
    <row r="1557" spans="1:19">
      <c r="A1557" s="296"/>
      <c r="B1557" s="267" t="s">
        <v>90</v>
      </c>
      <c r="C1557" s="258"/>
      <c r="D1557" s="261"/>
      <c r="E1557" s="261"/>
      <c r="F1557" s="261"/>
      <c r="G1557" s="261"/>
      <c r="H1557" s="261"/>
      <c r="I1557" s="261"/>
      <c r="J1557" s="261"/>
      <c r="K1557" s="261"/>
      <c r="L1557" s="261"/>
      <c r="M1557" s="261"/>
      <c r="N1557" s="261"/>
      <c r="O1557" s="261"/>
      <c r="P1557" s="261"/>
      <c r="Q1557" s="261"/>
      <c r="R1557" s="261"/>
      <c r="S1557" s="261"/>
    </row>
    <row r="1558" spans="1:19">
      <c r="A1558" s="295">
        <v>46337</v>
      </c>
      <c r="B1558" s="259" t="s">
        <v>88</v>
      </c>
      <c r="C1558" s="258"/>
      <c r="D1558" s="261"/>
      <c r="E1558" s="261"/>
      <c r="F1558" s="261"/>
      <c r="G1558" s="261"/>
      <c r="H1558" s="261"/>
      <c r="I1558" s="261"/>
      <c r="J1558" s="261"/>
      <c r="K1558" s="261"/>
      <c r="L1558" s="261"/>
      <c r="M1558" s="261"/>
      <c r="N1558" s="261"/>
      <c r="O1558" s="261"/>
      <c r="P1558" s="261"/>
      <c r="Q1558" s="261"/>
      <c r="R1558" s="261"/>
      <c r="S1558" s="261"/>
    </row>
    <row r="1559" spans="1:19">
      <c r="A1559" s="295"/>
      <c r="B1559" s="259" t="s">
        <v>89</v>
      </c>
      <c r="C1559" s="258"/>
      <c r="D1559" s="261"/>
      <c r="E1559" s="261"/>
      <c r="F1559" s="261"/>
      <c r="G1559" s="261"/>
      <c r="H1559" s="261"/>
      <c r="I1559" s="261"/>
      <c r="J1559" s="261"/>
      <c r="K1559" s="261"/>
      <c r="L1559" s="261"/>
      <c r="M1559" s="261"/>
      <c r="N1559" s="261"/>
      <c r="O1559" s="261"/>
      <c r="P1559" s="261"/>
      <c r="Q1559" s="261"/>
      <c r="R1559" s="261"/>
      <c r="S1559" s="261"/>
    </row>
    <row r="1560" spans="1:19">
      <c r="A1560" s="296"/>
      <c r="B1560" s="267" t="s">
        <v>90</v>
      </c>
      <c r="C1560" s="258"/>
      <c r="D1560" s="261"/>
      <c r="E1560" s="261"/>
      <c r="F1560" s="261"/>
      <c r="G1560" s="261"/>
      <c r="H1560" s="261"/>
      <c r="I1560" s="261"/>
      <c r="J1560" s="261"/>
      <c r="K1560" s="261"/>
      <c r="L1560" s="261"/>
      <c r="M1560" s="261"/>
      <c r="N1560" s="261"/>
      <c r="O1560" s="261"/>
      <c r="P1560" s="261"/>
      <c r="Q1560" s="261"/>
      <c r="R1560" s="261"/>
      <c r="S1560" s="261"/>
    </row>
    <row r="1561" spans="1:19">
      <c r="A1561" s="295">
        <v>46338</v>
      </c>
      <c r="B1561" s="259" t="s">
        <v>88</v>
      </c>
      <c r="C1561" s="258"/>
      <c r="D1561" s="261"/>
      <c r="E1561" s="261"/>
      <c r="F1561" s="261"/>
      <c r="G1561" s="261"/>
      <c r="H1561" s="261"/>
      <c r="I1561" s="261"/>
      <c r="J1561" s="261"/>
      <c r="K1561" s="261"/>
      <c r="L1561" s="261"/>
      <c r="M1561" s="261"/>
      <c r="N1561" s="261"/>
      <c r="O1561" s="261"/>
      <c r="P1561" s="261"/>
      <c r="Q1561" s="261"/>
      <c r="R1561" s="261"/>
      <c r="S1561" s="261"/>
    </row>
    <row r="1562" spans="1:19">
      <c r="A1562" s="295"/>
      <c r="B1562" s="259" t="s">
        <v>89</v>
      </c>
      <c r="C1562" s="258"/>
      <c r="D1562" s="261"/>
      <c r="E1562" s="261"/>
      <c r="F1562" s="261"/>
      <c r="G1562" s="261"/>
      <c r="H1562" s="261"/>
      <c r="I1562" s="261"/>
      <c r="J1562" s="261"/>
      <c r="K1562" s="261"/>
      <c r="L1562" s="261"/>
      <c r="M1562" s="261"/>
      <c r="N1562" s="261"/>
      <c r="O1562" s="261"/>
      <c r="P1562" s="261"/>
      <c r="Q1562" s="261"/>
      <c r="R1562" s="261"/>
      <c r="S1562" s="261"/>
    </row>
    <row r="1563" spans="1:19">
      <c r="A1563" s="296"/>
      <c r="B1563" s="267" t="s">
        <v>90</v>
      </c>
      <c r="C1563" s="258"/>
      <c r="D1563" s="261"/>
      <c r="E1563" s="261"/>
      <c r="F1563" s="261"/>
      <c r="G1563" s="261"/>
      <c r="H1563" s="261"/>
      <c r="I1563" s="261"/>
      <c r="J1563" s="261"/>
      <c r="K1563" s="261"/>
      <c r="L1563" s="261"/>
      <c r="M1563" s="261"/>
      <c r="N1563" s="261"/>
      <c r="O1563" s="261"/>
      <c r="P1563" s="261"/>
      <c r="Q1563" s="261"/>
      <c r="R1563" s="261"/>
      <c r="S1563" s="261"/>
    </row>
    <row r="1564" spans="1:19">
      <c r="A1564" s="295">
        <v>46339</v>
      </c>
      <c r="B1564" s="259" t="s">
        <v>88</v>
      </c>
      <c r="C1564" s="258"/>
      <c r="D1564" s="261"/>
      <c r="E1564" s="261"/>
      <c r="F1564" s="261"/>
      <c r="G1564" s="261"/>
      <c r="H1564" s="261"/>
      <c r="I1564" s="261"/>
      <c r="J1564" s="261"/>
      <c r="K1564" s="261"/>
      <c r="L1564" s="261"/>
      <c r="M1564" s="261"/>
      <c r="N1564" s="261"/>
      <c r="O1564" s="261"/>
      <c r="P1564" s="261"/>
      <c r="Q1564" s="261"/>
      <c r="R1564" s="261"/>
      <c r="S1564" s="261"/>
    </row>
    <row r="1565" spans="1:19">
      <c r="A1565" s="295"/>
      <c r="B1565" s="259" t="s">
        <v>89</v>
      </c>
      <c r="C1565" s="258"/>
      <c r="D1565" s="261"/>
      <c r="E1565" s="261"/>
      <c r="F1565" s="261"/>
      <c r="G1565" s="261"/>
      <c r="H1565" s="261"/>
      <c r="I1565" s="261"/>
      <c r="J1565" s="261"/>
      <c r="K1565" s="261"/>
      <c r="L1565" s="261"/>
      <c r="M1565" s="261"/>
      <c r="N1565" s="261"/>
      <c r="O1565" s="261"/>
      <c r="P1565" s="261"/>
      <c r="Q1565" s="261"/>
      <c r="R1565" s="261"/>
      <c r="S1565" s="261"/>
    </row>
    <row r="1566" spans="1:19">
      <c r="A1566" s="296"/>
      <c r="B1566" s="267" t="s">
        <v>90</v>
      </c>
      <c r="C1566" s="258"/>
      <c r="D1566" s="261"/>
      <c r="E1566" s="261"/>
      <c r="F1566" s="261"/>
      <c r="G1566" s="261"/>
      <c r="H1566" s="261"/>
      <c r="I1566" s="261"/>
      <c r="J1566" s="261"/>
      <c r="K1566" s="261"/>
      <c r="L1566" s="261"/>
      <c r="M1566" s="261"/>
      <c r="N1566" s="261"/>
      <c r="O1566" s="261"/>
      <c r="P1566" s="261"/>
      <c r="Q1566" s="261"/>
      <c r="R1566" s="261"/>
      <c r="S1566" s="261"/>
    </row>
    <row r="1567" spans="1:19">
      <c r="A1567" s="295">
        <v>46340</v>
      </c>
      <c r="B1567" s="259" t="s">
        <v>88</v>
      </c>
      <c r="C1567" s="258"/>
      <c r="D1567" s="261"/>
      <c r="E1567" s="261"/>
      <c r="F1567" s="261"/>
      <c r="G1567" s="261"/>
      <c r="H1567" s="261"/>
      <c r="I1567" s="261"/>
      <c r="J1567" s="261"/>
      <c r="K1567" s="261"/>
      <c r="L1567" s="261"/>
      <c r="M1567" s="261"/>
      <c r="N1567" s="261"/>
      <c r="O1567" s="261"/>
      <c r="P1567" s="261"/>
      <c r="Q1567" s="261"/>
      <c r="R1567" s="261"/>
      <c r="S1567" s="261"/>
    </row>
    <row r="1568" spans="1:19">
      <c r="A1568" s="295"/>
      <c r="B1568" s="259" t="s">
        <v>89</v>
      </c>
      <c r="C1568" s="258"/>
      <c r="D1568" s="261"/>
      <c r="E1568" s="261"/>
      <c r="F1568" s="261"/>
      <c r="G1568" s="261"/>
      <c r="H1568" s="261"/>
      <c r="I1568" s="261"/>
      <c r="J1568" s="261"/>
      <c r="K1568" s="261"/>
      <c r="L1568" s="261"/>
      <c r="M1568" s="261"/>
      <c r="N1568" s="261"/>
      <c r="O1568" s="261"/>
      <c r="P1568" s="261"/>
      <c r="Q1568" s="261"/>
      <c r="R1568" s="261"/>
      <c r="S1568" s="261"/>
    </row>
    <row r="1569" spans="1:19">
      <c r="A1569" s="296"/>
      <c r="B1569" s="267" t="s">
        <v>90</v>
      </c>
      <c r="C1569" s="258"/>
      <c r="D1569" s="261"/>
      <c r="E1569" s="261"/>
      <c r="F1569" s="261"/>
      <c r="G1569" s="261"/>
      <c r="H1569" s="261"/>
      <c r="I1569" s="261"/>
      <c r="J1569" s="261"/>
      <c r="K1569" s="261"/>
      <c r="L1569" s="261"/>
      <c r="M1569" s="261"/>
      <c r="N1569" s="261"/>
      <c r="O1569" s="261"/>
      <c r="P1569" s="261"/>
      <c r="Q1569" s="261"/>
      <c r="R1569" s="261"/>
      <c r="S1569" s="261"/>
    </row>
    <row r="1570" spans="1:19">
      <c r="A1570" s="295">
        <v>46341</v>
      </c>
      <c r="B1570" s="259" t="s">
        <v>88</v>
      </c>
      <c r="C1570" s="258"/>
      <c r="D1570" s="261"/>
      <c r="E1570" s="261"/>
      <c r="F1570" s="261"/>
      <c r="G1570" s="261"/>
      <c r="H1570" s="261"/>
      <c r="I1570" s="261"/>
      <c r="J1570" s="261"/>
      <c r="K1570" s="261"/>
      <c r="L1570" s="261"/>
      <c r="M1570" s="261"/>
      <c r="N1570" s="261"/>
      <c r="O1570" s="261"/>
      <c r="P1570" s="261"/>
      <c r="Q1570" s="261"/>
      <c r="R1570" s="261"/>
      <c r="S1570" s="261"/>
    </row>
    <row r="1571" spans="1:19">
      <c r="A1571" s="295"/>
      <c r="B1571" s="259" t="s">
        <v>89</v>
      </c>
      <c r="C1571" s="258"/>
      <c r="D1571" s="261"/>
      <c r="E1571" s="261"/>
      <c r="F1571" s="261"/>
      <c r="G1571" s="261"/>
      <c r="H1571" s="261"/>
      <c r="I1571" s="261"/>
      <c r="J1571" s="261"/>
      <c r="K1571" s="261"/>
      <c r="L1571" s="261"/>
      <c r="M1571" s="261"/>
      <c r="N1571" s="261"/>
      <c r="O1571" s="261"/>
      <c r="P1571" s="261"/>
      <c r="Q1571" s="261"/>
      <c r="R1571" s="261"/>
      <c r="S1571" s="261"/>
    </row>
    <row r="1572" spans="1:19">
      <c r="A1572" s="296"/>
      <c r="B1572" s="267" t="s">
        <v>90</v>
      </c>
      <c r="C1572" s="258"/>
      <c r="D1572" s="261"/>
      <c r="E1572" s="261"/>
      <c r="F1572" s="261"/>
      <c r="G1572" s="261"/>
      <c r="H1572" s="261"/>
      <c r="I1572" s="261"/>
      <c r="J1572" s="261"/>
      <c r="K1572" s="261"/>
      <c r="L1572" s="261"/>
      <c r="M1572" s="261"/>
      <c r="N1572" s="261"/>
      <c r="O1572" s="261"/>
      <c r="P1572" s="261"/>
      <c r="Q1572" s="261"/>
      <c r="R1572" s="261"/>
      <c r="S1572" s="261"/>
    </row>
    <row r="1573" spans="1:19">
      <c r="A1573" s="295">
        <v>46342</v>
      </c>
      <c r="B1573" s="259" t="s">
        <v>88</v>
      </c>
      <c r="C1573" s="258"/>
      <c r="D1573" s="261"/>
      <c r="E1573" s="261"/>
      <c r="F1573" s="261"/>
      <c r="G1573" s="261"/>
      <c r="H1573" s="261"/>
      <c r="I1573" s="261"/>
      <c r="J1573" s="261"/>
      <c r="K1573" s="261"/>
      <c r="L1573" s="261"/>
      <c r="M1573" s="261"/>
      <c r="N1573" s="261"/>
      <c r="O1573" s="261"/>
      <c r="P1573" s="261"/>
      <c r="Q1573" s="261"/>
      <c r="R1573" s="261"/>
      <c r="S1573" s="261"/>
    </row>
    <row r="1574" spans="1:19">
      <c r="A1574" s="295"/>
      <c r="B1574" s="259" t="s">
        <v>89</v>
      </c>
      <c r="C1574" s="258"/>
      <c r="D1574" s="261"/>
      <c r="E1574" s="261"/>
      <c r="F1574" s="261"/>
      <c r="G1574" s="261"/>
      <c r="H1574" s="261"/>
      <c r="I1574" s="261"/>
      <c r="J1574" s="261"/>
      <c r="K1574" s="261"/>
      <c r="L1574" s="261"/>
      <c r="M1574" s="261"/>
      <c r="N1574" s="261"/>
      <c r="O1574" s="261"/>
      <c r="P1574" s="261"/>
      <c r="Q1574" s="261"/>
      <c r="R1574" s="261"/>
      <c r="S1574" s="261"/>
    </row>
    <row r="1575" spans="1:19">
      <c r="A1575" s="296"/>
      <c r="B1575" s="267" t="s">
        <v>90</v>
      </c>
      <c r="C1575" s="258"/>
      <c r="D1575" s="261"/>
      <c r="E1575" s="261"/>
      <c r="F1575" s="261"/>
      <c r="G1575" s="261"/>
      <c r="H1575" s="261"/>
      <c r="I1575" s="261"/>
      <c r="J1575" s="261"/>
      <c r="K1575" s="261"/>
      <c r="L1575" s="261"/>
      <c r="M1575" s="261"/>
      <c r="N1575" s="261"/>
      <c r="O1575" s="261"/>
      <c r="P1575" s="261"/>
      <c r="Q1575" s="261"/>
      <c r="R1575" s="261"/>
      <c r="S1575" s="261"/>
    </row>
    <row r="1576" spans="1:19">
      <c r="A1576" s="295">
        <v>46343</v>
      </c>
      <c r="B1576" s="259" t="s">
        <v>88</v>
      </c>
      <c r="C1576" s="258"/>
      <c r="D1576" s="261"/>
      <c r="E1576" s="261"/>
      <c r="F1576" s="261"/>
      <c r="G1576" s="261"/>
      <c r="H1576" s="261"/>
      <c r="I1576" s="261"/>
      <c r="J1576" s="261"/>
      <c r="K1576" s="261"/>
      <c r="L1576" s="261"/>
      <c r="M1576" s="261"/>
      <c r="N1576" s="261"/>
      <c r="O1576" s="261"/>
      <c r="P1576" s="261"/>
      <c r="Q1576" s="261"/>
      <c r="R1576" s="261"/>
      <c r="S1576" s="261"/>
    </row>
    <row r="1577" spans="1:19">
      <c r="A1577" s="295"/>
      <c r="B1577" s="259" t="s">
        <v>89</v>
      </c>
      <c r="C1577" s="258"/>
      <c r="D1577" s="261"/>
      <c r="E1577" s="261"/>
      <c r="F1577" s="261"/>
      <c r="G1577" s="261"/>
      <c r="H1577" s="261"/>
      <c r="I1577" s="261"/>
      <c r="J1577" s="261"/>
      <c r="K1577" s="261"/>
      <c r="L1577" s="261"/>
      <c r="M1577" s="261"/>
      <c r="N1577" s="261"/>
      <c r="O1577" s="261"/>
      <c r="P1577" s="261"/>
      <c r="Q1577" s="261"/>
      <c r="R1577" s="261"/>
      <c r="S1577" s="261"/>
    </row>
    <row r="1578" spans="1:19">
      <c r="A1578" s="296"/>
      <c r="B1578" s="267" t="s">
        <v>90</v>
      </c>
      <c r="C1578" s="258"/>
      <c r="D1578" s="261"/>
      <c r="E1578" s="261"/>
      <c r="F1578" s="261"/>
      <c r="G1578" s="261"/>
      <c r="H1578" s="261"/>
      <c r="I1578" s="261"/>
      <c r="J1578" s="261"/>
      <c r="K1578" s="261"/>
      <c r="L1578" s="261"/>
      <c r="M1578" s="261"/>
      <c r="N1578" s="261"/>
      <c r="O1578" s="261"/>
      <c r="P1578" s="261"/>
      <c r="Q1578" s="261"/>
      <c r="R1578" s="261"/>
      <c r="S1578" s="261"/>
    </row>
    <row r="1579" spans="1:19">
      <c r="A1579" s="295">
        <v>46344</v>
      </c>
      <c r="B1579" s="259" t="s">
        <v>88</v>
      </c>
      <c r="C1579" s="258"/>
      <c r="D1579" s="261"/>
      <c r="E1579" s="261"/>
      <c r="F1579" s="261"/>
      <c r="G1579" s="261"/>
      <c r="H1579" s="261"/>
      <c r="I1579" s="261"/>
      <c r="J1579" s="261"/>
      <c r="K1579" s="261"/>
      <c r="L1579" s="261"/>
      <c r="M1579" s="261"/>
      <c r="N1579" s="261"/>
      <c r="O1579" s="261"/>
      <c r="P1579" s="261"/>
      <c r="Q1579" s="261"/>
      <c r="R1579" s="261"/>
      <c r="S1579" s="261"/>
    </row>
    <row r="1580" spans="1:19">
      <c r="A1580" s="295"/>
      <c r="B1580" s="259" t="s">
        <v>89</v>
      </c>
      <c r="C1580" s="258"/>
      <c r="D1580" s="261"/>
      <c r="E1580" s="261"/>
      <c r="F1580" s="261"/>
      <c r="G1580" s="261"/>
      <c r="H1580" s="261"/>
      <c r="I1580" s="261"/>
      <c r="J1580" s="261"/>
      <c r="K1580" s="261"/>
      <c r="L1580" s="261"/>
      <c r="M1580" s="261"/>
      <c r="N1580" s="261"/>
      <c r="O1580" s="261"/>
      <c r="P1580" s="261"/>
      <c r="Q1580" s="261"/>
      <c r="R1580" s="261"/>
      <c r="S1580" s="261"/>
    </row>
    <row r="1581" spans="1:19">
      <c r="A1581" s="296"/>
      <c r="B1581" s="267" t="s">
        <v>90</v>
      </c>
      <c r="C1581" s="258"/>
      <c r="D1581" s="261"/>
      <c r="E1581" s="261"/>
      <c r="F1581" s="261"/>
      <c r="G1581" s="261"/>
      <c r="H1581" s="261"/>
      <c r="I1581" s="261"/>
      <c r="J1581" s="261"/>
      <c r="K1581" s="261"/>
      <c r="L1581" s="261"/>
      <c r="M1581" s="261"/>
      <c r="N1581" s="261"/>
      <c r="O1581" s="261"/>
      <c r="P1581" s="261"/>
      <c r="Q1581" s="261"/>
      <c r="R1581" s="261"/>
      <c r="S1581" s="261"/>
    </row>
    <row r="1582" spans="1:19">
      <c r="A1582" s="295">
        <v>46345</v>
      </c>
      <c r="B1582" s="259" t="s">
        <v>88</v>
      </c>
      <c r="C1582" s="258"/>
      <c r="D1582" s="261"/>
      <c r="E1582" s="261"/>
      <c r="F1582" s="261"/>
      <c r="G1582" s="261"/>
      <c r="H1582" s="261"/>
      <c r="I1582" s="261"/>
      <c r="J1582" s="261"/>
      <c r="K1582" s="261"/>
      <c r="L1582" s="261"/>
      <c r="M1582" s="261"/>
      <c r="N1582" s="261"/>
      <c r="O1582" s="261"/>
      <c r="P1582" s="261"/>
      <c r="Q1582" s="261"/>
      <c r="R1582" s="261"/>
      <c r="S1582" s="261"/>
    </row>
    <row r="1583" spans="1:19">
      <c r="A1583" s="295"/>
      <c r="B1583" s="259" t="s">
        <v>89</v>
      </c>
      <c r="C1583" s="258"/>
      <c r="D1583" s="261"/>
      <c r="E1583" s="261"/>
      <c r="F1583" s="261"/>
      <c r="G1583" s="261"/>
      <c r="H1583" s="261"/>
      <c r="I1583" s="261"/>
      <c r="J1583" s="261"/>
      <c r="K1583" s="261"/>
      <c r="L1583" s="261"/>
      <c r="M1583" s="261"/>
      <c r="N1583" s="261"/>
      <c r="O1583" s="261"/>
      <c r="P1583" s="261"/>
      <c r="Q1583" s="261"/>
      <c r="R1583" s="261"/>
      <c r="S1583" s="261"/>
    </row>
    <row r="1584" spans="1:19">
      <c r="A1584" s="296"/>
      <c r="B1584" s="267" t="s">
        <v>90</v>
      </c>
      <c r="C1584" s="258"/>
      <c r="D1584" s="261"/>
      <c r="E1584" s="261"/>
      <c r="F1584" s="261"/>
      <c r="G1584" s="261"/>
      <c r="H1584" s="261"/>
      <c r="I1584" s="261"/>
      <c r="J1584" s="261"/>
      <c r="K1584" s="261"/>
      <c r="L1584" s="261"/>
      <c r="M1584" s="261"/>
      <c r="N1584" s="261"/>
      <c r="O1584" s="261"/>
      <c r="P1584" s="261"/>
      <c r="Q1584" s="261"/>
      <c r="R1584" s="261"/>
      <c r="S1584" s="261"/>
    </row>
    <row r="1585" spans="1:19">
      <c r="A1585" s="295">
        <v>46346</v>
      </c>
      <c r="B1585" s="259" t="s">
        <v>88</v>
      </c>
      <c r="C1585" s="258"/>
      <c r="D1585" s="261"/>
      <c r="E1585" s="261"/>
      <c r="F1585" s="261"/>
      <c r="G1585" s="261"/>
      <c r="H1585" s="261"/>
      <c r="I1585" s="261"/>
      <c r="J1585" s="261"/>
      <c r="K1585" s="261"/>
      <c r="L1585" s="261"/>
      <c r="M1585" s="261"/>
      <c r="N1585" s="261"/>
      <c r="O1585" s="261"/>
      <c r="P1585" s="261"/>
      <c r="Q1585" s="261"/>
      <c r="R1585" s="261"/>
      <c r="S1585" s="261"/>
    </row>
    <row r="1586" spans="1:19">
      <c r="A1586" s="295"/>
      <c r="B1586" s="259" t="s">
        <v>89</v>
      </c>
      <c r="C1586" s="258"/>
      <c r="D1586" s="261"/>
      <c r="E1586" s="261"/>
      <c r="F1586" s="261"/>
      <c r="G1586" s="261"/>
      <c r="H1586" s="261"/>
      <c r="I1586" s="261"/>
      <c r="J1586" s="261"/>
      <c r="K1586" s="261"/>
      <c r="L1586" s="261"/>
      <c r="M1586" s="261"/>
      <c r="N1586" s="261"/>
      <c r="O1586" s="261"/>
      <c r="P1586" s="261"/>
      <c r="Q1586" s="261"/>
      <c r="R1586" s="261"/>
      <c r="S1586" s="261"/>
    </row>
    <row r="1587" spans="1:19">
      <c r="A1587" s="296"/>
      <c r="B1587" s="267" t="s">
        <v>90</v>
      </c>
      <c r="C1587" s="258"/>
      <c r="D1587" s="261"/>
      <c r="E1587" s="261"/>
      <c r="F1587" s="261"/>
      <c r="G1587" s="261"/>
      <c r="H1587" s="261"/>
      <c r="I1587" s="261"/>
      <c r="J1587" s="261"/>
      <c r="K1587" s="261"/>
      <c r="L1587" s="261"/>
      <c r="M1587" s="261"/>
      <c r="N1587" s="261"/>
      <c r="O1587" s="261"/>
      <c r="P1587" s="261"/>
      <c r="Q1587" s="261"/>
      <c r="R1587" s="261"/>
      <c r="S1587" s="261"/>
    </row>
    <row r="1588" spans="1:19">
      <c r="A1588" s="295">
        <v>46347</v>
      </c>
      <c r="B1588" s="259" t="s">
        <v>88</v>
      </c>
      <c r="C1588" s="258"/>
      <c r="D1588" s="261"/>
      <c r="E1588" s="261"/>
      <c r="F1588" s="261"/>
      <c r="G1588" s="261"/>
      <c r="H1588" s="261"/>
      <c r="I1588" s="261"/>
      <c r="J1588" s="261"/>
      <c r="K1588" s="261"/>
      <c r="L1588" s="261"/>
      <c r="M1588" s="261"/>
      <c r="N1588" s="261"/>
      <c r="O1588" s="261"/>
      <c r="P1588" s="261"/>
      <c r="Q1588" s="261"/>
      <c r="R1588" s="261"/>
      <c r="S1588" s="261"/>
    </row>
    <row r="1589" spans="1:19">
      <c r="A1589" s="295"/>
      <c r="B1589" s="259" t="s">
        <v>89</v>
      </c>
      <c r="C1589" s="258"/>
      <c r="D1589" s="261"/>
      <c r="E1589" s="261"/>
      <c r="F1589" s="261"/>
      <c r="G1589" s="261"/>
      <c r="H1589" s="261"/>
      <c r="I1589" s="261"/>
      <c r="J1589" s="261"/>
      <c r="K1589" s="261"/>
      <c r="L1589" s="261"/>
      <c r="M1589" s="261"/>
      <c r="N1589" s="261"/>
      <c r="O1589" s="261"/>
      <c r="P1589" s="261"/>
      <c r="Q1589" s="261"/>
      <c r="R1589" s="261"/>
      <c r="S1589" s="261"/>
    </row>
    <row r="1590" spans="1:19">
      <c r="A1590" s="296"/>
      <c r="B1590" s="267" t="s">
        <v>90</v>
      </c>
      <c r="C1590" s="258"/>
      <c r="D1590" s="261"/>
      <c r="E1590" s="261"/>
      <c r="F1590" s="261"/>
      <c r="G1590" s="261"/>
      <c r="H1590" s="261"/>
      <c r="I1590" s="261"/>
      <c r="J1590" s="261"/>
      <c r="K1590" s="261"/>
      <c r="L1590" s="261"/>
      <c r="M1590" s="261"/>
      <c r="N1590" s="261"/>
      <c r="O1590" s="261"/>
      <c r="P1590" s="261"/>
      <c r="Q1590" s="261"/>
      <c r="R1590" s="261"/>
      <c r="S1590" s="261"/>
    </row>
    <row r="1591" spans="1:19">
      <c r="A1591" s="295">
        <v>46348</v>
      </c>
      <c r="B1591" s="259" t="s">
        <v>88</v>
      </c>
      <c r="C1591" s="258"/>
      <c r="D1591" s="261"/>
      <c r="E1591" s="261"/>
      <c r="F1591" s="261"/>
      <c r="G1591" s="261"/>
      <c r="H1591" s="261"/>
      <c r="I1591" s="261"/>
      <c r="J1591" s="261"/>
      <c r="K1591" s="261"/>
      <c r="L1591" s="261"/>
      <c r="M1591" s="261"/>
      <c r="N1591" s="261"/>
      <c r="O1591" s="261"/>
      <c r="P1591" s="261"/>
      <c r="Q1591" s="261"/>
      <c r="R1591" s="261"/>
      <c r="S1591" s="261"/>
    </row>
    <row r="1592" spans="1:19">
      <c r="A1592" s="295"/>
      <c r="B1592" s="259" t="s">
        <v>89</v>
      </c>
      <c r="C1592" s="258"/>
      <c r="D1592" s="261"/>
      <c r="E1592" s="261"/>
      <c r="F1592" s="261"/>
      <c r="G1592" s="261"/>
      <c r="H1592" s="261"/>
      <c r="I1592" s="261"/>
      <c r="J1592" s="261"/>
      <c r="K1592" s="261"/>
      <c r="L1592" s="261"/>
      <c r="M1592" s="261"/>
      <c r="N1592" s="261"/>
      <c r="O1592" s="261"/>
      <c r="P1592" s="261"/>
      <c r="Q1592" s="261"/>
      <c r="R1592" s="261"/>
      <c r="S1592" s="261"/>
    </row>
    <row r="1593" spans="1:19">
      <c r="A1593" s="296"/>
      <c r="B1593" s="267" t="s">
        <v>90</v>
      </c>
      <c r="C1593" s="258"/>
      <c r="D1593" s="261"/>
      <c r="E1593" s="261"/>
      <c r="F1593" s="261"/>
      <c r="G1593" s="261"/>
      <c r="H1593" s="261"/>
      <c r="I1593" s="261"/>
      <c r="J1593" s="261"/>
      <c r="K1593" s="261"/>
      <c r="L1593" s="261"/>
      <c r="M1593" s="261"/>
      <c r="N1593" s="261"/>
      <c r="O1593" s="261"/>
      <c r="P1593" s="261"/>
      <c r="Q1593" s="261"/>
      <c r="R1593" s="261"/>
      <c r="S1593" s="261"/>
    </row>
    <row r="1594" spans="1:19">
      <c r="A1594" s="295">
        <v>46349</v>
      </c>
      <c r="B1594" s="259" t="s">
        <v>88</v>
      </c>
      <c r="C1594" s="258"/>
      <c r="D1594" s="261"/>
      <c r="E1594" s="261"/>
      <c r="F1594" s="261"/>
      <c r="G1594" s="261"/>
      <c r="H1594" s="261"/>
      <c r="I1594" s="261"/>
      <c r="J1594" s="261"/>
      <c r="K1594" s="261"/>
      <c r="L1594" s="261"/>
      <c r="M1594" s="261"/>
      <c r="N1594" s="261"/>
      <c r="O1594" s="261"/>
      <c r="P1594" s="261"/>
      <c r="Q1594" s="261"/>
      <c r="R1594" s="261"/>
      <c r="S1594" s="261"/>
    </row>
    <row r="1595" spans="1:19">
      <c r="A1595" s="295"/>
      <c r="B1595" s="259" t="s">
        <v>89</v>
      </c>
      <c r="C1595" s="258"/>
      <c r="D1595" s="261"/>
      <c r="E1595" s="261"/>
      <c r="F1595" s="261"/>
      <c r="G1595" s="261"/>
      <c r="H1595" s="261"/>
      <c r="I1595" s="261"/>
      <c r="J1595" s="261"/>
      <c r="K1595" s="261"/>
      <c r="L1595" s="261"/>
      <c r="M1595" s="261"/>
      <c r="N1595" s="261"/>
      <c r="O1595" s="261"/>
      <c r="P1595" s="261"/>
      <c r="Q1595" s="261"/>
      <c r="R1595" s="261"/>
      <c r="S1595" s="261"/>
    </row>
    <row r="1596" spans="1:19">
      <c r="A1596" s="296"/>
      <c r="B1596" s="267" t="s">
        <v>90</v>
      </c>
      <c r="C1596" s="258"/>
      <c r="D1596" s="261"/>
      <c r="E1596" s="261"/>
      <c r="F1596" s="261"/>
      <c r="G1596" s="261"/>
      <c r="H1596" s="261"/>
      <c r="I1596" s="261"/>
      <c r="J1596" s="261"/>
      <c r="K1596" s="261"/>
      <c r="L1596" s="261"/>
      <c r="M1596" s="261"/>
      <c r="N1596" s="261"/>
      <c r="O1596" s="261"/>
      <c r="P1596" s="261"/>
      <c r="Q1596" s="261"/>
      <c r="R1596" s="261"/>
      <c r="S1596" s="261"/>
    </row>
    <row r="1597" spans="1:19">
      <c r="A1597" s="295">
        <v>46350</v>
      </c>
      <c r="B1597" s="259" t="s">
        <v>88</v>
      </c>
      <c r="C1597" s="258"/>
      <c r="D1597" s="261"/>
      <c r="E1597" s="261"/>
      <c r="F1597" s="261"/>
      <c r="G1597" s="261"/>
      <c r="H1597" s="261"/>
      <c r="I1597" s="261"/>
      <c r="J1597" s="261"/>
      <c r="K1597" s="261"/>
      <c r="L1597" s="261"/>
      <c r="M1597" s="261"/>
      <c r="N1597" s="261"/>
      <c r="O1597" s="261"/>
      <c r="P1597" s="261"/>
      <c r="Q1597" s="261"/>
      <c r="R1597" s="261"/>
      <c r="S1597" s="261"/>
    </row>
    <row r="1598" spans="1:19">
      <c r="A1598" s="295"/>
      <c r="B1598" s="259" t="s">
        <v>89</v>
      </c>
      <c r="C1598" s="258"/>
      <c r="D1598" s="261"/>
      <c r="E1598" s="261"/>
      <c r="F1598" s="261"/>
      <c r="G1598" s="261"/>
      <c r="H1598" s="261"/>
      <c r="I1598" s="261"/>
      <c r="J1598" s="261"/>
      <c r="K1598" s="261"/>
      <c r="L1598" s="261"/>
      <c r="M1598" s="261"/>
      <c r="N1598" s="261"/>
      <c r="O1598" s="261"/>
      <c r="P1598" s="261"/>
      <c r="Q1598" s="261"/>
      <c r="R1598" s="261"/>
      <c r="S1598" s="261"/>
    </row>
    <row r="1599" spans="1:19">
      <c r="A1599" s="296"/>
      <c r="B1599" s="267" t="s">
        <v>90</v>
      </c>
      <c r="C1599" s="258"/>
      <c r="D1599" s="261"/>
      <c r="E1599" s="261"/>
      <c r="F1599" s="261"/>
      <c r="G1599" s="261"/>
      <c r="H1599" s="261"/>
      <c r="I1599" s="261"/>
      <c r="J1599" s="261"/>
      <c r="K1599" s="261"/>
      <c r="L1599" s="261"/>
      <c r="M1599" s="261"/>
      <c r="N1599" s="261"/>
      <c r="O1599" s="261"/>
      <c r="P1599" s="261"/>
      <c r="Q1599" s="261"/>
      <c r="R1599" s="261"/>
      <c r="S1599" s="261"/>
    </row>
    <row r="1600" spans="1:19">
      <c r="A1600" s="295">
        <v>46351</v>
      </c>
      <c r="B1600" s="259" t="s">
        <v>88</v>
      </c>
      <c r="C1600" s="258"/>
      <c r="D1600" s="261"/>
      <c r="E1600" s="261"/>
      <c r="F1600" s="261"/>
      <c r="G1600" s="261"/>
      <c r="H1600" s="261"/>
      <c r="I1600" s="261"/>
      <c r="J1600" s="261"/>
      <c r="K1600" s="261"/>
      <c r="L1600" s="261"/>
      <c r="M1600" s="261"/>
      <c r="N1600" s="261"/>
      <c r="O1600" s="261"/>
      <c r="P1600" s="261"/>
      <c r="Q1600" s="261"/>
      <c r="R1600" s="261"/>
      <c r="S1600" s="261"/>
    </row>
    <row r="1601" spans="1:19">
      <c r="A1601" s="295"/>
      <c r="B1601" s="259" t="s">
        <v>89</v>
      </c>
      <c r="C1601" s="258"/>
      <c r="D1601" s="261"/>
      <c r="E1601" s="261"/>
      <c r="F1601" s="261"/>
      <c r="G1601" s="261"/>
      <c r="H1601" s="261"/>
      <c r="I1601" s="261"/>
      <c r="J1601" s="261"/>
      <c r="K1601" s="261"/>
      <c r="L1601" s="261"/>
      <c r="M1601" s="261"/>
      <c r="N1601" s="261"/>
      <c r="O1601" s="261"/>
      <c r="P1601" s="261"/>
      <c r="Q1601" s="261"/>
      <c r="R1601" s="261"/>
      <c r="S1601" s="261"/>
    </row>
    <row r="1602" spans="1:19">
      <c r="A1602" s="296"/>
      <c r="B1602" s="267" t="s">
        <v>90</v>
      </c>
      <c r="C1602" s="258"/>
      <c r="D1602" s="261"/>
      <c r="E1602" s="261"/>
      <c r="F1602" s="261"/>
      <c r="G1602" s="261"/>
      <c r="H1602" s="261"/>
      <c r="I1602" s="261"/>
      <c r="J1602" s="261"/>
      <c r="K1602" s="261"/>
      <c r="L1602" s="261"/>
      <c r="M1602" s="261"/>
      <c r="N1602" s="261"/>
      <c r="O1602" s="261"/>
      <c r="P1602" s="261"/>
      <c r="Q1602" s="261"/>
      <c r="R1602" s="261"/>
      <c r="S1602" s="261"/>
    </row>
    <row r="1603" spans="1:19">
      <c r="A1603" s="295">
        <v>46352</v>
      </c>
      <c r="B1603" s="259" t="s">
        <v>88</v>
      </c>
      <c r="C1603" s="258"/>
      <c r="D1603" s="261"/>
      <c r="E1603" s="261"/>
      <c r="F1603" s="261"/>
      <c r="G1603" s="261"/>
      <c r="H1603" s="261"/>
      <c r="I1603" s="261"/>
      <c r="J1603" s="261"/>
      <c r="K1603" s="261"/>
      <c r="L1603" s="261"/>
      <c r="M1603" s="261"/>
      <c r="N1603" s="261"/>
      <c r="O1603" s="261"/>
      <c r="P1603" s="261"/>
      <c r="Q1603" s="261"/>
      <c r="R1603" s="261"/>
      <c r="S1603" s="261"/>
    </row>
    <row r="1604" spans="1:19">
      <c r="A1604" s="295"/>
      <c r="B1604" s="259" t="s">
        <v>89</v>
      </c>
      <c r="C1604" s="258"/>
      <c r="D1604" s="261"/>
      <c r="E1604" s="261"/>
      <c r="F1604" s="261"/>
      <c r="G1604" s="261"/>
      <c r="H1604" s="261"/>
      <c r="I1604" s="261"/>
      <c r="J1604" s="261"/>
      <c r="K1604" s="261"/>
      <c r="L1604" s="261"/>
      <c r="M1604" s="261"/>
      <c r="N1604" s="261"/>
      <c r="O1604" s="261"/>
      <c r="P1604" s="261"/>
      <c r="Q1604" s="261"/>
      <c r="R1604" s="261"/>
      <c r="S1604" s="261"/>
    </row>
    <row r="1605" spans="1:19">
      <c r="A1605" s="296"/>
      <c r="B1605" s="267" t="s">
        <v>90</v>
      </c>
      <c r="C1605" s="258"/>
      <c r="D1605" s="261"/>
      <c r="E1605" s="261"/>
      <c r="F1605" s="261"/>
      <c r="G1605" s="261"/>
      <c r="H1605" s="261"/>
      <c r="I1605" s="261"/>
      <c r="J1605" s="261"/>
      <c r="K1605" s="261"/>
      <c r="L1605" s="261"/>
      <c r="M1605" s="261"/>
      <c r="N1605" s="261"/>
      <c r="O1605" s="261"/>
      <c r="P1605" s="261"/>
      <c r="Q1605" s="261"/>
      <c r="R1605" s="261"/>
      <c r="S1605" s="261"/>
    </row>
    <row r="1606" spans="1:19">
      <c r="A1606" s="295">
        <v>46353</v>
      </c>
      <c r="B1606" s="259" t="s">
        <v>88</v>
      </c>
      <c r="C1606" s="258"/>
      <c r="D1606" s="261"/>
      <c r="E1606" s="261"/>
      <c r="F1606" s="261"/>
      <c r="G1606" s="261"/>
      <c r="H1606" s="261"/>
      <c r="I1606" s="261"/>
      <c r="J1606" s="261"/>
      <c r="K1606" s="261"/>
      <c r="L1606" s="261"/>
      <c r="M1606" s="261"/>
      <c r="N1606" s="261"/>
      <c r="O1606" s="261"/>
      <c r="P1606" s="261"/>
      <c r="Q1606" s="261"/>
      <c r="R1606" s="261"/>
      <c r="S1606" s="261"/>
    </row>
    <row r="1607" spans="1:19">
      <c r="A1607" s="295"/>
      <c r="B1607" s="259" t="s">
        <v>89</v>
      </c>
      <c r="C1607" s="258"/>
      <c r="D1607" s="261"/>
      <c r="E1607" s="261"/>
      <c r="F1607" s="261"/>
      <c r="G1607" s="261"/>
      <c r="H1607" s="261"/>
      <c r="I1607" s="261"/>
      <c r="J1607" s="261"/>
      <c r="K1607" s="261"/>
      <c r="L1607" s="261"/>
      <c r="M1607" s="261"/>
      <c r="N1607" s="261"/>
      <c r="O1607" s="261"/>
      <c r="P1607" s="261"/>
      <c r="Q1607" s="261"/>
      <c r="R1607" s="261"/>
      <c r="S1607" s="261"/>
    </row>
    <row r="1608" spans="1:19">
      <c r="A1608" s="296"/>
      <c r="B1608" s="267" t="s">
        <v>90</v>
      </c>
      <c r="C1608" s="258"/>
      <c r="D1608" s="261"/>
      <c r="E1608" s="261"/>
      <c r="F1608" s="261"/>
      <c r="G1608" s="261"/>
      <c r="H1608" s="261"/>
      <c r="I1608" s="261"/>
      <c r="J1608" s="261"/>
      <c r="K1608" s="261"/>
      <c r="L1608" s="261"/>
      <c r="M1608" s="261"/>
      <c r="N1608" s="261"/>
      <c r="O1608" s="261"/>
      <c r="P1608" s="261"/>
      <c r="Q1608" s="261"/>
      <c r="R1608" s="261"/>
      <c r="S1608" s="261"/>
    </row>
    <row r="1609" spans="1:19">
      <c r="A1609" s="295">
        <v>46354</v>
      </c>
      <c r="B1609" s="259" t="s">
        <v>88</v>
      </c>
      <c r="C1609" s="258"/>
      <c r="D1609" s="261"/>
      <c r="E1609" s="261"/>
      <c r="F1609" s="261"/>
      <c r="G1609" s="261"/>
      <c r="H1609" s="261"/>
      <c r="I1609" s="261"/>
      <c r="J1609" s="261"/>
      <c r="K1609" s="261"/>
      <c r="L1609" s="261"/>
      <c r="M1609" s="261"/>
      <c r="N1609" s="261"/>
      <c r="O1609" s="261"/>
      <c r="P1609" s="261"/>
      <c r="Q1609" s="261"/>
      <c r="R1609" s="261"/>
      <c r="S1609" s="261"/>
    </row>
    <row r="1610" spans="1:19">
      <c r="A1610" s="295"/>
      <c r="B1610" s="259" t="s">
        <v>89</v>
      </c>
      <c r="C1610" s="258"/>
      <c r="D1610" s="261"/>
      <c r="E1610" s="261"/>
      <c r="F1610" s="261"/>
      <c r="G1610" s="261"/>
      <c r="H1610" s="261"/>
      <c r="I1610" s="261"/>
      <c r="J1610" s="261"/>
      <c r="K1610" s="261"/>
      <c r="L1610" s="261"/>
      <c r="M1610" s="261"/>
      <c r="N1610" s="261"/>
      <c r="O1610" s="261"/>
      <c r="P1610" s="261"/>
      <c r="Q1610" s="261"/>
      <c r="R1610" s="261"/>
      <c r="S1610" s="261"/>
    </row>
    <row r="1611" spans="1:19">
      <c r="A1611" s="296"/>
      <c r="B1611" s="267" t="s">
        <v>90</v>
      </c>
      <c r="C1611" s="258"/>
      <c r="D1611" s="261"/>
      <c r="E1611" s="261"/>
      <c r="F1611" s="261"/>
      <c r="G1611" s="261"/>
      <c r="H1611" s="261"/>
      <c r="I1611" s="261"/>
      <c r="J1611" s="261"/>
      <c r="K1611" s="261"/>
      <c r="L1611" s="261"/>
      <c r="M1611" s="261"/>
      <c r="N1611" s="261"/>
      <c r="O1611" s="261"/>
      <c r="P1611" s="261"/>
      <c r="Q1611" s="261"/>
      <c r="R1611" s="261"/>
      <c r="S1611" s="261"/>
    </row>
    <row r="1612" spans="1:19">
      <c r="A1612" s="295">
        <v>46355</v>
      </c>
      <c r="B1612" s="259" t="s">
        <v>88</v>
      </c>
      <c r="C1612" s="258"/>
      <c r="D1612" s="261"/>
      <c r="E1612" s="261"/>
      <c r="F1612" s="261"/>
      <c r="G1612" s="261"/>
      <c r="H1612" s="261"/>
      <c r="I1612" s="261"/>
      <c r="J1612" s="261"/>
      <c r="K1612" s="261"/>
      <c r="L1612" s="261"/>
      <c r="M1612" s="261"/>
      <c r="N1612" s="261"/>
      <c r="O1612" s="261"/>
      <c r="P1612" s="261"/>
      <c r="Q1612" s="261"/>
      <c r="R1612" s="261"/>
      <c r="S1612" s="261"/>
    </row>
    <row r="1613" spans="1:19">
      <c r="A1613" s="295"/>
      <c r="B1613" s="259" t="s">
        <v>89</v>
      </c>
      <c r="C1613" s="258"/>
      <c r="D1613" s="261"/>
      <c r="E1613" s="261"/>
      <c r="F1613" s="261"/>
      <c r="G1613" s="261"/>
      <c r="H1613" s="261"/>
      <c r="I1613" s="261"/>
      <c r="J1613" s="261"/>
      <c r="K1613" s="261"/>
      <c r="L1613" s="261"/>
      <c r="M1613" s="261"/>
      <c r="N1613" s="261"/>
      <c r="O1613" s="261"/>
      <c r="P1613" s="261"/>
      <c r="Q1613" s="261"/>
      <c r="R1613" s="261"/>
      <c r="S1613" s="261"/>
    </row>
    <row r="1614" spans="1:19">
      <c r="A1614" s="296"/>
      <c r="B1614" s="267" t="s">
        <v>90</v>
      </c>
      <c r="C1614" s="258"/>
      <c r="D1614" s="261"/>
      <c r="E1614" s="261"/>
      <c r="F1614" s="261"/>
      <c r="G1614" s="261"/>
      <c r="H1614" s="261"/>
      <c r="I1614" s="261"/>
      <c r="J1614" s="261"/>
      <c r="K1614" s="261"/>
      <c r="L1614" s="261"/>
      <c r="M1614" s="261"/>
      <c r="N1614" s="261"/>
      <c r="O1614" s="261"/>
      <c r="P1614" s="261"/>
      <c r="Q1614" s="261"/>
      <c r="R1614" s="261"/>
      <c r="S1614" s="261"/>
    </row>
    <row r="1615" spans="1:19">
      <c r="A1615" s="295">
        <v>46356</v>
      </c>
      <c r="B1615" s="259" t="s">
        <v>88</v>
      </c>
      <c r="C1615" s="258"/>
      <c r="D1615" s="261"/>
      <c r="E1615" s="261"/>
      <c r="F1615" s="261"/>
      <c r="G1615" s="261"/>
      <c r="H1615" s="261"/>
      <c r="I1615" s="261"/>
      <c r="J1615" s="261"/>
      <c r="K1615" s="261"/>
      <c r="L1615" s="261"/>
      <c r="M1615" s="261"/>
      <c r="N1615" s="261"/>
      <c r="O1615" s="261"/>
      <c r="P1615" s="261"/>
      <c r="Q1615" s="261"/>
      <c r="R1615" s="261"/>
      <c r="S1615" s="261"/>
    </row>
    <row r="1616" spans="1:19">
      <c r="A1616" s="295"/>
      <c r="B1616" s="259" t="s">
        <v>89</v>
      </c>
      <c r="C1616" s="258"/>
      <c r="D1616" s="261"/>
      <c r="E1616" s="261"/>
      <c r="F1616" s="261"/>
      <c r="G1616" s="261"/>
      <c r="H1616" s="261"/>
      <c r="I1616" s="261"/>
      <c r="J1616" s="261"/>
      <c r="K1616" s="261"/>
      <c r="L1616" s="261"/>
      <c r="M1616" s="261"/>
      <c r="N1616" s="261"/>
      <c r="O1616" s="261"/>
      <c r="P1616" s="261"/>
      <c r="Q1616" s="261"/>
      <c r="R1616" s="261"/>
      <c r="S1616" s="261"/>
    </row>
    <row r="1617" spans="1:19">
      <c r="A1617" s="296"/>
      <c r="B1617" s="267" t="s">
        <v>90</v>
      </c>
      <c r="C1617" s="258"/>
      <c r="D1617" s="261"/>
      <c r="E1617" s="261"/>
      <c r="F1617" s="261"/>
      <c r="G1617" s="261"/>
      <c r="H1617" s="261"/>
      <c r="I1617" s="261"/>
      <c r="J1617" s="261"/>
      <c r="K1617" s="261"/>
      <c r="L1617" s="261"/>
      <c r="M1617" s="261"/>
      <c r="N1617" s="261"/>
      <c r="O1617" s="261"/>
      <c r="P1617" s="261"/>
      <c r="Q1617" s="261"/>
      <c r="R1617" s="261"/>
      <c r="S1617" s="261"/>
    </row>
    <row r="1618" spans="1:19">
      <c r="A1618" s="295">
        <v>46357</v>
      </c>
      <c r="B1618" s="259" t="s">
        <v>88</v>
      </c>
      <c r="C1618" s="258"/>
      <c r="D1618" s="261"/>
      <c r="E1618" s="261"/>
      <c r="F1618" s="261"/>
      <c r="G1618" s="261"/>
      <c r="H1618" s="261"/>
      <c r="I1618" s="261"/>
      <c r="J1618" s="261"/>
      <c r="K1618" s="261"/>
      <c r="L1618" s="261"/>
      <c r="M1618" s="261"/>
      <c r="N1618" s="261"/>
      <c r="O1618" s="261"/>
      <c r="P1618" s="261"/>
      <c r="Q1618" s="261"/>
      <c r="R1618" s="261"/>
      <c r="S1618" s="261"/>
    </row>
    <row r="1619" spans="1:19">
      <c r="A1619" s="295"/>
      <c r="B1619" s="259" t="s">
        <v>89</v>
      </c>
      <c r="C1619" s="258"/>
      <c r="D1619" s="261"/>
      <c r="E1619" s="261"/>
      <c r="F1619" s="261"/>
      <c r="G1619" s="261"/>
      <c r="H1619" s="261"/>
      <c r="I1619" s="261"/>
      <c r="J1619" s="261"/>
      <c r="K1619" s="261"/>
      <c r="L1619" s="261"/>
      <c r="M1619" s="261"/>
      <c r="N1619" s="261"/>
      <c r="O1619" s="261"/>
      <c r="P1619" s="261"/>
      <c r="Q1619" s="261"/>
      <c r="R1619" s="261"/>
      <c r="S1619" s="261"/>
    </row>
    <row r="1620" spans="1:19">
      <c r="A1620" s="296"/>
      <c r="B1620" s="267" t="s">
        <v>90</v>
      </c>
      <c r="C1620" s="258"/>
      <c r="D1620" s="261"/>
      <c r="E1620" s="261"/>
      <c r="F1620" s="261"/>
      <c r="G1620" s="261"/>
      <c r="H1620" s="261"/>
      <c r="I1620" s="261"/>
      <c r="J1620" s="261"/>
      <c r="K1620" s="261"/>
      <c r="L1620" s="261"/>
      <c r="M1620" s="261"/>
      <c r="N1620" s="261"/>
      <c r="O1620" s="261"/>
      <c r="P1620" s="261"/>
      <c r="Q1620" s="261"/>
      <c r="R1620" s="261"/>
      <c r="S1620" s="261"/>
    </row>
    <row r="1621" spans="1:19">
      <c r="A1621" s="295">
        <v>46358</v>
      </c>
      <c r="B1621" s="259" t="s">
        <v>88</v>
      </c>
      <c r="C1621" s="258"/>
      <c r="D1621" s="261"/>
      <c r="E1621" s="261"/>
      <c r="F1621" s="261"/>
      <c r="G1621" s="261"/>
      <c r="H1621" s="261"/>
      <c r="I1621" s="261"/>
      <c r="J1621" s="261"/>
      <c r="K1621" s="261"/>
      <c r="L1621" s="261"/>
      <c r="M1621" s="261"/>
      <c r="N1621" s="261"/>
      <c r="O1621" s="261"/>
      <c r="P1621" s="261"/>
      <c r="Q1621" s="261"/>
      <c r="R1621" s="261"/>
      <c r="S1621" s="261"/>
    </row>
    <row r="1622" spans="1:19">
      <c r="A1622" s="295"/>
      <c r="B1622" s="259" t="s">
        <v>89</v>
      </c>
      <c r="C1622" s="258"/>
      <c r="D1622" s="261"/>
      <c r="E1622" s="261"/>
      <c r="F1622" s="261"/>
      <c r="G1622" s="261"/>
      <c r="H1622" s="261"/>
      <c r="I1622" s="261"/>
      <c r="J1622" s="261"/>
      <c r="K1622" s="261"/>
      <c r="L1622" s="261"/>
      <c r="M1622" s="261"/>
      <c r="N1622" s="261"/>
      <c r="O1622" s="261"/>
      <c r="P1622" s="261"/>
      <c r="Q1622" s="261"/>
      <c r="R1622" s="261"/>
      <c r="S1622" s="261"/>
    </row>
    <row r="1623" spans="1:19">
      <c r="A1623" s="296"/>
      <c r="B1623" s="267" t="s">
        <v>90</v>
      </c>
      <c r="C1623" s="258"/>
      <c r="D1623" s="261"/>
      <c r="E1623" s="261"/>
      <c r="F1623" s="261"/>
      <c r="G1623" s="261"/>
      <c r="H1623" s="261"/>
      <c r="I1623" s="261"/>
      <c r="J1623" s="261"/>
      <c r="K1623" s="261"/>
      <c r="L1623" s="261"/>
      <c r="M1623" s="261"/>
      <c r="N1623" s="261"/>
      <c r="O1623" s="261"/>
      <c r="P1623" s="261"/>
      <c r="Q1623" s="261"/>
      <c r="R1623" s="261"/>
      <c r="S1623" s="261"/>
    </row>
    <row r="1624" spans="1:19">
      <c r="A1624" s="295">
        <v>46359</v>
      </c>
      <c r="B1624" s="259" t="s">
        <v>88</v>
      </c>
      <c r="C1624" s="258"/>
      <c r="D1624" s="261"/>
      <c r="E1624" s="261"/>
      <c r="F1624" s="261"/>
      <c r="G1624" s="261"/>
      <c r="H1624" s="261"/>
      <c r="I1624" s="261"/>
      <c r="J1624" s="261"/>
      <c r="K1624" s="261"/>
      <c r="L1624" s="261"/>
      <c r="M1624" s="261"/>
      <c r="N1624" s="261"/>
      <c r="O1624" s="261"/>
      <c r="P1624" s="261"/>
      <c r="Q1624" s="261"/>
      <c r="R1624" s="261"/>
      <c r="S1624" s="261"/>
    </row>
    <row r="1625" spans="1:19">
      <c r="A1625" s="295"/>
      <c r="B1625" s="259" t="s">
        <v>89</v>
      </c>
      <c r="C1625" s="258"/>
      <c r="D1625" s="261"/>
      <c r="E1625" s="261"/>
      <c r="F1625" s="261"/>
      <c r="G1625" s="261"/>
      <c r="H1625" s="261"/>
      <c r="I1625" s="261"/>
      <c r="J1625" s="261"/>
      <c r="K1625" s="261"/>
      <c r="L1625" s="261"/>
      <c r="M1625" s="261"/>
      <c r="N1625" s="261"/>
      <c r="O1625" s="261"/>
      <c r="P1625" s="261"/>
      <c r="Q1625" s="261"/>
      <c r="R1625" s="261"/>
      <c r="S1625" s="261"/>
    </row>
    <row r="1626" spans="1:19">
      <c r="A1626" s="296"/>
      <c r="B1626" s="267" t="s">
        <v>90</v>
      </c>
      <c r="C1626" s="258"/>
      <c r="D1626" s="261"/>
      <c r="E1626" s="261"/>
      <c r="F1626" s="261"/>
      <c r="G1626" s="261"/>
      <c r="H1626" s="261"/>
      <c r="I1626" s="261"/>
      <c r="J1626" s="261"/>
      <c r="K1626" s="261"/>
      <c r="L1626" s="261"/>
      <c r="M1626" s="261"/>
      <c r="N1626" s="261"/>
      <c r="O1626" s="261"/>
      <c r="P1626" s="261"/>
      <c r="Q1626" s="261"/>
      <c r="R1626" s="261"/>
      <c r="S1626" s="261"/>
    </row>
    <row r="1627" spans="1:19">
      <c r="A1627" s="295">
        <v>46360</v>
      </c>
      <c r="B1627" s="259" t="s">
        <v>88</v>
      </c>
      <c r="C1627" s="258"/>
      <c r="D1627" s="261"/>
      <c r="E1627" s="261"/>
      <c r="F1627" s="261"/>
      <c r="G1627" s="261"/>
      <c r="H1627" s="261"/>
      <c r="I1627" s="261"/>
      <c r="J1627" s="261"/>
      <c r="K1627" s="261"/>
      <c r="L1627" s="261"/>
      <c r="M1627" s="261"/>
      <c r="N1627" s="261"/>
      <c r="O1627" s="261"/>
      <c r="P1627" s="261"/>
      <c r="Q1627" s="261"/>
      <c r="R1627" s="261"/>
      <c r="S1627" s="261"/>
    </row>
    <row r="1628" spans="1:19">
      <c r="A1628" s="295"/>
      <c r="B1628" s="259" t="s">
        <v>89</v>
      </c>
      <c r="C1628" s="258"/>
      <c r="D1628" s="261"/>
      <c r="E1628" s="261"/>
      <c r="F1628" s="261"/>
      <c r="G1628" s="261"/>
      <c r="H1628" s="261"/>
      <c r="I1628" s="261"/>
      <c r="J1628" s="261"/>
      <c r="K1628" s="261"/>
      <c r="L1628" s="261"/>
      <c r="M1628" s="261"/>
      <c r="N1628" s="261"/>
      <c r="O1628" s="261"/>
      <c r="P1628" s="261"/>
      <c r="Q1628" s="261"/>
      <c r="R1628" s="261"/>
      <c r="S1628" s="261"/>
    </row>
    <row r="1629" spans="1:19">
      <c r="A1629" s="296"/>
      <c r="B1629" s="267" t="s">
        <v>90</v>
      </c>
      <c r="C1629" s="258"/>
      <c r="D1629" s="261"/>
      <c r="E1629" s="261"/>
      <c r="F1629" s="261"/>
      <c r="G1629" s="261"/>
      <c r="H1629" s="261"/>
      <c r="I1629" s="261"/>
      <c r="J1629" s="261"/>
      <c r="K1629" s="261"/>
      <c r="L1629" s="261"/>
      <c r="M1629" s="261"/>
      <c r="N1629" s="261"/>
      <c r="O1629" s="261"/>
      <c r="P1629" s="261"/>
      <c r="Q1629" s="261"/>
      <c r="R1629" s="261"/>
      <c r="S1629" s="261"/>
    </row>
    <row r="1630" spans="1:19">
      <c r="A1630" s="295">
        <v>46361</v>
      </c>
      <c r="B1630" s="259" t="s">
        <v>88</v>
      </c>
      <c r="C1630" s="258"/>
      <c r="D1630" s="261"/>
      <c r="E1630" s="261"/>
      <c r="F1630" s="261"/>
      <c r="G1630" s="261"/>
      <c r="H1630" s="261"/>
      <c r="I1630" s="261"/>
      <c r="J1630" s="261"/>
      <c r="K1630" s="261"/>
      <c r="L1630" s="261"/>
      <c r="M1630" s="261"/>
      <c r="N1630" s="261"/>
      <c r="O1630" s="261"/>
      <c r="P1630" s="261"/>
      <c r="Q1630" s="261"/>
      <c r="R1630" s="261"/>
      <c r="S1630" s="261"/>
    </row>
    <row r="1631" spans="1:19">
      <c r="A1631" s="295"/>
      <c r="B1631" s="259" t="s">
        <v>89</v>
      </c>
      <c r="C1631" s="258"/>
      <c r="D1631" s="261"/>
      <c r="E1631" s="261"/>
      <c r="F1631" s="261"/>
      <c r="G1631" s="261"/>
      <c r="H1631" s="261"/>
      <c r="I1631" s="261"/>
      <c r="J1631" s="261"/>
      <c r="K1631" s="261"/>
      <c r="L1631" s="261"/>
      <c r="M1631" s="261"/>
      <c r="N1631" s="261"/>
      <c r="O1631" s="261"/>
      <c r="P1631" s="261"/>
      <c r="Q1631" s="261"/>
      <c r="R1631" s="261"/>
      <c r="S1631" s="261"/>
    </row>
    <row r="1632" spans="1:19">
      <c r="A1632" s="296"/>
      <c r="B1632" s="267" t="s">
        <v>90</v>
      </c>
      <c r="C1632" s="258"/>
      <c r="D1632" s="261"/>
      <c r="E1632" s="261"/>
      <c r="F1632" s="261"/>
      <c r="G1632" s="261"/>
      <c r="H1632" s="261"/>
      <c r="I1632" s="261"/>
      <c r="J1632" s="261"/>
      <c r="K1632" s="261"/>
      <c r="L1632" s="261"/>
      <c r="M1632" s="261"/>
      <c r="N1632" s="261"/>
      <c r="O1632" s="261"/>
      <c r="P1632" s="261"/>
      <c r="Q1632" s="261"/>
      <c r="R1632" s="261"/>
      <c r="S1632" s="261"/>
    </row>
    <row r="1633" spans="1:19">
      <c r="A1633" s="295">
        <v>46362</v>
      </c>
      <c r="B1633" s="259" t="s">
        <v>88</v>
      </c>
      <c r="C1633" s="258"/>
      <c r="D1633" s="261"/>
      <c r="E1633" s="261"/>
      <c r="F1633" s="261"/>
      <c r="G1633" s="261"/>
      <c r="H1633" s="261"/>
      <c r="I1633" s="261"/>
      <c r="J1633" s="261"/>
      <c r="K1633" s="261"/>
      <c r="L1633" s="261"/>
      <c r="M1633" s="261"/>
      <c r="N1633" s="261"/>
      <c r="O1633" s="261"/>
      <c r="P1633" s="261"/>
      <c r="Q1633" s="261"/>
      <c r="R1633" s="261"/>
      <c r="S1633" s="261"/>
    </row>
    <row r="1634" spans="1:19">
      <c r="A1634" s="295"/>
      <c r="B1634" s="259" t="s">
        <v>89</v>
      </c>
      <c r="C1634" s="258"/>
      <c r="D1634" s="261"/>
      <c r="E1634" s="261"/>
      <c r="F1634" s="261"/>
      <c r="G1634" s="261"/>
      <c r="H1634" s="261"/>
      <c r="I1634" s="261"/>
      <c r="J1634" s="261"/>
      <c r="K1634" s="261"/>
      <c r="L1634" s="261"/>
      <c r="M1634" s="261"/>
      <c r="N1634" s="261"/>
      <c r="O1634" s="261"/>
      <c r="P1634" s="261"/>
      <c r="Q1634" s="261"/>
      <c r="R1634" s="261"/>
      <c r="S1634" s="261"/>
    </row>
    <row r="1635" spans="1:19">
      <c r="A1635" s="296"/>
      <c r="B1635" s="267" t="s">
        <v>90</v>
      </c>
      <c r="C1635" s="258"/>
      <c r="D1635" s="261"/>
      <c r="E1635" s="261"/>
      <c r="F1635" s="261"/>
      <c r="G1635" s="261"/>
      <c r="H1635" s="261"/>
      <c r="I1635" s="261"/>
      <c r="J1635" s="261"/>
      <c r="K1635" s="261"/>
      <c r="L1635" s="261"/>
      <c r="M1635" s="261"/>
      <c r="N1635" s="261"/>
      <c r="O1635" s="261"/>
      <c r="P1635" s="261"/>
      <c r="Q1635" s="261"/>
      <c r="R1635" s="261"/>
      <c r="S1635" s="261"/>
    </row>
    <row r="1636" spans="1:19">
      <c r="A1636" s="295">
        <v>46363</v>
      </c>
      <c r="B1636" s="259" t="s">
        <v>88</v>
      </c>
      <c r="C1636" s="258"/>
      <c r="D1636" s="261"/>
      <c r="E1636" s="261"/>
      <c r="F1636" s="261"/>
      <c r="G1636" s="261"/>
      <c r="H1636" s="261"/>
      <c r="I1636" s="261"/>
      <c r="J1636" s="261"/>
      <c r="K1636" s="261"/>
      <c r="L1636" s="261"/>
      <c r="M1636" s="261"/>
      <c r="N1636" s="261"/>
      <c r="O1636" s="261"/>
      <c r="P1636" s="261"/>
      <c r="Q1636" s="261"/>
      <c r="R1636" s="261"/>
      <c r="S1636" s="261"/>
    </row>
    <row r="1637" spans="1:19">
      <c r="A1637" s="295"/>
      <c r="B1637" s="259" t="s">
        <v>89</v>
      </c>
      <c r="C1637" s="258"/>
      <c r="D1637" s="261"/>
      <c r="E1637" s="261"/>
      <c r="F1637" s="261"/>
      <c r="G1637" s="261"/>
      <c r="H1637" s="261"/>
      <c r="I1637" s="261"/>
      <c r="J1637" s="261"/>
      <c r="K1637" s="261"/>
      <c r="L1637" s="261"/>
      <c r="M1637" s="261"/>
      <c r="N1637" s="261"/>
      <c r="O1637" s="261"/>
      <c r="P1637" s="261"/>
      <c r="Q1637" s="261"/>
      <c r="R1637" s="261"/>
      <c r="S1637" s="261"/>
    </row>
    <row r="1638" spans="1:19">
      <c r="A1638" s="296"/>
      <c r="B1638" s="267" t="s">
        <v>90</v>
      </c>
      <c r="C1638" s="258"/>
      <c r="D1638" s="261"/>
      <c r="E1638" s="261"/>
      <c r="F1638" s="261"/>
      <c r="G1638" s="261"/>
      <c r="H1638" s="261"/>
      <c r="I1638" s="261"/>
      <c r="J1638" s="261"/>
      <c r="K1638" s="261"/>
      <c r="L1638" s="261"/>
      <c r="M1638" s="261"/>
      <c r="N1638" s="261"/>
      <c r="O1638" s="261"/>
      <c r="P1638" s="261"/>
      <c r="Q1638" s="261"/>
      <c r="R1638" s="261"/>
      <c r="S1638" s="261"/>
    </row>
    <row r="1639" spans="1:19">
      <c r="A1639" s="295">
        <v>46364</v>
      </c>
      <c r="B1639" s="259" t="s">
        <v>88</v>
      </c>
      <c r="C1639" s="258"/>
      <c r="D1639" s="261"/>
      <c r="E1639" s="261"/>
      <c r="F1639" s="261"/>
      <c r="G1639" s="261"/>
      <c r="H1639" s="261"/>
      <c r="I1639" s="261"/>
      <c r="J1639" s="261"/>
      <c r="K1639" s="261"/>
      <c r="L1639" s="261"/>
      <c r="M1639" s="261"/>
      <c r="N1639" s="261"/>
      <c r="O1639" s="261"/>
      <c r="P1639" s="261"/>
      <c r="Q1639" s="261"/>
      <c r="R1639" s="261"/>
      <c r="S1639" s="261"/>
    </row>
    <row r="1640" spans="1:19">
      <c r="A1640" s="295"/>
      <c r="B1640" s="259" t="s">
        <v>89</v>
      </c>
      <c r="C1640" s="258"/>
      <c r="D1640" s="261"/>
      <c r="E1640" s="261"/>
      <c r="F1640" s="261"/>
      <c r="G1640" s="261"/>
      <c r="H1640" s="261"/>
      <c r="I1640" s="261"/>
      <c r="J1640" s="261"/>
      <c r="K1640" s="261"/>
      <c r="L1640" s="261"/>
      <c r="M1640" s="261"/>
      <c r="N1640" s="261"/>
      <c r="O1640" s="261"/>
      <c r="P1640" s="261"/>
      <c r="Q1640" s="261"/>
      <c r="R1640" s="261"/>
      <c r="S1640" s="261"/>
    </row>
    <row r="1641" spans="1:19">
      <c r="A1641" s="296"/>
      <c r="B1641" s="267" t="s">
        <v>90</v>
      </c>
      <c r="C1641" s="258"/>
      <c r="D1641" s="261"/>
      <c r="E1641" s="261"/>
      <c r="F1641" s="261"/>
      <c r="G1641" s="261"/>
      <c r="H1641" s="261"/>
      <c r="I1641" s="261"/>
      <c r="J1641" s="261"/>
      <c r="K1641" s="261"/>
      <c r="L1641" s="261"/>
      <c r="M1641" s="261"/>
      <c r="N1641" s="261"/>
      <c r="O1641" s="261"/>
      <c r="P1641" s="261"/>
      <c r="Q1641" s="261"/>
      <c r="R1641" s="261"/>
      <c r="S1641" s="261"/>
    </row>
    <row r="1642" spans="1:19">
      <c r="A1642" s="295">
        <v>46365</v>
      </c>
      <c r="B1642" s="259" t="s">
        <v>88</v>
      </c>
      <c r="C1642" s="258"/>
      <c r="D1642" s="261"/>
      <c r="E1642" s="261"/>
      <c r="F1642" s="261"/>
      <c r="G1642" s="261"/>
      <c r="H1642" s="261"/>
      <c r="I1642" s="261"/>
      <c r="J1642" s="261"/>
      <c r="K1642" s="261"/>
      <c r="L1642" s="261"/>
      <c r="M1642" s="261"/>
      <c r="N1642" s="261"/>
      <c r="O1642" s="261"/>
      <c r="P1642" s="261"/>
      <c r="Q1642" s="261"/>
      <c r="R1642" s="261"/>
      <c r="S1642" s="261"/>
    </row>
    <row r="1643" spans="1:19">
      <c r="A1643" s="295"/>
      <c r="B1643" s="259" t="s">
        <v>89</v>
      </c>
      <c r="C1643" s="258"/>
      <c r="D1643" s="261"/>
      <c r="E1643" s="261"/>
      <c r="F1643" s="261"/>
      <c r="G1643" s="261"/>
      <c r="H1643" s="261"/>
      <c r="I1643" s="261"/>
      <c r="J1643" s="261"/>
      <c r="K1643" s="261"/>
      <c r="L1643" s="261"/>
      <c r="M1643" s="261"/>
      <c r="N1643" s="261"/>
      <c r="O1643" s="261"/>
      <c r="P1643" s="261"/>
      <c r="Q1643" s="261"/>
      <c r="R1643" s="261"/>
      <c r="S1643" s="261"/>
    </row>
    <row r="1644" spans="1:19">
      <c r="A1644" s="296"/>
      <c r="B1644" s="267" t="s">
        <v>90</v>
      </c>
      <c r="C1644" s="258"/>
      <c r="D1644" s="261"/>
      <c r="E1644" s="261"/>
      <c r="F1644" s="261"/>
      <c r="G1644" s="261"/>
      <c r="H1644" s="261"/>
      <c r="I1644" s="261"/>
      <c r="J1644" s="261"/>
      <c r="K1644" s="261"/>
      <c r="L1644" s="261"/>
      <c r="M1644" s="261"/>
      <c r="N1644" s="261"/>
      <c r="O1644" s="261"/>
      <c r="P1644" s="261"/>
      <c r="Q1644" s="261"/>
      <c r="R1644" s="261"/>
      <c r="S1644" s="261"/>
    </row>
    <row r="1645" spans="1:19">
      <c r="A1645" s="295">
        <v>46366</v>
      </c>
      <c r="B1645" s="259" t="s">
        <v>88</v>
      </c>
      <c r="C1645" s="258"/>
      <c r="D1645" s="261"/>
      <c r="E1645" s="261"/>
      <c r="F1645" s="261"/>
      <c r="G1645" s="261"/>
      <c r="H1645" s="261"/>
      <c r="I1645" s="261"/>
      <c r="J1645" s="261"/>
      <c r="K1645" s="261"/>
      <c r="L1645" s="261"/>
      <c r="M1645" s="261"/>
      <c r="N1645" s="261"/>
      <c r="O1645" s="261"/>
      <c r="P1645" s="261"/>
      <c r="Q1645" s="261"/>
      <c r="R1645" s="261"/>
      <c r="S1645" s="261"/>
    </row>
    <row r="1646" spans="1:19">
      <c r="A1646" s="295"/>
      <c r="B1646" s="259" t="s">
        <v>89</v>
      </c>
      <c r="C1646" s="258"/>
      <c r="D1646" s="261"/>
      <c r="E1646" s="261"/>
      <c r="F1646" s="261"/>
      <c r="G1646" s="261"/>
      <c r="H1646" s="261"/>
      <c r="I1646" s="261"/>
      <c r="J1646" s="261"/>
      <c r="K1646" s="261"/>
      <c r="L1646" s="261"/>
      <c r="M1646" s="261"/>
      <c r="N1646" s="261"/>
      <c r="O1646" s="261"/>
      <c r="P1646" s="261"/>
      <c r="Q1646" s="261"/>
      <c r="R1646" s="261"/>
      <c r="S1646" s="261"/>
    </row>
    <row r="1647" spans="1:19">
      <c r="A1647" s="296"/>
      <c r="B1647" s="267" t="s">
        <v>90</v>
      </c>
      <c r="C1647" s="258"/>
      <c r="D1647" s="261"/>
      <c r="E1647" s="261"/>
      <c r="F1647" s="261"/>
      <c r="G1647" s="261"/>
      <c r="H1647" s="261"/>
      <c r="I1647" s="261"/>
      <c r="J1647" s="261"/>
      <c r="K1647" s="261"/>
      <c r="L1647" s="261"/>
      <c r="M1647" s="261"/>
      <c r="N1647" s="261"/>
      <c r="O1647" s="261"/>
      <c r="P1647" s="261"/>
      <c r="Q1647" s="261"/>
      <c r="R1647" s="261"/>
      <c r="S1647" s="261"/>
    </row>
    <row r="1648" spans="1:19">
      <c r="A1648" s="295">
        <v>46367</v>
      </c>
      <c r="B1648" s="259" t="s">
        <v>88</v>
      </c>
      <c r="C1648" s="258"/>
      <c r="D1648" s="261"/>
      <c r="E1648" s="261"/>
      <c r="F1648" s="261"/>
      <c r="G1648" s="261"/>
      <c r="H1648" s="261"/>
      <c r="I1648" s="261"/>
      <c r="J1648" s="261"/>
      <c r="K1648" s="261"/>
      <c r="L1648" s="261"/>
      <c r="M1648" s="261"/>
      <c r="N1648" s="261"/>
      <c r="O1648" s="261"/>
      <c r="P1648" s="261"/>
      <c r="Q1648" s="261"/>
      <c r="R1648" s="261"/>
      <c r="S1648" s="261"/>
    </row>
    <row r="1649" spans="1:19">
      <c r="A1649" s="295"/>
      <c r="B1649" s="259" t="s">
        <v>89</v>
      </c>
      <c r="C1649" s="258"/>
      <c r="D1649" s="261"/>
      <c r="E1649" s="261"/>
      <c r="F1649" s="261"/>
      <c r="G1649" s="261"/>
      <c r="H1649" s="261"/>
      <c r="I1649" s="261"/>
      <c r="J1649" s="261"/>
      <c r="K1649" s="261"/>
      <c r="L1649" s="261"/>
      <c r="M1649" s="261"/>
      <c r="N1649" s="261"/>
      <c r="O1649" s="261"/>
      <c r="P1649" s="261"/>
      <c r="Q1649" s="261"/>
      <c r="R1649" s="261"/>
      <c r="S1649" s="261"/>
    </row>
    <row r="1650" spans="1:19">
      <c r="A1650" s="296"/>
      <c r="B1650" s="267" t="s">
        <v>90</v>
      </c>
      <c r="C1650" s="258"/>
      <c r="D1650" s="261"/>
      <c r="E1650" s="261"/>
      <c r="F1650" s="261"/>
      <c r="G1650" s="261"/>
      <c r="H1650" s="261"/>
      <c r="I1650" s="261"/>
      <c r="J1650" s="261"/>
      <c r="K1650" s="261"/>
      <c r="L1650" s="261"/>
      <c r="M1650" s="261"/>
      <c r="N1650" s="261"/>
      <c r="O1650" s="261"/>
      <c r="P1650" s="261"/>
      <c r="Q1650" s="261"/>
      <c r="R1650" s="261"/>
      <c r="S1650" s="261"/>
    </row>
    <row r="1651" spans="1:19">
      <c r="A1651" s="295">
        <v>46368</v>
      </c>
      <c r="B1651" s="259" t="s">
        <v>88</v>
      </c>
      <c r="C1651" s="258"/>
      <c r="D1651" s="261"/>
      <c r="E1651" s="261"/>
      <c r="F1651" s="261"/>
      <c r="G1651" s="261"/>
      <c r="H1651" s="261"/>
      <c r="I1651" s="261"/>
      <c r="J1651" s="261"/>
      <c r="K1651" s="261"/>
      <c r="L1651" s="261"/>
      <c r="M1651" s="261"/>
      <c r="N1651" s="261"/>
      <c r="O1651" s="261"/>
      <c r="P1651" s="261"/>
      <c r="Q1651" s="261"/>
      <c r="R1651" s="261"/>
      <c r="S1651" s="261"/>
    </row>
    <row r="1652" spans="1:19">
      <c r="A1652" s="295"/>
      <c r="B1652" s="259" t="s">
        <v>89</v>
      </c>
      <c r="C1652" s="258"/>
      <c r="D1652" s="261"/>
      <c r="E1652" s="261"/>
      <c r="F1652" s="261"/>
      <c r="G1652" s="261"/>
      <c r="H1652" s="261"/>
      <c r="I1652" s="261"/>
      <c r="J1652" s="261"/>
      <c r="K1652" s="261"/>
      <c r="L1652" s="261"/>
      <c r="M1652" s="261"/>
      <c r="N1652" s="261"/>
      <c r="O1652" s="261"/>
      <c r="P1652" s="261"/>
      <c r="Q1652" s="261"/>
      <c r="R1652" s="261"/>
      <c r="S1652" s="261"/>
    </row>
    <row r="1653" spans="1:19">
      <c r="A1653" s="296"/>
      <c r="B1653" s="267" t="s">
        <v>90</v>
      </c>
      <c r="C1653" s="258"/>
      <c r="D1653" s="261"/>
      <c r="E1653" s="261"/>
      <c r="F1653" s="261"/>
      <c r="G1653" s="261"/>
      <c r="H1653" s="261"/>
      <c r="I1653" s="261"/>
      <c r="J1653" s="261"/>
      <c r="K1653" s="261"/>
      <c r="L1653" s="261"/>
      <c r="M1653" s="261"/>
      <c r="N1653" s="261"/>
      <c r="O1653" s="261"/>
      <c r="P1653" s="261"/>
      <c r="Q1653" s="261"/>
      <c r="R1653" s="261"/>
      <c r="S1653" s="261"/>
    </row>
    <row r="1654" spans="1:19">
      <c r="A1654" s="295">
        <v>46369</v>
      </c>
      <c r="B1654" s="259" t="s">
        <v>88</v>
      </c>
      <c r="C1654" s="258"/>
      <c r="D1654" s="261"/>
      <c r="E1654" s="261"/>
      <c r="F1654" s="261"/>
      <c r="G1654" s="261"/>
      <c r="H1654" s="261"/>
      <c r="I1654" s="261"/>
      <c r="J1654" s="261"/>
      <c r="K1654" s="261"/>
      <c r="L1654" s="261"/>
      <c r="M1654" s="261"/>
      <c r="N1654" s="261"/>
      <c r="O1654" s="261"/>
      <c r="P1654" s="261"/>
      <c r="Q1654" s="261"/>
      <c r="R1654" s="261"/>
      <c r="S1654" s="261"/>
    </row>
    <row r="1655" spans="1:19">
      <c r="A1655" s="295"/>
      <c r="B1655" s="259" t="s">
        <v>89</v>
      </c>
      <c r="C1655" s="258"/>
      <c r="D1655" s="261"/>
      <c r="E1655" s="261"/>
      <c r="F1655" s="261"/>
      <c r="G1655" s="261"/>
      <c r="H1655" s="261"/>
      <c r="I1655" s="261"/>
      <c r="J1655" s="261"/>
      <c r="K1655" s="261"/>
      <c r="L1655" s="261"/>
      <c r="M1655" s="261"/>
      <c r="N1655" s="261"/>
      <c r="O1655" s="261"/>
      <c r="P1655" s="261"/>
      <c r="Q1655" s="261"/>
      <c r="R1655" s="261"/>
      <c r="S1655" s="261"/>
    </row>
    <row r="1656" spans="1:19">
      <c r="A1656" s="296"/>
      <c r="B1656" s="267" t="s">
        <v>90</v>
      </c>
      <c r="C1656" s="258"/>
      <c r="D1656" s="261"/>
      <c r="E1656" s="261"/>
      <c r="F1656" s="261"/>
      <c r="G1656" s="261"/>
      <c r="H1656" s="261"/>
      <c r="I1656" s="261"/>
      <c r="J1656" s="261"/>
      <c r="K1656" s="261"/>
      <c r="L1656" s="261"/>
      <c r="M1656" s="261"/>
      <c r="N1656" s="261"/>
      <c r="O1656" s="261"/>
      <c r="P1656" s="261"/>
      <c r="Q1656" s="261"/>
      <c r="R1656" s="261"/>
      <c r="S1656" s="261"/>
    </row>
    <row r="1657" spans="1:19">
      <c r="A1657" s="295">
        <v>46370</v>
      </c>
      <c r="B1657" s="259" t="s">
        <v>88</v>
      </c>
      <c r="C1657" s="258"/>
      <c r="D1657" s="261"/>
      <c r="E1657" s="261"/>
      <c r="F1657" s="261"/>
      <c r="G1657" s="261"/>
      <c r="H1657" s="261"/>
      <c r="I1657" s="261"/>
      <c r="J1657" s="261"/>
      <c r="K1657" s="261"/>
      <c r="L1657" s="261"/>
      <c r="M1657" s="261"/>
      <c r="N1657" s="261"/>
      <c r="O1657" s="261"/>
      <c r="P1657" s="261"/>
      <c r="Q1657" s="261"/>
      <c r="R1657" s="261"/>
      <c r="S1657" s="261"/>
    </row>
    <row r="1658" spans="1:19">
      <c r="A1658" s="295"/>
      <c r="B1658" s="259" t="s">
        <v>89</v>
      </c>
      <c r="C1658" s="258"/>
      <c r="D1658" s="261"/>
      <c r="E1658" s="261"/>
      <c r="F1658" s="261"/>
      <c r="G1658" s="261"/>
      <c r="H1658" s="261"/>
      <c r="I1658" s="261"/>
      <c r="J1658" s="261"/>
      <c r="K1658" s="261"/>
      <c r="L1658" s="261"/>
      <c r="M1658" s="261"/>
      <c r="N1658" s="261"/>
      <c r="O1658" s="261"/>
      <c r="P1658" s="261"/>
      <c r="Q1658" s="261"/>
      <c r="R1658" s="261"/>
      <c r="S1658" s="261"/>
    </row>
    <row r="1659" spans="1:19">
      <c r="A1659" s="296"/>
      <c r="B1659" s="267" t="s">
        <v>90</v>
      </c>
      <c r="C1659" s="258"/>
      <c r="D1659" s="261"/>
      <c r="E1659" s="261"/>
      <c r="F1659" s="261"/>
      <c r="G1659" s="261"/>
      <c r="H1659" s="261"/>
      <c r="I1659" s="261"/>
      <c r="J1659" s="261"/>
      <c r="K1659" s="261"/>
      <c r="L1659" s="261"/>
      <c r="M1659" s="261"/>
      <c r="N1659" s="261"/>
      <c r="O1659" s="261"/>
      <c r="P1659" s="261"/>
      <c r="Q1659" s="261"/>
      <c r="R1659" s="261"/>
      <c r="S1659" s="261"/>
    </row>
    <row r="1660" spans="1:19">
      <c r="A1660" s="295">
        <v>46371</v>
      </c>
      <c r="B1660" s="259" t="s">
        <v>88</v>
      </c>
      <c r="C1660" s="258"/>
      <c r="D1660" s="261"/>
      <c r="E1660" s="261"/>
      <c r="F1660" s="261"/>
      <c r="G1660" s="261"/>
      <c r="H1660" s="261"/>
      <c r="I1660" s="261"/>
      <c r="J1660" s="261"/>
      <c r="K1660" s="261"/>
      <c r="L1660" s="261"/>
      <c r="M1660" s="261"/>
      <c r="N1660" s="261"/>
      <c r="O1660" s="261"/>
      <c r="P1660" s="261"/>
      <c r="Q1660" s="261"/>
      <c r="R1660" s="261"/>
      <c r="S1660" s="261"/>
    </row>
    <row r="1661" spans="1:19">
      <c r="A1661" s="295"/>
      <c r="B1661" s="259" t="s">
        <v>89</v>
      </c>
      <c r="C1661" s="258"/>
      <c r="D1661" s="261"/>
      <c r="E1661" s="261"/>
      <c r="F1661" s="261"/>
      <c r="G1661" s="261"/>
      <c r="H1661" s="261"/>
      <c r="I1661" s="261"/>
      <c r="J1661" s="261"/>
      <c r="K1661" s="261"/>
      <c r="L1661" s="261"/>
      <c r="M1661" s="261"/>
      <c r="N1661" s="261"/>
      <c r="O1661" s="261"/>
      <c r="P1661" s="261"/>
      <c r="Q1661" s="261"/>
      <c r="R1661" s="261"/>
      <c r="S1661" s="261"/>
    </row>
    <row r="1662" spans="1:19">
      <c r="A1662" s="296"/>
      <c r="B1662" s="267" t="s">
        <v>90</v>
      </c>
      <c r="C1662" s="258"/>
      <c r="D1662" s="261"/>
      <c r="E1662" s="261"/>
      <c r="F1662" s="261"/>
      <c r="G1662" s="261"/>
      <c r="H1662" s="261"/>
      <c r="I1662" s="261"/>
      <c r="J1662" s="261"/>
      <c r="K1662" s="261"/>
      <c r="L1662" s="261"/>
      <c r="M1662" s="261"/>
      <c r="N1662" s="261"/>
      <c r="O1662" s="261"/>
      <c r="P1662" s="261"/>
      <c r="Q1662" s="261"/>
      <c r="R1662" s="261"/>
      <c r="S1662" s="261"/>
    </row>
    <row r="1663" spans="1:19">
      <c r="A1663" s="295">
        <v>46372</v>
      </c>
      <c r="B1663" s="259" t="s">
        <v>88</v>
      </c>
      <c r="C1663" s="258"/>
      <c r="D1663" s="261"/>
      <c r="E1663" s="261"/>
      <c r="F1663" s="261"/>
      <c r="G1663" s="261"/>
      <c r="H1663" s="261"/>
      <c r="I1663" s="261"/>
      <c r="J1663" s="261"/>
      <c r="K1663" s="261"/>
      <c r="L1663" s="261"/>
      <c r="M1663" s="261"/>
      <c r="N1663" s="261"/>
      <c r="O1663" s="261"/>
      <c r="P1663" s="261"/>
      <c r="Q1663" s="261"/>
      <c r="R1663" s="261"/>
      <c r="S1663" s="261"/>
    </row>
    <row r="1664" spans="1:19">
      <c r="A1664" s="295"/>
      <c r="B1664" s="259" t="s">
        <v>89</v>
      </c>
      <c r="C1664" s="258"/>
      <c r="D1664" s="261"/>
      <c r="E1664" s="261"/>
      <c r="F1664" s="261"/>
      <c r="G1664" s="261"/>
      <c r="H1664" s="261"/>
      <c r="I1664" s="261"/>
      <c r="J1664" s="261"/>
      <c r="K1664" s="261"/>
      <c r="L1664" s="261"/>
      <c r="M1664" s="261"/>
      <c r="N1664" s="261"/>
      <c r="O1664" s="261"/>
      <c r="P1664" s="261"/>
      <c r="Q1664" s="261"/>
      <c r="R1664" s="261"/>
      <c r="S1664" s="261"/>
    </row>
    <row r="1665" spans="1:19">
      <c r="A1665" s="296"/>
      <c r="B1665" s="267" t="s">
        <v>90</v>
      </c>
      <c r="C1665" s="258"/>
      <c r="D1665" s="261"/>
      <c r="E1665" s="261"/>
      <c r="F1665" s="261"/>
      <c r="G1665" s="261"/>
      <c r="H1665" s="261"/>
      <c r="I1665" s="261"/>
      <c r="J1665" s="261"/>
      <c r="K1665" s="261"/>
      <c r="L1665" s="261"/>
      <c r="M1665" s="261"/>
      <c r="N1665" s="261"/>
      <c r="O1665" s="261"/>
      <c r="P1665" s="261"/>
      <c r="Q1665" s="261"/>
      <c r="R1665" s="261"/>
      <c r="S1665" s="261"/>
    </row>
    <row r="1666" spans="1:19">
      <c r="A1666" s="295">
        <v>46373</v>
      </c>
      <c r="B1666" s="259" t="s">
        <v>88</v>
      </c>
      <c r="C1666" s="258"/>
      <c r="D1666" s="261"/>
      <c r="E1666" s="261"/>
      <c r="F1666" s="261"/>
      <c r="G1666" s="261"/>
      <c r="H1666" s="261"/>
      <c r="I1666" s="261"/>
      <c r="J1666" s="261"/>
      <c r="K1666" s="261"/>
      <c r="L1666" s="261"/>
      <c r="M1666" s="261"/>
      <c r="N1666" s="261"/>
      <c r="O1666" s="261"/>
      <c r="P1666" s="261"/>
      <c r="Q1666" s="261"/>
      <c r="R1666" s="261"/>
      <c r="S1666" s="261"/>
    </row>
    <row r="1667" spans="1:19">
      <c r="A1667" s="295"/>
      <c r="B1667" s="259" t="s">
        <v>89</v>
      </c>
      <c r="C1667" s="258"/>
      <c r="D1667" s="261"/>
      <c r="E1667" s="261"/>
      <c r="F1667" s="261"/>
      <c r="G1667" s="261"/>
      <c r="H1667" s="261"/>
      <c r="I1667" s="261"/>
      <c r="J1667" s="261"/>
      <c r="K1667" s="261"/>
      <c r="L1667" s="261"/>
      <c r="M1667" s="261"/>
      <c r="N1667" s="261"/>
      <c r="O1667" s="261"/>
      <c r="P1667" s="261"/>
      <c r="Q1667" s="261"/>
      <c r="R1667" s="261"/>
      <c r="S1667" s="261"/>
    </row>
    <row r="1668" spans="1:19">
      <c r="A1668" s="296"/>
      <c r="B1668" s="267" t="s">
        <v>90</v>
      </c>
      <c r="C1668" s="258"/>
      <c r="D1668" s="261"/>
      <c r="E1668" s="261"/>
      <c r="F1668" s="261"/>
      <c r="G1668" s="261"/>
      <c r="H1668" s="261"/>
      <c r="I1668" s="261"/>
      <c r="J1668" s="261"/>
      <c r="K1668" s="261"/>
      <c r="L1668" s="261"/>
      <c r="M1668" s="261"/>
      <c r="N1668" s="261"/>
      <c r="O1668" s="261"/>
      <c r="P1668" s="261"/>
      <c r="Q1668" s="261"/>
      <c r="R1668" s="261"/>
      <c r="S1668" s="261"/>
    </row>
    <row r="1669" spans="1:19">
      <c r="A1669" s="295">
        <v>46374</v>
      </c>
      <c r="B1669" s="259" t="s">
        <v>88</v>
      </c>
      <c r="C1669" s="258"/>
      <c r="D1669" s="261"/>
      <c r="E1669" s="261"/>
      <c r="F1669" s="261"/>
      <c r="G1669" s="261"/>
      <c r="H1669" s="261"/>
      <c r="I1669" s="261"/>
      <c r="J1669" s="261"/>
      <c r="K1669" s="261"/>
      <c r="L1669" s="261"/>
      <c r="M1669" s="261"/>
      <c r="N1669" s="261"/>
      <c r="O1669" s="261"/>
      <c r="P1669" s="261"/>
      <c r="Q1669" s="261"/>
      <c r="R1669" s="261"/>
      <c r="S1669" s="261"/>
    </row>
    <row r="1670" spans="1:19">
      <c r="A1670" s="295"/>
      <c r="B1670" s="259" t="s">
        <v>89</v>
      </c>
      <c r="C1670" s="258"/>
      <c r="D1670" s="261"/>
      <c r="E1670" s="261"/>
      <c r="F1670" s="261"/>
      <c r="G1670" s="261"/>
      <c r="H1670" s="261"/>
      <c r="I1670" s="261"/>
      <c r="J1670" s="261"/>
      <c r="K1670" s="261"/>
      <c r="L1670" s="261"/>
      <c r="M1670" s="261"/>
      <c r="N1670" s="261"/>
      <c r="O1670" s="261"/>
      <c r="P1670" s="261"/>
      <c r="Q1670" s="261"/>
      <c r="R1670" s="261"/>
      <c r="S1670" s="261"/>
    </row>
    <row r="1671" spans="1:19">
      <c r="A1671" s="296"/>
      <c r="B1671" s="267" t="s">
        <v>90</v>
      </c>
      <c r="C1671" s="258"/>
      <c r="D1671" s="261"/>
      <c r="E1671" s="261"/>
      <c r="F1671" s="261"/>
      <c r="G1671" s="261"/>
      <c r="H1671" s="261"/>
      <c r="I1671" s="261"/>
      <c r="J1671" s="261"/>
      <c r="K1671" s="261"/>
      <c r="L1671" s="261"/>
      <c r="M1671" s="261"/>
      <c r="N1671" s="261"/>
      <c r="O1671" s="261"/>
      <c r="P1671" s="261"/>
      <c r="Q1671" s="261"/>
      <c r="R1671" s="261"/>
      <c r="S1671" s="261"/>
    </row>
    <row r="1672" spans="1:19">
      <c r="A1672" s="295">
        <v>46375</v>
      </c>
      <c r="B1672" s="259" t="s">
        <v>88</v>
      </c>
      <c r="C1672" s="258"/>
      <c r="D1672" s="261"/>
      <c r="E1672" s="261"/>
      <c r="F1672" s="261"/>
      <c r="G1672" s="261"/>
      <c r="H1672" s="261"/>
      <c r="I1672" s="261"/>
      <c r="J1672" s="261"/>
      <c r="K1672" s="261"/>
      <c r="L1672" s="261"/>
      <c r="M1672" s="261"/>
      <c r="N1672" s="261"/>
      <c r="O1672" s="261"/>
      <c r="P1672" s="261"/>
      <c r="Q1672" s="261"/>
      <c r="R1672" s="261"/>
      <c r="S1672" s="261"/>
    </row>
    <row r="1673" spans="1:19">
      <c r="A1673" s="295"/>
      <c r="B1673" s="259" t="s">
        <v>89</v>
      </c>
      <c r="C1673" s="258"/>
      <c r="D1673" s="261"/>
      <c r="E1673" s="261"/>
      <c r="F1673" s="261"/>
      <c r="G1673" s="261"/>
      <c r="H1673" s="261"/>
      <c r="I1673" s="261"/>
      <c r="J1673" s="261"/>
      <c r="K1673" s="261"/>
      <c r="L1673" s="261"/>
      <c r="M1673" s="261"/>
      <c r="N1673" s="261"/>
      <c r="O1673" s="261"/>
      <c r="P1673" s="261"/>
      <c r="Q1673" s="261"/>
      <c r="R1673" s="261"/>
      <c r="S1673" s="261"/>
    </row>
    <row r="1674" spans="1:19">
      <c r="A1674" s="296"/>
      <c r="B1674" s="267" t="s">
        <v>90</v>
      </c>
      <c r="C1674" s="258"/>
      <c r="D1674" s="261"/>
      <c r="E1674" s="261"/>
      <c r="F1674" s="261"/>
      <c r="G1674" s="261"/>
      <c r="H1674" s="261"/>
      <c r="I1674" s="261"/>
      <c r="J1674" s="261"/>
      <c r="K1674" s="261"/>
      <c r="L1674" s="261"/>
      <c r="M1674" s="261"/>
      <c r="N1674" s="261"/>
      <c r="O1674" s="261"/>
      <c r="P1674" s="261"/>
      <c r="Q1674" s="261"/>
      <c r="R1674" s="261"/>
      <c r="S1674" s="261"/>
    </row>
    <row r="1675" spans="1:19">
      <c r="A1675" s="295">
        <v>46376</v>
      </c>
      <c r="B1675" s="259" t="s">
        <v>88</v>
      </c>
      <c r="C1675" s="258"/>
      <c r="D1675" s="261"/>
      <c r="E1675" s="261"/>
      <c r="F1675" s="261"/>
      <c r="G1675" s="261"/>
      <c r="H1675" s="261"/>
      <c r="I1675" s="261"/>
      <c r="J1675" s="261"/>
      <c r="K1675" s="261"/>
      <c r="L1675" s="261"/>
      <c r="M1675" s="261"/>
      <c r="N1675" s="261"/>
      <c r="O1675" s="261"/>
      <c r="P1675" s="261"/>
      <c r="Q1675" s="261"/>
      <c r="R1675" s="261"/>
      <c r="S1675" s="261"/>
    </row>
    <row r="1676" spans="1:19">
      <c r="A1676" s="295"/>
      <c r="B1676" s="259" t="s">
        <v>89</v>
      </c>
      <c r="C1676" s="258"/>
      <c r="D1676" s="261"/>
      <c r="E1676" s="261"/>
      <c r="F1676" s="261"/>
      <c r="G1676" s="261"/>
      <c r="H1676" s="261"/>
      <c r="I1676" s="261"/>
      <c r="J1676" s="261"/>
      <c r="K1676" s="261"/>
      <c r="L1676" s="261"/>
      <c r="M1676" s="261"/>
      <c r="N1676" s="261"/>
      <c r="O1676" s="261"/>
      <c r="P1676" s="261"/>
      <c r="Q1676" s="261"/>
      <c r="R1676" s="261"/>
      <c r="S1676" s="261"/>
    </row>
    <row r="1677" spans="1:19">
      <c r="A1677" s="296"/>
      <c r="B1677" s="267" t="s">
        <v>90</v>
      </c>
      <c r="C1677" s="258"/>
      <c r="D1677" s="261"/>
      <c r="E1677" s="261"/>
      <c r="F1677" s="261"/>
      <c r="G1677" s="261"/>
      <c r="H1677" s="261"/>
      <c r="I1677" s="261"/>
      <c r="J1677" s="261"/>
      <c r="K1677" s="261"/>
      <c r="L1677" s="261"/>
      <c r="M1677" s="261"/>
      <c r="N1677" s="261"/>
      <c r="O1677" s="261"/>
      <c r="P1677" s="261"/>
      <c r="Q1677" s="261"/>
      <c r="R1677" s="261"/>
      <c r="S1677" s="261"/>
    </row>
    <row r="1678" spans="1:19">
      <c r="A1678" s="295">
        <v>46377</v>
      </c>
      <c r="B1678" s="259" t="s">
        <v>88</v>
      </c>
      <c r="C1678" s="258"/>
      <c r="D1678" s="261"/>
      <c r="E1678" s="261"/>
      <c r="F1678" s="261"/>
      <c r="G1678" s="261"/>
      <c r="H1678" s="261"/>
      <c r="I1678" s="261"/>
      <c r="J1678" s="261"/>
      <c r="K1678" s="261"/>
      <c r="L1678" s="261"/>
      <c r="M1678" s="261"/>
      <c r="N1678" s="261"/>
      <c r="O1678" s="261"/>
      <c r="P1678" s="261"/>
      <c r="Q1678" s="261"/>
      <c r="R1678" s="261"/>
      <c r="S1678" s="261"/>
    </row>
    <row r="1679" spans="1:19">
      <c r="A1679" s="295"/>
      <c r="B1679" s="259" t="s">
        <v>89</v>
      </c>
      <c r="C1679" s="258"/>
      <c r="D1679" s="261"/>
      <c r="E1679" s="261"/>
      <c r="F1679" s="261"/>
      <c r="G1679" s="261"/>
      <c r="H1679" s="261"/>
      <c r="I1679" s="261"/>
      <c r="J1679" s="261"/>
      <c r="K1679" s="261"/>
      <c r="L1679" s="261"/>
      <c r="M1679" s="261"/>
      <c r="N1679" s="261"/>
      <c r="O1679" s="261"/>
      <c r="P1679" s="261"/>
      <c r="Q1679" s="261"/>
      <c r="R1679" s="261"/>
      <c r="S1679" s="261"/>
    </row>
    <row r="1680" spans="1:19">
      <c r="A1680" s="296"/>
      <c r="B1680" s="267" t="s">
        <v>90</v>
      </c>
      <c r="C1680" s="258"/>
      <c r="D1680" s="261"/>
      <c r="E1680" s="261"/>
      <c r="F1680" s="261"/>
      <c r="G1680" s="261"/>
      <c r="H1680" s="261"/>
      <c r="I1680" s="261"/>
      <c r="J1680" s="261"/>
      <c r="K1680" s="261"/>
      <c r="L1680" s="261"/>
      <c r="M1680" s="261"/>
      <c r="N1680" s="261"/>
      <c r="O1680" s="261"/>
      <c r="P1680" s="261"/>
      <c r="Q1680" s="261"/>
      <c r="R1680" s="261"/>
      <c r="S1680" s="261"/>
    </row>
    <row r="1681" spans="1:19">
      <c r="A1681" s="295">
        <v>46378</v>
      </c>
      <c r="B1681" s="259" t="s">
        <v>88</v>
      </c>
      <c r="C1681" s="258"/>
      <c r="D1681" s="261"/>
      <c r="E1681" s="261"/>
      <c r="F1681" s="261"/>
      <c r="G1681" s="261"/>
      <c r="H1681" s="261"/>
      <c r="I1681" s="261"/>
      <c r="J1681" s="261"/>
      <c r="K1681" s="261"/>
      <c r="L1681" s="261"/>
      <c r="M1681" s="261"/>
      <c r="N1681" s="261"/>
      <c r="O1681" s="261"/>
      <c r="P1681" s="261"/>
      <c r="Q1681" s="261"/>
      <c r="R1681" s="261"/>
      <c r="S1681" s="261"/>
    </row>
    <row r="1682" spans="1:19">
      <c r="A1682" s="295"/>
      <c r="B1682" s="259" t="s">
        <v>89</v>
      </c>
      <c r="C1682" s="258"/>
      <c r="D1682" s="261"/>
      <c r="E1682" s="261"/>
      <c r="F1682" s="261"/>
      <c r="G1682" s="261"/>
      <c r="H1682" s="261"/>
      <c r="I1682" s="261"/>
      <c r="J1682" s="261"/>
      <c r="K1682" s="261"/>
      <c r="L1682" s="261"/>
      <c r="M1682" s="261"/>
      <c r="N1682" s="261"/>
      <c r="O1682" s="261"/>
      <c r="P1682" s="261"/>
      <c r="Q1682" s="261"/>
      <c r="R1682" s="261"/>
      <c r="S1682" s="261"/>
    </row>
    <row r="1683" spans="1:19">
      <c r="A1683" s="296"/>
      <c r="B1683" s="267" t="s">
        <v>90</v>
      </c>
      <c r="C1683" s="258"/>
      <c r="D1683" s="261"/>
      <c r="E1683" s="261"/>
      <c r="F1683" s="261"/>
      <c r="G1683" s="261"/>
      <c r="H1683" s="261"/>
      <c r="I1683" s="261"/>
      <c r="J1683" s="261"/>
      <c r="K1683" s="261"/>
      <c r="L1683" s="261"/>
      <c r="M1683" s="261"/>
      <c r="N1683" s="261"/>
      <c r="O1683" s="261"/>
      <c r="P1683" s="261"/>
      <c r="Q1683" s="261"/>
      <c r="R1683" s="261"/>
      <c r="S1683" s="261"/>
    </row>
    <row r="1684" spans="1:19">
      <c r="A1684" s="295">
        <v>46379</v>
      </c>
      <c r="B1684" s="259" t="s">
        <v>88</v>
      </c>
      <c r="C1684" s="258"/>
      <c r="D1684" s="261"/>
      <c r="E1684" s="261"/>
      <c r="F1684" s="261"/>
      <c r="G1684" s="261"/>
      <c r="H1684" s="261"/>
      <c r="I1684" s="261"/>
      <c r="J1684" s="261"/>
      <c r="K1684" s="261"/>
      <c r="L1684" s="261"/>
      <c r="M1684" s="261"/>
      <c r="N1684" s="261"/>
      <c r="O1684" s="261"/>
      <c r="P1684" s="261"/>
      <c r="Q1684" s="261"/>
      <c r="R1684" s="261"/>
      <c r="S1684" s="261"/>
    </row>
    <row r="1685" spans="1:19">
      <c r="A1685" s="295"/>
      <c r="B1685" s="259" t="s">
        <v>89</v>
      </c>
      <c r="C1685" s="258"/>
      <c r="D1685" s="261"/>
      <c r="E1685" s="261"/>
      <c r="F1685" s="261"/>
      <c r="G1685" s="261"/>
      <c r="H1685" s="261"/>
      <c r="I1685" s="261"/>
      <c r="J1685" s="261"/>
      <c r="K1685" s="261"/>
      <c r="L1685" s="261"/>
      <c r="M1685" s="261"/>
      <c r="N1685" s="261"/>
      <c r="O1685" s="261"/>
      <c r="P1685" s="261"/>
      <c r="Q1685" s="261"/>
      <c r="R1685" s="261"/>
      <c r="S1685" s="261"/>
    </row>
    <row r="1686" spans="1:19">
      <c r="A1686" s="296"/>
      <c r="B1686" s="267" t="s">
        <v>90</v>
      </c>
      <c r="C1686" s="258"/>
      <c r="D1686" s="261"/>
      <c r="E1686" s="261"/>
      <c r="F1686" s="261"/>
      <c r="G1686" s="261"/>
      <c r="H1686" s="261"/>
      <c r="I1686" s="261"/>
      <c r="J1686" s="261"/>
      <c r="K1686" s="261"/>
      <c r="L1686" s="261"/>
      <c r="M1686" s="261"/>
      <c r="N1686" s="261"/>
      <c r="O1686" s="261"/>
      <c r="P1686" s="261"/>
      <c r="Q1686" s="261"/>
      <c r="R1686" s="261"/>
      <c r="S1686" s="261"/>
    </row>
    <row r="1687" spans="1:19">
      <c r="A1687" s="295">
        <v>46380</v>
      </c>
      <c r="B1687" s="259" t="s">
        <v>88</v>
      </c>
      <c r="C1687" s="258"/>
      <c r="D1687" s="261"/>
      <c r="E1687" s="261"/>
      <c r="F1687" s="261"/>
      <c r="G1687" s="261"/>
      <c r="H1687" s="261"/>
      <c r="I1687" s="261"/>
      <c r="J1687" s="261"/>
      <c r="K1687" s="261"/>
      <c r="L1687" s="261"/>
      <c r="M1687" s="261"/>
      <c r="N1687" s="261"/>
      <c r="O1687" s="261"/>
      <c r="P1687" s="261"/>
      <c r="Q1687" s="261"/>
      <c r="R1687" s="261"/>
      <c r="S1687" s="261"/>
    </row>
    <row r="1688" spans="1:19">
      <c r="A1688" s="295"/>
      <c r="B1688" s="259" t="s">
        <v>89</v>
      </c>
      <c r="C1688" s="258"/>
      <c r="D1688" s="261"/>
      <c r="E1688" s="261"/>
      <c r="F1688" s="261"/>
      <c r="G1688" s="261"/>
      <c r="H1688" s="261"/>
      <c r="I1688" s="261"/>
      <c r="J1688" s="261"/>
      <c r="K1688" s="261"/>
      <c r="L1688" s="261"/>
      <c r="M1688" s="261"/>
      <c r="N1688" s="261"/>
      <c r="O1688" s="261"/>
      <c r="P1688" s="261"/>
      <c r="Q1688" s="261"/>
      <c r="R1688" s="261"/>
      <c r="S1688" s="261"/>
    </row>
    <row r="1689" spans="1:19">
      <c r="A1689" s="296"/>
      <c r="B1689" s="267" t="s">
        <v>90</v>
      </c>
      <c r="C1689" s="258"/>
      <c r="D1689" s="261"/>
      <c r="E1689" s="261"/>
      <c r="F1689" s="261"/>
      <c r="G1689" s="261"/>
      <c r="H1689" s="261"/>
      <c r="I1689" s="261"/>
      <c r="J1689" s="261"/>
      <c r="K1689" s="261"/>
      <c r="L1689" s="261"/>
      <c r="M1689" s="261"/>
      <c r="N1689" s="261"/>
      <c r="O1689" s="261"/>
      <c r="P1689" s="261"/>
      <c r="Q1689" s="261"/>
      <c r="R1689" s="261"/>
      <c r="S1689" s="261"/>
    </row>
    <row r="1690" spans="1:19">
      <c r="A1690" s="295">
        <v>46381</v>
      </c>
      <c r="B1690" s="259" t="s">
        <v>88</v>
      </c>
      <c r="C1690" s="258"/>
      <c r="D1690" s="261"/>
      <c r="E1690" s="261"/>
      <c r="F1690" s="261"/>
      <c r="G1690" s="261"/>
      <c r="H1690" s="261"/>
      <c r="I1690" s="261"/>
      <c r="J1690" s="261"/>
      <c r="K1690" s="261"/>
      <c r="L1690" s="261"/>
      <c r="M1690" s="261"/>
      <c r="N1690" s="261"/>
      <c r="O1690" s="261"/>
      <c r="P1690" s="261"/>
      <c r="Q1690" s="261"/>
      <c r="R1690" s="261"/>
      <c r="S1690" s="261"/>
    </row>
    <row r="1691" spans="1:19">
      <c r="A1691" s="295"/>
      <c r="B1691" s="259" t="s">
        <v>89</v>
      </c>
      <c r="C1691" s="258"/>
      <c r="D1691" s="261"/>
      <c r="E1691" s="261"/>
      <c r="F1691" s="261"/>
      <c r="G1691" s="261"/>
      <c r="H1691" s="261"/>
      <c r="I1691" s="261"/>
      <c r="J1691" s="261"/>
      <c r="K1691" s="261"/>
      <c r="L1691" s="261"/>
      <c r="M1691" s="261"/>
      <c r="N1691" s="261"/>
      <c r="O1691" s="261"/>
      <c r="P1691" s="261"/>
      <c r="Q1691" s="261"/>
      <c r="R1691" s="261"/>
      <c r="S1691" s="261"/>
    </row>
    <row r="1692" spans="1:19">
      <c r="A1692" s="296"/>
      <c r="B1692" s="267" t="s">
        <v>90</v>
      </c>
      <c r="C1692" s="258"/>
      <c r="D1692" s="261"/>
      <c r="E1692" s="261"/>
      <c r="F1692" s="261"/>
      <c r="G1692" s="261"/>
      <c r="H1692" s="261"/>
      <c r="I1692" s="261"/>
      <c r="J1692" s="261"/>
      <c r="K1692" s="261"/>
      <c r="L1692" s="261"/>
      <c r="M1692" s="261"/>
      <c r="N1692" s="261"/>
      <c r="O1692" s="261"/>
      <c r="P1692" s="261"/>
      <c r="Q1692" s="261"/>
      <c r="R1692" s="261"/>
      <c r="S1692" s="261"/>
    </row>
    <row r="1693" spans="1:19">
      <c r="A1693" s="295">
        <v>46382</v>
      </c>
      <c r="B1693" s="259" t="s">
        <v>88</v>
      </c>
      <c r="C1693" s="258"/>
      <c r="D1693" s="261"/>
      <c r="E1693" s="261"/>
      <c r="F1693" s="261"/>
      <c r="G1693" s="261"/>
      <c r="H1693" s="261"/>
      <c r="I1693" s="261"/>
      <c r="J1693" s="261"/>
      <c r="K1693" s="261"/>
      <c r="L1693" s="261"/>
      <c r="M1693" s="261"/>
      <c r="N1693" s="261"/>
      <c r="O1693" s="261"/>
      <c r="P1693" s="261"/>
      <c r="Q1693" s="261"/>
      <c r="R1693" s="261"/>
      <c r="S1693" s="261"/>
    </row>
    <row r="1694" spans="1:19">
      <c r="A1694" s="295"/>
      <c r="B1694" s="259" t="s">
        <v>89</v>
      </c>
      <c r="C1694" s="258"/>
      <c r="D1694" s="261"/>
      <c r="E1694" s="261"/>
      <c r="F1694" s="261"/>
      <c r="G1694" s="261"/>
      <c r="H1694" s="261"/>
      <c r="I1694" s="261"/>
      <c r="J1694" s="261"/>
      <c r="K1694" s="261"/>
      <c r="L1694" s="261"/>
      <c r="M1694" s="261"/>
      <c r="N1694" s="261"/>
      <c r="O1694" s="261"/>
      <c r="P1694" s="261"/>
      <c r="Q1694" s="261"/>
      <c r="R1694" s="261"/>
      <c r="S1694" s="261"/>
    </row>
    <row r="1695" spans="1:19">
      <c r="A1695" s="296"/>
      <c r="B1695" s="267" t="s">
        <v>90</v>
      </c>
      <c r="C1695" s="258"/>
      <c r="D1695" s="261"/>
      <c r="E1695" s="261"/>
      <c r="F1695" s="261"/>
      <c r="G1695" s="261"/>
      <c r="H1695" s="261"/>
      <c r="I1695" s="261"/>
      <c r="J1695" s="261"/>
      <c r="K1695" s="261"/>
      <c r="L1695" s="261"/>
      <c r="M1695" s="261"/>
      <c r="N1695" s="261"/>
      <c r="O1695" s="261"/>
      <c r="P1695" s="261"/>
      <c r="Q1695" s="261"/>
      <c r="R1695" s="261"/>
      <c r="S1695" s="261"/>
    </row>
    <row r="1696" spans="1:19">
      <c r="A1696" s="295">
        <v>46383</v>
      </c>
      <c r="B1696" s="259" t="s">
        <v>88</v>
      </c>
      <c r="C1696" s="258"/>
      <c r="D1696" s="261"/>
      <c r="E1696" s="261"/>
      <c r="F1696" s="261"/>
      <c r="G1696" s="261"/>
      <c r="H1696" s="261"/>
      <c r="I1696" s="261"/>
      <c r="J1696" s="261"/>
      <c r="K1696" s="261"/>
      <c r="L1696" s="261"/>
      <c r="M1696" s="261"/>
      <c r="N1696" s="261"/>
      <c r="O1696" s="261"/>
      <c r="P1696" s="261"/>
      <c r="Q1696" s="261"/>
      <c r="R1696" s="261"/>
      <c r="S1696" s="261"/>
    </row>
    <row r="1697" spans="1:19">
      <c r="A1697" s="295"/>
      <c r="B1697" s="259" t="s">
        <v>89</v>
      </c>
      <c r="C1697" s="258"/>
      <c r="D1697" s="261"/>
      <c r="E1697" s="261"/>
      <c r="F1697" s="261"/>
      <c r="G1697" s="261"/>
      <c r="H1697" s="261"/>
      <c r="I1697" s="261"/>
      <c r="J1697" s="261"/>
      <c r="K1697" s="261"/>
      <c r="L1697" s="261"/>
      <c r="M1697" s="261"/>
      <c r="N1697" s="261"/>
      <c r="O1697" s="261"/>
      <c r="P1697" s="261"/>
      <c r="Q1697" s="261"/>
      <c r="R1697" s="261"/>
      <c r="S1697" s="261"/>
    </row>
    <row r="1698" spans="1:19">
      <c r="A1698" s="296"/>
      <c r="B1698" s="267" t="s">
        <v>90</v>
      </c>
      <c r="C1698" s="258"/>
      <c r="D1698" s="261"/>
      <c r="E1698" s="261"/>
      <c r="F1698" s="261"/>
      <c r="G1698" s="261"/>
      <c r="H1698" s="261"/>
      <c r="I1698" s="261"/>
      <c r="J1698" s="261"/>
      <c r="K1698" s="261"/>
      <c r="L1698" s="261"/>
      <c r="M1698" s="261"/>
      <c r="N1698" s="261"/>
      <c r="O1698" s="261"/>
      <c r="P1698" s="261"/>
      <c r="Q1698" s="261"/>
      <c r="R1698" s="261"/>
      <c r="S1698" s="261"/>
    </row>
    <row r="1699" spans="1:19">
      <c r="A1699" s="295">
        <v>46384</v>
      </c>
      <c r="B1699" s="259" t="s">
        <v>88</v>
      </c>
      <c r="C1699" s="258"/>
      <c r="D1699" s="261"/>
      <c r="E1699" s="261"/>
      <c r="F1699" s="261"/>
      <c r="G1699" s="261"/>
      <c r="H1699" s="261"/>
      <c r="I1699" s="261"/>
      <c r="J1699" s="261"/>
      <c r="K1699" s="261"/>
      <c r="L1699" s="261"/>
      <c r="M1699" s="261"/>
      <c r="N1699" s="261"/>
      <c r="O1699" s="261"/>
      <c r="P1699" s="261"/>
      <c r="Q1699" s="261"/>
      <c r="R1699" s="261"/>
      <c r="S1699" s="261"/>
    </row>
    <row r="1700" spans="1:19">
      <c r="A1700" s="295"/>
      <c r="B1700" s="259" t="s">
        <v>89</v>
      </c>
      <c r="C1700" s="258"/>
      <c r="D1700" s="261"/>
      <c r="E1700" s="261"/>
      <c r="F1700" s="261"/>
      <c r="G1700" s="261"/>
      <c r="H1700" s="261"/>
      <c r="I1700" s="261"/>
      <c r="J1700" s="261"/>
      <c r="K1700" s="261"/>
      <c r="L1700" s="261"/>
      <c r="M1700" s="261"/>
      <c r="N1700" s="261"/>
      <c r="O1700" s="261"/>
      <c r="P1700" s="261"/>
      <c r="Q1700" s="261"/>
      <c r="R1700" s="261"/>
      <c r="S1700" s="261"/>
    </row>
    <row r="1701" spans="1:19">
      <c r="A1701" s="296"/>
      <c r="B1701" s="267" t="s">
        <v>90</v>
      </c>
      <c r="C1701" s="258"/>
      <c r="D1701" s="261"/>
      <c r="E1701" s="261"/>
      <c r="F1701" s="261"/>
      <c r="G1701" s="261"/>
      <c r="H1701" s="261"/>
      <c r="I1701" s="261"/>
      <c r="J1701" s="261"/>
      <c r="K1701" s="261"/>
      <c r="L1701" s="261"/>
      <c r="M1701" s="261"/>
      <c r="N1701" s="261"/>
      <c r="O1701" s="261"/>
      <c r="P1701" s="261"/>
      <c r="Q1701" s="261"/>
      <c r="R1701" s="261"/>
      <c r="S1701" s="261"/>
    </row>
    <row r="1702" spans="1:19">
      <c r="A1702" s="295">
        <v>46385</v>
      </c>
      <c r="B1702" s="259" t="s">
        <v>88</v>
      </c>
      <c r="C1702" s="258"/>
      <c r="D1702" s="261"/>
      <c r="E1702" s="261"/>
      <c r="F1702" s="261"/>
      <c r="G1702" s="261"/>
      <c r="H1702" s="261"/>
      <c r="I1702" s="261"/>
      <c r="J1702" s="261"/>
      <c r="K1702" s="261"/>
      <c r="L1702" s="261"/>
      <c r="M1702" s="261"/>
      <c r="N1702" s="261"/>
      <c r="O1702" s="261"/>
      <c r="P1702" s="261"/>
      <c r="Q1702" s="261"/>
      <c r="R1702" s="261"/>
      <c r="S1702" s="261"/>
    </row>
    <row r="1703" spans="1:19">
      <c r="A1703" s="295"/>
      <c r="B1703" s="259" t="s">
        <v>89</v>
      </c>
      <c r="C1703" s="258"/>
      <c r="D1703" s="261"/>
      <c r="E1703" s="261"/>
      <c r="F1703" s="261"/>
      <c r="G1703" s="261"/>
      <c r="H1703" s="261"/>
      <c r="I1703" s="261"/>
      <c r="J1703" s="261"/>
      <c r="K1703" s="261"/>
      <c r="L1703" s="261"/>
      <c r="M1703" s="261"/>
      <c r="N1703" s="261"/>
      <c r="O1703" s="261"/>
      <c r="P1703" s="261"/>
      <c r="Q1703" s="261"/>
      <c r="R1703" s="261"/>
      <c r="S1703" s="261"/>
    </row>
    <row r="1704" spans="1:19">
      <c r="A1704" s="296"/>
      <c r="B1704" s="267" t="s">
        <v>90</v>
      </c>
      <c r="C1704" s="258"/>
      <c r="D1704" s="261"/>
      <c r="E1704" s="261"/>
      <c r="F1704" s="261"/>
      <c r="G1704" s="261"/>
      <c r="H1704" s="261"/>
      <c r="I1704" s="261"/>
      <c r="J1704" s="261"/>
      <c r="K1704" s="261"/>
      <c r="L1704" s="261"/>
      <c r="M1704" s="261"/>
      <c r="N1704" s="261"/>
      <c r="O1704" s="261"/>
      <c r="P1704" s="261"/>
      <c r="Q1704" s="261"/>
      <c r="R1704" s="261"/>
      <c r="S1704" s="261"/>
    </row>
    <row r="1705" spans="1:19">
      <c r="A1705" s="295">
        <v>46386</v>
      </c>
      <c r="B1705" s="259" t="s">
        <v>88</v>
      </c>
      <c r="C1705" s="258"/>
      <c r="D1705" s="261"/>
      <c r="E1705" s="261"/>
      <c r="F1705" s="261"/>
      <c r="G1705" s="261"/>
      <c r="H1705" s="261"/>
      <c r="I1705" s="261"/>
      <c r="J1705" s="261"/>
      <c r="K1705" s="261"/>
      <c r="L1705" s="261"/>
      <c r="M1705" s="261"/>
      <c r="N1705" s="261"/>
      <c r="O1705" s="261"/>
      <c r="P1705" s="261"/>
      <c r="Q1705" s="261"/>
      <c r="R1705" s="261"/>
      <c r="S1705" s="261"/>
    </row>
    <row r="1706" spans="1:19">
      <c r="A1706" s="295"/>
      <c r="B1706" s="259" t="s">
        <v>89</v>
      </c>
      <c r="C1706" s="258"/>
      <c r="D1706" s="261"/>
      <c r="E1706" s="261"/>
      <c r="F1706" s="261"/>
      <c r="G1706" s="261"/>
      <c r="H1706" s="261"/>
      <c r="I1706" s="261"/>
      <c r="J1706" s="261"/>
      <c r="K1706" s="261"/>
      <c r="L1706" s="261"/>
      <c r="M1706" s="261"/>
      <c r="N1706" s="261"/>
      <c r="O1706" s="261"/>
      <c r="P1706" s="261"/>
      <c r="Q1706" s="261"/>
      <c r="R1706" s="261"/>
      <c r="S1706" s="261"/>
    </row>
    <row r="1707" spans="1:19">
      <c r="A1707" s="296"/>
      <c r="B1707" s="267" t="s">
        <v>90</v>
      </c>
      <c r="C1707" s="258"/>
      <c r="D1707" s="261"/>
      <c r="E1707" s="261"/>
      <c r="F1707" s="261"/>
      <c r="G1707" s="261"/>
      <c r="H1707" s="261"/>
      <c r="I1707" s="261"/>
      <c r="J1707" s="261"/>
      <c r="K1707" s="261"/>
      <c r="L1707" s="261"/>
      <c r="M1707" s="261"/>
      <c r="N1707" s="261"/>
      <c r="O1707" s="261"/>
      <c r="P1707" s="261"/>
      <c r="Q1707" s="261"/>
      <c r="R1707" s="261"/>
      <c r="S1707" s="261"/>
    </row>
    <row r="1708" spans="1:19">
      <c r="A1708" s="295">
        <v>46387</v>
      </c>
      <c r="B1708" s="259" t="s">
        <v>88</v>
      </c>
      <c r="C1708" s="258"/>
      <c r="D1708" s="261"/>
      <c r="E1708" s="261"/>
      <c r="F1708" s="261"/>
      <c r="G1708" s="261"/>
      <c r="H1708" s="261"/>
      <c r="I1708" s="261"/>
      <c r="J1708" s="261"/>
      <c r="K1708" s="261"/>
      <c r="L1708" s="261"/>
      <c r="M1708" s="261"/>
      <c r="N1708" s="261"/>
      <c r="O1708" s="261"/>
      <c r="P1708" s="261"/>
      <c r="Q1708" s="261"/>
      <c r="R1708" s="261"/>
      <c r="S1708" s="261"/>
    </row>
    <row r="1709" spans="1:19">
      <c r="A1709" s="295"/>
      <c r="B1709" s="259" t="s">
        <v>89</v>
      </c>
      <c r="C1709" s="258"/>
      <c r="D1709" s="261"/>
      <c r="E1709" s="261"/>
      <c r="F1709" s="261"/>
      <c r="G1709" s="261"/>
      <c r="H1709" s="261"/>
      <c r="I1709" s="261"/>
      <c r="J1709" s="261"/>
      <c r="K1709" s="261"/>
      <c r="L1709" s="261"/>
      <c r="M1709" s="261"/>
      <c r="N1709" s="261"/>
      <c r="O1709" s="261"/>
      <c r="P1709" s="261"/>
      <c r="Q1709" s="261"/>
      <c r="R1709" s="261"/>
      <c r="S1709" s="261"/>
    </row>
    <row r="1710" spans="1:19">
      <c r="A1710" s="296"/>
      <c r="B1710" s="267" t="s">
        <v>90</v>
      </c>
      <c r="C1710" s="258"/>
      <c r="D1710" s="261"/>
      <c r="E1710" s="261"/>
      <c r="F1710" s="261"/>
      <c r="G1710" s="261"/>
      <c r="H1710" s="261"/>
      <c r="I1710" s="261"/>
      <c r="J1710" s="261"/>
      <c r="K1710" s="261"/>
      <c r="L1710" s="261"/>
      <c r="M1710" s="261"/>
      <c r="N1710" s="261"/>
      <c r="O1710" s="261"/>
      <c r="P1710" s="261"/>
      <c r="Q1710" s="261"/>
      <c r="R1710" s="261"/>
      <c r="S1710" s="261"/>
    </row>
    <row r="1711" spans="1:19">
      <c r="A1711" s="295">
        <v>46388</v>
      </c>
      <c r="B1711" s="259" t="s">
        <v>88</v>
      </c>
      <c r="C1711" s="258"/>
      <c r="D1711" s="261"/>
      <c r="E1711" s="261"/>
      <c r="F1711" s="261"/>
      <c r="G1711" s="261"/>
      <c r="H1711" s="261"/>
      <c r="I1711" s="261"/>
      <c r="J1711" s="261"/>
      <c r="K1711" s="261"/>
      <c r="L1711" s="261"/>
      <c r="M1711" s="261"/>
      <c r="N1711" s="261"/>
      <c r="O1711" s="261"/>
      <c r="P1711" s="261"/>
      <c r="Q1711" s="261"/>
      <c r="R1711" s="261"/>
      <c r="S1711" s="261"/>
    </row>
    <row r="1712" spans="1:19">
      <c r="A1712" s="295"/>
      <c r="B1712" s="259" t="s">
        <v>89</v>
      </c>
      <c r="C1712" s="258"/>
      <c r="D1712" s="261"/>
      <c r="E1712" s="261"/>
      <c r="F1712" s="261"/>
      <c r="G1712" s="261"/>
      <c r="H1712" s="261"/>
      <c r="I1712" s="261"/>
      <c r="J1712" s="261"/>
      <c r="K1712" s="261"/>
      <c r="L1712" s="261"/>
      <c r="M1712" s="261"/>
      <c r="N1712" s="261"/>
      <c r="O1712" s="261"/>
      <c r="P1712" s="261"/>
      <c r="Q1712" s="261"/>
      <c r="R1712" s="261"/>
      <c r="S1712" s="261"/>
    </row>
    <row r="1713" spans="1:19">
      <c r="A1713" s="296"/>
      <c r="B1713" s="267" t="s">
        <v>90</v>
      </c>
      <c r="C1713" s="258"/>
      <c r="D1713" s="261"/>
      <c r="E1713" s="261"/>
      <c r="F1713" s="261"/>
      <c r="G1713" s="261"/>
      <c r="H1713" s="261"/>
      <c r="I1713" s="261"/>
      <c r="J1713" s="261"/>
      <c r="K1713" s="261"/>
      <c r="L1713" s="261"/>
      <c r="M1713" s="261"/>
      <c r="N1713" s="261"/>
      <c r="O1713" s="261"/>
      <c r="P1713" s="261"/>
      <c r="Q1713" s="261"/>
      <c r="R1713" s="261"/>
      <c r="S1713" s="261"/>
    </row>
    <row r="1714" spans="1:19">
      <c r="A1714" s="295">
        <v>46389</v>
      </c>
      <c r="B1714" s="259" t="s">
        <v>88</v>
      </c>
      <c r="C1714" s="258"/>
      <c r="D1714" s="261"/>
      <c r="E1714" s="261"/>
      <c r="F1714" s="261"/>
      <c r="G1714" s="261"/>
      <c r="H1714" s="261"/>
      <c r="I1714" s="261"/>
      <c r="J1714" s="261"/>
      <c r="K1714" s="261"/>
      <c r="L1714" s="261"/>
      <c r="M1714" s="261"/>
      <c r="N1714" s="261"/>
      <c r="O1714" s="261"/>
      <c r="P1714" s="261"/>
      <c r="Q1714" s="261"/>
      <c r="R1714" s="261"/>
      <c r="S1714" s="261"/>
    </row>
    <row r="1715" spans="1:19">
      <c r="A1715" s="295"/>
      <c r="B1715" s="259" t="s">
        <v>89</v>
      </c>
      <c r="C1715" s="258"/>
      <c r="D1715" s="261"/>
      <c r="E1715" s="261"/>
      <c r="F1715" s="261"/>
      <c r="G1715" s="261"/>
      <c r="H1715" s="261"/>
      <c r="I1715" s="261"/>
      <c r="J1715" s="261"/>
      <c r="K1715" s="261"/>
      <c r="L1715" s="261"/>
      <c r="M1715" s="261"/>
      <c r="N1715" s="261"/>
      <c r="O1715" s="261"/>
      <c r="P1715" s="261"/>
      <c r="Q1715" s="261"/>
      <c r="R1715" s="261"/>
      <c r="S1715" s="261"/>
    </row>
    <row r="1716" spans="1:19">
      <c r="A1716" s="296"/>
      <c r="B1716" s="267" t="s">
        <v>90</v>
      </c>
      <c r="C1716" s="258"/>
      <c r="D1716" s="261"/>
      <c r="E1716" s="261"/>
      <c r="F1716" s="261"/>
      <c r="G1716" s="261"/>
      <c r="H1716" s="261"/>
      <c r="I1716" s="261"/>
      <c r="J1716" s="261"/>
      <c r="K1716" s="261"/>
      <c r="L1716" s="261"/>
      <c r="M1716" s="261"/>
      <c r="N1716" s="261"/>
      <c r="O1716" s="261"/>
      <c r="P1716" s="261"/>
      <c r="Q1716" s="261"/>
      <c r="R1716" s="261"/>
      <c r="S1716" s="261"/>
    </row>
    <row r="1717" spans="1:19">
      <c r="A1717" s="295">
        <v>46390</v>
      </c>
      <c r="B1717" s="259" t="s">
        <v>88</v>
      </c>
      <c r="C1717" s="258"/>
      <c r="D1717" s="261"/>
      <c r="E1717" s="261"/>
      <c r="F1717" s="261"/>
      <c r="G1717" s="261"/>
      <c r="H1717" s="261"/>
      <c r="I1717" s="261"/>
      <c r="J1717" s="261"/>
      <c r="K1717" s="261"/>
      <c r="L1717" s="261"/>
      <c r="M1717" s="261"/>
      <c r="N1717" s="261"/>
      <c r="O1717" s="261"/>
      <c r="P1717" s="261"/>
      <c r="Q1717" s="261"/>
      <c r="R1717" s="261"/>
      <c r="S1717" s="261"/>
    </row>
    <row r="1718" spans="1:19">
      <c r="A1718" s="295"/>
      <c r="B1718" s="259" t="s">
        <v>89</v>
      </c>
      <c r="C1718" s="258"/>
      <c r="D1718" s="261"/>
      <c r="E1718" s="261"/>
      <c r="F1718" s="261"/>
      <c r="G1718" s="261"/>
      <c r="H1718" s="261"/>
      <c r="I1718" s="261"/>
      <c r="J1718" s="261"/>
      <c r="K1718" s="261"/>
      <c r="L1718" s="261"/>
      <c r="M1718" s="261"/>
      <c r="N1718" s="261"/>
      <c r="O1718" s="261"/>
      <c r="P1718" s="261"/>
      <c r="Q1718" s="261"/>
      <c r="R1718" s="261"/>
      <c r="S1718" s="261"/>
    </row>
    <row r="1719" spans="1:19">
      <c r="A1719" s="296"/>
      <c r="B1719" s="267" t="s">
        <v>90</v>
      </c>
      <c r="C1719" s="258"/>
      <c r="D1719" s="261"/>
      <c r="E1719" s="261"/>
      <c r="F1719" s="261"/>
      <c r="G1719" s="261"/>
      <c r="H1719" s="261"/>
      <c r="I1719" s="261"/>
      <c r="J1719" s="261"/>
      <c r="K1719" s="261"/>
      <c r="L1719" s="261"/>
      <c r="M1719" s="261"/>
      <c r="N1719" s="261"/>
      <c r="O1719" s="261"/>
      <c r="P1719" s="261"/>
      <c r="Q1719" s="261"/>
      <c r="R1719" s="261"/>
      <c r="S1719" s="261"/>
    </row>
    <row r="1720" spans="1:19">
      <c r="A1720" s="295">
        <v>46391</v>
      </c>
      <c r="B1720" s="259" t="s">
        <v>88</v>
      </c>
      <c r="C1720" s="258"/>
      <c r="D1720" s="261"/>
      <c r="E1720" s="261"/>
      <c r="F1720" s="261"/>
      <c r="G1720" s="261"/>
      <c r="H1720" s="261"/>
      <c r="I1720" s="261"/>
      <c r="J1720" s="261"/>
      <c r="K1720" s="261"/>
      <c r="L1720" s="261"/>
      <c r="M1720" s="261"/>
      <c r="N1720" s="261"/>
      <c r="O1720" s="261"/>
      <c r="P1720" s="261"/>
      <c r="Q1720" s="261"/>
      <c r="R1720" s="261"/>
      <c r="S1720" s="261"/>
    </row>
    <row r="1721" spans="1:19">
      <c r="A1721" s="295"/>
      <c r="B1721" s="259" t="s">
        <v>89</v>
      </c>
      <c r="C1721" s="258"/>
      <c r="D1721" s="261"/>
      <c r="E1721" s="261"/>
      <c r="F1721" s="261"/>
      <c r="G1721" s="261"/>
      <c r="H1721" s="261"/>
      <c r="I1721" s="261"/>
      <c r="J1721" s="261"/>
      <c r="K1721" s="261"/>
      <c r="L1721" s="261"/>
      <c r="M1721" s="261"/>
      <c r="N1721" s="261"/>
      <c r="O1721" s="261"/>
      <c r="P1721" s="261"/>
      <c r="Q1721" s="261"/>
      <c r="R1721" s="261"/>
      <c r="S1721" s="261"/>
    </row>
    <row r="1722" spans="1:19">
      <c r="A1722" s="296"/>
      <c r="B1722" s="267" t="s">
        <v>90</v>
      </c>
      <c r="C1722" s="258"/>
      <c r="D1722" s="261"/>
      <c r="E1722" s="261"/>
      <c r="F1722" s="261"/>
      <c r="G1722" s="261"/>
      <c r="H1722" s="261"/>
      <c r="I1722" s="261"/>
      <c r="J1722" s="261"/>
      <c r="K1722" s="261"/>
      <c r="L1722" s="261"/>
      <c r="M1722" s="261"/>
      <c r="N1722" s="261"/>
      <c r="O1722" s="261"/>
      <c r="P1722" s="261"/>
      <c r="Q1722" s="261"/>
      <c r="R1722" s="261"/>
      <c r="S1722" s="261"/>
    </row>
    <row r="1723" spans="1:19">
      <c r="A1723" s="295">
        <v>46392</v>
      </c>
      <c r="B1723" s="259" t="s">
        <v>88</v>
      </c>
      <c r="C1723" s="258"/>
      <c r="D1723" s="261"/>
      <c r="E1723" s="261"/>
      <c r="F1723" s="261"/>
      <c r="G1723" s="261"/>
      <c r="H1723" s="261"/>
      <c r="I1723" s="261"/>
      <c r="J1723" s="261"/>
      <c r="K1723" s="261"/>
      <c r="L1723" s="261"/>
      <c r="M1723" s="261"/>
      <c r="N1723" s="261"/>
      <c r="O1723" s="261"/>
      <c r="P1723" s="261"/>
      <c r="Q1723" s="261"/>
      <c r="R1723" s="261"/>
      <c r="S1723" s="261"/>
    </row>
    <row r="1724" spans="1:19">
      <c r="A1724" s="295"/>
      <c r="B1724" s="259" t="s">
        <v>89</v>
      </c>
      <c r="C1724" s="258"/>
      <c r="D1724" s="261"/>
      <c r="E1724" s="261"/>
      <c r="F1724" s="261"/>
      <c r="G1724" s="261"/>
      <c r="H1724" s="261"/>
      <c r="I1724" s="261"/>
      <c r="J1724" s="261"/>
      <c r="K1724" s="261"/>
      <c r="L1724" s="261"/>
      <c r="M1724" s="261"/>
      <c r="N1724" s="261"/>
      <c r="O1724" s="261"/>
      <c r="P1724" s="261"/>
      <c r="Q1724" s="261"/>
      <c r="R1724" s="261"/>
      <c r="S1724" s="261"/>
    </row>
    <row r="1725" spans="1:19">
      <c r="A1725" s="296"/>
      <c r="B1725" s="267" t="s">
        <v>90</v>
      </c>
      <c r="C1725" s="258"/>
      <c r="D1725" s="261"/>
      <c r="E1725" s="261"/>
      <c r="F1725" s="261"/>
      <c r="G1725" s="261"/>
      <c r="H1725" s="261"/>
      <c r="I1725" s="261"/>
      <c r="J1725" s="261"/>
      <c r="K1725" s="261"/>
      <c r="L1725" s="261"/>
      <c r="M1725" s="261"/>
      <c r="N1725" s="261"/>
      <c r="O1725" s="261"/>
      <c r="P1725" s="261"/>
      <c r="Q1725" s="261"/>
      <c r="R1725" s="261"/>
      <c r="S1725" s="261"/>
    </row>
    <row r="1726" spans="1:19">
      <c r="A1726" s="295">
        <v>46393</v>
      </c>
      <c r="B1726" s="259" t="s">
        <v>88</v>
      </c>
      <c r="C1726" s="258"/>
      <c r="D1726" s="261"/>
      <c r="E1726" s="261"/>
      <c r="F1726" s="261"/>
      <c r="G1726" s="261"/>
      <c r="H1726" s="261"/>
      <c r="I1726" s="261"/>
      <c r="J1726" s="261"/>
      <c r="K1726" s="261"/>
      <c r="L1726" s="261"/>
      <c r="M1726" s="261"/>
      <c r="N1726" s="261"/>
      <c r="O1726" s="261"/>
      <c r="P1726" s="261"/>
      <c r="Q1726" s="261"/>
      <c r="R1726" s="261"/>
      <c r="S1726" s="261"/>
    </row>
    <row r="1727" spans="1:19">
      <c r="A1727" s="295"/>
      <c r="B1727" s="259" t="s">
        <v>89</v>
      </c>
      <c r="C1727" s="258"/>
      <c r="D1727" s="261"/>
      <c r="E1727" s="261"/>
      <c r="F1727" s="261"/>
      <c r="G1727" s="261"/>
      <c r="H1727" s="261"/>
      <c r="I1727" s="261"/>
      <c r="J1727" s="261"/>
      <c r="K1727" s="261"/>
      <c r="L1727" s="261"/>
      <c r="M1727" s="261"/>
      <c r="N1727" s="261"/>
      <c r="O1727" s="261"/>
      <c r="P1727" s="261"/>
      <c r="Q1727" s="261"/>
      <c r="R1727" s="261"/>
      <c r="S1727" s="261"/>
    </row>
    <row r="1728" spans="1:19">
      <c r="A1728" s="296"/>
      <c r="B1728" s="267" t="s">
        <v>90</v>
      </c>
      <c r="C1728" s="258"/>
      <c r="D1728" s="261"/>
      <c r="E1728" s="261"/>
      <c r="F1728" s="261"/>
      <c r="G1728" s="261"/>
      <c r="H1728" s="261"/>
      <c r="I1728" s="261"/>
      <c r="J1728" s="261"/>
      <c r="K1728" s="261"/>
      <c r="L1728" s="261"/>
      <c r="M1728" s="261"/>
      <c r="N1728" s="261"/>
      <c r="O1728" s="261"/>
      <c r="P1728" s="261"/>
      <c r="Q1728" s="261"/>
      <c r="R1728" s="261"/>
      <c r="S1728" s="261"/>
    </row>
    <row r="1729" spans="1:19">
      <c r="A1729" s="295">
        <v>46394</v>
      </c>
      <c r="B1729" s="259" t="s">
        <v>88</v>
      </c>
      <c r="C1729" s="258"/>
      <c r="D1729" s="261"/>
      <c r="E1729" s="261"/>
      <c r="F1729" s="261"/>
      <c r="G1729" s="261"/>
      <c r="H1729" s="261"/>
      <c r="I1729" s="261"/>
      <c r="J1729" s="261"/>
      <c r="K1729" s="261"/>
      <c r="L1729" s="261"/>
      <c r="M1729" s="261"/>
      <c r="N1729" s="261"/>
      <c r="O1729" s="261"/>
      <c r="P1729" s="261"/>
      <c r="Q1729" s="261"/>
      <c r="R1729" s="261"/>
      <c r="S1729" s="261"/>
    </row>
    <row r="1730" spans="1:19">
      <c r="A1730" s="295"/>
      <c r="B1730" s="259" t="s">
        <v>89</v>
      </c>
      <c r="C1730" s="258"/>
      <c r="D1730" s="261"/>
      <c r="E1730" s="261"/>
      <c r="F1730" s="261"/>
      <c r="G1730" s="261"/>
      <c r="H1730" s="261"/>
      <c r="I1730" s="261"/>
      <c r="J1730" s="261"/>
      <c r="K1730" s="261"/>
      <c r="L1730" s="261"/>
      <c r="M1730" s="261"/>
      <c r="N1730" s="261"/>
      <c r="O1730" s="261"/>
      <c r="P1730" s="261"/>
      <c r="Q1730" s="261"/>
      <c r="R1730" s="261"/>
      <c r="S1730" s="261"/>
    </row>
    <row r="1731" spans="1:19">
      <c r="A1731" s="296"/>
      <c r="B1731" s="267" t="s">
        <v>90</v>
      </c>
      <c r="C1731" s="258"/>
      <c r="D1731" s="261"/>
      <c r="E1731" s="261"/>
      <c r="F1731" s="261"/>
      <c r="G1731" s="261"/>
      <c r="H1731" s="261"/>
      <c r="I1731" s="261"/>
      <c r="J1731" s="261"/>
      <c r="K1731" s="261"/>
      <c r="L1731" s="261"/>
      <c r="M1731" s="261"/>
      <c r="N1731" s="261"/>
      <c r="O1731" s="261"/>
      <c r="P1731" s="261"/>
      <c r="Q1731" s="261"/>
      <c r="R1731" s="261"/>
      <c r="S1731" s="261"/>
    </row>
    <row r="1732" spans="1:19">
      <c r="A1732" s="295">
        <v>46395</v>
      </c>
      <c r="B1732" s="259" t="s">
        <v>88</v>
      </c>
      <c r="C1732" s="258"/>
      <c r="D1732" s="261"/>
      <c r="E1732" s="261"/>
      <c r="F1732" s="261"/>
      <c r="G1732" s="261"/>
      <c r="H1732" s="261"/>
      <c r="I1732" s="261"/>
      <c r="J1732" s="261"/>
      <c r="K1732" s="261"/>
      <c r="L1732" s="261"/>
      <c r="M1732" s="261"/>
      <c r="N1732" s="261"/>
      <c r="O1732" s="261"/>
      <c r="P1732" s="261"/>
      <c r="Q1732" s="261"/>
      <c r="R1732" s="261"/>
      <c r="S1732" s="261"/>
    </row>
    <row r="1733" spans="1:19">
      <c r="A1733" s="295"/>
      <c r="B1733" s="259" t="s">
        <v>89</v>
      </c>
      <c r="C1733" s="258"/>
      <c r="D1733" s="261"/>
      <c r="E1733" s="261"/>
      <c r="F1733" s="261"/>
      <c r="G1733" s="261"/>
      <c r="H1733" s="261"/>
      <c r="I1733" s="261"/>
      <c r="J1733" s="261"/>
      <c r="K1733" s="261"/>
      <c r="L1733" s="261"/>
      <c r="M1733" s="261"/>
      <c r="N1733" s="261"/>
      <c r="O1733" s="261"/>
      <c r="P1733" s="261"/>
      <c r="Q1733" s="261"/>
      <c r="R1733" s="261"/>
      <c r="S1733" s="261"/>
    </row>
    <row r="1734" spans="1:19">
      <c r="A1734" s="296"/>
      <c r="B1734" s="267" t="s">
        <v>90</v>
      </c>
      <c r="C1734" s="258"/>
      <c r="D1734" s="261"/>
      <c r="E1734" s="261"/>
      <c r="F1734" s="261"/>
      <c r="G1734" s="261"/>
      <c r="H1734" s="261"/>
      <c r="I1734" s="261"/>
      <c r="J1734" s="261"/>
      <c r="K1734" s="261"/>
      <c r="L1734" s="261"/>
      <c r="M1734" s="261"/>
      <c r="N1734" s="261"/>
      <c r="O1734" s="261"/>
      <c r="P1734" s="261"/>
      <c r="Q1734" s="261"/>
      <c r="R1734" s="261"/>
      <c r="S1734" s="261"/>
    </row>
    <row r="1735" spans="1:19">
      <c r="A1735" s="295">
        <v>46396</v>
      </c>
      <c r="B1735" s="259" t="s">
        <v>88</v>
      </c>
      <c r="C1735" s="258"/>
      <c r="D1735" s="261"/>
      <c r="E1735" s="261"/>
      <c r="F1735" s="261"/>
      <c r="G1735" s="261"/>
      <c r="H1735" s="261"/>
      <c r="I1735" s="261"/>
      <c r="J1735" s="261"/>
      <c r="K1735" s="261"/>
      <c r="L1735" s="261"/>
      <c r="M1735" s="261"/>
      <c r="N1735" s="261"/>
      <c r="O1735" s="261"/>
      <c r="P1735" s="261"/>
      <c r="Q1735" s="261"/>
      <c r="R1735" s="261"/>
      <c r="S1735" s="261"/>
    </row>
    <row r="1736" spans="1:19">
      <c r="A1736" s="295"/>
      <c r="B1736" s="259" t="s">
        <v>89</v>
      </c>
      <c r="C1736" s="258"/>
      <c r="D1736" s="261"/>
      <c r="E1736" s="261"/>
      <c r="F1736" s="261"/>
      <c r="G1736" s="261"/>
      <c r="H1736" s="261"/>
      <c r="I1736" s="261"/>
      <c r="J1736" s="261"/>
      <c r="K1736" s="261"/>
      <c r="L1736" s="261"/>
      <c r="M1736" s="261"/>
      <c r="N1736" s="261"/>
      <c r="O1736" s="261"/>
      <c r="P1736" s="261"/>
      <c r="Q1736" s="261"/>
      <c r="R1736" s="261"/>
      <c r="S1736" s="261"/>
    </row>
    <row r="1737" spans="1:19">
      <c r="A1737" s="296"/>
      <c r="B1737" s="267" t="s">
        <v>90</v>
      </c>
      <c r="C1737" s="258"/>
      <c r="D1737" s="261"/>
      <c r="E1737" s="261"/>
      <c r="F1737" s="261"/>
      <c r="G1737" s="261"/>
      <c r="H1737" s="261"/>
      <c r="I1737" s="261"/>
      <c r="J1737" s="261"/>
      <c r="K1737" s="261"/>
      <c r="L1737" s="261"/>
      <c r="M1737" s="261"/>
      <c r="N1737" s="261"/>
      <c r="O1737" s="261"/>
      <c r="P1737" s="261"/>
      <c r="Q1737" s="261"/>
      <c r="R1737" s="261"/>
      <c r="S1737" s="261"/>
    </row>
    <row r="1738" spans="1:19">
      <c r="A1738" s="295">
        <v>46397</v>
      </c>
      <c r="B1738" s="259" t="s">
        <v>88</v>
      </c>
      <c r="C1738" s="258"/>
      <c r="D1738" s="261"/>
      <c r="E1738" s="261"/>
      <c r="F1738" s="261"/>
      <c r="G1738" s="261"/>
      <c r="H1738" s="261"/>
      <c r="I1738" s="261"/>
      <c r="J1738" s="261"/>
      <c r="K1738" s="261"/>
      <c r="L1738" s="261"/>
      <c r="M1738" s="261"/>
      <c r="N1738" s="261"/>
      <c r="O1738" s="261"/>
      <c r="P1738" s="261"/>
      <c r="Q1738" s="261"/>
      <c r="R1738" s="261"/>
      <c r="S1738" s="261"/>
    </row>
    <row r="1739" spans="1:19">
      <c r="A1739" s="295"/>
      <c r="B1739" s="259" t="s">
        <v>89</v>
      </c>
      <c r="C1739" s="258"/>
      <c r="D1739" s="261"/>
      <c r="E1739" s="261"/>
      <c r="F1739" s="261"/>
      <c r="G1739" s="261"/>
      <c r="H1739" s="261"/>
      <c r="I1739" s="261"/>
      <c r="J1739" s="261"/>
      <c r="K1739" s="261"/>
      <c r="L1739" s="261"/>
      <c r="M1739" s="261"/>
      <c r="N1739" s="261"/>
      <c r="O1739" s="261"/>
      <c r="P1739" s="261"/>
      <c r="Q1739" s="261"/>
      <c r="R1739" s="261"/>
      <c r="S1739" s="261"/>
    </row>
    <row r="1740" spans="1:19">
      <c r="A1740" s="296"/>
      <c r="B1740" s="267" t="s">
        <v>90</v>
      </c>
      <c r="C1740" s="258"/>
      <c r="D1740" s="261"/>
      <c r="E1740" s="261"/>
      <c r="F1740" s="261"/>
      <c r="G1740" s="261"/>
      <c r="H1740" s="261"/>
      <c r="I1740" s="261"/>
      <c r="J1740" s="261"/>
      <c r="K1740" s="261"/>
      <c r="L1740" s="261"/>
      <c r="M1740" s="261"/>
      <c r="N1740" s="261"/>
      <c r="O1740" s="261"/>
      <c r="P1740" s="261"/>
      <c r="Q1740" s="261"/>
      <c r="R1740" s="261"/>
      <c r="S1740" s="261"/>
    </row>
    <row r="1741" spans="1:19">
      <c r="A1741" s="295">
        <v>46398</v>
      </c>
      <c r="B1741" s="259" t="s">
        <v>88</v>
      </c>
      <c r="C1741" s="258"/>
      <c r="D1741" s="261"/>
      <c r="E1741" s="261"/>
      <c r="F1741" s="261"/>
      <c r="G1741" s="261"/>
      <c r="H1741" s="261"/>
      <c r="I1741" s="261"/>
      <c r="J1741" s="261"/>
      <c r="K1741" s="261"/>
      <c r="L1741" s="261"/>
      <c r="M1741" s="261"/>
      <c r="N1741" s="261"/>
      <c r="O1741" s="261"/>
      <c r="P1741" s="261"/>
      <c r="Q1741" s="261"/>
      <c r="R1741" s="261"/>
      <c r="S1741" s="261"/>
    </row>
    <row r="1742" spans="1:19">
      <c r="A1742" s="295"/>
      <c r="B1742" s="259" t="s">
        <v>89</v>
      </c>
      <c r="C1742" s="258"/>
      <c r="D1742" s="261"/>
      <c r="E1742" s="261"/>
      <c r="F1742" s="261"/>
      <c r="G1742" s="261"/>
      <c r="H1742" s="261"/>
      <c r="I1742" s="261"/>
      <c r="J1742" s="261"/>
      <c r="K1742" s="261"/>
      <c r="L1742" s="261"/>
      <c r="M1742" s="261"/>
      <c r="N1742" s="261"/>
      <c r="O1742" s="261"/>
      <c r="P1742" s="261"/>
      <c r="Q1742" s="261"/>
      <c r="R1742" s="261"/>
      <c r="S1742" s="261"/>
    </row>
    <row r="1743" spans="1:19">
      <c r="A1743" s="296"/>
      <c r="B1743" s="267" t="s">
        <v>90</v>
      </c>
      <c r="C1743" s="258"/>
      <c r="D1743" s="261"/>
      <c r="E1743" s="261"/>
      <c r="F1743" s="261"/>
      <c r="G1743" s="261"/>
      <c r="H1743" s="261"/>
      <c r="I1743" s="261"/>
      <c r="J1743" s="261"/>
      <c r="K1743" s="261"/>
      <c r="L1743" s="261"/>
      <c r="M1743" s="261"/>
      <c r="N1743" s="261"/>
      <c r="O1743" s="261"/>
      <c r="P1743" s="261"/>
      <c r="Q1743" s="261"/>
      <c r="R1743" s="261"/>
      <c r="S1743" s="261"/>
    </row>
    <row r="1744" spans="1:19">
      <c r="A1744" s="295">
        <v>46399</v>
      </c>
      <c r="B1744" s="259" t="s">
        <v>88</v>
      </c>
      <c r="C1744" s="258"/>
      <c r="D1744" s="261"/>
      <c r="E1744" s="261"/>
      <c r="F1744" s="261"/>
      <c r="G1744" s="261"/>
      <c r="H1744" s="261"/>
      <c r="I1744" s="261"/>
      <c r="J1744" s="261"/>
      <c r="K1744" s="261"/>
      <c r="L1744" s="261"/>
      <c r="M1744" s="261"/>
      <c r="N1744" s="261"/>
      <c r="O1744" s="261"/>
      <c r="P1744" s="261"/>
      <c r="Q1744" s="261"/>
      <c r="R1744" s="261"/>
      <c r="S1744" s="261"/>
    </row>
    <row r="1745" spans="1:19">
      <c r="A1745" s="295"/>
      <c r="B1745" s="259" t="s">
        <v>89</v>
      </c>
      <c r="C1745" s="258"/>
      <c r="D1745" s="261"/>
      <c r="E1745" s="261"/>
      <c r="F1745" s="261"/>
      <c r="G1745" s="261"/>
      <c r="H1745" s="261"/>
      <c r="I1745" s="261"/>
      <c r="J1745" s="261"/>
      <c r="K1745" s="261"/>
      <c r="L1745" s="261"/>
      <c r="M1745" s="261"/>
      <c r="N1745" s="261"/>
      <c r="O1745" s="261"/>
      <c r="P1745" s="261"/>
      <c r="Q1745" s="261"/>
      <c r="R1745" s="261"/>
      <c r="S1745" s="261"/>
    </row>
    <row r="1746" spans="1:19">
      <c r="A1746" s="296"/>
      <c r="B1746" s="267" t="s">
        <v>90</v>
      </c>
      <c r="C1746" s="258"/>
      <c r="D1746" s="261"/>
      <c r="E1746" s="261"/>
      <c r="F1746" s="261"/>
      <c r="G1746" s="261"/>
      <c r="H1746" s="261"/>
      <c r="I1746" s="261"/>
      <c r="J1746" s="261"/>
      <c r="K1746" s="261"/>
      <c r="L1746" s="261"/>
      <c r="M1746" s="261"/>
      <c r="N1746" s="261"/>
      <c r="O1746" s="261"/>
      <c r="P1746" s="261"/>
      <c r="Q1746" s="261"/>
      <c r="R1746" s="261"/>
      <c r="S1746" s="261"/>
    </row>
    <row r="1747" spans="1:19">
      <c r="A1747" s="295">
        <v>46400</v>
      </c>
      <c r="B1747" s="259" t="s">
        <v>88</v>
      </c>
      <c r="C1747" s="258"/>
      <c r="D1747" s="261"/>
      <c r="E1747" s="261"/>
      <c r="F1747" s="261"/>
      <c r="G1747" s="261"/>
      <c r="H1747" s="261"/>
      <c r="I1747" s="261"/>
      <c r="J1747" s="261"/>
      <c r="K1747" s="261"/>
      <c r="L1747" s="261"/>
      <c r="M1747" s="261"/>
      <c r="N1747" s="261"/>
      <c r="O1747" s="261"/>
      <c r="P1747" s="261"/>
      <c r="Q1747" s="261"/>
      <c r="R1747" s="261"/>
      <c r="S1747" s="261"/>
    </row>
    <row r="1748" spans="1:19">
      <c r="A1748" s="295"/>
      <c r="B1748" s="259" t="s">
        <v>89</v>
      </c>
      <c r="C1748" s="258"/>
      <c r="D1748" s="261"/>
      <c r="E1748" s="261"/>
      <c r="F1748" s="261"/>
      <c r="G1748" s="261"/>
      <c r="H1748" s="261"/>
      <c r="I1748" s="261"/>
      <c r="J1748" s="261"/>
      <c r="K1748" s="261"/>
      <c r="L1748" s="261"/>
      <c r="M1748" s="261"/>
      <c r="N1748" s="261"/>
      <c r="O1748" s="261"/>
      <c r="P1748" s="261"/>
      <c r="Q1748" s="261"/>
      <c r="R1748" s="261"/>
      <c r="S1748" s="261"/>
    </row>
    <row r="1749" spans="1:19">
      <c r="A1749" s="296"/>
      <c r="B1749" s="267" t="s">
        <v>90</v>
      </c>
      <c r="C1749" s="258"/>
      <c r="D1749" s="261"/>
      <c r="E1749" s="261"/>
      <c r="F1749" s="261"/>
      <c r="G1749" s="261"/>
      <c r="H1749" s="261"/>
      <c r="I1749" s="261"/>
      <c r="J1749" s="261"/>
      <c r="K1749" s="261"/>
      <c r="L1749" s="261"/>
      <c r="M1749" s="261"/>
      <c r="N1749" s="261"/>
      <c r="O1749" s="261"/>
      <c r="P1749" s="261"/>
      <c r="Q1749" s="261"/>
      <c r="R1749" s="261"/>
      <c r="S1749" s="261"/>
    </row>
    <row r="1750" spans="1:19">
      <c r="A1750" s="295">
        <v>46401</v>
      </c>
      <c r="B1750" s="259" t="s">
        <v>88</v>
      </c>
      <c r="C1750" s="258"/>
      <c r="D1750" s="261"/>
      <c r="E1750" s="261"/>
      <c r="F1750" s="261"/>
      <c r="G1750" s="261"/>
      <c r="H1750" s="261"/>
      <c r="I1750" s="261"/>
      <c r="J1750" s="261"/>
      <c r="K1750" s="261"/>
      <c r="L1750" s="261"/>
      <c r="M1750" s="261"/>
      <c r="N1750" s="261"/>
      <c r="O1750" s="261"/>
      <c r="P1750" s="261"/>
      <c r="Q1750" s="261"/>
      <c r="R1750" s="261"/>
      <c r="S1750" s="261"/>
    </row>
    <row r="1751" spans="1:19">
      <c r="A1751" s="295"/>
      <c r="B1751" s="259" t="s">
        <v>89</v>
      </c>
      <c r="C1751" s="258"/>
      <c r="D1751" s="261"/>
      <c r="E1751" s="261"/>
      <c r="F1751" s="261"/>
      <c r="G1751" s="261"/>
      <c r="H1751" s="261"/>
      <c r="I1751" s="261"/>
      <c r="J1751" s="261"/>
      <c r="K1751" s="261"/>
      <c r="L1751" s="261"/>
      <c r="M1751" s="261"/>
      <c r="N1751" s="261"/>
      <c r="O1751" s="261"/>
      <c r="P1751" s="261"/>
      <c r="Q1751" s="261"/>
      <c r="R1751" s="261"/>
      <c r="S1751" s="261"/>
    </row>
    <row r="1752" spans="1:19">
      <c r="A1752" s="296"/>
      <c r="B1752" s="267" t="s">
        <v>90</v>
      </c>
      <c r="C1752" s="258"/>
      <c r="D1752" s="261"/>
      <c r="E1752" s="261"/>
      <c r="F1752" s="261"/>
      <c r="G1752" s="261"/>
      <c r="H1752" s="261"/>
      <c r="I1752" s="261"/>
      <c r="J1752" s="261"/>
      <c r="K1752" s="261"/>
      <c r="L1752" s="261"/>
      <c r="M1752" s="261"/>
      <c r="N1752" s="261"/>
      <c r="O1752" s="261"/>
      <c r="P1752" s="261"/>
      <c r="Q1752" s="261"/>
      <c r="R1752" s="261"/>
      <c r="S1752" s="261"/>
    </row>
    <row r="1753" spans="1:19">
      <c r="A1753" s="295">
        <v>46402</v>
      </c>
      <c r="B1753" s="259" t="s">
        <v>88</v>
      </c>
      <c r="C1753" s="258"/>
      <c r="D1753" s="261"/>
      <c r="E1753" s="261"/>
      <c r="F1753" s="261"/>
      <c r="G1753" s="261"/>
      <c r="H1753" s="261"/>
      <c r="I1753" s="261"/>
      <c r="J1753" s="261"/>
      <c r="K1753" s="261"/>
      <c r="L1753" s="261"/>
      <c r="M1753" s="261"/>
      <c r="N1753" s="261"/>
      <c r="O1753" s="261"/>
      <c r="P1753" s="261"/>
      <c r="Q1753" s="261"/>
      <c r="R1753" s="261"/>
      <c r="S1753" s="261"/>
    </row>
    <row r="1754" spans="1:19">
      <c r="A1754" s="295"/>
      <c r="B1754" s="259" t="s">
        <v>89</v>
      </c>
      <c r="C1754" s="258"/>
      <c r="D1754" s="261"/>
      <c r="E1754" s="261"/>
      <c r="F1754" s="261"/>
      <c r="G1754" s="261"/>
      <c r="H1754" s="261"/>
      <c r="I1754" s="261"/>
      <c r="J1754" s="261"/>
      <c r="K1754" s="261"/>
      <c r="L1754" s="261"/>
      <c r="M1754" s="261"/>
      <c r="N1754" s="261"/>
      <c r="O1754" s="261"/>
      <c r="P1754" s="261"/>
      <c r="Q1754" s="261"/>
      <c r="R1754" s="261"/>
      <c r="S1754" s="261"/>
    </row>
    <row r="1755" spans="1:19">
      <c r="A1755" s="296"/>
      <c r="B1755" s="267" t="s">
        <v>90</v>
      </c>
      <c r="C1755" s="258"/>
      <c r="D1755" s="261"/>
      <c r="E1755" s="261"/>
      <c r="F1755" s="261"/>
      <c r="G1755" s="261"/>
      <c r="H1755" s="261"/>
      <c r="I1755" s="261"/>
      <c r="J1755" s="261"/>
      <c r="K1755" s="261"/>
      <c r="L1755" s="261"/>
      <c r="M1755" s="261"/>
      <c r="N1755" s="261"/>
      <c r="O1755" s="261"/>
      <c r="P1755" s="261"/>
      <c r="Q1755" s="261"/>
      <c r="R1755" s="261"/>
      <c r="S1755" s="261"/>
    </row>
    <row r="1756" spans="1:19">
      <c r="A1756" s="295">
        <v>46403</v>
      </c>
      <c r="B1756" s="259" t="s">
        <v>88</v>
      </c>
      <c r="C1756" s="258"/>
      <c r="D1756" s="261"/>
      <c r="E1756" s="261"/>
      <c r="F1756" s="261"/>
      <c r="G1756" s="261"/>
      <c r="H1756" s="261"/>
      <c r="I1756" s="261"/>
      <c r="J1756" s="261"/>
      <c r="K1756" s="261"/>
      <c r="L1756" s="261"/>
      <c r="M1756" s="261"/>
      <c r="N1756" s="261"/>
      <c r="O1756" s="261"/>
      <c r="P1756" s="261"/>
      <c r="Q1756" s="261"/>
      <c r="R1756" s="261"/>
      <c r="S1756" s="261"/>
    </row>
    <row r="1757" spans="1:19">
      <c r="A1757" s="295"/>
      <c r="B1757" s="259" t="s">
        <v>89</v>
      </c>
      <c r="C1757" s="258"/>
      <c r="D1757" s="261"/>
      <c r="E1757" s="261"/>
      <c r="F1757" s="261"/>
      <c r="G1757" s="261"/>
      <c r="H1757" s="261"/>
      <c r="I1757" s="261"/>
      <c r="J1757" s="261"/>
      <c r="K1757" s="261"/>
      <c r="L1757" s="261"/>
      <c r="M1757" s="261"/>
      <c r="N1757" s="261"/>
      <c r="O1757" s="261"/>
      <c r="P1757" s="261"/>
      <c r="Q1757" s="261"/>
      <c r="R1757" s="261"/>
      <c r="S1757" s="261"/>
    </row>
    <row r="1758" spans="1:19">
      <c r="A1758" s="296"/>
      <c r="B1758" s="267" t="s">
        <v>90</v>
      </c>
      <c r="C1758" s="258"/>
      <c r="D1758" s="261"/>
      <c r="E1758" s="261"/>
      <c r="F1758" s="261"/>
      <c r="G1758" s="261"/>
      <c r="H1758" s="261"/>
      <c r="I1758" s="261"/>
      <c r="J1758" s="261"/>
      <c r="K1758" s="261"/>
      <c r="L1758" s="261"/>
      <c r="M1758" s="261"/>
      <c r="N1758" s="261"/>
      <c r="O1758" s="261"/>
      <c r="P1758" s="261"/>
      <c r="Q1758" s="261"/>
      <c r="R1758" s="261"/>
      <c r="S1758" s="261"/>
    </row>
    <row r="1759" spans="1:19">
      <c r="A1759" s="295">
        <v>46404</v>
      </c>
      <c r="B1759" s="259" t="s">
        <v>88</v>
      </c>
      <c r="C1759" s="258"/>
      <c r="D1759" s="261"/>
      <c r="E1759" s="261"/>
      <c r="F1759" s="261"/>
      <c r="G1759" s="261"/>
      <c r="H1759" s="261"/>
      <c r="I1759" s="261"/>
      <c r="J1759" s="261"/>
      <c r="K1759" s="261"/>
      <c r="L1759" s="261"/>
      <c r="M1759" s="261"/>
      <c r="N1759" s="261"/>
      <c r="O1759" s="261"/>
      <c r="P1759" s="261"/>
      <c r="Q1759" s="261"/>
      <c r="R1759" s="261"/>
      <c r="S1759" s="261"/>
    </row>
    <row r="1760" spans="1:19">
      <c r="A1760" s="295"/>
      <c r="B1760" s="259" t="s">
        <v>89</v>
      </c>
      <c r="C1760" s="258"/>
      <c r="D1760" s="261"/>
      <c r="E1760" s="261"/>
      <c r="F1760" s="261"/>
      <c r="G1760" s="261"/>
      <c r="H1760" s="261"/>
      <c r="I1760" s="261"/>
      <c r="J1760" s="261"/>
      <c r="K1760" s="261"/>
      <c r="L1760" s="261"/>
      <c r="M1760" s="261"/>
      <c r="N1760" s="261"/>
      <c r="O1760" s="261"/>
      <c r="P1760" s="261"/>
      <c r="Q1760" s="261"/>
      <c r="R1760" s="261"/>
      <c r="S1760" s="261"/>
    </row>
    <row r="1761" spans="1:19">
      <c r="A1761" s="296"/>
      <c r="B1761" s="267" t="s">
        <v>90</v>
      </c>
      <c r="C1761" s="258"/>
      <c r="D1761" s="261"/>
      <c r="E1761" s="261"/>
      <c r="F1761" s="261"/>
      <c r="G1761" s="261"/>
      <c r="H1761" s="261"/>
      <c r="I1761" s="261"/>
      <c r="J1761" s="261"/>
      <c r="K1761" s="261"/>
      <c r="L1761" s="261"/>
      <c r="M1761" s="261"/>
      <c r="N1761" s="261"/>
      <c r="O1761" s="261"/>
      <c r="P1761" s="261"/>
      <c r="Q1761" s="261"/>
      <c r="R1761" s="261"/>
      <c r="S1761" s="261"/>
    </row>
    <row r="1762" spans="1:19">
      <c r="A1762" s="295">
        <v>46405</v>
      </c>
      <c r="B1762" s="259" t="s">
        <v>88</v>
      </c>
      <c r="C1762" s="258"/>
      <c r="D1762" s="261"/>
      <c r="E1762" s="261"/>
      <c r="F1762" s="261"/>
      <c r="G1762" s="261"/>
      <c r="H1762" s="261"/>
      <c r="I1762" s="261"/>
      <c r="J1762" s="261"/>
      <c r="K1762" s="261"/>
      <c r="L1762" s="261"/>
      <c r="M1762" s="261"/>
      <c r="N1762" s="261"/>
      <c r="O1762" s="261"/>
      <c r="P1762" s="261"/>
      <c r="Q1762" s="261"/>
      <c r="R1762" s="261"/>
      <c r="S1762" s="261"/>
    </row>
    <row r="1763" spans="1:19">
      <c r="A1763" s="295"/>
      <c r="B1763" s="259" t="s">
        <v>89</v>
      </c>
      <c r="C1763" s="258"/>
      <c r="D1763" s="261"/>
      <c r="E1763" s="261"/>
      <c r="F1763" s="261"/>
      <c r="G1763" s="261"/>
      <c r="H1763" s="261"/>
      <c r="I1763" s="261"/>
      <c r="J1763" s="261"/>
      <c r="K1763" s="261"/>
      <c r="L1763" s="261"/>
      <c r="M1763" s="261"/>
      <c r="N1763" s="261"/>
      <c r="O1763" s="261"/>
      <c r="P1763" s="261"/>
      <c r="Q1763" s="261"/>
      <c r="R1763" s="261"/>
      <c r="S1763" s="261"/>
    </row>
    <row r="1764" spans="1:19">
      <c r="A1764" s="296"/>
      <c r="B1764" s="267" t="s">
        <v>90</v>
      </c>
      <c r="C1764" s="258"/>
      <c r="D1764" s="261"/>
      <c r="E1764" s="261"/>
      <c r="F1764" s="261"/>
      <c r="G1764" s="261"/>
      <c r="H1764" s="261"/>
      <c r="I1764" s="261"/>
      <c r="J1764" s="261"/>
      <c r="K1764" s="261"/>
      <c r="L1764" s="261"/>
      <c r="M1764" s="261"/>
      <c r="N1764" s="261"/>
      <c r="O1764" s="261"/>
      <c r="P1764" s="261"/>
      <c r="Q1764" s="261"/>
      <c r="R1764" s="261"/>
      <c r="S1764" s="261"/>
    </row>
    <row r="1765" spans="1:19">
      <c r="A1765" s="295">
        <v>46406</v>
      </c>
      <c r="B1765" s="259" t="s">
        <v>88</v>
      </c>
      <c r="C1765" s="258"/>
      <c r="D1765" s="261"/>
      <c r="E1765" s="261"/>
      <c r="F1765" s="261"/>
      <c r="G1765" s="261"/>
      <c r="H1765" s="261"/>
      <c r="I1765" s="261"/>
      <c r="J1765" s="261"/>
      <c r="K1765" s="261"/>
      <c r="L1765" s="261"/>
      <c r="M1765" s="261"/>
      <c r="N1765" s="261"/>
      <c r="O1765" s="261"/>
      <c r="P1765" s="261"/>
      <c r="Q1765" s="261"/>
      <c r="R1765" s="261"/>
      <c r="S1765" s="261"/>
    </row>
    <row r="1766" spans="1:19">
      <c r="A1766" s="295"/>
      <c r="B1766" s="259" t="s">
        <v>89</v>
      </c>
      <c r="C1766" s="258"/>
      <c r="D1766" s="261"/>
      <c r="E1766" s="261"/>
      <c r="F1766" s="261"/>
      <c r="G1766" s="261"/>
      <c r="H1766" s="261"/>
      <c r="I1766" s="261"/>
      <c r="J1766" s="261"/>
      <c r="K1766" s="261"/>
      <c r="L1766" s="261"/>
      <c r="M1766" s="261"/>
      <c r="N1766" s="261"/>
      <c r="O1766" s="261"/>
      <c r="P1766" s="261"/>
      <c r="Q1766" s="261"/>
      <c r="R1766" s="261"/>
      <c r="S1766" s="261"/>
    </row>
    <row r="1767" spans="1:19">
      <c r="A1767" s="296"/>
      <c r="B1767" s="267" t="s">
        <v>90</v>
      </c>
      <c r="C1767" s="258"/>
      <c r="D1767" s="261"/>
      <c r="E1767" s="261"/>
      <c r="F1767" s="261"/>
      <c r="G1767" s="261"/>
      <c r="H1767" s="261"/>
      <c r="I1767" s="261"/>
      <c r="J1767" s="261"/>
      <c r="K1767" s="261"/>
      <c r="L1767" s="261"/>
      <c r="M1767" s="261"/>
      <c r="N1767" s="261"/>
      <c r="O1767" s="261"/>
      <c r="P1767" s="261"/>
      <c r="Q1767" s="261"/>
      <c r="R1767" s="261"/>
      <c r="S1767" s="261"/>
    </row>
    <row r="1768" spans="1:19">
      <c r="A1768" s="295">
        <v>46407</v>
      </c>
      <c r="B1768" s="259" t="s">
        <v>88</v>
      </c>
      <c r="C1768" s="258"/>
      <c r="D1768" s="261"/>
      <c r="E1768" s="261"/>
      <c r="F1768" s="261"/>
      <c r="G1768" s="261"/>
      <c r="H1768" s="261"/>
      <c r="I1768" s="261"/>
      <c r="J1768" s="261"/>
      <c r="K1768" s="261"/>
      <c r="L1768" s="261"/>
      <c r="M1768" s="261"/>
      <c r="N1768" s="261"/>
      <c r="O1768" s="261"/>
      <c r="P1768" s="261"/>
      <c r="Q1768" s="261"/>
      <c r="R1768" s="261"/>
      <c r="S1768" s="261"/>
    </row>
    <row r="1769" spans="1:19">
      <c r="A1769" s="295"/>
      <c r="B1769" s="259" t="s">
        <v>89</v>
      </c>
      <c r="C1769" s="258"/>
      <c r="D1769" s="261"/>
      <c r="E1769" s="261"/>
      <c r="F1769" s="261"/>
      <c r="G1769" s="261"/>
      <c r="H1769" s="261"/>
      <c r="I1769" s="261"/>
      <c r="J1769" s="261"/>
      <c r="K1769" s="261"/>
      <c r="L1769" s="261"/>
      <c r="M1769" s="261"/>
      <c r="N1769" s="261"/>
      <c r="O1769" s="261"/>
      <c r="P1769" s="261"/>
      <c r="Q1769" s="261"/>
      <c r="R1769" s="261"/>
      <c r="S1769" s="261"/>
    </row>
    <row r="1770" spans="1:19">
      <c r="A1770" s="296"/>
      <c r="B1770" s="267" t="s">
        <v>90</v>
      </c>
      <c r="C1770" s="258"/>
      <c r="D1770" s="261"/>
      <c r="E1770" s="261"/>
      <c r="F1770" s="261"/>
      <c r="G1770" s="261"/>
      <c r="H1770" s="261"/>
      <c r="I1770" s="261"/>
      <c r="J1770" s="261"/>
      <c r="K1770" s="261"/>
      <c r="L1770" s="261"/>
      <c r="M1770" s="261"/>
      <c r="N1770" s="261"/>
      <c r="O1770" s="261"/>
      <c r="P1770" s="261"/>
      <c r="Q1770" s="261"/>
      <c r="R1770" s="261"/>
      <c r="S1770" s="261"/>
    </row>
    <row r="1771" spans="1:19">
      <c r="A1771" s="295">
        <v>46408</v>
      </c>
      <c r="B1771" s="259" t="s">
        <v>88</v>
      </c>
      <c r="C1771" s="258"/>
      <c r="D1771" s="261"/>
      <c r="E1771" s="261"/>
      <c r="F1771" s="261"/>
      <c r="G1771" s="261"/>
      <c r="H1771" s="261"/>
      <c r="I1771" s="261"/>
      <c r="J1771" s="261"/>
      <c r="K1771" s="261"/>
      <c r="L1771" s="261"/>
      <c r="M1771" s="261"/>
      <c r="N1771" s="261"/>
      <c r="O1771" s="261"/>
      <c r="P1771" s="261"/>
      <c r="Q1771" s="261"/>
      <c r="R1771" s="261"/>
      <c r="S1771" s="261"/>
    </row>
    <row r="1772" spans="1:19">
      <c r="A1772" s="295"/>
      <c r="B1772" s="259" t="s">
        <v>89</v>
      </c>
      <c r="C1772" s="258"/>
      <c r="D1772" s="261"/>
      <c r="E1772" s="261"/>
      <c r="F1772" s="261"/>
      <c r="G1772" s="261"/>
      <c r="H1772" s="261"/>
      <c r="I1772" s="261"/>
      <c r="J1772" s="261"/>
      <c r="K1772" s="261"/>
      <c r="L1772" s="261"/>
      <c r="M1772" s="261"/>
      <c r="N1772" s="261"/>
      <c r="O1772" s="261"/>
      <c r="P1772" s="261"/>
      <c r="Q1772" s="261"/>
      <c r="R1772" s="261"/>
      <c r="S1772" s="261"/>
    </row>
    <row r="1773" spans="1:19">
      <c r="A1773" s="296"/>
      <c r="B1773" s="267" t="s">
        <v>90</v>
      </c>
      <c r="C1773" s="258"/>
      <c r="D1773" s="261"/>
      <c r="E1773" s="261"/>
      <c r="F1773" s="261"/>
      <c r="G1773" s="261"/>
      <c r="H1773" s="261"/>
      <c r="I1773" s="261"/>
      <c r="J1773" s="261"/>
      <c r="K1773" s="261"/>
      <c r="L1773" s="261"/>
      <c r="M1773" s="261"/>
      <c r="N1773" s="261"/>
      <c r="O1773" s="261"/>
      <c r="P1773" s="261"/>
      <c r="Q1773" s="261"/>
      <c r="R1773" s="261"/>
      <c r="S1773" s="261"/>
    </row>
    <row r="1774" spans="1:19">
      <c r="A1774" s="295">
        <v>46409</v>
      </c>
      <c r="B1774" s="259" t="s">
        <v>88</v>
      </c>
      <c r="C1774" s="258"/>
      <c r="D1774" s="261"/>
      <c r="E1774" s="261"/>
      <c r="F1774" s="261"/>
      <c r="G1774" s="261"/>
      <c r="H1774" s="261"/>
      <c r="I1774" s="261"/>
      <c r="J1774" s="261"/>
      <c r="K1774" s="261"/>
      <c r="L1774" s="261"/>
      <c r="M1774" s="261"/>
      <c r="N1774" s="261"/>
      <c r="O1774" s="261"/>
      <c r="P1774" s="261"/>
      <c r="Q1774" s="261"/>
      <c r="R1774" s="261"/>
      <c r="S1774" s="261"/>
    </row>
    <row r="1775" spans="1:19">
      <c r="A1775" s="295"/>
      <c r="B1775" s="259" t="s">
        <v>89</v>
      </c>
      <c r="C1775" s="258"/>
      <c r="D1775" s="261"/>
      <c r="E1775" s="261"/>
      <c r="F1775" s="261"/>
      <c r="G1775" s="261"/>
      <c r="H1775" s="261"/>
      <c r="I1775" s="261"/>
      <c r="J1775" s="261"/>
      <c r="K1775" s="261"/>
      <c r="L1775" s="261"/>
      <c r="M1775" s="261"/>
      <c r="N1775" s="261"/>
      <c r="O1775" s="261"/>
      <c r="P1775" s="261"/>
      <c r="Q1775" s="261"/>
      <c r="R1775" s="261"/>
      <c r="S1775" s="261"/>
    </row>
    <row r="1776" spans="1:19">
      <c r="A1776" s="296"/>
      <c r="B1776" s="267" t="s">
        <v>90</v>
      </c>
      <c r="C1776" s="258"/>
      <c r="D1776" s="261"/>
      <c r="E1776" s="261"/>
      <c r="F1776" s="261"/>
      <c r="G1776" s="261"/>
      <c r="H1776" s="261"/>
      <c r="I1776" s="261"/>
      <c r="J1776" s="261"/>
      <c r="K1776" s="261"/>
      <c r="L1776" s="261"/>
      <c r="M1776" s="261"/>
      <c r="N1776" s="261"/>
      <c r="O1776" s="261"/>
      <c r="P1776" s="261"/>
      <c r="Q1776" s="261"/>
      <c r="R1776" s="261"/>
      <c r="S1776" s="261"/>
    </row>
    <row r="1777" spans="1:19">
      <c r="A1777" s="295">
        <v>46410</v>
      </c>
      <c r="B1777" s="259" t="s">
        <v>88</v>
      </c>
      <c r="C1777" s="258"/>
      <c r="D1777" s="261"/>
      <c r="E1777" s="261"/>
      <c r="F1777" s="261"/>
      <c r="G1777" s="261"/>
      <c r="H1777" s="261"/>
      <c r="I1777" s="261"/>
      <c r="J1777" s="261"/>
      <c r="K1777" s="261"/>
      <c r="L1777" s="261"/>
      <c r="M1777" s="261"/>
      <c r="N1777" s="261"/>
      <c r="O1777" s="261"/>
      <c r="P1777" s="261"/>
      <c r="Q1777" s="261"/>
      <c r="R1777" s="261"/>
      <c r="S1777" s="261"/>
    </row>
    <row r="1778" spans="1:19">
      <c r="A1778" s="295"/>
      <c r="B1778" s="259" t="s">
        <v>89</v>
      </c>
      <c r="C1778" s="258"/>
      <c r="D1778" s="261"/>
      <c r="E1778" s="261"/>
      <c r="F1778" s="261"/>
      <c r="G1778" s="261"/>
      <c r="H1778" s="261"/>
      <c r="I1778" s="261"/>
      <c r="J1778" s="261"/>
      <c r="K1778" s="261"/>
      <c r="L1778" s="261"/>
      <c r="M1778" s="261"/>
      <c r="N1778" s="261"/>
      <c r="O1778" s="261"/>
      <c r="P1778" s="261"/>
      <c r="Q1778" s="261"/>
      <c r="R1778" s="261"/>
      <c r="S1778" s="261"/>
    </row>
    <row r="1779" spans="1:19">
      <c r="A1779" s="296"/>
      <c r="B1779" s="267" t="s">
        <v>90</v>
      </c>
      <c r="C1779" s="258"/>
      <c r="D1779" s="261"/>
      <c r="E1779" s="261"/>
      <c r="F1779" s="261"/>
      <c r="G1779" s="261"/>
      <c r="H1779" s="261"/>
      <c r="I1779" s="261"/>
      <c r="J1779" s="261"/>
      <c r="K1779" s="261"/>
      <c r="L1779" s="261"/>
      <c r="M1779" s="261"/>
      <c r="N1779" s="261"/>
      <c r="O1779" s="261"/>
      <c r="P1779" s="261"/>
      <c r="Q1779" s="261"/>
      <c r="R1779" s="261"/>
      <c r="S1779" s="261"/>
    </row>
    <row r="1780" spans="1:19">
      <c r="A1780" s="295">
        <v>46411</v>
      </c>
      <c r="B1780" s="259" t="s">
        <v>88</v>
      </c>
      <c r="C1780" s="258"/>
      <c r="D1780" s="261"/>
      <c r="E1780" s="261"/>
      <c r="F1780" s="261"/>
      <c r="G1780" s="261"/>
      <c r="H1780" s="261"/>
      <c r="I1780" s="261"/>
      <c r="J1780" s="261"/>
      <c r="K1780" s="261"/>
      <c r="L1780" s="261"/>
      <c r="M1780" s="261"/>
      <c r="N1780" s="261"/>
      <c r="O1780" s="261"/>
      <c r="P1780" s="261"/>
      <c r="Q1780" s="261"/>
      <c r="R1780" s="261"/>
      <c r="S1780" s="261"/>
    </row>
    <row r="1781" spans="1:19">
      <c r="A1781" s="295"/>
      <c r="B1781" s="259" t="s">
        <v>89</v>
      </c>
      <c r="C1781" s="258"/>
      <c r="D1781" s="261"/>
      <c r="E1781" s="261"/>
      <c r="F1781" s="261"/>
      <c r="G1781" s="261"/>
      <c r="H1781" s="261"/>
      <c r="I1781" s="261"/>
      <c r="J1781" s="261"/>
      <c r="K1781" s="261"/>
      <c r="L1781" s="261"/>
      <c r="M1781" s="261"/>
      <c r="N1781" s="261"/>
      <c r="O1781" s="261"/>
      <c r="P1781" s="261"/>
      <c r="Q1781" s="261"/>
      <c r="R1781" s="261"/>
      <c r="S1781" s="261"/>
    </row>
    <row r="1782" spans="1:19">
      <c r="A1782" s="296"/>
      <c r="B1782" s="267" t="s">
        <v>90</v>
      </c>
      <c r="C1782" s="258"/>
      <c r="D1782" s="261"/>
      <c r="E1782" s="261"/>
      <c r="F1782" s="261"/>
      <c r="G1782" s="261"/>
      <c r="H1782" s="261"/>
      <c r="I1782" s="261"/>
      <c r="J1782" s="261"/>
      <c r="K1782" s="261"/>
      <c r="L1782" s="261"/>
      <c r="M1782" s="261"/>
      <c r="N1782" s="261"/>
      <c r="O1782" s="261"/>
      <c r="P1782" s="261"/>
      <c r="Q1782" s="261"/>
      <c r="R1782" s="261"/>
      <c r="S1782" s="261"/>
    </row>
    <row r="1783" spans="1:19">
      <c r="A1783" s="295">
        <v>46412</v>
      </c>
      <c r="B1783" s="259" t="s">
        <v>88</v>
      </c>
      <c r="C1783" s="258"/>
      <c r="D1783" s="261"/>
      <c r="E1783" s="261"/>
      <c r="F1783" s="261"/>
      <c r="G1783" s="261"/>
      <c r="H1783" s="261"/>
      <c r="I1783" s="261"/>
      <c r="J1783" s="261"/>
      <c r="K1783" s="261"/>
      <c r="L1783" s="261"/>
      <c r="M1783" s="261"/>
      <c r="N1783" s="261"/>
      <c r="O1783" s="261"/>
      <c r="P1783" s="261"/>
      <c r="Q1783" s="261"/>
      <c r="R1783" s="261"/>
      <c r="S1783" s="261"/>
    </row>
    <row r="1784" spans="1:19">
      <c r="A1784" s="295"/>
      <c r="B1784" s="259" t="s">
        <v>89</v>
      </c>
      <c r="C1784" s="258"/>
      <c r="D1784" s="261"/>
      <c r="E1784" s="261"/>
      <c r="F1784" s="261"/>
      <c r="G1784" s="261"/>
      <c r="H1784" s="261"/>
      <c r="I1784" s="261"/>
      <c r="J1784" s="261"/>
      <c r="K1784" s="261"/>
      <c r="L1784" s="261"/>
      <c r="M1784" s="261"/>
      <c r="N1784" s="261"/>
      <c r="O1784" s="261"/>
      <c r="P1784" s="261"/>
      <c r="Q1784" s="261"/>
      <c r="R1784" s="261"/>
      <c r="S1784" s="261"/>
    </row>
    <row r="1785" spans="1:19">
      <c r="A1785" s="296"/>
      <c r="B1785" s="267" t="s">
        <v>90</v>
      </c>
      <c r="C1785" s="258"/>
      <c r="D1785" s="261"/>
      <c r="E1785" s="261"/>
      <c r="F1785" s="261"/>
      <c r="G1785" s="261"/>
      <c r="H1785" s="261"/>
      <c r="I1785" s="261"/>
      <c r="J1785" s="261"/>
      <c r="K1785" s="261"/>
      <c r="L1785" s="261"/>
      <c r="M1785" s="261"/>
      <c r="N1785" s="261"/>
      <c r="O1785" s="261"/>
      <c r="P1785" s="261"/>
      <c r="Q1785" s="261"/>
      <c r="R1785" s="261"/>
      <c r="S1785" s="261"/>
    </row>
    <row r="1786" spans="1:19">
      <c r="A1786" s="295">
        <v>46413</v>
      </c>
      <c r="B1786" s="259" t="s">
        <v>88</v>
      </c>
      <c r="C1786" s="258"/>
      <c r="D1786" s="261"/>
      <c r="E1786" s="261"/>
      <c r="F1786" s="261"/>
      <c r="G1786" s="261"/>
      <c r="H1786" s="261"/>
      <c r="I1786" s="261"/>
      <c r="J1786" s="261"/>
      <c r="K1786" s="261"/>
      <c r="L1786" s="261"/>
      <c r="M1786" s="261"/>
      <c r="N1786" s="261"/>
      <c r="O1786" s="261"/>
      <c r="P1786" s="261"/>
      <c r="Q1786" s="261"/>
      <c r="R1786" s="261"/>
      <c r="S1786" s="261"/>
    </row>
    <row r="1787" spans="1:19">
      <c r="A1787" s="295"/>
      <c r="B1787" s="259" t="s">
        <v>89</v>
      </c>
      <c r="C1787" s="258"/>
      <c r="D1787" s="261"/>
      <c r="E1787" s="261"/>
      <c r="F1787" s="261"/>
      <c r="G1787" s="261"/>
      <c r="H1787" s="261"/>
      <c r="I1787" s="261"/>
      <c r="J1787" s="261"/>
      <c r="K1787" s="261"/>
      <c r="L1787" s="261"/>
      <c r="M1787" s="261"/>
      <c r="N1787" s="261"/>
      <c r="O1787" s="261"/>
      <c r="P1787" s="261"/>
      <c r="Q1787" s="261"/>
      <c r="R1787" s="261"/>
      <c r="S1787" s="261"/>
    </row>
    <row r="1788" spans="1:19">
      <c r="A1788" s="296"/>
      <c r="B1788" s="267" t="s">
        <v>90</v>
      </c>
      <c r="C1788" s="258"/>
      <c r="D1788" s="261"/>
      <c r="E1788" s="261"/>
      <c r="F1788" s="261"/>
      <c r="G1788" s="261"/>
      <c r="H1788" s="261"/>
      <c r="I1788" s="261"/>
      <c r="J1788" s="261"/>
      <c r="K1788" s="261"/>
      <c r="L1788" s="261"/>
      <c r="M1788" s="261"/>
      <c r="N1788" s="261"/>
      <c r="O1788" s="261"/>
      <c r="P1788" s="261"/>
      <c r="Q1788" s="261"/>
      <c r="R1788" s="261"/>
      <c r="S1788" s="261"/>
    </row>
    <row r="1789" spans="1:19">
      <c r="A1789" s="295">
        <v>46414</v>
      </c>
      <c r="B1789" s="259" t="s">
        <v>88</v>
      </c>
      <c r="C1789" s="258"/>
      <c r="D1789" s="261"/>
      <c r="E1789" s="261"/>
      <c r="F1789" s="261"/>
      <c r="G1789" s="261"/>
      <c r="H1789" s="261"/>
      <c r="I1789" s="261"/>
      <c r="J1789" s="261"/>
      <c r="K1789" s="261"/>
      <c r="L1789" s="261"/>
      <c r="M1789" s="261"/>
      <c r="N1789" s="261"/>
      <c r="O1789" s="261"/>
      <c r="P1789" s="261"/>
      <c r="Q1789" s="261"/>
      <c r="R1789" s="261"/>
      <c r="S1789" s="261"/>
    </row>
    <row r="1790" spans="1:19">
      <c r="A1790" s="295"/>
      <c r="B1790" s="259" t="s">
        <v>89</v>
      </c>
      <c r="C1790" s="258"/>
      <c r="D1790" s="261"/>
      <c r="E1790" s="261"/>
      <c r="F1790" s="261"/>
      <c r="G1790" s="261"/>
      <c r="H1790" s="261"/>
      <c r="I1790" s="261"/>
      <c r="J1790" s="261"/>
      <c r="K1790" s="261"/>
      <c r="L1790" s="261"/>
      <c r="M1790" s="261"/>
      <c r="N1790" s="261"/>
      <c r="O1790" s="261"/>
      <c r="P1790" s="261"/>
      <c r="Q1790" s="261"/>
      <c r="R1790" s="261"/>
      <c r="S1790" s="261"/>
    </row>
    <row r="1791" spans="1:19">
      <c r="A1791" s="296"/>
      <c r="B1791" s="267" t="s">
        <v>90</v>
      </c>
      <c r="C1791" s="258"/>
      <c r="D1791" s="261"/>
      <c r="E1791" s="261"/>
      <c r="F1791" s="261"/>
      <c r="G1791" s="261"/>
      <c r="H1791" s="261"/>
      <c r="I1791" s="261"/>
      <c r="J1791" s="261"/>
      <c r="K1791" s="261"/>
      <c r="L1791" s="261"/>
      <c r="M1791" s="261"/>
      <c r="N1791" s="261"/>
      <c r="O1791" s="261"/>
      <c r="P1791" s="261"/>
      <c r="Q1791" s="261"/>
      <c r="R1791" s="261"/>
      <c r="S1791" s="261"/>
    </row>
    <row r="1792" spans="1:19">
      <c r="A1792" s="295">
        <v>46415</v>
      </c>
      <c r="B1792" s="259" t="s">
        <v>88</v>
      </c>
      <c r="C1792" s="258"/>
      <c r="D1792" s="261"/>
      <c r="E1792" s="261"/>
      <c r="F1792" s="261"/>
      <c r="G1792" s="261"/>
      <c r="H1792" s="261"/>
      <c r="I1792" s="261"/>
      <c r="J1792" s="261"/>
      <c r="K1792" s="261"/>
      <c r="L1792" s="261"/>
      <c r="M1792" s="261"/>
      <c r="N1792" s="261"/>
      <c r="O1792" s="261"/>
      <c r="P1792" s="261"/>
      <c r="Q1792" s="261"/>
      <c r="R1792" s="261"/>
      <c r="S1792" s="261"/>
    </row>
    <row r="1793" spans="1:19">
      <c r="A1793" s="295"/>
      <c r="B1793" s="259" t="s">
        <v>89</v>
      </c>
      <c r="C1793" s="258"/>
      <c r="D1793" s="261"/>
      <c r="E1793" s="261"/>
      <c r="F1793" s="261"/>
      <c r="G1793" s="261"/>
      <c r="H1793" s="261"/>
      <c r="I1793" s="261"/>
      <c r="J1793" s="261"/>
      <c r="K1793" s="261"/>
      <c r="L1793" s="261"/>
      <c r="M1793" s="261"/>
      <c r="N1793" s="261"/>
      <c r="O1793" s="261"/>
      <c r="P1793" s="261"/>
      <c r="Q1793" s="261"/>
      <c r="R1793" s="261"/>
      <c r="S1793" s="261"/>
    </row>
    <row r="1794" spans="1:19">
      <c r="A1794" s="296"/>
      <c r="B1794" s="267" t="s">
        <v>90</v>
      </c>
      <c r="C1794" s="258"/>
      <c r="D1794" s="261"/>
      <c r="E1794" s="261"/>
      <c r="F1794" s="261"/>
      <c r="G1794" s="261"/>
      <c r="H1794" s="261"/>
      <c r="I1794" s="261"/>
      <c r="J1794" s="261"/>
      <c r="K1794" s="261"/>
      <c r="L1794" s="261"/>
      <c r="M1794" s="261"/>
      <c r="N1794" s="261"/>
      <c r="O1794" s="261"/>
      <c r="P1794" s="261"/>
      <c r="Q1794" s="261"/>
      <c r="R1794" s="261"/>
      <c r="S1794" s="261"/>
    </row>
    <row r="1795" spans="1:19">
      <c r="A1795" s="295">
        <v>46416</v>
      </c>
      <c r="B1795" s="259" t="s">
        <v>88</v>
      </c>
      <c r="C1795" s="258"/>
      <c r="D1795" s="261"/>
      <c r="E1795" s="261"/>
      <c r="F1795" s="261"/>
      <c r="G1795" s="261"/>
      <c r="H1795" s="261"/>
      <c r="I1795" s="261"/>
      <c r="J1795" s="261"/>
      <c r="K1795" s="261"/>
      <c r="L1795" s="261"/>
      <c r="M1795" s="261"/>
      <c r="N1795" s="261"/>
      <c r="O1795" s="261"/>
      <c r="P1795" s="261"/>
      <c r="Q1795" s="261"/>
      <c r="R1795" s="261"/>
      <c r="S1795" s="261"/>
    </row>
    <row r="1796" spans="1:19">
      <c r="A1796" s="295"/>
      <c r="B1796" s="259" t="s">
        <v>89</v>
      </c>
      <c r="C1796" s="258"/>
      <c r="D1796" s="261"/>
      <c r="E1796" s="261"/>
      <c r="F1796" s="261"/>
      <c r="G1796" s="261"/>
      <c r="H1796" s="261"/>
      <c r="I1796" s="261"/>
      <c r="J1796" s="261"/>
      <c r="K1796" s="261"/>
      <c r="L1796" s="261"/>
      <c r="M1796" s="261"/>
      <c r="N1796" s="261"/>
      <c r="O1796" s="261"/>
      <c r="P1796" s="261"/>
      <c r="Q1796" s="261"/>
      <c r="R1796" s="261"/>
      <c r="S1796" s="261"/>
    </row>
    <row r="1797" spans="1:19">
      <c r="A1797" s="296"/>
      <c r="B1797" s="267" t="s">
        <v>90</v>
      </c>
      <c r="C1797" s="258"/>
      <c r="D1797" s="261"/>
      <c r="E1797" s="261"/>
      <c r="F1797" s="261"/>
      <c r="G1797" s="261"/>
      <c r="H1797" s="261"/>
      <c r="I1797" s="261"/>
      <c r="J1797" s="261"/>
      <c r="K1797" s="261"/>
      <c r="L1797" s="261"/>
      <c r="M1797" s="261"/>
      <c r="N1797" s="261"/>
      <c r="O1797" s="261"/>
      <c r="P1797" s="261"/>
      <c r="Q1797" s="261"/>
      <c r="R1797" s="261"/>
      <c r="S1797" s="261"/>
    </row>
    <row r="1798" spans="1:19">
      <c r="A1798" s="295">
        <v>46417</v>
      </c>
      <c r="B1798" s="259" t="s">
        <v>88</v>
      </c>
      <c r="C1798" s="258"/>
      <c r="D1798" s="261"/>
      <c r="E1798" s="261"/>
      <c r="F1798" s="261"/>
      <c r="G1798" s="261"/>
      <c r="H1798" s="261"/>
      <c r="I1798" s="261"/>
      <c r="J1798" s="261"/>
      <c r="K1798" s="261"/>
      <c r="L1798" s="261"/>
      <c r="M1798" s="261"/>
      <c r="N1798" s="261"/>
      <c r="O1798" s="261"/>
      <c r="P1798" s="261"/>
      <c r="Q1798" s="261"/>
      <c r="R1798" s="261"/>
      <c r="S1798" s="261"/>
    </row>
    <row r="1799" spans="1:19">
      <c r="A1799" s="295"/>
      <c r="B1799" s="259" t="s">
        <v>89</v>
      </c>
      <c r="C1799" s="258"/>
      <c r="D1799" s="261"/>
      <c r="E1799" s="261"/>
      <c r="F1799" s="261"/>
      <c r="G1799" s="261"/>
      <c r="H1799" s="261"/>
      <c r="I1799" s="261"/>
      <c r="J1799" s="261"/>
      <c r="K1799" s="261"/>
      <c r="L1799" s="261"/>
      <c r="M1799" s="261"/>
      <c r="N1799" s="261"/>
      <c r="O1799" s="261"/>
      <c r="P1799" s="261"/>
      <c r="Q1799" s="261"/>
      <c r="R1799" s="261"/>
      <c r="S1799" s="261"/>
    </row>
    <row r="1800" spans="1:19">
      <c r="A1800" s="296"/>
      <c r="B1800" s="267" t="s">
        <v>90</v>
      </c>
      <c r="C1800" s="258"/>
      <c r="D1800" s="261"/>
      <c r="E1800" s="261"/>
      <c r="F1800" s="261"/>
      <c r="G1800" s="261"/>
      <c r="H1800" s="261"/>
      <c r="I1800" s="261"/>
      <c r="J1800" s="261"/>
      <c r="K1800" s="261"/>
      <c r="L1800" s="261"/>
      <c r="M1800" s="261"/>
      <c r="N1800" s="261"/>
      <c r="O1800" s="261"/>
      <c r="P1800" s="261"/>
      <c r="Q1800" s="261"/>
      <c r="R1800" s="261"/>
      <c r="S1800" s="261"/>
    </row>
    <row r="1801" spans="1:19">
      <c r="A1801" s="295">
        <v>46418</v>
      </c>
      <c r="B1801" s="259" t="s">
        <v>88</v>
      </c>
      <c r="C1801" s="258"/>
      <c r="D1801" s="261"/>
      <c r="E1801" s="261"/>
      <c r="F1801" s="261"/>
      <c r="G1801" s="261"/>
      <c r="H1801" s="261"/>
      <c r="I1801" s="261"/>
      <c r="J1801" s="261"/>
      <c r="K1801" s="261"/>
      <c r="L1801" s="261"/>
      <c r="M1801" s="261"/>
      <c r="N1801" s="261"/>
      <c r="O1801" s="261"/>
      <c r="P1801" s="261"/>
      <c r="Q1801" s="261"/>
      <c r="R1801" s="261"/>
      <c r="S1801" s="261"/>
    </row>
    <row r="1802" spans="1:19">
      <c r="A1802" s="295"/>
      <c r="B1802" s="259" t="s">
        <v>89</v>
      </c>
      <c r="C1802" s="258"/>
      <c r="D1802" s="261"/>
      <c r="E1802" s="261"/>
      <c r="F1802" s="261"/>
      <c r="G1802" s="261"/>
      <c r="H1802" s="261"/>
      <c r="I1802" s="261"/>
      <c r="J1802" s="261"/>
      <c r="K1802" s="261"/>
      <c r="L1802" s="261"/>
      <c r="M1802" s="261"/>
      <c r="N1802" s="261"/>
      <c r="O1802" s="261"/>
      <c r="P1802" s="261"/>
      <c r="Q1802" s="261"/>
      <c r="R1802" s="261"/>
      <c r="S1802" s="261"/>
    </row>
    <row r="1803" spans="1:19">
      <c r="A1803" s="296"/>
      <c r="B1803" s="267" t="s">
        <v>90</v>
      </c>
      <c r="C1803" s="258"/>
      <c r="D1803" s="261"/>
      <c r="E1803" s="261"/>
      <c r="F1803" s="261"/>
      <c r="G1803" s="261"/>
      <c r="H1803" s="261"/>
      <c r="I1803" s="261"/>
      <c r="J1803" s="261"/>
      <c r="K1803" s="261"/>
      <c r="L1803" s="261"/>
      <c r="M1803" s="261"/>
      <c r="N1803" s="261"/>
      <c r="O1803" s="261"/>
      <c r="P1803" s="261"/>
      <c r="Q1803" s="261"/>
      <c r="R1803" s="261"/>
      <c r="S1803" s="261"/>
    </row>
    <row r="1804" spans="1:19">
      <c r="A1804" s="295">
        <v>46419</v>
      </c>
      <c r="B1804" s="259" t="s">
        <v>88</v>
      </c>
      <c r="C1804" s="258"/>
      <c r="D1804" s="261"/>
      <c r="E1804" s="261"/>
      <c r="F1804" s="261"/>
      <c r="G1804" s="261"/>
      <c r="H1804" s="261"/>
      <c r="I1804" s="261"/>
      <c r="J1804" s="261"/>
      <c r="K1804" s="261"/>
      <c r="L1804" s="261"/>
      <c r="M1804" s="261"/>
      <c r="N1804" s="261"/>
      <c r="O1804" s="261"/>
      <c r="P1804" s="261"/>
      <c r="Q1804" s="261"/>
      <c r="R1804" s="261"/>
      <c r="S1804" s="261"/>
    </row>
    <row r="1805" spans="1:19">
      <c r="A1805" s="295"/>
      <c r="B1805" s="259" t="s">
        <v>89</v>
      </c>
      <c r="C1805" s="258"/>
      <c r="D1805" s="261"/>
      <c r="E1805" s="261"/>
      <c r="F1805" s="261"/>
      <c r="G1805" s="261"/>
      <c r="H1805" s="261"/>
      <c r="I1805" s="261"/>
      <c r="J1805" s="261"/>
      <c r="K1805" s="261"/>
      <c r="L1805" s="261"/>
      <c r="M1805" s="261"/>
      <c r="N1805" s="261"/>
      <c r="O1805" s="261"/>
      <c r="P1805" s="261"/>
      <c r="Q1805" s="261"/>
      <c r="R1805" s="261"/>
      <c r="S1805" s="261"/>
    </row>
    <row r="1806" spans="1:19">
      <c r="A1806" s="296"/>
      <c r="B1806" s="267" t="s">
        <v>90</v>
      </c>
      <c r="C1806" s="258"/>
      <c r="D1806" s="261"/>
      <c r="E1806" s="261"/>
      <c r="F1806" s="261"/>
      <c r="G1806" s="261"/>
      <c r="H1806" s="261"/>
      <c r="I1806" s="261"/>
      <c r="J1806" s="261"/>
      <c r="K1806" s="261"/>
      <c r="L1806" s="261"/>
      <c r="M1806" s="261"/>
      <c r="N1806" s="261"/>
      <c r="O1806" s="261"/>
      <c r="P1806" s="261"/>
      <c r="Q1806" s="261"/>
      <c r="R1806" s="261"/>
      <c r="S1806" s="261"/>
    </row>
    <row r="1807" spans="1:19">
      <c r="A1807" s="295">
        <v>46420</v>
      </c>
      <c r="B1807" s="259" t="s">
        <v>88</v>
      </c>
      <c r="C1807" s="258"/>
      <c r="D1807" s="261"/>
      <c r="E1807" s="261"/>
      <c r="F1807" s="261"/>
      <c r="G1807" s="261"/>
      <c r="H1807" s="261"/>
      <c r="I1807" s="261"/>
      <c r="J1807" s="261"/>
      <c r="K1807" s="261"/>
      <c r="L1807" s="261"/>
      <c r="M1807" s="261"/>
      <c r="N1807" s="261"/>
      <c r="O1807" s="261"/>
      <c r="P1807" s="261"/>
      <c r="Q1807" s="261"/>
      <c r="R1807" s="261"/>
      <c r="S1807" s="261"/>
    </row>
    <row r="1808" spans="1:19">
      <c r="A1808" s="295"/>
      <c r="B1808" s="259" t="s">
        <v>89</v>
      </c>
      <c r="C1808" s="258"/>
      <c r="D1808" s="261"/>
      <c r="E1808" s="261"/>
      <c r="F1808" s="261"/>
      <c r="G1808" s="261"/>
      <c r="H1808" s="261"/>
      <c r="I1808" s="261"/>
      <c r="J1808" s="261"/>
      <c r="K1808" s="261"/>
      <c r="L1808" s="261"/>
      <c r="M1808" s="261"/>
      <c r="N1808" s="261"/>
      <c r="O1808" s="261"/>
      <c r="P1808" s="261"/>
      <c r="Q1808" s="261"/>
      <c r="R1808" s="261"/>
      <c r="S1808" s="261"/>
    </row>
    <row r="1809" spans="1:19">
      <c r="A1809" s="296"/>
      <c r="B1809" s="267" t="s">
        <v>90</v>
      </c>
      <c r="C1809" s="258"/>
      <c r="D1809" s="261"/>
      <c r="E1809" s="261"/>
      <c r="F1809" s="261"/>
      <c r="G1809" s="261"/>
      <c r="H1809" s="261"/>
      <c r="I1809" s="261"/>
      <c r="J1809" s="261"/>
      <c r="K1809" s="261"/>
      <c r="L1809" s="261"/>
      <c r="M1809" s="261"/>
      <c r="N1809" s="261"/>
      <c r="O1809" s="261"/>
      <c r="P1809" s="261"/>
      <c r="Q1809" s="261"/>
      <c r="R1809" s="261"/>
      <c r="S1809" s="261"/>
    </row>
    <row r="1810" spans="1:19">
      <c r="A1810" s="295">
        <v>46421</v>
      </c>
      <c r="B1810" s="259" t="s">
        <v>88</v>
      </c>
      <c r="C1810" s="258"/>
      <c r="D1810" s="261"/>
      <c r="E1810" s="261"/>
      <c r="F1810" s="261"/>
      <c r="G1810" s="261"/>
      <c r="H1810" s="261"/>
      <c r="I1810" s="261"/>
      <c r="J1810" s="261"/>
      <c r="K1810" s="261"/>
      <c r="L1810" s="261"/>
      <c r="M1810" s="261"/>
      <c r="N1810" s="261"/>
      <c r="O1810" s="261"/>
      <c r="P1810" s="261"/>
      <c r="Q1810" s="261"/>
      <c r="R1810" s="261"/>
      <c r="S1810" s="261"/>
    </row>
    <row r="1811" spans="1:19">
      <c r="A1811" s="295"/>
      <c r="B1811" s="259" t="s">
        <v>89</v>
      </c>
      <c r="C1811" s="258"/>
      <c r="D1811" s="261"/>
      <c r="E1811" s="261"/>
      <c r="F1811" s="261"/>
      <c r="G1811" s="261"/>
      <c r="H1811" s="261"/>
      <c r="I1811" s="261"/>
      <c r="J1811" s="261"/>
      <c r="K1811" s="261"/>
      <c r="L1811" s="261"/>
      <c r="M1811" s="261"/>
      <c r="N1811" s="261"/>
      <c r="O1811" s="261"/>
      <c r="P1811" s="261"/>
      <c r="Q1811" s="261"/>
      <c r="R1811" s="261"/>
      <c r="S1811" s="261"/>
    </row>
    <row r="1812" spans="1:19">
      <c r="A1812" s="296"/>
      <c r="B1812" s="267" t="s">
        <v>90</v>
      </c>
      <c r="C1812" s="258"/>
      <c r="D1812" s="261"/>
      <c r="E1812" s="261"/>
      <c r="F1812" s="261"/>
      <c r="G1812" s="261"/>
      <c r="H1812" s="261"/>
      <c r="I1812" s="261"/>
      <c r="J1812" s="261"/>
      <c r="K1812" s="261"/>
      <c r="L1812" s="261"/>
      <c r="M1812" s="261"/>
      <c r="N1812" s="261"/>
      <c r="O1812" s="261"/>
      <c r="P1812" s="261"/>
      <c r="Q1812" s="261"/>
      <c r="R1812" s="261"/>
      <c r="S1812" s="261"/>
    </row>
    <row r="1813" spans="1:19">
      <c r="A1813" s="295">
        <v>46422</v>
      </c>
      <c r="B1813" s="259" t="s">
        <v>88</v>
      </c>
      <c r="C1813" s="258"/>
      <c r="D1813" s="261"/>
      <c r="E1813" s="261"/>
      <c r="F1813" s="261"/>
      <c r="G1813" s="261"/>
      <c r="H1813" s="261"/>
      <c r="I1813" s="261"/>
      <c r="J1813" s="261"/>
      <c r="K1813" s="261"/>
      <c r="L1813" s="261"/>
      <c r="M1813" s="261"/>
      <c r="N1813" s="261"/>
      <c r="O1813" s="261"/>
      <c r="P1813" s="261"/>
      <c r="Q1813" s="261"/>
      <c r="R1813" s="261"/>
      <c r="S1813" s="261"/>
    </row>
    <row r="1814" spans="1:19">
      <c r="A1814" s="295"/>
      <c r="B1814" s="259" t="s">
        <v>89</v>
      </c>
      <c r="C1814" s="258"/>
      <c r="D1814" s="261"/>
      <c r="E1814" s="261"/>
      <c r="F1814" s="261"/>
      <c r="G1814" s="261"/>
      <c r="H1814" s="261"/>
      <c r="I1814" s="261"/>
      <c r="J1814" s="261"/>
      <c r="K1814" s="261"/>
      <c r="L1814" s="261"/>
      <c r="M1814" s="261"/>
      <c r="N1814" s="261"/>
      <c r="O1814" s="261"/>
      <c r="P1814" s="261"/>
      <c r="Q1814" s="261"/>
      <c r="R1814" s="261"/>
      <c r="S1814" s="261"/>
    </row>
    <row r="1815" spans="1:19">
      <c r="A1815" s="296"/>
      <c r="B1815" s="267" t="s">
        <v>90</v>
      </c>
      <c r="C1815" s="258"/>
      <c r="D1815" s="261"/>
      <c r="E1815" s="261"/>
      <c r="F1815" s="261"/>
      <c r="G1815" s="261"/>
      <c r="H1815" s="261"/>
      <c r="I1815" s="261"/>
      <c r="J1815" s="261"/>
      <c r="K1815" s="261"/>
      <c r="L1815" s="261"/>
      <c r="M1815" s="261"/>
      <c r="N1815" s="261"/>
      <c r="O1815" s="261"/>
      <c r="P1815" s="261"/>
      <c r="Q1815" s="261"/>
      <c r="R1815" s="261"/>
      <c r="S1815" s="261"/>
    </row>
    <row r="1816" spans="1:19">
      <c r="A1816" s="295">
        <v>46423</v>
      </c>
      <c r="B1816" s="259" t="s">
        <v>88</v>
      </c>
      <c r="C1816" s="258"/>
      <c r="D1816" s="261"/>
      <c r="E1816" s="261"/>
      <c r="F1816" s="261"/>
      <c r="G1816" s="261"/>
      <c r="H1816" s="261"/>
      <c r="I1816" s="261"/>
      <c r="J1816" s="261"/>
      <c r="K1816" s="261"/>
      <c r="L1816" s="261"/>
      <c r="M1816" s="261"/>
      <c r="N1816" s="261"/>
      <c r="O1816" s="261"/>
      <c r="P1816" s="261"/>
      <c r="Q1816" s="261"/>
      <c r="R1816" s="261"/>
      <c r="S1816" s="261"/>
    </row>
    <row r="1817" spans="1:19">
      <c r="A1817" s="295"/>
      <c r="B1817" s="259" t="s">
        <v>89</v>
      </c>
      <c r="C1817" s="258"/>
      <c r="D1817" s="261"/>
      <c r="E1817" s="261"/>
      <c r="F1817" s="261"/>
      <c r="G1817" s="261"/>
      <c r="H1817" s="261"/>
      <c r="I1817" s="261"/>
      <c r="J1817" s="261"/>
      <c r="K1817" s="261"/>
      <c r="L1817" s="261"/>
      <c r="M1817" s="261"/>
      <c r="N1817" s="261"/>
      <c r="O1817" s="261"/>
      <c r="P1817" s="261"/>
      <c r="Q1817" s="261"/>
      <c r="R1817" s="261"/>
      <c r="S1817" s="261"/>
    </row>
    <row r="1818" spans="1:19">
      <c r="A1818" s="296"/>
      <c r="B1818" s="267" t="s">
        <v>90</v>
      </c>
      <c r="C1818" s="258"/>
      <c r="D1818" s="261"/>
      <c r="E1818" s="261"/>
      <c r="F1818" s="261"/>
      <c r="G1818" s="261"/>
      <c r="H1818" s="261"/>
      <c r="I1818" s="261"/>
      <c r="J1818" s="261"/>
      <c r="K1818" s="261"/>
      <c r="L1818" s="261"/>
      <c r="M1818" s="261"/>
      <c r="N1818" s="261"/>
      <c r="O1818" s="261"/>
      <c r="P1818" s="261"/>
      <c r="Q1818" s="261"/>
      <c r="R1818" s="261"/>
      <c r="S1818" s="261"/>
    </row>
    <row r="1819" spans="1:19">
      <c r="A1819" s="295">
        <v>46424</v>
      </c>
      <c r="B1819" s="259" t="s">
        <v>88</v>
      </c>
      <c r="C1819" s="258"/>
      <c r="D1819" s="261"/>
      <c r="E1819" s="261"/>
      <c r="F1819" s="261"/>
      <c r="G1819" s="261"/>
      <c r="H1819" s="261"/>
      <c r="I1819" s="261"/>
      <c r="J1819" s="261"/>
      <c r="K1819" s="261"/>
      <c r="L1819" s="261"/>
      <c r="M1819" s="261"/>
      <c r="N1819" s="261"/>
      <c r="O1819" s="261"/>
      <c r="P1819" s="261"/>
      <c r="Q1819" s="261"/>
      <c r="R1819" s="261"/>
      <c r="S1819" s="261"/>
    </row>
    <row r="1820" spans="1:19">
      <c r="A1820" s="295"/>
      <c r="B1820" s="259" t="s">
        <v>89</v>
      </c>
      <c r="C1820" s="258"/>
      <c r="D1820" s="261"/>
      <c r="E1820" s="261"/>
      <c r="F1820" s="261"/>
      <c r="G1820" s="261"/>
      <c r="H1820" s="261"/>
      <c r="I1820" s="261"/>
      <c r="J1820" s="261"/>
      <c r="K1820" s="261"/>
      <c r="L1820" s="261"/>
      <c r="M1820" s="261"/>
      <c r="N1820" s="261"/>
      <c r="O1820" s="261"/>
      <c r="P1820" s="261"/>
      <c r="Q1820" s="261"/>
      <c r="R1820" s="261"/>
      <c r="S1820" s="261"/>
    </row>
    <row r="1821" spans="1:19">
      <c r="A1821" s="296"/>
      <c r="B1821" s="267" t="s">
        <v>90</v>
      </c>
      <c r="C1821" s="258"/>
      <c r="D1821" s="261"/>
      <c r="E1821" s="261"/>
      <c r="F1821" s="261"/>
      <c r="G1821" s="261"/>
      <c r="H1821" s="261"/>
      <c r="I1821" s="261"/>
      <c r="J1821" s="261"/>
      <c r="K1821" s="261"/>
      <c r="L1821" s="261"/>
      <c r="M1821" s="261"/>
      <c r="N1821" s="261"/>
      <c r="O1821" s="261"/>
      <c r="P1821" s="261"/>
      <c r="Q1821" s="261"/>
      <c r="R1821" s="261"/>
      <c r="S1821" s="261"/>
    </row>
    <row r="1822" spans="1:19">
      <c r="A1822" s="295">
        <v>46425</v>
      </c>
      <c r="B1822" s="259" t="s">
        <v>88</v>
      </c>
      <c r="C1822" s="258"/>
      <c r="D1822" s="261"/>
      <c r="E1822" s="261"/>
      <c r="F1822" s="261"/>
      <c r="G1822" s="261"/>
      <c r="H1822" s="261"/>
      <c r="I1822" s="261"/>
      <c r="J1822" s="261"/>
      <c r="K1822" s="261"/>
      <c r="L1822" s="261"/>
      <c r="M1822" s="261"/>
      <c r="N1822" s="261"/>
      <c r="O1822" s="261"/>
      <c r="P1822" s="261"/>
      <c r="Q1822" s="261"/>
      <c r="R1822" s="261"/>
      <c r="S1822" s="261"/>
    </row>
    <row r="1823" spans="1:19">
      <c r="A1823" s="295"/>
      <c r="B1823" s="259" t="s">
        <v>89</v>
      </c>
      <c r="C1823" s="258"/>
      <c r="D1823" s="261"/>
      <c r="E1823" s="261"/>
      <c r="F1823" s="261"/>
      <c r="G1823" s="261"/>
      <c r="H1823" s="261"/>
      <c r="I1823" s="261"/>
      <c r="J1823" s="261"/>
      <c r="K1823" s="261"/>
      <c r="L1823" s="261"/>
      <c r="M1823" s="261"/>
      <c r="N1823" s="261"/>
      <c r="O1823" s="261"/>
      <c r="P1823" s="261"/>
      <c r="Q1823" s="261"/>
      <c r="R1823" s="261"/>
      <c r="S1823" s="261"/>
    </row>
    <row r="1824" spans="1:19">
      <c r="A1824" s="296"/>
      <c r="B1824" s="267" t="s">
        <v>90</v>
      </c>
      <c r="C1824" s="258"/>
      <c r="D1824" s="261"/>
      <c r="E1824" s="261"/>
      <c r="F1824" s="261"/>
      <c r="G1824" s="261"/>
      <c r="H1824" s="261"/>
      <c r="I1824" s="261"/>
      <c r="J1824" s="261"/>
      <c r="K1824" s="261"/>
      <c r="L1824" s="261"/>
      <c r="M1824" s="261"/>
      <c r="N1824" s="261"/>
      <c r="O1824" s="261"/>
      <c r="P1824" s="261"/>
      <c r="Q1824" s="261"/>
      <c r="R1824" s="261"/>
      <c r="S1824" s="261"/>
    </row>
    <row r="1825" spans="1:19">
      <c r="A1825" s="295">
        <v>46426</v>
      </c>
      <c r="B1825" s="259" t="s">
        <v>88</v>
      </c>
      <c r="C1825" s="258"/>
      <c r="D1825" s="261"/>
      <c r="E1825" s="261"/>
      <c r="F1825" s="261"/>
      <c r="G1825" s="261"/>
      <c r="H1825" s="261"/>
      <c r="I1825" s="261"/>
      <c r="J1825" s="261"/>
      <c r="K1825" s="261"/>
      <c r="L1825" s="261"/>
      <c r="M1825" s="261"/>
      <c r="N1825" s="261"/>
      <c r="O1825" s="261"/>
      <c r="P1825" s="261"/>
      <c r="Q1825" s="261"/>
      <c r="R1825" s="261"/>
      <c r="S1825" s="261"/>
    </row>
    <row r="1826" spans="1:19">
      <c r="A1826" s="295"/>
      <c r="B1826" s="259" t="s">
        <v>89</v>
      </c>
      <c r="C1826" s="258"/>
      <c r="D1826" s="261"/>
      <c r="E1826" s="261"/>
      <c r="F1826" s="261"/>
      <c r="G1826" s="261"/>
      <c r="H1826" s="261"/>
      <c r="I1826" s="261"/>
      <c r="J1826" s="261"/>
      <c r="K1826" s="261"/>
      <c r="L1826" s="261"/>
      <c r="M1826" s="261"/>
      <c r="N1826" s="261"/>
      <c r="O1826" s="261"/>
      <c r="P1826" s="261"/>
      <c r="Q1826" s="261"/>
      <c r="R1826" s="261"/>
      <c r="S1826" s="261"/>
    </row>
    <row r="1827" spans="1:19">
      <c r="A1827" s="296"/>
      <c r="B1827" s="267" t="s">
        <v>90</v>
      </c>
      <c r="C1827" s="258"/>
      <c r="D1827" s="261"/>
      <c r="E1827" s="261"/>
      <c r="F1827" s="261"/>
      <c r="G1827" s="261"/>
      <c r="H1827" s="261"/>
      <c r="I1827" s="261"/>
      <c r="J1827" s="261"/>
      <c r="K1827" s="261"/>
      <c r="L1827" s="261"/>
      <c r="M1827" s="261"/>
      <c r="N1827" s="261"/>
      <c r="O1827" s="261"/>
      <c r="P1827" s="261"/>
      <c r="Q1827" s="261"/>
      <c r="R1827" s="261"/>
      <c r="S1827" s="261"/>
    </row>
    <row r="1828" spans="1:19">
      <c r="A1828" s="295">
        <v>46427</v>
      </c>
      <c r="B1828" s="259" t="s">
        <v>88</v>
      </c>
      <c r="C1828" s="258"/>
      <c r="D1828" s="261"/>
      <c r="E1828" s="261"/>
      <c r="F1828" s="261"/>
      <c r="G1828" s="261"/>
      <c r="H1828" s="261"/>
      <c r="I1828" s="261"/>
      <c r="J1828" s="261"/>
      <c r="K1828" s="261"/>
      <c r="L1828" s="261"/>
      <c r="M1828" s="261"/>
      <c r="N1828" s="261"/>
      <c r="O1828" s="261"/>
      <c r="P1828" s="261"/>
      <c r="Q1828" s="261"/>
      <c r="R1828" s="261"/>
      <c r="S1828" s="261"/>
    </row>
    <row r="1829" spans="1:19">
      <c r="A1829" s="295"/>
      <c r="B1829" s="259" t="s">
        <v>89</v>
      </c>
      <c r="C1829" s="258"/>
      <c r="D1829" s="261"/>
      <c r="E1829" s="261"/>
      <c r="F1829" s="261"/>
      <c r="G1829" s="261"/>
      <c r="H1829" s="261"/>
      <c r="I1829" s="261"/>
      <c r="J1829" s="261"/>
      <c r="K1829" s="261"/>
      <c r="L1829" s="261"/>
      <c r="M1829" s="261"/>
      <c r="N1829" s="261"/>
      <c r="O1829" s="261"/>
      <c r="P1829" s="261"/>
      <c r="Q1829" s="261"/>
      <c r="R1829" s="261"/>
      <c r="S1829" s="261"/>
    </row>
    <row r="1830" spans="1:19">
      <c r="A1830" s="296"/>
      <c r="B1830" s="267" t="s">
        <v>90</v>
      </c>
      <c r="C1830" s="258"/>
      <c r="D1830" s="261"/>
      <c r="E1830" s="261"/>
      <c r="F1830" s="261"/>
      <c r="G1830" s="261"/>
      <c r="H1830" s="261"/>
      <c r="I1830" s="261"/>
      <c r="J1830" s="261"/>
      <c r="K1830" s="261"/>
      <c r="L1830" s="261"/>
      <c r="M1830" s="261"/>
      <c r="N1830" s="261"/>
      <c r="O1830" s="261"/>
      <c r="P1830" s="261"/>
      <c r="Q1830" s="261"/>
      <c r="R1830" s="261"/>
      <c r="S1830" s="261"/>
    </row>
    <row r="1831" spans="1:19">
      <c r="A1831" s="295">
        <v>46428</v>
      </c>
      <c r="B1831" s="259" t="s">
        <v>88</v>
      </c>
      <c r="C1831" s="258"/>
      <c r="D1831" s="261"/>
      <c r="E1831" s="261"/>
      <c r="F1831" s="261"/>
      <c r="G1831" s="261"/>
      <c r="H1831" s="261"/>
      <c r="I1831" s="261"/>
      <c r="J1831" s="261"/>
      <c r="K1831" s="261"/>
      <c r="L1831" s="261"/>
      <c r="M1831" s="261"/>
      <c r="N1831" s="261"/>
      <c r="O1831" s="261"/>
      <c r="P1831" s="261"/>
      <c r="Q1831" s="261"/>
      <c r="R1831" s="261"/>
      <c r="S1831" s="261"/>
    </row>
    <row r="1832" spans="1:19">
      <c r="A1832" s="295"/>
      <c r="B1832" s="259" t="s">
        <v>89</v>
      </c>
      <c r="C1832" s="258"/>
      <c r="D1832" s="261"/>
      <c r="E1832" s="261"/>
      <c r="F1832" s="261"/>
      <c r="G1832" s="261"/>
      <c r="H1832" s="261"/>
      <c r="I1832" s="261"/>
      <c r="J1832" s="261"/>
      <c r="K1832" s="261"/>
      <c r="L1832" s="261"/>
      <c r="M1832" s="261"/>
      <c r="N1832" s="261"/>
      <c r="O1832" s="261"/>
      <c r="P1832" s="261"/>
      <c r="Q1832" s="261"/>
      <c r="R1832" s="261"/>
      <c r="S1832" s="261"/>
    </row>
    <row r="1833" spans="1:19">
      <c r="A1833" s="296"/>
      <c r="B1833" s="267" t="s">
        <v>90</v>
      </c>
      <c r="C1833" s="258"/>
      <c r="D1833" s="261"/>
      <c r="E1833" s="261"/>
      <c r="F1833" s="261"/>
      <c r="G1833" s="261"/>
      <c r="H1833" s="261"/>
      <c r="I1833" s="261"/>
      <c r="J1833" s="261"/>
      <c r="K1833" s="261"/>
      <c r="L1833" s="261"/>
      <c r="M1833" s="261"/>
      <c r="N1833" s="261"/>
      <c r="O1833" s="261"/>
      <c r="P1833" s="261"/>
      <c r="Q1833" s="261"/>
      <c r="R1833" s="261"/>
      <c r="S1833" s="261"/>
    </row>
    <row r="1834" spans="1:19">
      <c r="A1834" s="295">
        <v>46429</v>
      </c>
      <c r="B1834" s="259" t="s">
        <v>88</v>
      </c>
      <c r="C1834" s="258"/>
      <c r="D1834" s="261"/>
      <c r="E1834" s="261"/>
      <c r="F1834" s="261"/>
      <c r="G1834" s="261"/>
      <c r="H1834" s="261"/>
      <c r="I1834" s="261"/>
      <c r="J1834" s="261"/>
      <c r="K1834" s="261"/>
      <c r="L1834" s="261"/>
      <c r="M1834" s="261"/>
      <c r="N1834" s="261"/>
      <c r="O1834" s="261"/>
      <c r="P1834" s="261"/>
      <c r="Q1834" s="261"/>
      <c r="R1834" s="261"/>
      <c r="S1834" s="261"/>
    </row>
    <row r="1835" spans="1:19">
      <c r="A1835" s="295"/>
      <c r="B1835" s="259" t="s">
        <v>89</v>
      </c>
      <c r="C1835" s="258"/>
      <c r="D1835" s="261"/>
      <c r="E1835" s="261"/>
      <c r="F1835" s="261"/>
      <c r="G1835" s="261"/>
      <c r="H1835" s="261"/>
      <c r="I1835" s="261"/>
      <c r="J1835" s="261"/>
      <c r="K1835" s="261"/>
      <c r="L1835" s="261"/>
      <c r="M1835" s="261"/>
      <c r="N1835" s="261"/>
      <c r="O1835" s="261"/>
      <c r="P1835" s="261"/>
      <c r="Q1835" s="261"/>
      <c r="R1835" s="261"/>
      <c r="S1835" s="261"/>
    </row>
    <row r="1836" spans="1:19">
      <c r="A1836" s="296"/>
      <c r="B1836" s="267" t="s">
        <v>90</v>
      </c>
      <c r="C1836" s="258"/>
      <c r="D1836" s="261"/>
      <c r="E1836" s="261"/>
      <c r="F1836" s="261"/>
      <c r="G1836" s="261"/>
      <c r="H1836" s="261"/>
      <c r="I1836" s="261"/>
      <c r="J1836" s="261"/>
      <c r="K1836" s="261"/>
      <c r="L1836" s="261"/>
      <c r="M1836" s="261"/>
      <c r="N1836" s="261"/>
      <c r="O1836" s="261"/>
      <c r="P1836" s="261"/>
      <c r="Q1836" s="261"/>
      <c r="R1836" s="261"/>
      <c r="S1836" s="261"/>
    </row>
    <row r="1837" spans="1:19">
      <c r="A1837" s="295">
        <v>46430</v>
      </c>
      <c r="B1837" s="259" t="s">
        <v>88</v>
      </c>
      <c r="C1837" s="258"/>
      <c r="D1837" s="261"/>
      <c r="E1837" s="261"/>
      <c r="F1837" s="261"/>
      <c r="G1837" s="261"/>
      <c r="H1837" s="261"/>
      <c r="I1837" s="261"/>
      <c r="J1837" s="261"/>
      <c r="K1837" s="261"/>
      <c r="L1837" s="261"/>
      <c r="M1837" s="261"/>
      <c r="N1837" s="261"/>
      <c r="O1837" s="261"/>
      <c r="P1837" s="261"/>
      <c r="Q1837" s="261"/>
      <c r="R1837" s="261"/>
      <c r="S1837" s="261"/>
    </row>
    <row r="1838" spans="1:19">
      <c r="A1838" s="295"/>
      <c r="B1838" s="259" t="s">
        <v>89</v>
      </c>
      <c r="C1838" s="258"/>
      <c r="D1838" s="261"/>
      <c r="E1838" s="261"/>
      <c r="F1838" s="261"/>
      <c r="G1838" s="261"/>
      <c r="H1838" s="261"/>
      <c r="I1838" s="261"/>
      <c r="J1838" s="261"/>
      <c r="K1838" s="261"/>
      <c r="L1838" s="261"/>
      <c r="M1838" s="261"/>
      <c r="N1838" s="261"/>
      <c r="O1838" s="261"/>
      <c r="P1838" s="261"/>
      <c r="Q1838" s="261"/>
      <c r="R1838" s="261"/>
      <c r="S1838" s="261"/>
    </row>
    <row r="1839" spans="1:19">
      <c r="A1839" s="296"/>
      <c r="B1839" s="267" t="s">
        <v>90</v>
      </c>
      <c r="C1839" s="258"/>
      <c r="D1839" s="261"/>
      <c r="E1839" s="261"/>
      <c r="F1839" s="261"/>
      <c r="G1839" s="261"/>
      <c r="H1839" s="261"/>
      <c r="I1839" s="261"/>
      <c r="J1839" s="261"/>
      <c r="K1839" s="261"/>
      <c r="L1839" s="261"/>
      <c r="M1839" s="261"/>
      <c r="N1839" s="261"/>
      <c r="O1839" s="261"/>
      <c r="P1839" s="261"/>
      <c r="Q1839" s="261"/>
      <c r="R1839" s="261"/>
      <c r="S1839" s="261"/>
    </row>
    <row r="1840" spans="1:19">
      <c r="A1840" s="295">
        <v>46431</v>
      </c>
      <c r="B1840" s="259" t="s">
        <v>88</v>
      </c>
      <c r="C1840" s="258"/>
      <c r="D1840" s="261"/>
      <c r="E1840" s="261"/>
      <c r="F1840" s="261"/>
      <c r="G1840" s="261"/>
      <c r="H1840" s="261"/>
      <c r="I1840" s="261"/>
      <c r="J1840" s="261"/>
      <c r="K1840" s="261"/>
      <c r="L1840" s="261"/>
      <c r="M1840" s="261"/>
      <c r="N1840" s="261"/>
      <c r="O1840" s="261"/>
      <c r="P1840" s="261"/>
      <c r="Q1840" s="261"/>
      <c r="R1840" s="261"/>
      <c r="S1840" s="261"/>
    </row>
    <row r="1841" spans="1:19">
      <c r="A1841" s="295"/>
      <c r="B1841" s="259" t="s">
        <v>89</v>
      </c>
      <c r="C1841" s="258"/>
      <c r="D1841" s="261"/>
      <c r="E1841" s="261"/>
      <c r="F1841" s="261"/>
      <c r="G1841" s="261"/>
      <c r="H1841" s="261"/>
      <c r="I1841" s="261"/>
      <c r="J1841" s="261"/>
      <c r="K1841" s="261"/>
      <c r="L1841" s="261"/>
      <c r="M1841" s="261"/>
      <c r="N1841" s="261"/>
      <c r="O1841" s="261"/>
      <c r="P1841" s="261"/>
      <c r="Q1841" s="261"/>
      <c r="R1841" s="261"/>
      <c r="S1841" s="261"/>
    </row>
    <row r="1842" spans="1:19">
      <c r="A1842" s="296"/>
      <c r="B1842" s="267" t="s">
        <v>90</v>
      </c>
      <c r="C1842" s="258"/>
      <c r="D1842" s="261"/>
      <c r="E1842" s="261"/>
      <c r="F1842" s="261"/>
      <c r="G1842" s="261"/>
      <c r="H1842" s="261"/>
      <c r="I1842" s="261"/>
      <c r="J1842" s="261"/>
      <c r="K1842" s="261"/>
      <c r="L1842" s="261"/>
      <c r="M1842" s="261"/>
      <c r="N1842" s="261"/>
      <c r="O1842" s="261"/>
      <c r="P1842" s="261"/>
      <c r="Q1842" s="261"/>
      <c r="R1842" s="261"/>
      <c r="S1842" s="261"/>
    </row>
    <row r="1843" spans="1:19">
      <c r="A1843" s="295">
        <v>46432</v>
      </c>
      <c r="B1843" s="259" t="s">
        <v>88</v>
      </c>
      <c r="C1843" s="258"/>
      <c r="D1843" s="261"/>
      <c r="E1843" s="261"/>
      <c r="F1843" s="261"/>
      <c r="G1843" s="261"/>
      <c r="H1843" s="261"/>
      <c r="I1843" s="261"/>
      <c r="J1843" s="261"/>
      <c r="K1843" s="261"/>
      <c r="L1843" s="261"/>
      <c r="M1843" s="261"/>
      <c r="N1843" s="261"/>
      <c r="O1843" s="261"/>
      <c r="P1843" s="261"/>
      <c r="Q1843" s="261"/>
      <c r="R1843" s="261"/>
      <c r="S1843" s="261"/>
    </row>
    <row r="1844" spans="1:19">
      <c r="A1844" s="295"/>
      <c r="B1844" s="259" t="s">
        <v>89</v>
      </c>
      <c r="C1844" s="258"/>
      <c r="D1844" s="261"/>
      <c r="E1844" s="261"/>
      <c r="F1844" s="261"/>
      <c r="G1844" s="261"/>
      <c r="H1844" s="261"/>
      <c r="I1844" s="261"/>
      <c r="J1844" s="261"/>
      <c r="K1844" s="261"/>
      <c r="L1844" s="261"/>
      <c r="M1844" s="261"/>
      <c r="N1844" s="261"/>
      <c r="O1844" s="261"/>
      <c r="P1844" s="261"/>
      <c r="Q1844" s="261"/>
      <c r="R1844" s="261"/>
      <c r="S1844" s="261"/>
    </row>
    <row r="1845" spans="1:19">
      <c r="A1845" s="296"/>
      <c r="B1845" s="267" t="s">
        <v>90</v>
      </c>
      <c r="C1845" s="258"/>
      <c r="D1845" s="261"/>
      <c r="E1845" s="261"/>
      <c r="F1845" s="261"/>
      <c r="G1845" s="261"/>
      <c r="H1845" s="261"/>
      <c r="I1845" s="261"/>
      <c r="J1845" s="261"/>
      <c r="K1845" s="261"/>
      <c r="L1845" s="261"/>
      <c r="M1845" s="261"/>
      <c r="N1845" s="261"/>
      <c r="O1845" s="261"/>
      <c r="P1845" s="261"/>
      <c r="Q1845" s="261"/>
      <c r="R1845" s="261"/>
      <c r="S1845" s="261"/>
    </row>
    <row r="1846" spans="1:19">
      <c r="A1846" s="295">
        <v>46433</v>
      </c>
      <c r="B1846" s="259" t="s">
        <v>88</v>
      </c>
      <c r="C1846" s="258"/>
      <c r="D1846" s="261"/>
      <c r="E1846" s="261"/>
      <c r="F1846" s="261"/>
      <c r="G1846" s="261"/>
      <c r="H1846" s="261"/>
      <c r="I1846" s="261"/>
      <c r="J1846" s="261"/>
      <c r="K1846" s="261"/>
      <c r="L1846" s="261"/>
      <c r="M1846" s="261"/>
      <c r="N1846" s="261"/>
      <c r="O1846" s="261"/>
      <c r="P1846" s="261"/>
      <c r="Q1846" s="261"/>
      <c r="R1846" s="261"/>
      <c r="S1846" s="261"/>
    </row>
    <row r="1847" spans="1:19">
      <c r="A1847" s="295"/>
      <c r="B1847" s="259" t="s">
        <v>89</v>
      </c>
      <c r="C1847" s="258"/>
      <c r="D1847" s="261"/>
      <c r="E1847" s="261"/>
      <c r="F1847" s="261"/>
      <c r="G1847" s="261"/>
      <c r="H1847" s="261"/>
      <c r="I1847" s="261"/>
      <c r="J1847" s="261"/>
      <c r="K1847" s="261"/>
      <c r="L1847" s="261"/>
      <c r="M1847" s="261"/>
      <c r="N1847" s="261"/>
      <c r="O1847" s="261"/>
      <c r="P1847" s="261"/>
      <c r="Q1847" s="261"/>
      <c r="R1847" s="261"/>
      <c r="S1847" s="261"/>
    </row>
    <row r="1848" spans="1:19">
      <c r="A1848" s="296"/>
      <c r="B1848" s="267" t="s">
        <v>90</v>
      </c>
      <c r="C1848" s="258"/>
      <c r="D1848" s="261"/>
      <c r="E1848" s="261"/>
      <c r="F1848" s="261"/>
      <c r="G1848" s="261"/>
      <c r="H1848" s="261"/>
      <c r="I1848" s="261"/>
      <c r="J1848" s="261"/>
      <c r="K1848" s="261"/>
      <c r="L1848" s="261"/>
      <c r="M1848" s="261"/>
      <c r="N1848" s="261"/>
      <c r="O1848" s="261"/>
      <c r="P1848" s="261"/>
      <c r="Q1848" s="261"/>
      <c r="R1848" s="261"/>
      <c r="S1848" s="261"/>
    </row>
    <row r="1849" spans="1:19">
      <c r="A1849" s="295">
        <v>46434</v>
      </c>
      <c r="B1849" s="259" t="s">
        <v>88</v>
      </c>
      <c r="C1849" s="258"/>
      <c r="D1849" s="261"/>
      <c r="E1849" s="261"/>
      <c r="F1849" s="261"/>
      <c r="G1849" s="261"/>
      <c r="H1849" s="261"/>
      <c r="I1849" s="261"/>
      <c r="J1849" s="261"/>
      <c r="K1849" s="261"/>
      <c r="L1849" s="261"/>
      <c r="M1849" s="261"/>
      <c r="N1849" s="261"/>
      <c r="O1849" s="261"/>
      <c r="P1849" s="261"/>
      <c r="Q1849" s="261"/>
      <c r="R1849" s="261"/>
      <c r="S1849" s="261"/>
    </row>
    <row r="1850" spans="1:19">
      <c r="A1850" s="295"/>
      <c r="B1850" s="259" t="s">
        <v>89</v>
      </c>
      <c r="C1850" s="258"/>
      <c r="D1850" s="261"/>
      <c r="E1850" s="261"/>
      <c r="F1850" s="261"/>
      <c r="G1850" s="261"/>
      <c r="H1850" s="261"/>
      <c r="I1850" s="261"/>
      <c r="J1850" s="261"/>
      <c r="K1850" s="261"/>
      <c r="L1850" s="261"/>
      <c r="M1850" s="261"/>
      <c r="N1850" s="261"/>
      <c r="O1850" s="261"/>
      <c r="P1850" s="261"/>
      <c r="Q1850" s="261"/>
      <c r="R1850" s="261"/>
      <c r="S1850" s="261"/>
    </row>
    <row r="1851" spans="1:19">
      <c r="A1851" s="296"/>
      <c r="B1851" s="267" t="s">
        <v>90</v>
      </c>
      <c r="C1851" s="258"/>
      <c r="D1851" s="261"/>
      <c r="E1851" s="261"/>
      <c r="F1851" s="261"/>
      <c r="G1851" s="261"/>
      <c r="H1851" s="261"/>
      <c r="I1851" s="261"/>
      <c r="J1851" s="261"/>
      <c r="K1851" s="261"/>
      <c r="L1851" s="261"/>
      <c r="M1851" s="261"/>
      <c r="N1851" s="261"/>
      <c r="O1851" s="261"/>
      <c r="P1851" s="261"/>
      <c r="Q1851" s="261"/>
      <c r="R1851" s="261"/>
      <c r="S1851" s="261"/>
    </row>
    <row r="1852" spans="1:19">
      <c r="A1852" s="295">
        <v>46435</v>
      </c>
      <c r="B1852" s="259" t="s">
        <v>88</v>
      </c>
      <c r="C1852" s="258"/>
      <c r="D1852" s="261"/>
      <c r="E1852" s="261"/>
      <c r="F1852" s="261"/>
      <c r="G1852" s="261"/>
      <c r="H1852" s="261"/>
      <c r="I1852" s="261"/>
      <c r="J1852" s="261"/>
      <c r="K1852" s="261"/>
      <c r="L1852" s="261"/>
      <c r="M1852" s="261"/>
      <c r="N1852" s="261"/>
      <c r="O1852" s="261"/>
      <c r="P1852" s="261"/>
      <c r="Q1852" s="261"/>
      <c r="R1852" s="261"/>
      <c r="S1852" s="261"/>
    </row>
    <row r="1853" spans="1:19">
      <c r="A1853" s="295"/>
      <c r="B1853" s="259" t="s">
        <v>89</v>
      </c>
      <c r="C1853" s="258"/>
      <c r="D1853" s="261"/>
      <c r="E1853" s="261"/>
      <c r="F1853" s="261"/>
      <c r="G1853" s="261"/>
      <c r="H1853" s="261"/>
      <c r="I1853" s="261"/>
      <c r="J1853" s="261"/>
      <c r="K1853" s="261"/>
      <c r="L1853" s="261"/>
      <c r="M1853" s="261"/>
      <c r="N1853" s="261"/>
      <c r="O1853" s="261"/>
      <c r="P1853" s="261"/>
      <c r="Q1853" s="261"/>
      <c r="R1853" s="261"/>
      <c r="S1853" s="261"/>
    </row>
    <row r="1854" spans="1:19">
      <c r="A1854" s="296"/>
      <c r="B1854" s="267" t="s">
        <v>90</v>
      </c>
      <c r="C1854" s="258"/>
      <c r="D1854" s="261"/>
      <c r="E1854" s="261"/>
      <c r="F1854" s="261"/>
      <c r="G1854" s="261"/>
      <c r="H1854" s="261"/>
      <c r="I1854" s="261"/>
      <c r="J1854" s="261"/>
      <c r="K1854" s="261"/>
      <c r="L1854" s="261"/>
      <c r="M1854" s="261"/>
      <c r="N1854" s="261"/>
      <c r="O1854" s="261"/>
      <c r="P1854" s="261"/>
      <c r="Q1854" s="261"/>
      <c r="R1854" s="261"/>
      <c r="S1854" s="261"/>
    </row>
    <row r="1855" spans="1:19">
      <c r="A1855" s="295">
        <v>46436</v>
      </c>
      <c r="B1855" s="259" t="s">
        <v>88</v>
      </c>
      <c r="C1855" s="258"/>
      <c r="D1855" s="261"/>
      <c r="E1855" s="261"/>
      <c r="F1855" s="261"/>
      <c r="G1855" s="261"/>
      <c r="H1855" s="261"/>
      <c r="I1855" s="261"/>
      <c r="J1855" s="261"/>
      <c r="K1855" s="261"/>
      <c r="L1855" s="261"/>
      <c r="M1855" s="261"/>
      <c r="N1855" s="261"/>
      <c r="O1855" s="261"/>
      <c r="P1855" s="261"/>
      <c r="Q1855" s="261"/>
      <c r="R1855" s="261"/>
      <c r="S1855" s="261"/>
    </row>
    <row r="1856" spans="1:19">
      <c r="A1856" s="295"/>
      <c r="B1856" s="259" t="s">
        <v>89</v>
      </c>
      <c r="C1856" s="258"/>
      <c r="D1856" s="261"/>
      <c r="E1856" s="261"/>
      <c r="F1856" s="261"/>
      <c r="G1856" s="261"/>
      <c r="H1856" s="261"/>
      <c r="I1856" s="261"/>
      <c r="J1856" s="261"/>
      <c r="K1856" s="261"/>
      <c r="L1856" s="261"/>
      <c r="M1856" s="261"/>
      <c r="N1856" s="261"/>
      <c r="O1856" s="261"/>
      <c r="P1856" s="261"/>
      <c r="Q1856" s="261"/>
      <c r="R1856" s="261"/>
      <c r="S1856" s="261"/>
    </row>
    <row r="1857" spans="1:19">
      <c r="A1857" s="296"/>
      <c r="B1857" s="267" t="s">
        <v>90</v>
      </c>
      <c r="C1857" s="258"/>
      <c r="D1857" s="261"/>
      <c r="E1857" s="261"/>
      <c r="F1857" s="261"/>
      <c r="G1857" s="261"/>
      <c r="H1857" s="261"/>
      <c r="I1857" s="261"/>
      <c r="J1857" s="261"/>
      <c r="K1857" s="261"/>
      <c r="L1857" s="261"/>
      <c r="M1857" s="261"/>
      <c r="N1857" s="261"/>
      <c r="O1857" s="261"/>
      <c r="P1857" s="261"/>
      <c r="Q1857" s="261"/>
      <c r="R1857" s="261"/>
      <c r="S1857" s="261"/>
    </row>
    <row r="1858" spans="1:19">
      <c r="A1858" s="295">
        <v>46437</v>
      </c>
      <c r="B1858" s="259" t="s">
        <v>88</v>
      </c>
      <c r="C1858" s="258"/>
      <c r="D1858" s="261"/>
      <c r="E1858" s="261"/>
      <c r="F1858" s="261"/>
      <c r="G1858" s="261"/>
      <c r="H1858" s="261"/>
      <c r="I1858" s="261"/>
      <c r="J1858" s="261"/>
      <c r="K1858" s="261"/>
      <c r="L1858" s="261"/>
      <c r="M1858" s="261"/>
      <c r="N1858" s="261"/>
      <c r="O1858" s="261"/>
      <c r="P1858" s="261"/>
      <c r="Q1858" s="261"/>
      <c r="R1858" s="261"/>
      <c r="S1858" s="261"/>
    </row>
    <row r="1859" spans="1:19">
      <c r="A1859" s="295"/>
      <c r="B1859" s="259" t="s">
        <v>89</v>
      </c>
      <c r="C1859" s="258"/>
      <c r="D1859" s="261"/>
      <c r="E1859" s="261"/>
      <c r="F1859" s="261"/>
      <c r="G1859" s="261"/>
      <c r="H1859" s="261"/>
      <c r="I1859" s="261"/>
      <c r="J1859" s="261"/>
      <c r="K1859" s="261"/>
      <c r="L1859" s="261"/>
      <c r="M1859" s="261"/>
      <c r="N1859" s="261"/>
      <c r="O1859" s="261"/>
      <c r="P1859" s="261"/>
      <c r="Q1859" s="261"/>
      <c r="R1859" s="261"/>
      <c r="S1859" s="261"/>
    </row>
    <row r="1860" spans="1:19">
      <c r="A1860" s="296"/>
      <c r="B1860" s="267" t="s">
        <v>90</v>
      </c>
      <c r="C1860" s="258"/>
      <c r="D1860" s="261"/>
      <c r="E1860" s="261"/>
      <c r="F1860" s="261"/>
      <c r="G1860" s="261"/>
      <c r="H1860" s="261"/>
      <c r="I1860" s="261"/>
      <c r="J1860" s="261"/>
      <c r="K1860" s="261"/>
      <c r="L1860" s="261"/>
      <c r="M1860" s="261"/>
      <c r="N1860" s="261"/>
      <c r="O1860" s="261"/>
      <c r="P1860" s="261"/>
      <c r="Q1860" s="261"/>
      <c r="R1860" s="261"/>
      <c r="S1860" s="261"/>
    </row>
    <row r="1861" spans="1:19">
      <c r="A1861" s="295">
        <v>46438</v>
      </c>
      <c r="B1861" s="259" t="s">
        <v>88</v>
      </c>
      <c r="C1861" s="258"/>
      <c r="D1861" s="261"/>
      <c r="E1861" s="261"/>
      <c r="F1861" s="261"/>
      <c r="G1861" s="261"/>
      <c r="H1861" s="261"/>
      <c r="I1861" s="261"/>
      <c r="J1861" s="261"/>
      <c r="K1861" s="261"/>
      <c r="L1861" s="261"/>
      <c r="M1861" s="261"/>
      <c r="N1861" s="261"/>
      <c r="O1861" s="261"/>
      <c r="P1861" s="261"/>
      <c r="Q1861" s="261"/>
      <c r="R1861" s="261"/>
      <c r="S1861" s="261"/>
    </row>
    <row r="1862" spans="1:19">
      <c r="A1862" s="295"/>
      <c r="B1862" s="259" t="s">
        <v>89</v>
      </c>
      <c r="C1862" s="258"/>
      <c r="D1862" s="261"/>
      <c r="E1862" s="261"/>
      <c r="F1862" s="261"/>
      <c r="G1862" s="261"/>
      <c r="H1862" s="261"/>
      <c r="I1862" s="261"/>
      <c r="J1862" s="261"/>
      <c r="K1862" s="261"/>
      <c r="L1862" s="261"/>
      <c r="M1862" s="261"/>
      <c r="N1862" s="261"/>
      <c r="O1862" s="261"/>
      <c r="P1862" s="261"/>
      <c r="Q1862" s="261"/>
      <c r="R1862" s="261"/>
      <c r="S1862" s="261"/>
    </row>
    <row r="1863" spans="1:19">
      <c r="A1863" s="296"/>
      <c r="B1863" s="267" t="s">
        <v>90</v>
      </c>
      <c r="C1863" s="258"/>
      <c r="D1863" s="261"/>
      <c r="E1863" s="261"/>
      <c r="F1863" s="261"/>
      <c r="G1863" s="261"/>
      <c r="H1863" s="261"/>
      <c r="I1863" s="261"/>
      <c r="J1863" s="261"/>
      <c r="K1863" s="261"/>
      <c r="L1863" s="261"/>
      <c r="M1863" s="261"/>
      <c r="N1863" s="261"/>
      <c r="O1863" s="261"/>
      <c r="P1863" s="261"/>
      <c r="Q1863" s="261"/>
      <c r="R1863" s="261"/>
      <c r="S1863" s="261"/>
    </row>
    <row r="1864" spans="1:19">
      <c r="A1864" s="295">
        <v>46439</v>
      </c>
      <c r="B1864" s="259" t="s">
        <v>88</v>
      </c>
      <c r="C1864" s="258"/>
      <c r="D1864" s="261"/>
      <c r="E1864" s="261"/>
      <c r="F1864" s="261"/>
      <c r="G1864" s="261"/>
      <c r="H1864" s="261"/>
      <c r="I1864" s="261"/>
      <c r="J1864" s="261"/>
      <c r="K1864" s="261"/>
      <c r="L1864" s="261"/>
      <c r="M1864" s="261"/>
      <c r="N1864" s="261"/>
      <c r="O1864" s="261"/>
      <c r="P1864" s="261"/>
      <c r="Q1864" s="261"/>
      <c r="R1864" s="261"/>
      <c r="S1864" s="261"/>
    </row>
    <row r="1865" spans="1:19">
      <c r="A1865" s="295"/>
      <c r="B1865" s="259" t="s">
        <v>89</v>
      </c>
      <c r="C1865" s="258"/>
      <c r="D1865" s="261"/>
      <c r="E1865" s="261"/>
      <c r="F1865" s="261"/>
      <c r="G1865" s="261"/>
      <c r="H1865" s="261"/>
      <c r="I1865" s="261"/>
      <c r="J1865" s="261"/>
      <c r="K1865" s="261"/>
      <c r="L1865" s="261"/>
      <c r="M1865" s="261"/>
      <c r="N1865" s="261"/>
      <c r="O1865" s="261"/>
      <c r="P1865" s="261"/>
      <c r="Q1865" s="261"/>
      <c r="R1865" s="261"/>
      <c r="S1865" s="261"/>
    </row>
    <row r="1866" spans="1:19">
      <c r="A1866" s="296"/>
      <c r="B1866" s="267" t="s">
        <v>90</v>
      </c>
      <c r="C1866" s="258"/>
      <c r="D1866" s="261"/>
      <c r="E1866" s="261"/>
      <c r="F1866" s="261"/>
      <c r="G1866" s="261"/>
      <c r="H1866" s="261"/>
      <c r="I1866" s="261"/>
      <c r="J1866" s="261"/>
      <c r="K1866" s="261"/>
      <c r="L1866" s="261"/>
      <c r="M1866" s="261"/>
      <c r="N1866" s="261"/>
      <c r="O1866" s="261"/>
      <c r="P1866" s="261"/>
      <c r="Q1866" s="261"/>
      <c r="R1866" s="261"/>
      <c r="S1866" s="261"/>
    </row>
    <row r="1867" spans="1:19">
      <c r="A1867" s="295">
        <v>46440</v>
      </c>
      <c r="B1867" s="259" t="s">
        <v>88</v>
      </c>
      <c r="C1867" s="258"/>
      <c r="D1867" s="261"/>
      <c r="E1867" s="261"/>
      <c r="F1867" s="261"/>
      <c r="G1867" s="261"/>
      <c r="H1867" s="261"/>
      <c r="I1867" s="261"/>
      <c r="J1867" s="261"/>
      <c r="K1867" s="261"/>
      <c r="L1867" s="261"/>
      <c r="M1867" s="261"/>
      <c r="N1867" s="261"/>
      <c r="O1867" s="261"/>
      <c r="P1867" s="261"/>
      <c r="Q1867" s="261"/>
      <c r="R1867" s="261"/>
      <c r="S1867" s="261"/>
    </row>
    <row r="1868" spans="1:19">
      <c r="A1868" s="295"/>
      <c r="B1868" s="259" t="s">
        <v>89</v>
      </c>
      <c r="C1868" s="258"/>
      <c r="D1868" s="261"/>
      <c r="E1868" s="261"/>
      <c r="F1868" s="261"/>
      <c r="G1868" s="261"/>
      <c r="H1868" s="261"/>
      <c r="I1868" s="261"/>
      <c r="J1868" s="261"/>
      <c r="K1868" s="261"/>
      <c r="L1868" s="261"/>
      <c r="M1868" s="261"/>
      <c r="N1868" s="261"/>
      <c r="O1868" s="261"/>
      <c r="P1868" s="261"/>
      <c r="Q1868" s="261"/>
      <c r="R1868" s="261"/>
      <c r="S1868" s="261"/>
    </row>
    <row r="1869" spans="1:19">
      <c r="A1869" s="296"/>
      <c r="B1869" s="267" t="s">
        <v>90</v>
      </c>
      <c r="C1869" s="258"/>
      <c r="D1869" s="261"/>
      <c r="E1869" s="261"/>
      <c r="F1869" s="261"/>
      <c r="G1869" s="261"/>
      <c r="H1869" s="261"/>
      <c r="I1869" s="261"/>
      <c r="J1869" s="261"/>
      <c r="K1869" s="261"/>
      <c r="L1869" s="261"/>
      <c r="M1869" s="261"/>
      <c r="N1869" s="261"/>
      <c r="O1869" s="261"/>
      <c r="P1869" s="261"/>
      <c r="Q1869" s="261"/>
      <c r="R1869" s="261"/>
      <c r="S1869" s="261"/>
    </row>
    <row r="1870" spans="1:19">
      <c r="A1870" s="295">
        <v>46441</v>
      </c>
      <c r="B1870" s="259" t="s">
        <v>88</v>
      </c>
      <c r="C1870" s="258"/>
      <c r="D1870" s="261"/>
      <c r="E1870" s="261"/>
      <c r="F1870" s="261"/>
      <c r="G1870" s="261"/>
      <c r="H1870" s="261"/>
      <c r="I1870" s="261"/>
      <c r="J1870" s="261"/>
      <c r="K1870" s="261"/>
      <c r="L1870" s="261"/>
      <c r="M1870" s="261"/>
      <c r="N1870" s="261"/>
      <c r="O1870" s="261"/>
      <c r="P1870" s="261"/>
      <c r="Q1870" s="261"/>
      <c r="R1870" s="261"/>
      <c r="S1870" s="261"/>
    </row>
    <row r="1871" spans="1:19">
      <c r="A1871" s="295"/>
      <c r="B1871" s="259" t="s">
        <v>89</v>
      </c>
      <c r="C1871" s="258"/>
      <c r="D1871" s="261"/>
      <c r="E1871" s="261"/>
      <c r="F1871" s="261"/>
      <c r="G1871" s="261"/>
      <c r="H1871" s="261"/>
      <c r="I1871" s="261"/>
      <c r="J1871" s="261"/>
      <c r="K1871" s="261"/>
      <c r="L1871" s="261"/>
      <c r="M1871" s="261"/>
      <c r="N1871" s="261"/>
      <c r="O1871" s="261"/>
      <c r="P1871" s="261"/>
      <c r="Q1871" s="261"/>
      <c r="R1871" s="261"/>
      <c r="S1871" s="261"/>
    </row>
    <row r="1872" spans="1:19">
      <c r="A1872" s="296"/>
      <c r="B1872" s="267" t="s">
        <v>90</v>
      </c>
      <c r="C1872" s="258"/>
      <c r="D1872" s="261"/>
      <c r="E1872" s="261"/>
      <c r="F1872" s="261"/>
      <c r="G1872" s="261"/>
      <c r="H1872" s="261"/>
      <c r="I1872" s="261"/>
      <c r="J1872" s="261"/>
      <c r="K1872" s="261"/>
      <c r="L1872" s="261"/>
      <c r="M1872" s="261"/>
      <c r="N1872" s="261"/>
      <c r="O1872" s="261"/>
      <c r="P1872" s="261"/>
      <c r="Q1872" s="261"/>
      <c r="R1872" s="261"/>
      <c r="S1872" s="261"/>
    </row>
    <row r="1873" spans="1:19">
      <c r="A1873" s="295">
        <v>46442</v>
      </c>
      <c r="B1873" s="259" t="s">
        <v>88</v>
      </c>
      <c r="C1873" s="258"/>
      <c r="D1873" s="261"/>
      <c r="E1873" s="261"/>
      <c r="F1873" s="261"/>
      <c r="G1873" s="261"/>
      <c r="H1873" s="261"/>
      <c r="I1873" s="261"/>
      <c r="J1873" s="261"/>
      <c r="K1873" s="261"/>
      <c r="L1873" s="261"/>
      <c r="M1873" s="261"/>
      <c r="N1873" s="261"/>
      <c r="O1873" s="261"/>
      <c r="P1873" s="261"/>
      <c r="Q1873" s="261"/>
      <c r="R1873" s="261"/>
      <c r="S1873" s="261"/>
    </row>
    <row r="1874" spans="1:19">
      <c r="A1874" s="295"/>
      <c r="B1874" s="259" t="s">
        <v>89</v>
      </c>
      <c r="C1874" s="258"/>
      <c r="D1874" s="261"/>
      <c r="E1874" s="261"/>
      <c r="F1874" s="261"/>
      <c r="G1874" s="261"/>
      <c r="H1874" s="261"/>
      <c r="I1874" s="261"/>
      <c r="J1874" s="261"/>
      <c r="K1874" s="261"/>
      <c r="L1874" s="261"/>
      <c r="M1874" s="261"/>
      <c r="N1874" s="261"/>
      <c r="O1874" s="261"/>
      <c r="P1874" s="261"/>
      <c r="Q1874" s="261"/>
      <c r="R1874" s="261"/>
      <c r="S1874" s="261"/>
    </row>
    <row r="1875" spans="1:19">
      <c r="A1875" s="296"/>
      <c r="B1875" s="267" t="s">
        <v>90</v>
      </c>
      <c r="C1875" s="258"/>
      <c r="D1875" s="261"/>
      <c r="E1875" s="261"/>
      <c r="F1875" s="261"/>
      <c r="G1875" s="261"/>
      <c r="H1875" s="261"/>
      <c r="I1875" s="261"/>
      <c r="J1875" s="261"/>
      <c r="K1875" s="261"/>
      <c r="L1875" s="261"/>
      <c r="M1875" s="261"/>
      <c r="N1875" s="261"/>
      <c r="O1875" s="261"/>
      <c r="P1875" s="261"/>
      <c r="Q1875" s="261"/>
      <c r="R1875" s="261"/>
      <c r="S1875" s="261"/>
    </row>
    <row r="1876" spans="1:19">
      <c r="A1876" s="295">
        <v>46443</v>
      </c>
      <c r="B1876" s="259" t="s">
        <v>88</v>
      </c>
      <c r="C1876" s="258"/>
      <c r="D1876" s="261"/>
      <c r="E1876" s="261"/>
      <c r="F1876" s="261"/>
      <c r="G1876" s="261"/>
      <c r="H1876" s="261"/>
      <c r="I1876" s="261"/>
      <c r="J1876" s="261"/>
      <c r="K1876" s="261"/>
      <c r="L1876" s="261"/>
      <c r="M1876" s="261"/>
      <c r="N1876" s="261"/>
      <c r="O1876" s="261"/>
      <c r="P1876" s="261"/>
      <c r="Q1876" s="261"/>
      <c r="R1876" s="261"/>
      <c r="S1876" s="261"/>
    </row>
    <row r="1877" spans="1:19">
      <c r="A1877" s="295"/>
      <c r="B1877" s="259" t="s">
        <v>89</v>
      </c>
      <c r="C1877" s="258"/>
      <c r="D1877" s="261"/>
      <c r="E1877" s="261"/>
      <c r="F1877" s="261"/>
      <c r="G1877" s="261"/>
      <c r="H1877" s="261"/>
      <c r="I1877" s="261"/>
      <c r="J1877" s="261"/>
      <c r="K1877" s="261"/>
      <c r="L1877" s="261"/>
      <c r="M1877" s="261"/>
      <c r="N1877" s="261"/>
      <c r="O1877" s="261"/>
      <c r="P1877" s="261"/>
      <c r="Q1877" s="261"/>
      <c r="R1877" s="261"/>
      <c r="S1877" s="261"/>
    </row>
    <row r="1878" spans="1:19">
      <c r="A1878" s="296"/>
      <c r="B1878" s="267" t="s">
        <v>90</v>
      </c>
      <c r="C1878" s="258"/>
      <c r="D1878" s="261"/>
      <c r="E1878" s="261"/>
      <c r="F1878" s="261"/>
      <c r="G1878" s="261"/>
      <c r="H1878" s="261"/>
      <c r="I1878" s="261"/>
      <c r="J1878" s="261"/>
      <c r="K1878" s="261"/>
      <c r="L1878" s="261"/>
      <c r="M1878" s="261"/>
      <c r="N1878" s="261"/>
      <c r="O1878" s="261"/>
      <c r="P1878" s="261"/>
      <c r="Q1878" s="261"/>
      <c r="R1878" s="261"/>
      <c r="S1878" s="261"/>
    </row>
    <row r="1879" spans="1:19">
      <c r="A1879" s="295">
        <v>46444</v>
      </c>
      <c r="B1879" s="259" t="s">
        <v>88</v>
      </c>
      <c r="C1879" s="258"/>
      <c r="D1879" s="261"/>
      <c r="E1879" s="261"/>
      <c r="F1879" s="261"/>
      <c r="G1879" s="261"/>
      <c r="H1879" s="261"/>
      <c r="I1879" s="261"/>
      <c r="J1879" s="261"/>
      <c r="K1879" s="261"/>
      <c r="L1879" s="261"/>
      <c r="M1879" s="261"/>
      <c r="N1879" s="261"/>
      <c r="O1879" s="261"/>
      <c r="P1879" s="261"/>
      <c r="Q1879" s="261"/>
      <c r="R1879" s="261"/>
      <c r="S1879" s="261"/>
    </row>
    <row r="1880" spans="1:19">
      <c r="A1880" s="295"/>
      <c r="B1880" s="259" t="s">
        <v>89</v>
      </c>
      <c r="C1880" s="258"/>
      <c r="D1880" s="261"/>
      <c r="E1880" s="261"/>
      <c r="F1880" s="261"/>
      <c r="G1880" s="261"/>
      <c r="H1880" s="261"/>
      <c r="I1880" s="261"/>
      <c r="J1880" s="261"/>
      <c r="K1880" s="261"/>
      <c r="L1880" s="261"/>
      <c r="M1880" s="261"/>
      <c r="N1880" s="261"/>
      <c r="O1880" s="261"/>
      <c r="P1880" s="261"/>
      <c r="Q1880" s="261"/>
      <c r="R1880" s="261"/>
      <c r="S1880" s="261"/>
    </row>
    <row r="1881" spans="1:19">
      <c r="A1881" s="296"/>
      <c r="B1881" s="267" t="s">
        <v>90</v>
      </c>
      <c r="C1881" s="258"/>
      <c r="D1881" s="261"/>
      <c r="E1881" s="261"/>
      <c r="F1881" s="261"/>
      <c r="G1881" s="261"/>
      <c r="H1881" s="261"/>
      <c r="I1881" s="261"/>
      <c r="J1881" s="261"/>
      <c r="K1881" s="261"/>
      <c r="L1881" s="261"/>
      <c r="M1881" s="261"/>
      <c r="N1881" s="261"/>
      <c r="O1881" s="261"/>
      <c r="P1881" s="261"/>
      <c r="Q1881" s="261"/>
      <c r="R1881" s="261"/>
      <c r="S1881" s="261"/>
    </row>
    <row r="1882" spans="1:19">
      <c r="A1882" s="295">
        <v>46445</v>
      </c>
      <c r="B1882" s="259" t="s">
        <v>88</v>
      </c>
      <c r="C1882" s="258"/>
      <c r="D1882" s="261"/>
      <c r="E1882" s="261"/>
      <c r="F1882" s="261"/>
      <c r="G1882" s="261"/>
      <c r="H1882" s="261"/>
      <c r="I1882" s="261"/>
      <c r="J1882" s="261"/>
      <c r="K1882" s="261"/>
      <c r="L1882" s="261"/>
      <c r="M1882" s="261"/>
      <c r="N1882" s="261"/>
      <c r="O1882" s="261"/>
      <c r="P1882" s="261"/>
      <c r="Q1882" s="261"/>
      <c r="R1882" s="261"/>
      <c r="S1882" s="261"/>
    </row>
    <row r="1883" spans="1:19">
      <c r="A1883" s="295"/>
      <c r="B1883" s="259" t="s">
        <v>89</v>
      </c>
      <c r="C1883" s="258"/>
      <c r="D1883" s="261"/>
      <c r="E1883" s="261"/>
      <c r="F1883" s="261"/>
      <c r="G1883" s="261"/>
      <c r="H1883" s="261"/>
      <c r="I1883" s="261"/>
      <c r="J1883" s="261"/>
      <c r="K1883" s="261"/>
      <c r="L1883" s="261"/>
      <c r="M1883" s="261"/>
      <c r="N1883" s="261"/>
      <c r="O1883" s="261"/>
      <c r="P1883" s="261"/>
      <c r="Q1883" s="261"/>
      <c r="R1883" s="261"/>
      <c r="S1883" s="261"/>
    </row>
    <row r="1884" spans="1:19">
      <c r="A1884" s="296"/>
      <c r="B1884" s="267" t="s">
        <v>90</v>
      </c>
      <c r="C1884" s="258"/>
      <c r="D1884" s="261"/>
      <c r="E1884" s="261"/>
      <c r="F1884" s="261"/>
      <c r="G1884" s="261"/>
      <c r="H1884" s="261"/>
      <c r="I1884" s="261"/>
      <c r="J1884" s="261"/>
      <c r="K1884" s="261"/>
      <c r="L1884" s="261"/>
      <c r="M1884" s="261"/>
      <c r="N1884" s="261"/>
      <c r="O1884" s="261"/>
      <c r="P1884" s="261"/>
      <c r="Q1884" s="261"/>
      <c r="R1884" s="261"/>
      <c r="S1884" s="261"/>
    </row>
    <row r="1885" spans="1:19">
      <c r="A1885" s="295">
        <v>46446</v>
      </c>
      <c r="B1885" s="259" t="s">
        <v>88</v>
      </c>
      <c r="C1885" s="258"/>
      <c r="D1885" s="261"/>
      <c r="E1885" s="261"/>
      <c r="F1885" s="261"/>
      <c r="G1885" s="261"/>
      <c r="H1885" s="261"/>
      <c r="I1885" s="261"/>
      <c r="J1885" s="261"/>
      <c r="K1885" s="261"/>
      <c r="L1885" s="261"/>
      <c r="M1885" s="261"/>
      <c r="N1885" s="261"/>
      <c r="O1885" s="261"/>
      <c r="P1885" s="261"/>
      <c r="Q1885" s="261"/>
      <c r="R1885" s="261"/>
      <c r="S1885" s="261"/>
    </row>
    <row r="1886" spans="1:19">
      <c r="A1886" s="295"/>
      <c r="B1886" s="259" t="s">
        <v>89</v>
      </c>
      <c r="C1886" s="258"/>
      <c r="D1886" s="261"/>
      <c r="E1886" s="261"/>
      <c r="F1886" s="261"/>
      <c r="G1886" s="261"/>
      <c r="H1886" s="261"/>
      <c r="I1886" s="261"/>
      <c r="J1886" s="261"/>
      <c r="K1886" s="261"/>
      <c r="L1886" s="261"/>
      <c r="M1886" s="261"/>
      <c r="N1886" s="261"/>
      <c r="O1886" s="261"/>
      <c r="P1886" s="261"/>
      <c r="Q1886" s="261"/>
      <c r="R1886" s="261"/>
      <c r="S1886" s="261"/>
    </row>
    <row r="1887" spans="1:19">
      <c r="A1887" s="296"/>
      <c r="B1887" s="267" t="s">
        <v>90</v>
      </c>
      <c r="C1887" s="258"/>
      <c r="D1887" s="261"/>
      <c r="E1887" s="261"/>
      <c r="F1887" s="261"/>
      <c r="G1887" s="261"/>
      <c r="H1887" s="261"/>
      <c r="I1887" s="261"/>
      <c r="J1887" s="261"/>
      <c r="K1887" s="261"/>
      <c r="L1887" s="261"/>
      <c r="M1887" s="261"/>
      <c r="N1887" s="261"/>
      <c r="O1887" s="261"/>
      <c r="P1887" s="261"/>
      <c r="Q1887" s="261"/>
      <c r="R1887" s="261"/>
      <c r="S1887" s="261"/>
    </row>
    <row r="1888" spans="1:19">
      <c r="A1888" s="295">
        <v>46447</v>
      </c>
      <c r="B1888" s="259" t="s">
        <v>88</v>
      </c>
      <c r="C1888" s="258"/>
      <c r="D1888" s="261"/>
      <c r="E1888" s="261"/>
      <c r="F1888" s="261"/>
      <c r="G1888" s="261"/>
      <c r="H1888" s="261"/>
      <c r="I1888" s="261"/>
      <c r="J1888" s="261"/>
      <c r="K1888" s="261"/>
      <c r="L1888" s="261"/>
      <c r="M1888" s="261"/>
      <c r="N1888" s="261"/>
      <c r="O1888" s="261"/>
      <c r="P1888" s="261"/>
      <c r="Q1888" s="261"/>
      <c r="R1888" s="261"/>
      <c r="S1888" s="261"/>
    </row>
    <row r="1889" spans="1:19">
      <c r="A1889" s="295"/>
      <c r="B1889" s="259" t="s">
        <v>89</v>
      </c>
      <c r="C1889" s="258"/>
      <c r="D1889" s="261"/>
      <c r="E1889" s="261"/>
      <c r="F1889" s="261"/>
      <c r="G1889" s="261"/>
      <c r="H1889" s="261"/>
      <c r="I1889" s="261"/>
      <c r="J1889" s="261"/>
      <c r="K1889" s="261"/>
      <c r="L1889" s="261"/>
      <c r="M1889" s="261"/>
      <c r="N1889" s="261"/>
      <c r="O1889" s="261"/>
      <c r="P1889" s="261"/>
      <c r="Q1889" s="261"/>
      <c r="R1889" s="261"/>
      <c r="S1889" s="261"/>
    </row>
    <row r="1890" spans="1:19">
      <c r="A1890" s="296"/>
      <c r="B1890" s="267" t="s">
        <v>90</v>
      </c>
      <c r="C1890" s="258"/>
      <c r="D1890" s="261"/>
      <c r="E1890" s="261"/>
      <c r="F1890" s="261"/>
      <c r="G1890" s="261"/>
      <c r="H1890" s="261"/>
      <c r="I1890" s="261"/>
      <c r="J1890" s="261"/>
      <c r="K1890" s="261"/>
      <c r="L1890" s="261"/>
      <c r="M1890" s="261"/>
      <c r="N1890" s="261"/>
      <c r="O1890" s="261"/>
      <c r="P1890" s="261"/>
      <c r="Q1890" s="261"/>
      <c r="R1890" s="261"/>
      <c r="S1890" s="261"/>
    </row>
    <row r="1891" spans="1:19">
      <c r="A1891" s="295">
        <v>46448</v>
      </c>
      <c r="B1891" s="259" t="s">
        <v>88</v>
      </c>
      <c r="C1891" s="258"/>
      <c r="D1891" s="261"/>
      <c r="E1891" s="261"/>
      <c r="F1891" s="261"/>
      <c r="G1891" s="261"/>
      <c r="H1891" s="261"/>
      <c r="I1891" s="261"/>
      <c r="J1891" s="261"/>
      <c r="K1891" s="261"/>
      <c r="L1891" s="261"/>
      <c r="M1891" s="261"/>
      <c r="N1891" s="261"/>
      <c r="O1891" s="261"/>
      <c r="P1891" s="261"/>
      <c r="Q1891" s="261"/>
      <c r="R1891" s="261"/>
      <c r="S1891" s="261"/>
    </row>
    <row r="1892" spans="1:19">
      <c r="A1892" s="295"/>
      <c r="B1892" s="259" t="s">
        <v>89</v>
      </c>
      <c r="C1892" s="258"/>
      <c r="D1892" s="261"/>
      <c r="E1892" s="261"/>
      <c r="F1892" s="261"/>
      <c r="G1892" s="261"/>
      <c r="H1892" s="261"/>
      <c r="I1892" s="261"/>
      <c r="J1892" s="261"/>
      <c r="K1892" s="261"/>
      <c r="L1892" s="261"/>
      <c r="M1892" s="261"/>
      <c r="N1892" s="261"/>
      <c r="O1892" s="261"/>
      <c r="P1892" s="261"/>
      <c r="Q1892" s="261"/>
      <c r="R1892" s="261"/>
      <c r="S1892" s="261"/>
    </row>
    <row r="1893" spans="1:19">
      <c r="A1893" s="296"/>
      <c r="B1893" s="267" t="s">
        <v>90</v>
      </c>
      <c r="C1893" s="258"/>
      <c r="D1893" s="261"/>
      <c r="E1893" s="261"/>
      <c r="F1893" s="261"/>
      <c r="G1893" s="261"/>
      <c r="H1893" s="261"/>
      <c r="I1893" s="261"/>
      <c r="J1893" s="261"/>
      <c r="K1893" s="261"/>
      <c r="L1893" s="261"/>
      <c r="M1893" s="261"/>
      <c r="N1893" s="261"/>
      <c r="O1893" s="261"/>
      <c r="P1893" s="261"/>
      <c r="Q1893" s="261"/>
      <c r="R1893" s="261"/>
      <c r="S1893" s="261"/>
    </row>
    <row r="1894" spans="1:19">
      <c r="A1894" s="295">
        <v>46449</v>
      </c>
      <c r="B1894" s="259" t="s">
        <v>88</v>
      </c>
      <c r="C1894" s="258"/>
      <c r="D1894" s="261"/>
      <c r="E1894" s="261"/>
      <c r="F1894" s="261"/>
      <c r="G1894" s="261"/>
      <c r="H1894" s="261"/>
      <c r="I1894" s="261"/>
      <c r="J1894" s="261"/>
      <c r="K1894" s="261"/>
      <c r="L1894" s="261"/>
      <c r="M1894" s="261"/>
      <c r="N1894" s="261"/>
      <c r="O1894" s="261"/>
      <c r="P1894" s="261"/>
      <c r="Q1894" s="261"/>
      <c r="R1894" s="261"/>
      <c r="S1894" s="261"/>
    </row>
    <row r="1895" spans="1:19">
      <c r="A1895" s="295"/>
      <c r="B1895" s="259" t="s">
        <v>89</v>
      </c>
      <c r="C1895" s="258"/>
      <c r="D1895" s="261"/>
      <c r="E1895" s="261"/>
      <c r="F1895" s="261"/>
      <c r="G1895" s="261"/>
      <c r="H1895" s="261"/>
      <c r="I1895" s="261"/>
      <c r="J1895" s="261"/>
      <c r="K1895" s="261"/>
      <c r="L1895" s="261"/>
      <c r="M1895" s="261"/>
      <c r="N1895" s="261"/>
      <c r="O1895" s="261"/>
      <c r="P1895" s="261"/>
      <c r="Q1895" s="261"/>
      <c r="R1895" s="261"/>
      <c r="S1895" s="261"/>
    </row>
    <row r="1896" spans="1:19">
      <c r="A1896" s="296"/>
      <c r="B1896" s="267" t="s">
        <v>90</v>
      </c>
      <c r="C1896" s="258"/>
      <c r="D1896" s="261"/>
      <c r="E1896" s="261"/>
      <c r="F1896" s="261"/>
      <c r="G1896" s="261"/>
      <c r="H1896" s="261"/>
      <c r="I1896" s="261"/>
      <c r="J1896" s="261"/>
      <c r="K1896" s="261"/>
      <c r="L1896" s="261"/>
      <c r="M1896" s="261"/>
      <c r="N1896" s="261"/>
      <c r="O1896" s="261"/>
      <c r="P1896" s="261"/>
      <c r="Q1896" s="261"/>
      <c r="R1896" s="261"/>
      <c r="S1896" s="261"/>
    </row>
    <row r="1897" spans="1:19">
      <c r="A1897" s="295">
        <v>46450</v>
      </c>
      <c r="B1897" s="259" t="s">
        <v>88</v>
      </c>
      <c r="C1897" s="258"/>
      <c r="D1897" s="261"/>
      <c r="E1897" s="261"/>
      <c r="F1897" s="261"/>
      <c r="G1897" s="261"/>
      <c r="H1897" s="261"/>
      <c r="I1897" s="261"/>
      <c r="J1897" s="261"/>
      <c r="K1897" s="261"/>
      <c r="L1897" s="261"/>
      <c r="M1897" s="261"/>
      <c r="N1897" s="261"/>
      <c r="O1897" s="261"/>
      <c r="P1897" s="261"/>
      <c r="Q1897" s="261"/>
      <c r="R1897" s="261"/>
      <c r="S1897" s="261"/>
    </row>
    <row r="1898" spans="1:19">
      <c r="A1898" s="295"/>
      <c r="B1898" s="259" t="s">
        <v>89</v>
      </c>
      <c r="C1898" s="258"/>
      <c r="D1898" s="261"/>
      <c r="E1898" s="261"/>
      <c r="F1898" s="261"/>
      <c r="G1898" s="261"/>
      <c r="H1898" s="261"/>
      <c r="I1898" s="261"/>
      <c r="J1898" s="261"/>
      <c r="K1898" s="261"/>
      <c r="L1898" s="261"/>
      <c r="M1898" s="261"/>
      <c r="N1898" s="261"/>
      <c r="O1898" s="261"/>
      <c r="P1898" s="261"/>
      <c r="Q1898" s="261"/>
      <c r="R1898" s="261"/>
      <c r="S1898" s="261"/>
    </row>
    <row r="1899" spans="1:19">
      <c r="A1899" s="296"/>
      <c r="B1899" s="267" t="s">
        <v>90</v>
      </c>
      <c r="C1899" s="258"/>
      <c r="D1899" s="261"/>
      <c r="E1899" s="261"/>
      <c r="F1899" s="261"/>
      <c r="G1899" s="261"/>
      <c r="H1899" s="261"/>
      <c r="I1899" s="261"/>
      <c r="J1899" s="261"/>
      <c r="K1899" s="261"/>
      <c r="L1899" s="261"/>
      <c r="M1899" s="261"/>
      <c r="N1899" s="261"/>
      <c r="O1899" s="261"/>
      <c r="P1899" s="261"/>
      <c r="Q1899" s="261"/>
      <c r="R1899" s="261"/>
      <c r="S1899" s="261"/>
    </row>
    <row r="1900" spans="1:19">
      <c r="A1900" s="295">
        <v>46451</v>
      </c>
      <c r="B1900" s="259" t="s">
        <v>88</v>
      </c>
      <c r="C1900" s="258"/>
      <c r="D1900" s="261"/>
      <c r="E1900" s="261"/>
      <c r="F1900" s="261"/>
      <c r="G1900" s="261"/>
      <c r="H1900" s="261"/>
      <c r="I1900" s="261"/>
      <c r="J1900" s="261"/>
      <c r="K1900" s="261"/>
      <c r="L1900" s="261"/>
      <c r="M1900" s="261"/>
      <c r="N1900" s="261"/>
      <c r="O1900" s="261"/>
      <c r="P1900" s="261"/>
      <c r="Q1900" s="261"/>
      <c r="R1900" s="261"/>
      <c r="S1900" s="261"/>
    </row>
    <row r="1901" spans="1:19">
      <c r="A1901" s="295"/>
      <c r="B1901" s="259" t="s">
        <v>89</v>
      </c>
      <c r="C1901" s="258"/>
      <c r="D1901" s="261"/>
      <c r="E1901" s="261"/>
      <c r="F1901" s="261"/>
      <c r="G1901" s="261"/>
      <c r="H1901" s="261"/>
      <c r="I1901" s="261"/>
      <c r="J1901" s="261"/>
      <c r="K1901" s="261"/>
      <c r="L1901" s="261"/>
      <c r="M1901" s="261"/>
      <c r="N1901" s="261"/>
      <c r="O1901" s="261"/>
      <c r="P1901" s="261"/>
      <c r="Q1901" s="261"/>
      <c r="R1901" s="261"/>
      <c r="S1901" s="261"/>
    </row>
    <row r="1902" spans="1:19">
      <c r="A1902" s="296"/>
      <c r="B1902" s="267" t="s">
        <v>90</v>
      </c>
      <c r="C1902" s="258"/>
      <c r="D1902" s="261"/>
      <c r="E1902" s="261"/>
      <c r="F1902" s="261"/>
      <c r="G1902" s="261"/>
      <c r="H1902" s="261"/>
      <c r="I1902" s="261"/>
      <c r="J1902" s="261"/>
      <c r="K1902" s="261"/>
      <c r="L1902" s="261"/>
      <c r="M1902" s="261"/>
      <c r="N1902" s="261"/>
      <c r="O1902" s="261"/>
      <c r="P1902" s="261"/>
      <c r="Q1902" s="261"/>
      <c r="R1902" s="261"/>
      <c r="S1902" s="261"/>
    </row>
    <row r="1903" spans="1:19">
      <c r="A1903" s="295">
        <v>46452</v>
      </c>
      <c r="B1903" s="259" t="s">
        <v>88</v>
      </c>
      <c r="C1903" s="258"/>
      <c r="D1903" s="261"/>
      <c r="E1903" s="261"/>
      <c r="F1903" s="261"/>
      <c r="G1903" s="261"/>
      <c r="H1903" s="261"/>
      <c r="I1903" s="261"/>
      <c r="J1903" s="261"/>
      <c r="K1903" s="261"/>
      <c r="L1903" s="261"/>
      <c r="M1903" s="261"/>
      <c r="N1903" s="261"/>
      <c r="O1903" s="261"/>
      <c r="P1903" s="261"/>
      <c r="Q1903" s="261"/>
      <c r="R1903" s="261"/>
      <c r="S1903" s="261"/>
    </row>
    <row r="1904" spans="1:19">
      <c r="A1904" s="295"/>
      <c r="B1904" s="259" t="s">
        <v>89</v>
      </c>
      <c r="C1904" s="258"/>
      <c r="D1904" s="261"/>
      <c r="E1904" s="261"/>
      <c r="F1904" s="261"/>
      <c r="G1904" s="261"/>
      <c r="H1904" s="261"/>
      <c r="I1904" s="261"/>
      <c r="J1904" s="261"/>
      <c r="K1904" s="261"/>
      <c r="L1904" s="261"/>
      <c r="M1904" s="261"/>
      <c r="N1904" s="261"/>
      <c r="O1904" s="261"/>
      <c r="P1904" s="261"/>
      <c r="Q1904" s="261"/>
      <c r="R1904" s="261"/>
      <c r="S1904" s="261"/>
    </row>
    <row r="1905" spans="1:19">
      <c r="A1905" s="296"/>
      <c r="B1905" s="267" t="s">
        <v>90</v>
      </c>
      <c r="C1905" s="258"/>
      <c r="D1905" s="261"/>
      <c r="E1905" s="261"/>
      <c r="F1905" s="261"/>
      <c r="G1905" s="261"/>
      <c r="H1905" s="261"/>
      <c r="I1905" s="261"/>
      <c r="J1905" s="261"/>
      <c r="K1905" s="261"/>
      <c r="L1905" s="261"/>
      <c r="M1905" s="261"/>
      <c r="N1905" s="261"/>
      <c r="O1905" s="261"/>
      <c r="P1905" s="261"/>
      <c r="Q1905" s="261"/>
      <c r="R1905" s="261"/>
      <c r="S1905" s="261"/>
    </row>
    <row r="1906" spans="1:19">
      <c r="A1906" s="295">
        <v>46453</v>
      </c>
      <c r="B1906" s="259" t="s">
        <v>88</v>
      </c>
      <c r="C1906" s="258"/>
      <c r="D1906" s="261"/>
      <c r="E1906" s="261"/>
      <c r="F1906" s="261"/>
      <c r="G1906" s="261"/>
      <c r="H1906" s="261"/>
      <c r="I1906" s="261"/>
      <c r="J1906" s="261"/>
      <c r="K1906" s="261"/>
      <c r="L1906" s="261"/>
      <c r="M1906" s="261"/>
      <c r="N1906" s="261"/>
      <c r="O1906" s="261"/>
      <c r="P1906" s="261"/>
      <c r="Q1906" s="261"/>
      <c r="R1906" s="261"/>
      <c r="S1906" s="261"/>
    </row>
    <row r="1907" spans="1:19">
      <c r="A1907" s="295"/>
      <c r="B1907" s="259" t="s">
        <v>89</v>
      </c>
      <c r="C1907" s="258"/>
      <c r="D1907" s="261"/>
      <c r="E1907" s="261"/>
      <c r="F1907" s="261"/>
      <c r="G1907" s="261"/>
      <c r="H1907" s="261"/>
      <c r="I1907" s="261"/>
      <c r="J1907" s="261"/>
      <c r="K1907" s="261"/>
      <c r="L1907" s="261"/>
      <c r="M1907" s="261"/>
      <c r="N1907" s="261"/>
      <c r="O1907" s="261"/>
      <c r="P1907" s="261"/>
      <c r="Q1907" s="261"/>
      <c r="R1907" s="261"/>
      <c r="S1907" s="261"/>
    </row>
    <row r="1908" spans="1:19">
      <c r="A1908" s="296"/>
      <c r="B1908" s="267" t="s">
        <v>90</v>
      </c>
      <c r="C1908" s="258"/>
      <c r="D1908" s="261"/>
      <c r="E1908" s="261"/>
      <c r="F1908" s="261"/>
      <c r="G1908" s="261"/>
      <c r="H1908" s="261"/>
      <c r="I1908" s="261"/>
      <c r="J1908" s="261"/>
      <c r="K1908" s="261"/>
      <c r="L1908" s="261"/>
      <c r="M1908" s="261"/>
      <c r="N1908" s="261"/>
      <c r="O1908" s="261"/>
      <c r="P1908" s="261"/>
      <c r="Q1908" s="261"/>
      <c r="R1908" s="261"/>
      <c r="S1908" s="261"/>
    </row>
    <row r="1909" spans="1:19">
      <c r="A1909" s="295">
        <v>46454</v>
      </c>
      <c r="B1909" s="259" t="s">
        <v>88</v>
      </c>
      <c r="C1909" s="258"/>
      <c r="D1909" s="261"/>
      <c r="E1909" s="261"/>
      <c r="F1909" s="261"/>
      <c r="G1909" s="261"/>
      <c r="H1909" s="261"/>
      <c r="I1909" s="261"/>
      <c r="J1909" s="261"/>
      <c r="K1909" s="261"/>
      <c r="L1909" s="261"/>
      <c r="M1909" s="261"/>
      <c r="N1909" s="261"/>
      <c r="O1909" s="261"/>
      <c r="P1909" s="261"/>
      <c r="Q1909" s="261"/>
      <c r="R1909" s="261"/>
      <c r="S1909" s="261"/>
    </row>
    <row r="1910" spans="1:19">
      <c r="A1910" s="295"/>
      <c r="B1910" s="259" t="s">
        <v>89</v>
      </c>
      <c r="C1910" s="258"/>
      <c r="D1910" s="261"/>
      <c r="E1910" s="261"/>
      <c r="F1910" s="261"/>
      <c r="G1910" s="261"/>
      <c r="H1910" s="261"/>
      <c r="I1910" s="261"/>
      <c r="J1910" s="261"/>
      <c r="K1910" s="261"/>
      <c r="L1910" s="261"/>
      <c r="M1910" s="261"/>
      <c r="N1910" s="261"/>
      <c r="O1910" s="261"/>
      <c r="P1910" s="261"/>
      <c r="Q1910" s="261"/>
      <c r="R1910" s="261"/>
      <c r="S1910" s="261"/>
    </row>
    <row r="1911" spans="1:19">
      <c r="A1911" s="296"/>
      <c r="B1911" s="267" t="s">
        <v>90</v>
      </c>
      <c r="C1911" s="258"/>
      <c r="D1911" s="261"/>
      <c r="E1911" s="261"/>
      <c r="F1911" s="261"/>
      <c r="G1911" s="261"/>
      <c r="H1911" s="261"/>
      <c r="I1911" s="261"/>
      <c r="J1911" s="261"/>
      <c r="K1911" s="261"/>
      <c r="L1911" s="261"/>
      <c r="M1911" s="261"/>
      <c r="N1911" s="261"/>
      <c r="O1911" s="261"/>
      <c r="P1911" s="261"/>
      <c r="Q1911" s="261"/>
      <c r="R1911" s="261"/>
      <c r="S1911" s="261"/>
    </row>
    <row r="1912" spans="1:19">
      <c r="A1912" s="295">
        <v>46455</v>
      </c>
      <c r="B1912" s="259" t="s">
        <v>88</v>
      </c>
      <c r="C1912" s="258"/>
      <c r="D1912" s="261"/>
      <c r="E1912" s="261"/>
      <c r="F1912" s="261"/>
      <c r="G1912" s="261"/>
      <c r="H1912" s="261"/>
      <c r="I1912" s="261"/>
      <c r="J1912" s="261"/>
      <c r="K1912" s="261"/>
      <c r="L1912" s="261"/>
      <c r="M1912" s="261"/>
      <c r="N1912" s="261"/>
      <c r="O1912" s="261"/>
      <c r="P1912" s="261"/>
      <c r="Q1912" s="261"/>
      <c r="R1912" s="261"/>
      <c r="S1912" s="261"/>
    </row>
    <row r="1913" spans="1:19">
      <c r="A1913" s="295"/>
      <c r="B1913" s="259" t="s">
        <v>89</v>
      </c>
      <c r="C1913" s="258"/>
      <c r="D1913" s="261"/>
      <c r="E1913" s="261"/>
      <c r="F1913" s="261"/>
      <c r="G1913" s="261"/>
      <c r="H1913" s="261"/>
      <c r="I1913" s="261"/>
      <c r="J1913" s="261"/>
      <c r="K1913" s="261"/>
      <c r="L1913" s="261"/>
      <c r="M1913" s="261"/>
      <c r="N1913" s="261"/>
      <c r="O1913" s="261"/>
      <c r="P1913" s="261"/>
      <c r="Q1913" s="261"/>
      <c r="R1913" s="261"/>
      <c r="S1913" s="261"/>
    </row>
    <row r="1914" spans="1:19">
      <c r="A1914" s="296"/>
      <c r="B1914" s="267" t="s">
        <v>90</v>
      </c>
      <c r="C1914" s="258"/>
      <c r="D1914" s="261"/>
      <c r="E1914" s="261"/>
      <c r="F1914" s="261"/>
      <c r="G1914" s="261"/>
      <c r="H1914" s="261"/>
      <c r="I1914" s="261"/>
      <c r="J1914" s="261"/>
      <c r="K1914" s="261"/>
      <c r="L1914" s="261"/>
      <c r="M1914" s="261"/>
      <c r="N1914" s="261"/>
      <c r="O1914" s="261"/>
      <c r="P1914" s="261"/>
      <c r="Q1914" s="261"/>
      <c r="R1914" s="261"/>
      <c r="S1914" s="261"/>
    </row>
    <row r="1915" spans="1:19">
      <c r="A1915" s="295">
        <v>46456</v>
      </c>
      <c r="B1915" s="259" t="s">
        <v>88</v>
      </c>
      <c r="C1915" s="258"/>
      <c r="D1915" s="261"/>
      <c r="E1915" s="261"/>
      <c r="F1915" s="261"/>
      <c r="G1915" s="261"/>
      <c r="H1915" s="261"/>
      <c r="I1915" s="261"/>
      <c r="J1915" s="261"/>
      <c r="K1915" s="261"/>
      <c r="L1915" s="261"/>
      <c r="M1915" s="261"/>
      <c r="N1915" s="261"/>
      <c r="O1915" s="261"/>
      <c r="P1915" s="261"/>
      <c r="Q1915" s="261"/>
      <c r="R1915" s="261"/>
      <c r="S1915" s="261"/>
    </row>
    <row r="1916" spans="1:19">
      <c r="A1916" s="295"/>
      <c r="B1916" s="259" t="s">
        <v>89</v>
      </c>
      <c r="C1916" s="258"/>
      <c r="D1916" s="261"/>
      <c r="E1916" s="261"/>
      <c r="F1916" s="261"/>
      <c r="G1916" s="261"/>
      <c r="H1916" s="261"/>
      <c r="I1916" s="261"/>
      <c r="J1916" s="261"/>
      <c r="K1916" s="261"/>
      <c r="L1916" s="261"/>
      <c r="M1916" s="261"/>
      <c r="N1916" s="261"/>
      <c r="O1916" s="261"/>
      <c r="P1916" s="261"/>
      <c r="Q1916" s="261"/>
      <c r="R1916" s="261"/>
      <c r="S1916" s="261"/>
    </row>
    <row r="1917" spans="1:19">
      <c r="A1917" s="296"/>
      <c r="B1917" s="267" t="s">
        <v>90</v>
      </c>
      <c r="C1917" s="258"/>
      <c r="D1917" s="261"/>
      <c r="E1917" s="261"/>
      <c r="F1917" s="261"/>
      <c r="G1917" s="261"/>
      <c r="H1917" s="261"/>
      <c r="I1917" s="261"/>
      <c r="J1917" s="261"/>
      <c r="K1917" s="261"/>
      <c r="L1917" s="261"/>
      <c r="M1917" s="261"/>
      <c r="N1917" s="261"/>
      <c r="O1917" s="261"/>
      <c r="P1917" s="261"/>
      <c r="Q1917" s="261"/>
      <c r="R1917" s="261"/>
      <c r="S1917" s="261"/>
    </row>
    <row r="1918" spans="1:19">
      <c r="A1918" s="295">
        <v>46457</v>
      </c>
      <c r="B1918" s="259" t="s">
        <v>88</v>
      </c>
      <c r="C1918" s="258"/>
      <c r="D1918" s="261"/>
      <c r="E1918" s="261"/>
      <c r="F1918" s="261"/>
      <c r="G1918" s="261"/>
      <c r="H1918" s="261"/>
      <c r="I1918" s="261"/>
      <c r="J1918" s="261"/>
      <c r="K1918" s="261"/>
      <c r="L1918" s="261"/>
      <c r="M1918" s="261"/>
      <c r="N1918" s="261"/>
      <c r="O1918" s="261"/>
      <c r="P1918" s="261"/>
      <c r="Q1918" s="261"/>
      <c r="R1918" s="261"/>
      <c r="S1918" s="261"/>
    </row>
    <row r="1919" spans="1:19">
      <c r="A1919" s="295"/>
      <c r="B1919" s="259" t="s">
        <v>89</v>
      </c>
      <c r="C1919" s="258"/>
      <c r="D1919" s="261"/>
      <c r="E1919" s="261"/>
      <c r="F1919" s="261"/>
      <c r="G1919" s="261"/>
      <c r="H1919" s="261"/>
      <c r="I1919" s="261"/>
      <c r="J1919" s="261"/>
      <c r="K1919" s="261"/>
      <c r="L1919" s="261"/>
      <c r="M1919" s="261"/>
      <c r="N1919" s="261"/>
      <c r="O1919" s="261"/>
      <c r="P1919" s="261"/>
      <c r="Q1919" s="261"/>
      <c r="R1919" s="261"/>
      <c r="S1919" s="261"/>
    </row>
    <row r="1920" spans="1:19">
      <c r="A1920" s="296"/>
      <c r="B1920" s="267" t="s">
        <v>90</v>
      </c>
      <c r="C1920" s="258"/>
      <c r="D1920" s="261"/>
      <c r="E1920" s="261"/>
      <c r="F1920" s="261"/>
      <c r="G1920" s="261"/>
      <c r="H1920" s="261"/>
      <c r="I1920" s="261"/>
      <c r="J1920" s="261"/>
      <c r="K1920" s="261"/>
      <c r="L1920" s="261"/>
      <c r="M1920" s="261"/>
      <c r="N1920" s="261"/>
      <c r="O1920" s="261"/>
      <c r="P1920" s="261"/>
      <c r="Q1920" s="261"/>
      <c r="R1920" s="261"/>
      <c r="S1920" s="261"/>
    </row>
    <row r="1921" spans="1:19">
      <c r="A1921" s="295">
        <v>46458</v>
      </c>
      <c r="B1921" s="259" t="s">
        <v>88</v>
      </c>
      <c r="C1921" s="258"/>
      <c r="D1921" s="261"/>
      <c r="E1921" s="261"/>
      <c r="F1921" s="261"/>
      <c r="G1921" s="261"/>
      <c r="H1921" s="261"/>
      <c r="I1921" s="261"/>
      <c r="J1921" s="261"/>
      <c r="K1921" s="261"/>
      <c r="L1921" s="261"/>
      <c r="M1921" s="261"/>
      <c r="N1921" s="261"/>
      <c r="O1921" s="261"/>
      <c r="P1921" s="261"/>
      <c r="Q1921" s="261"/>
      <c r="R1921" s="261"/>
      <c r="S1921" s="261"/>
    </row>
    <row r="1922" spans="1:19">
      <c r="A1922" s="295"/>
      <c r="B1922" s="259" t="s">
        <v>89</v>
      </c>
      <c r="C1922" s="258"/>
      <c r="D1922" s="261"/>
      <c r="E1922" s="261"/>
      <c r="F1922" s="261"/>
      <c r="G1922" s="261"/>
      <c r="H1922" s="261"/>
      <c r="I1922" s="261"/>
      <c r="J1922" s="261"/>
      <c r="K1922" s="261"/>
      <c r="L1922" s="261"/>
      <c r="M1922" s="261"/>
      <c r="N1922" s="261"/>
      <c r="O1922" s="261"/>
      <c r="P1922" s="261"/>
      <c r="Q1922" s="261"/>
      <c r="R1922" s="261"/>
      <c r="S1922" s="261"/>
    </row>
    <row r="1923" spans="1:19">
      <c r="A1923" s="296"/>
      <c r="B1923" s="267" t="s">
        <v>90</v>
      </c>
      <c r="C1923" s="258"/>
      <c r="D1923" s="261"/>
      <c r="E1923" s="261"/>
      <c r="F1923" s="261"/>
      <c r="G1923" s="261"/>
      <c r="H1923" s="261"/>
      <c r="I1923" s="261"/>
      <c r="J1923" s="261"/>
      <c r="K1923" s="261"/>
      <c r="L1923" s="261"/>
      <c r="M1923" s="261"/>
      <c r="N1923" s="261"/>
      <c r="O1923" s="261"/>
      <c r="P1923" s="261"/>
      <c r="Q1923" s="261"/>
      <c r="R1923" s="261"/>
      <c r="S1923" s="261"/>
    </row>
    <row r="1924" spans="1:19">
      <c r="A1924" s="295">
        <v>46459</v>
      </c>
      <c r="B1924" s="259" t="s">
        <v>88</v>
      </c>
      <c r="C1924" s="258"/>
      <c r="D1924" s="261"/>
      <c r="E1924" s="261"/>
      <c r="F1924" s="261"/>
      <c r="G1924" s="261"/>
      <c r="H1924" s="261"/>
      <c r="I1924" s="261"/>
      <c r="J1924" s="261"/>
      <c r="K1924" s="261"/>
      <c r="L1924" s="261"/>
      <c r="M1924" s="261"/>
      <c r="N1924" s="261"/>
      <c r="O1924" s="261"/>
      <c r="P1924" s="261"/>
      <c r="Q1924" s="261"/>
      <c r="R1924" s="261"/>
      <c r="S1924" s="261"/>
    </row>
    <row r="1925" spans="1:19">
      <c r="A1925" s="295"/>
      <c r="B1925" s="259" t="s">
        <v>89</v>
      </c>
      <c r="C1925" s="258"/>
      <c r="D1925" s="261"/>
      <c r="E1925" s="261"/>
      <c r="F1925" s="261"/>
      <c r="G1925" s="261"/>
      <c r="H1925" s="261"/>
      <c r="I1925" s="261"/>
      <c r="J1925" s="261"/>
      <c r="K1925" s="261"/>
      <c r="L1925" s="261"/>
      <c r="M1925" s="261"/>
      <c r="N1925" s="261"/>
      <c r="O1925" s="261"/>
      <c r="P1925" s="261"/>
      <c r="Q1925" s="261"/>
      <c r="R1925" s="261"/>
      <c r="S1925" s="261"/>
    </row>
    <row r="1926" spans="1:19">
      <c r="A1926" s="296"/>
      <c r="B1926" s="267" t="s">
        <v>90</v>
      </c>
      <c r="C1926" s="258"/>
      <c r="D1926" s="261"/>
      <c r="E1926" s="261"/>
      <c r="F1926" s="261"/>
      <c r="G1926" s="261"/>
      <c r="H1926" s="261"/>
      <c r="I1926" s="261"/>
      <c r="J1926" s="261"/>
      <c r="K1926" s="261"/>
      <c r="L1926" s="261"/>
      <c r="M1926" s="261"/>
      <c r="N1926" s="261"/>
      <c r="O1926" s="261"/>
      <c r="P1926" s="261"/>
      <c r="Q1926" s="261"/>
      <c r="R1926" s="261"/>
      <c r="S1926" s="261"/>
    </row>
    <row r="1927" spans="1:19">
      <c r="A1927" s="295">
        <v>46460</v>
      </c>
      <c r="B1927" s="259" t="s">
        <v>88</v>
      </c>
      <c r="C1927" s="258"/>
      <c r="D1927" s="261"/>
      <c r="E1927" s="261"/>
      <c r="F1927" s="261"/>
      <c r="G1927" s="261"/>
      <c r="H1927" s="261"/>
      <c r="I1927" s="261"/>
      <c r="J1927" s="261"/>
      <c r="K1927" s="261"/>
      <c r="L1927" s="261"/>
      <c r="M1927" s="261"/>
      <c r="N1927" s="261"/>
      <c r="O1927" s="261"/>
      <c r="P1927" s="261"/>
      <c r="Q1927" s="261"/>
      <c r="R1927" s="261"/>
      <c r="S1927" s="261"/>
    </row>
    <row r="1928" spans="1:19">
      <c r="A1928" s="295"/>
      <c r="B1928" s="259" t="s">
        <v>89</v>
      </c>
      <c r="C1928" s="258"/>
      <c r="D1928" s="261"/>
      <c r="E1928" s="261"/>
      <c r="F1928" s="261"/>
      <c r="G1928" s="261"/>
      <c r="H1928" s="261"/>
      <c r="I1928" s="261"/>
      <c r="J1928" s="261"/>
      <c r="K1928" s="261"/>
      <c r="L1928" s="261"/>
      <c r="M1928" s="261"/>
      <c r="N1928" s="261"/>
      <c r="O1928" s="261"/>
      <c r="P1928" s="261"/>
      <c r="Q1928" s="261"/>
      <c r="R1928" s="261"/>
      <c r="S1928" s="261"/>
    </row>
    <row r="1929" spans="1:19">
      <c r="A1929" s="296"/>
      <c r="B1929" s="267" t="s">
        <v>90</v>
      </c>
      <c r="C1929" s="258"/>
      <c r="D1929" s="261"/>
      <c r="E1929" s="261"/>
      <c r="F1929" s="261"/>
      <c r="G1929" s="261"/>
      <c r="H1929" s="261"/>
      <c r="I1929" s="261"/>
      <c r="J1929" s="261"/>
      <c r="K1929" s="261"/>
      <c r="L1929" s="261"/>
      <c r="M1929" s="261"/>
      <c r="N1929" s="261"/>
      <c r="O1929" s="261"/>
      <c r="P1929" s="261"/>
      <c r="Q1929" s="261"/>
      <c r="R1929" s="261"/>
      <c r="S1929" s="261"/>
    </row>
    <row r="1930" spans="1:19">
      <c r="A1930" s="295">
        <v>46461</v>
      </c>
      <c r="B1930" s="259" t="s">
        <v>88</v>
      </c>
      <c r="C1930" s="258"/>
      <c r="D1930" s="261"/>
      <c r="E1930" s="261"/>
      <c r="F1930" s="261"/>
      <c r="G1930" s="261"/>
      <c r="H1930" s="261"/>
      <c r="I1930" s="261"/>
      <c r="J1930" s="261"/>
      <c r="K1930" s="261"/>
      <c r="L1930" s="261"/>
      <c r="M1930" s="261"/>
      <c r="N1930" s="261"/>
      <c r="O1930" s="261"/>
      <c r="P1930" s="261"/>
      <c r="Q1930" s="261"/>
      <c r="R1930" s="261"/>
      <c r="S1930" s="261"/>
    </row>
    <row r="1931" spans="1:19">
      <c r="A1931" s="295"/>
      <c r="B1931" s="259" t="s">
        <v>89</v>
      </c>
      <c r="C1931" s="258"/>
      <c r="D1931" s="261"/>
      <c r="E1931" s="261"/>
      <c r="F1931" s="261"/>
      <c r="G1931" s="261"/>
      <c r="H1931" s="261"/>
      <c r="I1931" s="261"/>
      <c r="J1931" s="261"/>
      <c r="K1931" s="261"/>
      <c r="L1931" s="261"/>
      <c r="M1931" s="261"/>
      <c r="N1931" s="261"/>
      <c r="O1931" s="261"/>
      <c r="P1931" s="261"/>
      <c r="Q1931" s="261"/>
      <c r="R1931" s="261"/>
      <c r="S1931" s="261"/>
    </row>
    <row r="1932" spans="1:19">
      <c r="A1932" s="296"/>
      <c r="B1932" s="267" t="s">
        <v>90</v>
      </c>
      <c r="C1932" s="258"/>
      <c r="D1932" s="261"/>
      <c r="E1932" s="261"/>
      <c r="F1932" s="261"/>
      <c r="G1932" s="261"/>
      <c r="H1932" s="261"/>
      <c r="I1932" s="261"/>
      <c r="J1932" s="261"/>
      <c r="K1932" s="261"/>
      <c r="L1932" s="261"/>
      <c r="M1932" s="261"/>
      <c r="N1932" s="261"/>
      <c r="O1932" s="261"/>
      <c r="P1932" s="261"/>
      <c r="Q1932" s="261"/>
      <c r="R1932" s="261"/>
      <c r="S1932" s="261"/>
    </row>
    <row r="1933" spans="1:19">
      <c r="A1933" s="295">
        <v>46462</v>
      </c>
      <c r="B1933" s="259" t="s">
        <v>88</v>
      </c>
      <c r="C1933" s="258"/>
      <c r="D1933" s="261"/>
      <c r="E1933" s="261"/>
      <c r="F1933" s="261"/>
      <c r="G1933" s="261"/>
      <c r="H1933" s="261"/>
      <c r="I1933" s="261"/>
      <c r="J1933" s="261"/>
      <c r="K1933" s="261"/>
      <c r="L1933" s="261"/>
      <c r="M1933" s="261"/>
      <c r="N1933" s="261"/>
      <c r="O1933" s="261"/>
      <c r="P1933" s="261"/>
      <c r="Q1933" s="261"/>
      <c r="R1933" s="261"/>
      <c r="S1933" s="261"/>
    </row>
    <row r="1934" spans="1:19">
      <c r="A1934" s="295"/>
      <c r="B1934" s="259" t="s">
        <v>89</v>
      </c>
      <c r="C1934" s="258"/>
      <c r="D1934" s="261"/>
      <c r="E1934" s="261"/>
      <c r="F1934" s="261"/>
      <c r="G1934" s="261"/>
      <c r="H1934" s="261"/>
      <c r="I1934" s="261"/>
      <c r="J1934" s="261"/>
      <c r="K1934" s="261"/>
      <c r="L1934" s="261"/>
      <c r="M1934" s="261"/>
      <c r="N1934" s="261"/>
      <c r="O1934" s="261"/>
      <c r="P1934" s="261"/>
      <c r="Q1934" s="261"/>
      <c r="R1934" s="261"/>
      <c r="S1934" s="261"/>
    </row>
    <row r="1935" spans="1:19">
      <c r="A1935" s="296"/>
      <c r="B1935" s="267" t="s">
        <v>90</v>
      </c>
      <c r="C1935" s="258"/>
      <c r="D1935" s="261"/>
      <c r="E1935" s="261"/>
      <c r="F1935" s="261"/>
      <c r="G1935" s="261"/>
      <c r="H1935" s="261"/>
      <c r="I1935" s="261"/>
      <c r="J1935" s="261"/>
      <c r="K1935" s="261"/>
      <c r="L1935" s="261"/>
      <c r="M1935" s="261"/>
      <c r="N1935" s="261"/>
      <c r="O1935" s="261"/>
      <c r="P1935" s="261"/>
      <c r="Q1935" s="261"/>
      <c r="R1935" s="261"/>
      <c r="S1935" s="261"/>
    </row>
    <row r="1936" spans="1:19">
      <c r="A1936" s="295">
        <v>46463</v>
      </c>
      <c r="B1936" s="259" t="s">
        <v>88</v>
      </c>
      <c r="C1936" s="258"/>
      <c r="D1936" s="261"/>
      <c r="E1936" s="261"/>
      <c r="F1936" s="261"/>
      <c r="G1936" s="261"/>
      <c r="H1936" s="261"/>
      <c r="I1936" s="261"/>
      <c r="J1936" s="261"/>
      <c r="K1936" s="261"/>
      <c r="L1936" s="261"/>
      <c r="M1936" s="261"/>
      <c r="N1936" s="261"/>
      <c r="O1936" s="261"/>
      <c r="P1936" s="261"/>
      <c r="Q1936" s="261"/>
      <c r="R1936" s="261"/>
      <c r="S1936" s="261"/>
    </row>
    <row r="1937" spans="1:19">
      <c r="A1937" s="295"/>
      <c r="B1937" s="259" t="s">
        <v>89</v>
      </c>
      <c r="C1937" s="258"/>
      <c r="D1937" s="261"/>
      <c r="E1937" s="261"/>
      <c r="F1937" s="261"/>
      <c r="G1937" s="261"/>
      <c r="H1937" s="261"/>
      <c r="I1937" s="261"/>
      <c r="J1937" s="261"/>
      <c r="K1937" s="261"/>
      <c r="L1937" s="261"/>
      <c r="M1937" s="261"/>
      <c r="N1937" s="261"/>
      <c r="O1937" s="261"/>
      <c r="P1937" s="261"/>
      <c r="Q1937" s="261"/>
      <c r="R1937" s="261"/>
      <c r="S1937" s="261"/>
    </row>
    <row r="1938" spans="1:19">
      <c r="A1938" s="296"/>
      <c r="B1938" s="267" t="s">
        <v>90</v>
      </c>
      <c r="C1938" s="258"/>
      <c r="D1938" s="261"/>
      <c r="E1938" s="261"/>
      <c r="F1938" s="261"/>
      <c r="G1938" s="261"/>
      <c r="H1938" s="261"/>
      <c r="I1938" s="261"/>
      <c r="J1938" s="261"/>
      <c r="K1938" s="261"/>
      <c r="L1938" s="261"/>
      <c r="M1938" s="261"/>
      <c r="N1938" s="261"/>
      <c r="O1938" s="261"/>
      <c r="P1938" s="261"/>
      <c r="Q1938" s="261"/>
      <c r="R1938" s="261"/>
      <c r="S1938" s="261"/>
    </row>
    <row r="1939" spans="1:19">
      <c r="A1939" s="295">
        <v>46464</v>
      </c>
      <c r="B1939" s="259" t="s">
        <v>88</v>
      </c>
      <c r="C1939" s="258"/>
      <c r="D1939" s="261"/>
      <c r="E1939" s="261"/>
      <c r="F1939" s="261"/>
      <c r="G1939" s="261"/>
      <c r="H1939" s="261"/>
      <c r="I1939" s="261"/>
      <c r="J1939" s="261"/>
      <c r="K1939" s="261"/>
      <c r="L1939" s="261"/>
      <c r="M1939" s="261"/>
      <c r="N1939" s="261"/>
      <c r="O1939" s="261"/>
      <c r="P1939" s="261"/>
      <c r="Q1939" s="261"/>
      <c r="R1939" s="261"/>
      <c r="S1939" s="261"/>
    </row>
    <row r="1940" spans="1:19">
      <c r="A1940" s="295"/>
      <c r="B1940" s="259" t="s">
        <v>89</v>
      </c>
      <c r="C1940" s="258"/>
      <c r="D1940" s="261"/>
      <c r="E1940" s="261"/>
      <c r="F1940" s="261"/>
      <c r="G1940" s="261"/>
      <c r="H1940" s="261"/>
      <c r="I1940" s="261"/>
      <c r="J1940" s="261"/>
      <c r="K1940" s="261"/>
      <c r="L1940" s="261"/>
      <c r="M1940" s="261"/>
      <c r="N1940" s="261"/>
      <c r="O1940" s="261"/>
      <c r="P1940" s="261"/>
      <c r="Q1940" s="261"/>
      <c r="R1940" s="261"/>
      <c r="S1940" s="261"/>
    </row>
    <row r="1941" spans="1:19">
      <c r="A1941" s="296"/>
      <c r="B1941" s="267" t="s">
        <v>90</v>
      </c>
      <c r="C1941" s="258"/>
      <c r="D1941" s="261"/>
      <c r="E1941" s="261"/>
      <c r="F1941" s="261"/>
      <c r="G1941" s="261"/>
      <c r="H1941" s="261"/>
      <c r="I1941" s="261"/>
      <c r="J1941" s="261"/>
      <c r="K1941" s="261"/>
      <c r="L1941" s="261"/>
      <c r="M1941" s="261"/>
      <c r="N1941" s="261"/>
      <c r="O1941" s="261"/>
      <c r="P1941" s="261"/>
      <c r="Q1941" s="261"/>
      <c r="R1941" s="261"/>
      <c r="S1941" s="261"/>
    </row>
    <row r="1942" spans="1:19">
      <c r="A1942" s="295">
        <v>46465</v>
      </c>
      <c r="B1942" s="259" t="s">
        <v>88</v>
      </c>
      <c r="C1942" s="258"/>
      <c r="D1942" s="261"/>
      <c r="E1942" s="261"/>
      <c r="F1942" s="261"/>
      <c r="G1942" s="261"/>
      <c r="H1942" s="261"/>
      <c r="I1942" s="261"/>
      <c r="J1942" s="261"/>
      <c r="K1942" s="261"/>
      <c r="L1942" s="261"/>
      <c r="M1942" s="261"/>
      <c r="N1942" s="261"/>
      <c r="O1942" s="261"/>
      <c r="P1942" s="261"/>
      <c r="Q1942" s="261"/>
      <c r="R1942" s="261"/>
      <c r="S1942" s="261"/>
    </row>
    <row r="1943" spans="1:19">
      <c r="A1943" s="295"/>
      <c r="B1943" s="259" t="s">
        <v>89</v>
      </c>
      <c r="C1943" s="258"/>
      <c r="D1943" s="261"/>
      <c r="E1943" s="261"/>
      <c r="F1943" s="261"/>
      <c r="G1943" s="261"/>
      <c r="H1943" s="261"/>
      <c r="I1943" s="261"/>
      <c r="J1943" s="261"/>
      <c r="K1943" s="261"/>
      <c r="L1943" s="261"/>
      <c r="M1943" s="261"/>
      <c r="N1943" s="261"/>
      <c r="O1943" s="261"/>
      <c r="P1943" s="261"/>
      <c r="Q1943" s="261"/>
      <c r="R1943" s="261"/>
      <c r="S1943" s="261"/>
    </row>
    <row r="1944" spans="1:19">
      <c r="A1944" s="296"/>
      <c r="B1944" s="267" t="s">
        <v>90</v>
      </c>
      <c r="C1944" s="258"/>
      <c r="D1944" s="261"/>
      <c r="E1944" s="261"/>
      <c r="F1944" s="261"/>
      <c r="G1944" s="261"/>
      <c r="H1944" s="261"/>
      <c r="I1944" s="261"/>
      <c r="J1944" s="261"/>
      <c r="K1944" s="261"/>
      <c r="L1944" s="261"/>
      <c r="M1944" s="261"/>
      <c r="N1944" s="261"/>
      <c r="O1944" s="261"/>
      <c r="P1944" s="261"/>
      <c r="Q1944" s="261"/>
      <c r="R1944" s="261"/>
      <c r="S1944" s="261"/>
    </row>
    <row r="1945" spans="1:19">
      <c r="A1945" s="295">
        <v>46466</v>
      </c>
      <c r="B1945" s="259" t="s">
        <v>88</v>
      </c>
      <c r="C1945" s="258"/>
      <c r="D1945" s="261"/>
      <c r="E1945" s="261"/>
      <c r="F1945" s="261"/>
      <c r="G1945" s="261"/>
      <c r="H1945" s="261"/>
      <c r="I1945" s="261"/>
      <c r="J1945" s="261"/>
      <c r="K1945" s="261"/>
      <c r="L1945" s="261"/>
      <c r="M1945" s="261"/>
      <c r="N1945" s="261"/>
      <c r="O1945" s="261"/>
      <c r="P1945" s="261"/>
      <c r="Q1945" s="261"/>
      <c r="R1945" s="261"/>
      <c r="S1945" s="261"/>
    </row>
    <row r="1946" spans="1:19">
      <c r="A1946" s="295"/>
      <c r="B1946" s="259" t="s">
        <v>89</v>
      </c>
      <c r="C1946" s="258"/>
      <c r="D1946" s="261"/>
      <c r="E1946" s="261"/>
      <c r="F1946" s="261"/>
      <c r="G1946" s="261"/>
      <c r="H1946" s="261"/>
      <c r="I1946" s="261"/>
      <c r="J1946" s="261"/>
      <c r="K1946" s="261"/>
      <c r="L1946" s="261"/>
      <c r="M1946" s="261"/>
      <c r="N1946" s="261"/>
      <c r="O1946" s="261"/>
      <c r="P1946" s="261"/>
      <c r="Q1946" s="261"/>
      <c r="R1946" s="261"/>
      <c r="S1946" s="261"/>
    </row>
    <row r="1947" spans="1:19">
      <c r="A1947" s="296"/>
      <c r="B1947" s="267" t="s">
        <v>90</v>
      </c>
      <c r="C1947" s="258"/>
      <c r="D1947" s="261"/>
      <c r="E1947" s="261"/>
      <c r="F1947" s="261"/>
      <c r="G1947" s="261"/>
      <c r="H1947" s="261"/>
      <c r="I1947" s="261"/>
      <c r="J1947" s="261"/>
      <c r="K1947" s="261"/>
      <c r="L1947" s="261"/>
      <c r="M1947" s="261"/>
      <c r="N1947" s="261"/>
      <c r="O1947" s="261"/>
      <c r="P1947" s="261"/>
      <c r="Q1947" s="261"/>
      <c r="R1947" s="261"/>
      <c r="S1947" s="261"/>
    </row>
    <row r="1948" spans="1:19">
      <c r="A1948" s="295">
        <v>46467</v>
      </c>
      <c r="B1948" s="259" t="s">
        <v>88</v>
      </c>
      <c r="C1948" s="258"/>
      <c r="D1948" s="261"/>
      <c r="E1948" s="261"/>
      <c r="F1948" s="261"/>
      <c r="G1948" s="261"/>
      <c r="H1948" s="261"/>
      <c r="I1948" s="261"/>
      <c r="J1948" s="261"/>
      <c r="K1948" s="261"/>
      <c r="L1948" s="261"/>
      <c r="M1948" s="261"/>
      <c r="N1948" s="261"/>
      <c r="O1948" s="261"/>
      <c r="P1948" s="261"/>
      <c r="Q1948" s="261"/>
      <c r="R1948" s="261"/>
      <c r="S1948" s="261"/>
    </row>
    <row r="1949" spans="1:19">
      <c r="A1949" s="295"/>
      <c r="B1949" s="259" t="s">
        <v>89</v>
      </c>
      <c r="C1949" s="258"/>
      <c r="D1949" s="261"/>
      <c r="E1949" s="261"/>
      <c r="F1949" s="261"/>
      <c r="G1949" s="261"/>
      <c r="H1949" s="261"/>
      <c r="I1949" s="261"/>
      <c r="J1949" s="261"/>
      <c r="K1949" s="261"/>
      <c r="L1949" s="261"/>
      <c r="M1949" s="261"/>
      <c r="N1949" s="261"/>
      <c r="O1949" s="261"/>
      <c r="P1949" s="261"/>
      <c r="Q1949" s="261"/>
      <c r="R1949" s="261"/>
      <c r="S1949" s="261"/>
    </row>
    <row r="1950" spans="1:19">
      <c r="A1950" s="296"/>
      <c r="B1950" s="267" t="s">
        <v>90</v>
      </c>
      <c r="C1950" s="258"/>
      <c r="D1950" s="261"/>
      <c r="E1950" s="261"/>
      <c r="F1950" s="261"/>
      <c r="G1950" s="261"/>
      <c r="H1950" s="261"/>
      <c r="I1950" s="261"/>
      <c r="J1950" s="261"/>
      <c r="K1950" s="261"/>
      <c r="L1950" s="261"/>
      <c r="M1950" s="261"/>
      <c r="N1950" s="261"/>
      <c r="O1950" s="261"/>
      <c r="P1950" s="261"/>
      <c r="Q1950" s="261"/>
      <c r="R1950" s="261"/>
      <c r="S1950" s="261"/>
    </row>
    <row r="1951" spans="1:19">
      <c r="A1951" s="295">
        <v>46468</v>
      </c>
      <c r="B1951" s="259" t="s">
        <v>88</v>
      </c>
      <c r="C1951" s="258"/>
      <c r="D1951" s="261"/>
      <c r="E1951" s="261"/>
      <c r="F1951" s="261"/>
      <c r="G1951" s="261"/>
      <c r="H1951" s="261"/>
      <c r="I1951" s="261"/>
      <c r="J1951" s="261"/>
      <c r="K1951" s="261"/>
      <c r="L1951" s="261"/>
      <c r="M1951" s="261"/>
      <c r="N1951" s="261"/>
      <c r="O1951" s="261"/>
      <c r="P1951" s="261"/>
      <c r="Q1951" s="261"/>
      <c r="R1951" s="261"/>
      <c r="S1951" s="261"/>
    </row>
    <row r="1952" spans="1:19">
      <c r="A1952" s="295"/>
      <c r="B1952" s="259" t="s">
        <v>89</v>
      </c>
      <c r="C1952" s="258"/>
      <c r="D1952" s="261"/>
      <c r="E1952" s="261"/>
      <c r="F1952" s="261"/>
      <c r="G1952" s="261"/>
      <c r="H1952" s="261"/>
      <c r="I1952" s="261"/>
      <c r="J1952" s="261"/>
      <c r="K1952" s="261"/>
      <c r="L1952" s="261"/>
      <c r="M1952" s="261"/>
      <c r="N1952" s="261"/>
      <c r="O1952" s="261"/>
      <c r="P1952" s="261"/>
      <c r="Q1952" s="261"/>
      <c r="R1952" s="261"/>
      <c r="S1952" s="261"/>
    </row>
    <row r="1953" spans="1:19">
      <c r="A1953" s="296"/>
      <c r="B1953" s="267" t="s">
        <v>90</v>
      </c>
      <c r="C1953" s="258"/>
      <c r="D1953" s="261"/>
      <c r="E1953" s="261"/>
      <c r="F1953" s="261"/>
      <c r="G1953" s="261"/>
      <c r="H1953" s="261"/>
      <c r="I1953" s="261"/>
      <c r="J1953" s="261"/>
      <c r="K1953" s="261"/>
      <c r="L1953" s="261"/>
      <c r="M1953" s="261"/>
      <c r="N1953" s="261"/>
      <c r="O1953" s="261"/>
      <c r="P1953" s="261"/>
      <c r="Q1953" s="261"/>
      <c r="R1953" s="261"/>
      <c r="S1953" s="261"/>
    </row>
    <row r="1954" spans="1:19">
      <c r="A1954" s="295">
        <v>46469</v>
      </c>
      <c r="B1954" s="259" t="s">
        <v>88</v>
      </c>
      <c r="C1954" s="258"/>
      <c r="D1954" s="261"/>
      <c r="E1954" s="261"/>
      <c r="F1954" s="261"/>
      <c r="G1954" s="261"/>
      <c r="H1954" s="261"/>
      <c r="I1954" s="261"/>
      <c r="J1954" s="261"/>
      <c r="K1954" s="261"/>
      <c r="L1954" s="261"/>
      <c r="M1954" s="261"/>
      <c r="N1954" s="261"/>
      <c r="O1954" s="261"/>
      <c r="P1954" s="261"/>
      <c r="Q1954" s="261"/>
      <c r="R1954" s="261"/>
      <c r="S1954" s="261"/>
    </row>
    <row r="1955" spans="1:19">
      <c r="A1955" s="295"/>
      <c r="B1955" s="259" t="s">
        <v>89</v>
      </c>
      <c r="C1955" s="258"/>
      <c r="D1955" s="261"/>
      <c r="E1955" s="261"/>
      <c r="F1955" s="261"/>
      <c r="G1955" s="261"/>
      <c r="H1955" s="261"/>
      <c r="I1955" s="261"/>
      <c r="J1955" s="261"/>
      <c r="K1955" s="261"/>
      <c r="L1955" s="261"/>
      <c r="M1955" s="261"/>
      <c r="N1955" s="261"/>
      <c r="O1955" s="261"/>
      <c r="P1955" s="261"/>
      <c r="Q1955" s="261"/>
      <c r="R1955" s="261"/>
      <c r="S1955" s="261"/>
    </row>
    <row r="1956" spans="1:19">
      <c r="A1956" s="296"/>
      <c r="B1956" s="267" t="s">
        <v>90</v>
      </c>
      <c r="C1956" s="258"/>
      <c r="D1956" s="261"/>
      <c r="E1956" s="261"/>
      <c r="F1956" s="261"/>
      <c r="G1956" s="261"/>
      <c r="H1956" s="261"/>
      <c r="I1956" s="261"/>
      <c r="J1956" s="261"/>
      <c r="K1956" s="261"/>
      <c r="L1956" s="261"/>
      <c r="M1956" s="261"/>
      <c r="N1956" s="261"/>
      <c r="O1956" s="261"/>
      <c r="P1956" s="261"/>
      <c r="Q1956" s="261"/>
      <c r="R1956" s="261"/>
      <c r="S1956" s="261"/>
    </row>
    <row r="1957" spans="1:19">
      <c r="A1957" s="295">
        <v>46470</v>
      </c>
      <c r="B1957" s="259" t="s">
        <v>88</v>
      </c>
      <c r="C1957" s="258"/>
      <c r="D1957" s="261"/>
      <c r="E1957" s="261"/>
      <c r="F1957" s="261"/>
      <c r="G1957" s="261"/>
      <c r="H1957" s="261"/>
      <c r="I1957" s="261"/>
      <c r="J1957" s="261"/>
      <c r="K1957" s="261"/>
      <c r="L1957" s="261"/>
      <c r="M1957" s="261"/>
      <c r="N1957" s="261"/>
      <c r="O1957" s="261"/>
      <c r="P1957" s="261"/>
      <c r="Q1957" s="261"/>
      <c r="R1957" s="261"/>
      <c r="S1957" s="261"/>
    </row>
    <row r="1958" spans="1:19">
      <c r="A1958" s="295"/>
      <c r="B1958" s="259" t="s">
        <v>89</v>
      </c>
      <c r="C1958" s="258"/>
      <c r="D1958" s="261"/>
      <c r="E1958" s="261"/>
      <c r="F1958" s="261"/>
      <c r="G1958" s="261"/>
      <c r="H1958" s="261"/>
      <c r="I1958" s="261"/>
      <c r="J1958" s="261"/>
      <c r="K1958" s="261"/>
      <c r="L1958" s="261"/>
      <c r="M1958" s="261"/>
      <c r="N1958" s="261"/>
      <c r="O1958" s="261"/>
      <c r="P1958" s="261"/>
      <c r="Q1958" s="261"/>
      <c r="R1958" s="261"/>
      <c r="S1958" s="261"/>
    </row>
    <row r="1959" spans="1:19">
      <c r="A1959" s="296"/>
      <c r="B1959" s="267" t="s">
        <v>90</v>
      </c>
      <c r="C1959" s="258"/>
      <c r="D1959" s="261"/>
      <c r="E1959" s="261"/>
      <c r="F1959" s="261"/>
      <c r="G1959" s="261"/>
      <c r="H1959" s="261"/>
      <c r="I1959" s="261"/>
      <c r="J1959" s="261"/>
      <c r="K1959" s="261"/>
      <c r="L1959" s="261"/>
      <c r="M1959" s="261"/>
      <c r="N1959" s="261"/>
      <c r="O1959" s="261"/>
      <c r="P1959" s="261"/>
      <c r="Q1959" s="261"/>
      <c r="R1959" s="261"/>
      <c r="S1959" s="261"/>
    </row>
    <row r="1960" spans="1:19">
      <c r="A1960" s="295">
        <v>46471</v>
      </c>
      <c r="B1960" s="259" t="s">
        <v>88</v>
      </c>
      <c r="C1960" s="258"/>
      <c r="D1960" s="261"/>
      <c r="E1960" s="261"/>
      <c r="F1960" s="261"/>
      <c r="G1960" s="261"/>
      <c r="H1960" s="261"/>
      <c r="I1960" s="261"/>
      <c r="J1960" s="261"/>
      <c r="K1960" s="261"/>
      <c r="L1960" s="261"/>
      <c r="M1960" s="261"/>
      <c r="N1960" s="261"/>
      <c r="O1960" s="261"/>
      <c r="P1960" s="261"/>
      <c r="Q1960" s="261"/>
      <c r="R1960" s="261"/>
      <c r="S1960" s="261"/>
    </row>
    <row r="1961" spans="1:19">
      <c r="A1961" s="295"/>
      <c r="B1961" s="259" t="s">
        <v>89</v>
      </c>
      <c r="C1961" s="258"/>
      <c r="D1961" s="261"/>
      <c r="E1961" s="261"/>
      <c r="F1961" s="261"/>
      <c r="G1961" s="261"/>
      <c r="H1961" s="261"/>
      <c r="I1961" s="261"/>
      <c r="J1961" s="261"/>
      <c r="K1961" s="261"/>
      <c r="L1961" s="261"/>
      <c r="M1961" s="261"/>
      <c r="N1961" s="261"/>
      <c r="O1961" s="261"/>
      <c r="P1961" s="261"/>
      <c r="Q1961" s="261"/>
      <c r="R1961" s="261"/>
      <c r="S1961" s="261"/>
    </row>
    <row r="1962" spans="1:19">
      <c r="A1962" s="296"/>
      <c r="B1962" s="267" t="s">
        <v>90</v>
      </c>
      <c r="C1962" s="258"/>
      <c r="D1962" s="261"/>
      <c r="E1962" s="261"/>
      <c r="F1962" s="261"/>
      <c r="G1962" s="261"/>
      <c r="H1962" s="261"/>
      <c r="I1962" s="261"/>
      <c r="J1962" s="261"/>
      <c r="K1962" s="261"/>
      <c r="L1962" s="261"/>
      <c r="M1962" s="261"/>
      <c r="N1962" s="261"/>
      <c r="O1962" s="261"/>
      <c r="P1962" s="261"/>
      <c r="Q1962" s="261"/>
      <c r="R1962" s="261"/>
      <c r="S1962" s="261"/>
    </row>
    <row r="1963" spans="1:19">
      <c r="A1963" s="295">
        <v>46472</v>
      </c>
      <c r="B1963" s="259" t="s">
        <v>88</v>
      </c>
      <c r="C1963" s="258"/>
      <c r="D1963" s="261"/>
      <c r="E1963" s="261"/>
      <c r="F1963" s="261"/>
      <c r="G1963" s="261"/>
      <c r="H1963" s="261"/>
      <c r="I1963" s="261"/>
      <c r="J1963" s="261"/>
      <c r="K1963" s="261"/>
      <c r="L1963" s="261"/>
      <c r="M1963" s="261"/>
      <c r="N1963" s="261"/>
      <c r="O1963" s="261"/>
      <c r="P1963" s="261"/>
      <c r="Q1963" s="261"/>
      <c r="R1963" s="261"/>
      <c r="S1963" s="261"/>
    </row>
    <row r="1964" spans="1:19">
      <c r="A1964" s="295"/>
      <c r="B1964" s="259" t="s">
        <v>89</v>
      </c>
      <c r="C1964" s="258"/>
      <c r="D1964" s="261"/>
      <c r="E1964" s="261"/>
      <c r="F1964" s="261"/>
      <c r="G1964" s="261"/>
      <c r="H1964" s="261"/>
      <c r="I1964" s="261"/>
      <c r="J1964" s="261"/>
      <c r="K1964" s="261"/>
      <c r="L1964" s="261"/>
      <c r="M1964" s="261"/>
      <c r="N1964" s="261"/>
      <c r="O1964" s="261"/>
      <c r="P1964" s="261"/>
      <c r="Q1964" s="261"/>
      <c r="R1964" s="261"/>
      <c r="S1964" s="261"/>
    </row>
    <row r="1965" spans="1:19">
      <c r="A1965" s="296"/>
      <c r="B1965" s="267" t="s">
        <v>90</v>
      </c>
      <c r="C1965" s="258"/>
      <c r="D1965" s="261"/>
      <c r="E1965" s="261"/>
      <c r="F1965" s="261"/>
      <c r="G1965" s="261"/>
      <c r="H1965" s="261"/>
      <c r="I1965" s="261"/>
      <c r="J1965" s="261"/>
      <c r="K1965" s="261"/>
      <c r="L1965" s="261"/>
      <c r="M1965" s="261"/>
      <c r="N1965" s="261"/>
      <c r="O1965" s="261"/>
      <c r="P1965" s="261"/>
      <c r="Q1965" s="261"/>
      <c r="R1965" s="261"/>
      <c r="S1965" s="261"/>
    </row>
    <row r="1966" spans="1:19">
      <c r="A1966" s="295">
        <v>46473</v>
      </c>
      <c r="B1966" s="259" t="s">
        <v>88</v>
      </c>
      <c r="C1966" s="258"/>
      <c r="D1966" s="261"/>
      <c r="E1966" s="261"/>
      <c r="F1966" s="261"/>
      <c r="G1966" s="261"/>
      <c r="H1966" s="261"/>
      <c r="I1966" s="261"/>
      <c r="J1966" s="261"/>
      <c r="K1966" s="261"/>
      <c r="L1966" s="261"/>
      <c r="M1966" s="261"/>
      <c r="N1966" s="261"/>
      <c r="O1966" s="261"/>
      <c r="P1966" s="261"/>
      <c r="Q1966" s="261"/>
      <c r="R1966" s="261"/>
      <c r="S1966" s="261"/>
    </row>
    <row r="1967" spans="1:19">
      <c r="A1967" s="295"/>
      <c r="B1967" s="259" t="s">
        <v>89</v>
      </c>
      <c r="C1967" s="258"/>
      <c r="D1967" s="261"/>
      <c r="E1967" s="261"/>
      <c r="F1967" s="261"/>
      <c r="G1967" s="261"/>
      <c r="H1967" s="261"/>
      <c r="I1967" s="261"/>
      <c r="J1967" s="261"/>
      <c r="K1967" s="261"/>
      <c r="L1967" s="261"/>
      <c r="M1967" s="261"/>
      <c r="N1967" s="261"/>
      <c r="O1967" s="261"/>
      <c r="P1967" s="261"/>
      <c r="Q1967" s="261"/>
      <c r="R1967" s="261"/>
      <c r="S1967" s="261"/>
    </row>
    <row r="1968" spans="1:19">
      <c r="A1968" s="296"/>
      <c r="B1968" s="267" t="s">
        <v>90</v>
      </c>
      <c r="C1968" s="258"/>
      <c r="D1968" s="261"/>
      <c r="E1968" s="261"/>
      <c r="F1968" s="261"/>
      <c r="G1968" s="261"/>
      <c r="H1968" s="261"/>
      <c r="I1968" s="261"/>
      <c r="J1968" s="261"/>
      <c r="K1968" s="261"/>
      <c r="L1968" s="261"/>
      <c r="M1968" s="261"/>
      <c r="N1968" s="261"/>
      <c r="O1968" s="261"/>
      <c r="P1968" s="261"/>
      <c r="Q1968" s="261"/>
      <c r="R1968" s="261"/>
      <c r="S1968" s="261"/>
    </row>
    <row r="1969" spans="1:19">
      <c r="A1969" s="295">
        <v>46474</v>
      </c>
      <c r="B1969" s="259" t="s">
        <v>88</v>
      </c>
      <c r="C1969" s="258"/>
      <c r="D1969" s="261"/>
      <c r="E1969" s="261"/>
      <c r="F1969" s="261"/>
      <c r="G1969" s="261"/>
      <c r="H1969" s="261"/>
      <c r="I1969" s="261"/>
      <c r="J1969" s="261"/>
      <c r="K1969" s="261"/>
      <c r="L1969" s="261"/>
      <c r="M1969" s="261"/>
      <c r="N1969" s="261"/>
      <c r="O1969" s="261"/>
      <c r="P1969" s="261"/>
      <c r="Q1969" s="261"/>
      <c r="R1969" s="261"/>
      <c r="S1969" s="261"/>
    </row>
    <row r="1970" spans="1:19">
      <c r="A1970" s="295"/>
      <c r="B1970" s="259" t="s">
        <v>89</v>
      </c>
      <c r="C1970" s="258"/>
      <c r="D1970" s="261"/>
      <c r="E1970" s="261"/>
      <c r="F1970" s="261"/>
      <c r="G1970" s="261"/>
      <c r="H1970" s="261"/>
      <c r="I1970" s="261"/>
      <c r="J1970" s="261"/>
      <c r="K1970" s="261"/>
      <c r="L1970" s="261"/>
      <c r="M1970" s="261"/>
      <c r="N1970" s="261"/>
      <c r="O1970" s="261"/>
      <c r="P1970" s="261"/>
      <c r="Q1970" s="261"/>
      <c r="R1970" s="261"/>
      <c r="S1970" s="261"/>
    </row>
    <row r="1971" spans="1:19">
      <c r="A1971" s="296"/>
      <c r="B1971" s="267" t="s">
        <v>90</v>
      </c>
      <c r="C1971" s="258"/>
      <c r="D1971" s="261"/>
      <c r="E1971" s="261"/>
      <c r="F1971" s="261"/>
      <c r="G1971" s="261"/>
      <c r="H1971" s="261"/>
      <c r="I1971" s="261"/>
      <c r="J1971" s="261"/>
      <c r="K1971" s="261"/>
      <c r="L1971" s="261"/>
      <c r="M1971" s="261"/>
      <c r="N1971" s="261"/>
      <c r="O1971" s="261"/>
      <c r="P1971" s="261"/>
      <c r="Q1971" s="261"/>
      <c r="R1971" s="261"/>
      <c r="S1971" s="261"/>
    </row>
    <row r="1972" spans="1:19">
      <c r="A1972" s="295">
        <v>46475</v>
      </c>
      <c r="B1972" s="259" t="s">
        <v>88</v>
      </c>
      <c r="C1972" s="258"/>
      <c r="D1972" s="261"/>
      <c r="E1972" s="261"/>
      <c r="F1972" s="261"/>
      <c r="G1972" s="261"/>
      <c r="H1972" s="261"/>
      <c r="I1972" s="261"/>
      <c r="J1972" s="261"/>
      <c r="K1972" s="261"/>
      <c r="L1972" s="261"/>
      <c r="M1972" s="261"/>
      <c r="N1972" s="261"/>
      <c r="O1972" s="261"/>
      <c r="P1972" s="261"/>
      <c r="Q1972" s="261"/>
      <c r="R1972" s="261"/>
      <c r="S1972" s="261"/>
    </row>
    <row r="1973" spans="1:19">
      <c r="A1973" s="295"/>
      <c r="B1973" s="259" t="s">
        <v>89</v>
      </c>
      <c r="C1973" s="258"/>
      <c r="D1973" s="261"/>
      <c r="E1973" s="261"/>
      <c r="F1973" s="261"/>
      <c r="G1973" s="261"/>
      <c r="H1973" s="261"/>
      <c r="I1973" s="261"/>
      <c r="J1973" s="261"/>
      <c r="K1973" s="261"/>
      <c r="L1973" s="261"/>
      <c r="M1973" s="261"/>
      <c r="N1973" s="261"/>
      <c r="O1973" s="261"/>
      <c r="P1973" s="261"/>
      <c r="Q1973" s="261"/>
      <c r="R1973" s="261"/>
      <c r="S1973" s="261"/>
    </row>
    <row r="1974" spans="1:19">
      <c r="A1974" s="296"/>
      <c r="B1974" s="267" t="s">
        <v>90</v>
      </c>
      <c r="C1974" s="258"/>
      <c r="D1974" s="261"/>
      <c r="E1974" s="261"/>
      <c r="F1974" s="261"/>
      <c r="G1974" s="261"/>
      <c r="H1974" s="261"/>
      <c r="I1974" s="261"/>
      <c r="J1974" s="261"/>
      <c r="K1974" s="261"/>
      <c r="L1974" s="261"/>
      <c r="M1974" s="261"/>
      <c r="N1974" s="261"/>
      <c r="O1974" s="261"/>
      <c r="P1974" s="261"/>
      <c r="Q1974" s="261"/>
      <c r="R1974" s="261"/>
      <c r="S1974" s="261"/>
    </row>
    <row r="1975" spans="1:19">
      <c r="A1975" s="295">
        <v>46476</v>
      </c>
      <c r="B1975" s="259" t="s">
        <v>88</v>
      </c>
      <c r="C1975" s="258"/>
      <c r="D1975" s="261"/>
      <c r="E1975" s="261"/>
      <c r="F1975" s="261"/>
      <c r="G1975" s="261"/>
      <c r="H1975" s="261"/>
      <c r="I1975" s="261"/>
      <c r="J1975" s="261"/>
      <c r="K1975" s="261"/>
      <c r="L1975" s="261"/>
      <c r="M1975" s="261"/>
      <c r="N1975" s="261"/>
      <c r="O1975" s="261"/>
      <c r="P1975" s="261"/>
      <c r="Q1975" s="261"/>
      <c r="R1975" s="261"/>
      <c r="S1975" s="261"/>
    </row>
    <row r="1976" spans="1:19">
      <c r="A1976" s="295"/>
      <c r="B1976" s="259" t="s">
        <v>89</v>
      </c>
      <c r="C1976" s="258"/>
      <c r="D1976" s="261"/>
      <c r="E1976" s="261"/>
      <c r="F1976" s="261"/>
      <c r="G1976" s="261"/>
      <c r="H1976" s="261"/>
      <c r="I1976" s="261"/>
      <c r="J1976" s="261"/>
      <c r="K1976" s="261"/>
      <c r="L1976" s="261"/>
      <c r="M1976" s="261"/>
      <c r="N1976" s="261"/>
      <c r="O1976" s="261"/>
      <c r="P1976" s="261"/>
      <c r="Q1976" s="261"/>
      <c r="R1976" s="261"/>
      <c r="S1976" s="261"/>
    </row>
    <row r="1977" spans="1:19">
      <c r="A1977" s="296"/>
      <c r="B1977" s="267" t="s">
        <v>90</v>
      </c>
      <c r="C1977" s="258"/>
      <c r="D1977" s="261"/>
      <c r="E1977" s="261"/>
      <c r="F1977" s="261"/>
      <c r="G1977" s="261"/>
      <c r="H1977" s="261"/>
      <c r="I1977" s="261"/>
      <c r="J1977" s="261"/>
      <c r="K1977" s="261"/>
      <c r="L1977" s="261"/>
      <c r="M1977" s="261"/>
      <c r="N1977" s="261"/>
      <c r="O1977" s="261"/>
      <c r="P1977" s="261"/>
      <c r="Q1977" s="261"/>
      <c r="R1977" s="261"/>
      <c r="S1977" s="261"/>
    </row>
    <row r="1978" spans="1:19">
      <c r="A1978" s="295">
        <v>46477</v>
      </c>
      <c r="B1978" s="259" t="s">
        <v>88</v>
      </c>
      <c r="C1978" s="258"/>
      <c r="D1978" s="261"/>
      <c r="E1978" s="261"/>
      <c r="F1978" s="261"/>
      <c r="G1978" s="261"/>
      <c r="H1978" s="261"/>
      <c r="I1978" s="261"/>
      <c r="J1978" s="261"/>
      <c r="K1978" s="261"/>
      <c r="L1978" s="261"/>
      <c r="M1978" s="261"/>
      <c r="N1978" s="261"/>
      <c r="O1978" s="261"/>
      <c r="P1978" s="261"/>
      <c r="Q1978" s="261"/>
      <c r="R1978" s="261"/>
      <c r="S1978" s="261"/>
    </row>
    <row r="1979" spans="1:19">
      <c r="A1979" s="295"/>
      <c r="B1979" s="259" t="s">
        <v>89</v>
      </c>
      <c r="C1979" s="258"/>
      <c r="D1979" s="261"/>
      <c r="E1979" s="261"/>
      <c r="F1979" s="261"/>
      <c r="G1979" s="261"/>
      <c r="H1979" s="261"/>
      <c r="I1979" s="261"/>
      <c r="J1979" s="261"/>
      <c r="K1979" s="261"/>
      <c r="L1979" s="261"/>
      <c r="M1979" s="261"/>
      <c r="N1979" s="261"/>
      <c r="O1979" s="261"/>
      <c r="P1979" s="261"/>
      <c r="Q1979" s="261"/>
      <c r="R1979" s="261"/>
      <c r="S1979" s="261"/>
    </row>
    <row r="1980" spans="1:19">
      <c r="A1980" s="296"/>
      <c r="B1980" s="267" t="s">
        <v>90</v>
      </c>
      <c r="C1980" s="258"/>
      <c r="D1980" s="261"/>
      <c r="E1980" s="261"/>
      <c r="F1980" s="261"/>
      <c r="G1980" s="261"/>
      <c r="H1980" s="261"/>
      <c r="I1980" s="261"/>
      <c r="J1980" s="261"/>
      <c r="K1980" s="261"/>
      <c r="L1980" s="261"/>
      <c r="M1980" s="261"/>
      <c r="N1980" s="261"/>
      <c r="O1980" s="261"/>
      <c r="P1980" s="261"/>
      <c r="Q1980" s="261"/>
      <c r="R1980" s="261"/>
      <c r="S1980" s="261"/>
    </row>
    <row r="1981" spans="1:19">
      <c r="A1981" s="295">
        <v>46478</v>
      </c>
      <c r="B1981" s="259" t="s">
        <v>88</v>
      </c>
      <c r="C1981" s="258"/>
      <c r="D1981" s="261"/>
      <c r="E1981" s="261"/>
      <c r="F1981" s="261"/>
      <c r="G1981" s="261"/>
      <c r="H1981" s="261"/>
      <c r="I1981" s="261"/>
      <c r="J1981" s="261"/>
      <c r="K1981" s="261"/>
      <c r="L1981" s="261"/>
      <c r="M1981" s="261"/>
      <c r="N1981" s="261"/>
      <c r="O1981" s="261"/>
      <c r="P1981" s="261"/>
      <c r="Q1981" s="261"/>
      <c r="R1981" s="261"/>
      <c r="S1981" s="261"/>
    </row>
    <row r="1982" spans="1:19">
      <c r="A1982" s="295"/>
      <c r="B1982" s="259" t="s">
        <v>89</v>
      </c>
      <c r="C1982" s="258"/>
      <c r="D1982" s="261"/>
      <c r="E1982" s="261"/>
      <c r="F1982" s="261"/>
      <c r="G1982" s="261"/>
      <c r="H1982" s="261"/>
      <c r="I1982" s="261"/>
      <c r="J1982" s="261"/>
      <c r="K1982" s="261"/>
      <c r="L1982" s="261"/>
      <c r="M1982" s="261"/>
      <c r="N1982" s="261"/>
      <c r="O1982" s="261"/>
      <c r="P1982" s="261"/>
      <c r="Q1982" s="261"/>
      <c r="R1982" s="261"/>
      <c r="S1982" s="261"/>
    </row>
    <row r="1983" spans="1:19">
      <c r="A1983" s="296"/>
      <c r="B1983" s="267" t="s">
        <v>90</v>
      </c>
      <c r="C1983" s="258"/>
      <c r="D1983" s="261"/>
      <c r="E1983" s="261"/>
      <c r="F1983" s="261"/>
      <c r="G1983" s="261"/>
      <c r="H1983" s="261"/>
      <c r="I1983" s="261"/>
      <c r="J1983" s="261"/>
      <c r="K1983" s="261"/>
      <c r="L1983" s="261"/>
      <c r="M1983" s="261"/>
      <c r="N1983" s="261"/>
      <c r="O1983" s="261"/>
      <c r="P1983" s="261"/>
      <c r="Q1983" s="261"/>
      <c r="R1983" s="261"/>
      <c r="S1983" s="261"/>
    </row>
    <row r="1984" spans="1:19">
      <c r="A1984" s="295">
        <v>46479</v>
      </c>
      <c r="B1984" s="259" t="s">
        <v>88</v>
      </c>
      <c r="C1984" s="258"/>
      <c r="D1984" s="261"/>
      <c r="E1984" s="261"/>
      <c r="F1984" s="261"/>
      <c r="G1984" s="261"/>
      <c r="H1984" s="261"/>
      <c r="I1984" s="261"/>
      <c r="J1984" s="261"/>
      <c r="K1984" s="261"/>
      <c r="L1984" s="261"/>
      <c r="M1984" s="261"/>
      <c r="N1984" s="261"/>
      <c r="O1984" s="261"/>
      <c r="P1984" s="261"/>
      <c r="Q1984" s="261"/>
      <c r="R1984" s="261"/>
      <c r="S1984" s="261"/>
    </row>
    <row r="1985" spans="1:19">
      <c r="A1985" s="295"/>
      <c r="B1985" s="259" t="s">
        <v>89</v>
      </c>
      <c r="C1985" s="258"/>
      <c r="D1985" s="261"/>
      <c r="E1985" s="261"/>
      <c r="F1985" s="261"/>
      <c r="G1985" s="261"/>
      <c r="H1985" s="261"/>
      <c r="I1985" s="261"/>
      <c r="J1985" s="261"/>
      <c r="K1985" s="261"/>
      <c r="L1985" s="261"/>
      <c r="M1985" s="261"/>
      <c r="N1985" s="261"/>
      <c r="O1985" s="261"/>
      <c r="P1985" s="261"/>
      <c r="Q1985" s="261"/>
      <c r="R1985" s="261"/>
      <c r="S1985" s="261"/>
    </row>
    <row r="1986" spans="1:19">
      <c r="A1986" s="296"/>
      <c r="B1986" s="267" t="s">
        <v>90</v>
      </c>
      <c r="C1986" s="258"/>
      <c r="D1986" s="261"/>
      <c r="E1986" s="261"/>
      <c r="F1986" s="261"/>
      <c r="G1986" s="261"/>
      <c r="H1986" s="261"/>
      <c r="I1986" s="261"/>
      <c r="J1986" s="261"/>
      <c r="K1986" s="261"/>
      <c r="L1986" s="261"/>
      <c r="M1986" s="261"/>
      <c r="N1986" s="261"/>
      <c r="O1986" s="261"/>
      <c r="P1986" s="261"/>
      <c r="Q1986" s="261"/>
      <c r="R1986" s="261"/>
      <c r="S1986" s="261"/>
    </row>
    <row r="1987" spans="1:19">
      <c r="A1987" s="295">
        <v>46480</v>
      </c>
      <c r="B1987" s="259" t="s">
        <v>88</v>
      </c>
      <c r="C1987" s="258"/>
      <c r="D1987" s="261"/>
      <c r="E1987" s="261"/>
      <c r="F1987" s="261"/>
      <c r="G1987" s="261"/>
      <c r="H1987" s="261"/>
      <c r="I1987" s="261"/>
      <c r="J1987" s="261"/>
      <c r="K1987" s="261"/>
      <c r="L1987" s="261"/>
      <c r="M1987" s="261"/>
      <c r="N1987" s="261"/>
      <c r="O1987" s="261"/>
      <c r="P1987" s="261"/>
      <c r="Q1987" s="261"/>
      <c r="R1987" s="261"/>
      <c r="S1987" s="261"/>
    </row>
    <row r="1988" spans="1:19">
      <c r="A1988" s="295"/>
      <c r="B1988" s="259" t="s">
        <v>89</v>
      </c>
      <c r="C1988" s="258"/>
      <c r="D1988" s="261"/>
      <c r="E1988" s="261"/>
      <c r="F1988" s="261"/>
      <c r="G1988" s="261"/>
      <c r="H1988" s="261"/>
      <c r="I1988" s="261"/>
      <c r="J1988" s="261"/>
      <c r="K1988" s="261"/>
      <c r="L1988" s="261"/>
      <c r="M1988" s="261"/>
      <c r="N1988" s="261"/>
      <c r="O1988" s="261"/>
      <c r="P1988" s="261"/>
      <c r="Q1988" s="261"/>
      <c r="R1988" s="261"/>
      <c r="S1988" s="261"/>
    </row>
    <row r="1989" spans="1:19">
      <c r="A1989" s="296"/>
      <c r="B1989" s="267" t="s">
        <v>90</v>
      </c>
      <c r="C1989" s="258"/>
      <c r="D1989" s="261"/>
      <c r="E1989" s="261"/>
      <c r="F1989" s="261"/>
      <c r="G1989" s="261"/>
      <c r="H1989" s="261"/>
      <c r="I1989" s="261"/>
      <c r="J1989" s="261"/>
      <c r="K1989" s="261"/>
      <c r="L1989" s="261"/>
      <c r="M1989" s="261"/>
      <c r="N1989" s="261"/>
      <c r="O1989" s="261"/>
      <c r="P1989" s="261"/>
      <c r="Q1989" s="261"/>
      <c r="R1989" s="261"/>
      <c r="S1989" s="261"/>
    </row>
    <row r="1990" spans="1:19">
      <c r="A1990" s="295">
        <v>46481</v>
      </c>
      <c r="B1990" s="259" t="s">
        <v>88</v>
      </c>
      <c r="C1990" s="258"/>
      <c r="D1990" s="261"/>
      <c r="E1990" s="261"/>
      <c r="F1990" s="261"/>
      <c r="G1990" s="261"/>
      <c r="H1990" s="261"/>
      <c r="I1990" s="261"/>
      <c r="J1990" s="261"/>
      <c r="K1990" s="261"/>
      <c r="L1990" s="261"/>
      <c r="M1990" s="261"/>
      <c r="N1990" s="261"/>
      <c r="O1990" s="261"/>
      <c r="P1990" s="261"/>
      <c r="Q1990" s="261"/>
      <c r="R1990" s="261"/>
      <c r="S1990" s="261"/>
    </row>
    <row r="1991" spans="1:19">
      <c r="A1991" s="295"/>
      <c r="B1991" s="259" t="s">
        <v>89</v>
      </c>
      <c r="C1991" s="258"/>
      <c r="D1991" s="261"/>
      <c r="E1991" s="261"/>
      <c r="F1991" s="261"/>
      <c r="G1991" s="261"/>
      <c r="H1991" s="261"/>
      <c r="I1991" s="261"/>
      <c r="J1991" s="261"/>
      <c r="K1991" s="261"/>
      <c r="L1991" s="261"/>
      <c r="M1991" s="261"/>
      <c r="N1991" s="261"/>
      <c r="O1991" s="261"/>
      <c r="P1991" s="261"/>
      <c r="Q1991" s="261"/>
      <c r="R1991" s="261"/>
      <c r="S1991" s="261"/>
    </row>
    <row r="1992" spans="1:19">
      <c r="A1992" s="296"/>
      <c r="B1992" s="267" t="s">
        <v>90</v>
      </c>
      <c r="C1992" s="258"/>
      <c r="D1992" s="261"/>
      <c r="E1992" s="261"/>
      <c r="F1992" s="261"/>
      <c r="G1992" s="261"/>
      <c r="H1992" s="261"/>
      <c r="I1992" s="261"/>
      <c r="J1992" s="261"/>
      <c r="K1992" s="261"/>
      <c r="L1992" s="261"/>
      <c r="M1992" s="261"/>
      <c r="N1992" s="261"/>
      <c r="O1992" s="261"/>
      <c r="P1992" s="261"/>
      <c r="Q1992" s="261"/>
      <c r="R1992" s="261"/>
      <c r="S1992" s="261"/>
    </row>
    <row r="1993" spans="1:19">
      <c r="A1993" s="295">
        <v>46482</v>
      </c>
      <c r="B1993" s="259" t="s">
        <v>88</v>
      </c>
      <c r="C1993" s="258"/>
      <c r="D1993" s="261"/>
      <c r="E1993" s="261"/>
      <c r="F1993" s="261"/>
      <c r="G1993" s="261"/>
      <c r="H1993" s="261"/>
      <c r="I1993" s="261"/>
      <c r="J1993" s="261"/>
      <c r="K1993" s="261"/>
      <c r="L1993" s="261"/>
      <c r="M1993" s="261"/>
      <c r="N1993" s="261"/>
      <c r="O1993" s="261"/>
      <c r="P1993" s="261"/>
      <c r="Q1993" s="261"/>
      <c r="R1993" s="261"/>
      <c r="S1993" s="261"/>
    </row>
    <row r="1994" spans="1:19">
      <c r="A1994" s="295"/>
      <c r="B1994" s="259" t="s">
        <v>89</v>
      </c>
      <c r="C1994" s="258"/>
      <c r="D1994" s="261"/>
      <c r="E1994" s="261"/>
      <c r="F1994" s="261"/>
      <c r="G1994" s="261"/>
      <c r="H1994" s="261"/>
      <c r="I1994" s="261"/>
      <c r="J1994" s="261"/>
      <c r="K1994" s="261"/>
      <c r="L1994" s="261"/>
      <c r="M1994" s="261"/>
      <c r="N1994" s="261"/>
      <c r="O1994" s="261"/>
      <c r="P1994" s="261"/>
      <c r="Q1994" s="261"/>
      <c r="R1994" s="261"/>
      <c r="S1994" s="261"/>
    </row>
    <row r="1995" spans="1:19">
      <c r="A1995" s="296"/>
      <c r="B1995" s="267" t="s">
        <v>90</v>
      </c>
      <c r="C1995" s="258"/>
      <c r="D1995" s="261"/>
      <c r="E1995" s="261"/>
      <c r="F1995" s="261"/>
      <c r="G1995" s="261"/>
      <c r="H1995" s="261"/>
      <c r="I1995" s="261"/>
      <c r="J1995" s="261"/>
      <c r="K1995" s="261"/>
      <c r="L1995" s="261"/>
      <c r="M1995" s="261"/>
      <c r="N1995" s="261"/>
      <c r="O1995" s="261"/>
      <c r="P1995" s="261"/>
      <c r="Q1995" s="261"/>
      <c r="R1995" s="261"/>
      <c r="S1995" s="261"/>
    </row>
    <row r="1996" spans="1:19">
      <c r="A1996" s="295">
        <v>46483</v>
      </c>
      <c r="B1996" s="259" t="s">
        <v>88</v>
      </c>
      <c r="C1996" s="258"/>
      <c r="D1996" s="261"/>
      <c r="E1996" s="261"/>
      <c r="F1996" s="261"/>
      <c r="G1996" s="261"/>
      <c r="H1996" s="261"/>
      <c r="I1996" s="261"/>
      <c r="J1996" s="261"/>
      <c r="K1996" s="261"/>
      <c r="L1996" s="261"/>
      <c r="M1996" s="261"/>
      <c r="N1996" s="261"/>
      <c r="O1996" s="261"/>
      <c r="P1996" s="261"/>
      <c r="Q1996" s="261"/>
      <c r="R1996" s="261"/>
      <c r="S1996" s="261"/>
    </row>
    <row r="1997" spans="1:19">
      <c r="A1997" s="295"/>
      <c r="B1997" s="259" t="s">
        <v>89</v>
      </c>
      <c r="C1997" s="258"/>
      <c r="D1997" s="261"/>
      <c r="E1997" s="261"/>
      <c r="F1997" s="261"/>
      <c r="G1997" s="261"/>
      <c r="H1997" s="261"/>
      <c r="I1997" s="261"/>
      <c r="J1997" s="261"/>
      <c r="K1997" s="261"/>
      <c r="L1997" s="261"/>
      <c r="M1997" s="261"/>
      <c r="N1997" s="261"/>
      <c r="O1997" s="261"/>
      <c r="P1997" s="261"/>
      <c r="Q1997" s="261"/>
      <c r="R1997" s="261"/>
      <c r="S1997" s="261"/>
    </row>
    <row r="1998" spans="1:19">
      <c r="A1998" s="296"/>
      <c r="B1998" s="267" t="s">
        <v>90</v>
      </c>
      <c r="C1998" s="258"/>
      <c r="D1998" s="261"/>
      <c r="E1998" s="261"/>
      <c r="F1998" s="261"/>
      <c r="G1998" s="261"/>
      <c r="H1998" s="261"/>
      <c r="I1998" s="261"/>
      <c r="J1998" s="261"/>
      <c r="K1998" s="261"/>
      <c r="L1998" s="261"/>
      <c r="M1998" s="261"/>
      <c r="N1998" s="261"/>
      <c r="O1998" s="261"/>
      <c r="P1998" s="261"/>
      <c r="Q1998" s="261"/>
      <c r="R1998" s="261"/>
      <c r="S1998" s="261"/>
    </row>
    <row r="1999" spans="1:19">
      <c r="A1999" s="295">
        <v>46484</v>
      </c>
      <c r="B1999" s="259" t="s">
        <v>88</v>
      </c>
      <c r="C1999" s="258"/>
      <c r="D1999" s="261"/>
      <c r="E1999" s="261"/>
      <c r="F1999" s="261"/>
      <c r="G1999" s="261"/>
      <c r="H1999" s="261"/>
      <c r="I1999" s="261"/>
      <c r="J1999" s="261"/>
      <c r="K1999" s="261"/>
      <c r="L1999" s="261"/>
      <c r="M1999" s="261"/>
      <c r="N1999" s="261"/>
      <c r="O1999" s="261"/>
      <c r="P1999" s="261"/>
      <c r="Q1999" s="261"/>
      <c r="R1999" s="261"/>
      <c r="S1999" s="261"/>
    </row>
    <row r="2000" spans="1:19">
      <c r="A2000" s="295"/>
      <c r="B2000" s="259" t="s">
        <v>89</v>
      </c>
      <c r="C2000" s="258"/>
      <c r="D2000" s="261"/>
      <c r="E2000" s="261"/>
      <c r="F2000" s="261"/>
      <c r="G2000" s="261"/>
      <c r="H2000" s="261"/>
      <c r="I2000" s="261"/>
      <c r="J2000" s="261"/>
      <c r="K2000" s="261"/>
      <c r="L2000" s="261"/>
      <c r="M2000" s="261"/>
      <c r="N2000" s="261"/>
      <c r="O2000" s="261"/>
      <c r="P2000" s="261"/>
      <c r="Q2000" s="261"/>
      <c r="R2000" s="261"/>
      <c r="S2000" s="261"/>
    </row>
    <row r="2001" spans="1:19">
      <c r="A2001" s="296"/>
      <c r="B2001" s="267" t="s">
        <v>90</v>
      </c>
      <c r="C2001" s="258"/>
      <c r="D2001" s="261"/>
      <c r="E2001" s="261"/>
      <c r="F2001" s="261"/>
      <c r="G2001" s="261"/>
      <c r="H2001" s="261"/>
      <c r="I2001" s="261"/>
      <c r="J2001" s="261"/>
      <c r="K2001" s="261"/>
      <c r="L2001" s="261"/>
      <c r="M2001" s="261"/>
      <c r="N2001" s="261"/>
      <c r="O2001" s="261"/>
      <c r="P2001" s="261"/>
      <c r="Q2001" s="261"/>
      <c r="R2001" s="261"/>
      <c r="S2001" s="261"/>
    </row>
    <row r="2002" spans="1:19">
      <c r="A2002" s="295">
        <v>46485</v>
      </c>
      <c r="B2002" s="259" t="s">
        <v>88</v>
      </c>
      <c r="C2002" s="258"/>
      <c r="D2002" s="261"/>
      <c r="E2002" s="261"/>
      <c r="F2002" s="261"/>
      <c r="G2002" s="261"/>
      <c r="H2002" s="261"/>
      <c r="I2002" s="261"/>
      <c r="J2002" s="261"/>
      <c r="K2002" s="261"/>
      <c r="L2002" s="261"/>
      <c r="M2002" s="261"/>
      <c r="N2002" s="261"/>
      <c r="O2002" s="261"/>
      <c r="P2002" s="261"/>
      <c r="Q2002" s="261"/>
      <c r="R2002" s="261"/>
      <c r="S2002" s="261"/>
    </row>
    <row r="2003" spans="1:19">
      <c r="A2003" s="295"/>
      <c r="B2003" s="259" t="s">
        <v>89</v>
      </c>
      <c r="C2003" s="258"/>
      <c r="D2003" s="261"/>
      <c r="E2003" s="261"/>
      <c r="F2003" s="261"/>
      <c r="G2003" s="261"/>
      <c r="H2003" s="261"/>
      <c r="I2003" s="261"/>
      <c r="J2003" s="261"/>
      <c r="K2003" s="261"/>
      <c r="L2003" s="261"/>
      <c r="M2003" s="261"/>
      <c r="N2003" s="261"/>
      <c r="O2003" s="261"/>
      <c r="P2003" s="261"/>
      <c r="Q2003" s="261"/>
      <c r="R2003" s="261"/>
      <c r="S2003" s="261"/>
    </row>
    <row r="2004" spans="1:19">
      <c r="A2004" s="296"/>
      <c r="B2004" s="267" t="s">
        <v>90</v>
      </c>
      <c r="C2004" s="258"/>
      <c r="D2004" s="261"/>
      <c r="E2004" s="261"/>
      <c r="F2004" s="261"/>
      <c r="G2004" s="261"/>
      <c r="H2004" s="261"/>
      <c r="I2004" s="261"/>
      <c r="J2004" s="261"/>
      <c r="K2004" s="261"/>
      <c r="L2004" s="261"/>
      <c r="M2004" s="261"/>
      <c r="N2004" s="261"/>
      <c r="O2004" s="261"/>
      <c r="P2004" s="261"/>
      <c r="Q2004" s="261"/>
      <c r="R2004" s="261"/>
      <c r="S2004" s="261"/>
    </row>
    <row r="2005" spans="1:19">
      <c r="A2005" s="295">
        <v>46486</v>
      </c>
      <c r="B2005" s="259" t="s">
        <v>88</v>
      </c>
      <c r="C2005" s="258"/>
      <c r="D2005" s="261"/>
      <c r="E2005" s="261"/>
      <c r="F2005" s="261"/>
      <c r="G2005" s="261"/>
      <c r="H2005" s="261"/>
      <c r="I2005" s="261"/>
      <c r="J2005" s="261"/>
      <c r="K2005" s="261"/>
      <c r="L2005" s="261"/>
      <c r="M2005" s="261"/>
      <c r="N2005" s="261"/>
      <c r="O2005" s="261"/>
      <c r="P2005" s="261"/>
      <c r="Q2005" s="261"/>
      <c r="R2005" s="261"/>
      <c r="S2005" s="261"/>
    </row>
    <row r="2006" spans="1:19">
      <c r="A2006" s="295"/>
      <c r="B2006" s="259" t="s">
        <v>89</v>
      </c>
      <c r="C2006" s="258"/>
      <c r="D2006" s="261"/>
      <c r="E2006" s="261"/>
      <c r="F2006" s="261"/>
      <c r="G2006" s="261"/>
      <c r="H2006" s="261"/>
      <c r="I2006" s="261"/>
      <c r="J2006" s="261"/>
      <c r="K2006" s="261"/>
      <c r="L2006" s="261"/>
      <c r="M2006" s="261"/>
      <c r="N2006" s="261"/>
      <c r="O2006" s="261"/>
      <c r="P2006" s="261"/>
      <c r="Q2006" s="261"/>
      <c r="R2006" s="261"/>
      <c r="S2006" s="261"/>
    </row>
    <row r="2007" spans="1:19">
      <c r="A2007" s="296"/>
      <c r="B2007" s="267" t="s">
        <v>90</v>
      </c>
      <c r="C2007" s="258"/>
      <c r="D2007" s="261"/>
      <c r="E2007" s="261"/>
      <c r="F2007" s="261"/>
      <c r="G2007" s="261"/>
      <c r="H2007" s="261"/>
      <c r="I2007" s="261"/>
      <c r="J2007" s="261"/>
      <c r="K2007" s="261"/>
      <c r="L2007" s="261"/>
      <c r="M2007" s="261"/>
      <c r="N2007" s="261"/>
      <c r="O2007" s="261"/>
      <c r="P2007" s="261"/>
      <c r="Q2007" s="261"/>
      <c r="R2007" s="261"/>
      <c r="S2007" s="261"/>
    </row>
    <row r="2008" spans="1:19">
      <c r="A2008" s="295">
        <v>46487</v>
      </c>
      <c r="B2008" s="259" t="s">
        <v>88</v>
      </c>
      <c r="C2008" s="258"/>
      <c r="D2008" s="261"/>
      <c r="E2008" s="261"/>
      <c r="F2008" s="261"/>
      <c r="G2008" s="261"/>
      <c r="H2008" s="261"/>
      <c r="I2008" s="261"/>
      <c r="J2008" s="261"/>
      <c r="K2008" s="261"/>
      <c r="L2008" s="261"/>
      <c r="M2008" s="261"/>
      <c r="N2008" s="261"/>
      <c r="O2008" s="261"/>
      <c r="P2008" s="261"/>
      <c r="Q2008" s="261"/>
      <c r="R2008" s="261"/>
      <c r="S2008" s="261"/>
    </row>
    <row r="2009" spans="1:19">
      <c r="A2009" s="295"/>
      <c r="B2009" s="259" t="s">
        <v>89</v>
      </c>
      <c r="C2009" s="258"/>
      <c r="D2009" s="261"/>
      <c r="E2009" s="261"/>
      <c r="F2009" s="261"/>
      <c r="G2009" s="261"/>
      <c r="H2009" s="261"/>
      <c r="I2009" s="261"/>
      <c r="J2009" s="261"/>
      <c r="K2009" s="261"/>
      <c r="L2009" s="261"/>
      <c r="M2009" s="261"/>
      <c r="N2009" s="261"/>
      <c r="O2009" s="261"/>
      <c r="P2009" s="261"/>
      <c r="Q2009" s="261"/>
      <c r="R2009" s="261"/>
      <c r="S2009" s="261"/>
    </row>
    <row r="2010" spans="1:19">
      <c r="A2010" s="296"/>
      <c r="B2010" s="267" t="s">
        <v>90</v>
      </c>
      <c r="C2010" s="258"/>
      <c r="D2010" s="261"/>
      <c r="E2010" s="261"/>
      <c r="F2010" s="261"/>
      <c r="G2010" s="261"/>
      <c r="H2010" s="261"/>
      <c r="I2010" s="261"/>
      <c r="J2010" s="261"/>
      <c r="K2010" s="261"/>
      <c r="L2010" s="261"/>
      <c r="M2010" s="261"/>
      <c r="N2010" s="261"/>
      <c r="O2010" s="261"/>
      <c r="P2010" s="261"/>
      <c r="Q2010" s="261"/>
      <c r="R2010" s="261"/>
      <c r="S2010" s="261"/>
    </row>
    <row r="2011" spans="1:19">
      <c r="A2011" s="295">
        <v>46488</v>
      </c>
      <c r="B2011" s="259" t="s">
        <v>88</v>
      </c>
      <c r="C2011" s="258"/>
      <c r="D2011" s="261"/>
      <c r="E2011" s="261"/>
      <c r="F2011" s="261"/>
      <c r="G2011" s="261"/>
      <c r="H2011" s="261"/>
      <c r="I2011" s="261"/>
      <c r="J2011" s="261"/>
      <c r="K2011" s="261"/>
      <c r="L2011" s="261"/>
      <c r="M2011" s="261"/>
      <c r="N2011" s="261"/>
      <c r="O2011" s="261"/>
      <c r="P2011" s="261"/>
      <c r="Q2011" s="261"/>
      <c r="R2011" s="261"/>
      <c r="S2011" s="261"/>
    </row>
    <row r="2012" spans="1:19">
      <c r="A2012" s="295"/>
      <c r="B2012" s="259" t="s">
        <v>89</v>
      </c>
      <c r="C2012" s="258"/>
      <c r="D2012" s="261"/>
      <c r="E2012" s="261"/>
      <c r="F2012" s="261"/>
      <c r="G2012" s="261"/>
      <c r="H2012" s="261"/>
      <c r="I2012" s="261"/>
      <c r="J2012" s="261"/>
      <c r="K2012" s="261"/>
      <c r="L2012" s="261"/>
      <c r="M2012" s="261"/>
      <c r="N2012" s="261"/>
      <c r="O2012" s="261"/>
      <c r="P2012" s="261"/>
      <c r="Q2012" s="261"/>
      <c r="R2012" s="261"/>
      <c r="S2012" s="261"/>
    </row>
    <row r="2013" spans="1:19">
      <c r="A2013" s="296"/>
      <c r="B2013" s="267" t="s">
        <v>90</v>
      </c>
      <c r="C2013" s="258"/>
      <c r="D2013" s="261"/>
      <c r="E2013" s="261"/>
      <c r="F2013" s="261"/>
      <c r="G2013" s="261"/>
      <c r="H2013" s="261"/>
      <c r="I2013" s="261"/>
      <c r="J2013" s="261"/>
      <c r="K2013" s="261"/>
      <c r="L2013" s="261"/>
      <c r="M2013" s="261"/>
      <c r="N2013" s="261"/>
      <c r="O2013" s="261"/>
      <c r="P2013" s="261"/>
      <c r="Q2013" s="261"/>
      <c r="R2013" s="261"/>
      <c r="S2013" s="261"/>
    </row>
  </sheetData>
  <mergeCells count="672">
    <mergeCell ref="A2:T2"/>
    <mergeCell ref="A1:T1"/>
    <mergeCell ref="A16:A18"/>
    <mergeCell ref="A19:A21"/>
    <mergeCell ref="A22:A24"/>
    <mergeCell ref="A25:A27"/>
    <mergeCell ref="A28:A30"/>
    <mergeCell ref="A31:A33"/>
    <mergeCell ref="A4:A6"/>
    <mergeCell ref="A7:A9"/>
    <mergeCell ref="A10:A12"/>
    <mergeCell ref="A13:A15"/>
    <mergeCell ref="A52:A54"/>
    <mergeCell ref="A55:A57"/>
    <mergeCell ref="A58:A60"/>
    <mergeCell ref="A61:A63"/>
    <mergeCell ref="A64:A66"/>
    <mergeCell ref="A67:A69"/>
    <mergeCell ref="A34:A36"/>
    <mergeCell ref="A37:A39"/>
    <mergeCell ref="A40:A42"/>
    <mergeCell ref="A43:A45"/>
    <mergeCell ref="A46:A48"/>
    <mergeCell ref="A49:A51"/>
    <mergeCell ref="A88:A90"/>
    <mergeCell ref="A91:A93"/>
    <mergeCell ref="A94:A96"/>
    <mergeCell ref="A97:A99"/>
    <mergeCell ref="A100:A102"/>
    <mergeCell ref="A103:A105"/>
    <mergeCell ref="A70:A72"/>
    <mergeCell ref="A73:A75"/>
    <mergeCell ref="A76:A78"/>
    <mergeCell ref="A79:A81"/>
    <mergeCell ref="A82:A84"/>
    <mergeCell ref="A85:A87"/>
    <mergeCell ref="A124:A126"/>
    <mergeCell ref="A127:A129"/>
    <mergeCell ref="A130:A132"/>
    <mergeCell ref="A133:A135"/>
    <mergeCell ref="A136:A138"/>
    <mergeCell ref="A139:A141"/>
    <mergeCell ref="A106:A108"/>
    <mergeCell ref="A109:A111"/>
    <mergeCell ref="A112:A114"/>
    <mergeCell ref="A115:A117"/>
    <mergeCell ref="A118:A120"/>
    <mergeCell ref="A121:A123"/>
    <mergeCell ref="A160:A162"/>
    <mergeCell ref="A163:A165"/>
    <mergeCell ref="A166:A168"/>
    <mergeCell ref="A169:A171"/>
    <mergeCell ref="A172:A174"/>
    <mergeCell ref="A175:A177"/>
    <mergeCell ref="A142:A144"/>
    <mergeCell ref="A145:A147"/>
    <mergeCell ref="A148:A150"/>
    <mergeCell ref="A151:A153"/>
    <mergeCell ref="A154:A156"/>
    <mergeCell ref="A157:A159"/>
    <mergeCell ref="A196:A198"/>
    <mergeCell ref="A199:A201"/>
    <mergeCell ref="A202:A204"/>
    <mergeCell ref="A205:A207"/>
    <mergeCell ref="A208:A210"/>
    <mergeCell ref="A211:A213"/>
    <mergeCell ref="A178:A180"/>
    <mergeCell ref="A181:A183"/>
    <mergeCell ref="A184:A186"/>
    <mergeCell ref="A187:A189"/>
    <mergeCell ref="A190:A192"/>
    <mergeCell ref="A193:A195"/>
    <mergeCell ref="A232:A234"/>
    <mergeCell ref="A235:A237"/>
    <mergeCell ref="A238:A240"/>
    <mergeCell ref="A241:A243"/>
    <mergeCell ref="A244:A246"/>
    <mergeCell ref="A247:A249"/>
    <mergeCell ref="A214:A216"/>
    <mergeCell ref="A217:A219"/>
    <mergeCell ref="A220:A222"/>
    <mergeCell ref="A223:A225"/>
    <mergeCell ref="A226:A228"/>
    <mergeCell ref="A229:A231"/>
    <mergeCell ref="A268:A270"/>
    <mergeCell ref="A271:A273"/>
    <mergeCell ref="A274:A276"/>
    <mergeCell ref="A277:A279"/>
    <mergeCell ref="A280:A282"/>
    <mergeCell ref="A283:A285"/>
    <mergeCell ref="A250:A252"/>
    <mergeCell ref="A253:A255"/>
    <mergeCell ref="A256:A258"/>
    <mergeCell ref="A259:A261"/>
    <mergeCell ref="A262:A264"/>
    <mergeCell ref="A265:A267"/>
    <mergeCell ref="A304:A306"/>
    <mergeCell ref="A307:A309"/>
    <mergeCell ref="A310:A312"/>
    <mergeCell ref="A313:A315"/>
    <mergeCell ref="A316:A318"/>
    <mergeCell ref="A319:A321"/>
    <mergeCell ref="A286:A288"/>
    <mergeCell ref="A289:A291"/>
    <mergeCell ref="A292:A294"/>
    <mergeCell ref="A295:A297"/>
    <mergeCell ref="A298:A300"/>
    <mergeCell ref="A301:A303"/>
    <mergeCell ref="A340:A342"/>
    <mergeCell ref="A343:A345"/>
    <mergeCell ref="A346:A348"/>
    <mergeCell ref="A349:A351"/>
    <mergeCell ref="A352:A354"/>
    <mergeCell ref="A355:A357"/>
    <mergeCell ref="A322:A324"/>
    <mergeCell ref="A325:A327"/>
    <mergeCell ref="A328:A330"/>
    <mergeCell ref="A331:A333"/>
    <mergeCell ref="A334:A336"/>
    <mergeCell ref="A337:A339"/>
    <mergeCell ref="A376:A378"/>
    <mergeCell ref="A379:A381"/>
    <mergeCell ref="A382:A384"/>
    <mergeCell ref="A385:A387"/>
    <mergeCell ref="A388:A390"/>
    <mergeCell ref="A391:A393"/>
    <mergeCell ref="A358:A360"/>
    <mergeCell ref="A361:A363"/>
    <mergeCell ref="A364:A366"/>
    <mergeCell ref="A367:A369"/>
    <mergeCell ref="A370:A372"/>
    <mergeCell ref="A373:A375"/>
    <mergeCell ref="A412:A414"/>
    <mergeCell ref="A415:A417"/>
    <mergeCell ref="A418:A420"/>
    <mergeCell ref="A421:A423"/>
    <mergeCell ref="A424:A426"/>
    <mergeCell ref="A427:A429"/>
    <mergeCell ref="A394:A396"/>
    <mergeCell ref="A397:A399"/>
    <mergeCell ref="A400:A402"/>
    <mergeCell ref="A403:A405"/>
    <mergeCell ref="A406:A408"/>
    <mergeCell ref="A409:A411"/>
    <mergeCell ref="A448:A450"/>
    <mergeCell ref="A451:A453"/>
    <mergeCell ref="A454:A456"/>
    <mergeCell ref="A457:A459"/>
    <mergeCell ref="A460:A462"/>
    <mergeCell ref="A463:A465"/>
    <mergeCell ref="A430:A432"/>
    <mergeCell ref="A433:A435"/>
    <mergeCell ref="A436:A438"/>
    <mergeCell ref="A439:A441"/>
    <mergeCell ref="A442:A444"/>
    <mergeCell ref="A445:A447"/>
    <mergeCell ref="A484:A486"/>
    <mergeCell ref="A487:A489"/>
    <mergeCell ref="A490:A492"/>
    <mergeCell ref="A493:A495"/>
    <mergeCell ref="A496:A498"/>
    <mergeCell ref="A499:A501"/>
    <mergeCell ref="A466:A468"/>
    <mergeCell ref="A469:A471"/>
    <mergeCell ref="A472:A474"/>
    <mergeCell ref="A475:A477"/>
    <mergeCell ref="A478:A480"/>
    <mergeCell ref="A481:A483"/>
    <mergeCell ref="A520:A522"/>
    <mergeCell ref="A523:A525"/>
    <mergeCell ref="A526:A528"/>
    <mergeCell ref="A529:A531"/>
    <mergeCell ref="A532:A534"/>
    <mergeCell ref="A535:A537"/>
    <mergeCell ref="A502:A504"/>
    <mergeCell ref="A505:A507"/>
    <mergeCell ref="A508:A510"/>
    <mergeCell ref="A511:A513"/>
    <mergeCell ref="A514:A516"/>
    <mergeCell ref="A517:A519"/>
    <mergeCell ref="A556:A558"/>
    <mergeCell ref="A559:A561"/>
    <mergeCell ref="A562:A564"/>
    <mergeCell ref="A565:A567"/>
    <mergeCell ref="A568:A570"/>
    <mergeCell ref="A571:A573"/>
    <mergeCell ref="A538:A540"/>
    <mergeCell ref="A541:A543"/>
    <mergeCell ref="A544:A546"/>
    <mergeCell ref="A547:A549"/>
    <mergeCell ref="A550:A552"/>
    <mergeCell ref="A553:A555"/>
    <mergeCell ref="A610:A612"/>
    <mergeCell ref="A613:A615"/>
    <mergeCell ref="A592:A594"/>
    <mergeCell ref="A595:A597"/>
    <mergeCell ref="A598:A600"/>
    <mergeCell ref="A601:A603"/>
    <mergeCell ref="A604:A606"/>
    <mergeCell ref="A607:A609"/>
    <mergeCell ref="A574:A576"/>
    <mergeCell ref="A577:A579"/>
    <mergeCell ref="A580:A582"/>
    <mergeCell ref="A583:A585"/>
    <mergeCell ref="A586:A588"/>
    <mergeCell ref="A589:A591"/>
    <mergeCell ref="A658:A660"/>
    <mergeCell ref="A661:A663"/>
    <mergeCell ref="A664:A666"/>
    <mergeCell ref="A646:A648"/>
    <mergeCell ref="A649:A651"/>
    <mergeCell ref="A652:A654"/>
    <mergeCell ref="A655:A657"/>
    <mergeCell ref="A643:A645"/>
    <mergeCell ref="A616:A618"/>
    <mergeCell ref="A619:A621"/>
    <mergeCell ref="A622:A624"/>
    <mergeCell ref="A625:A627"/>
    <mergeCell ref="A628:A630"/>
    <mergeCell ref="A631:A633"/>
    <mergeCell ref="A634:A636"/>
    <mergeCell ref="A637:A639"/>
    <mergeCell ref="A640:A642"/>
    <mergeCell ref="A667:A669"/>
    <mergeCell ref="A670:A672"/>
    <mergeCell ref="A673:A675"/>
    <mergeCell ref="A676:A678"/>
    <mergeCell ref="A679:A681"/>
    <mergeCell ref="A682:A684"/>
    <mergeCell ref="A685:A687"/>
    <mergeCell ref="A688:A690"/>
    <mergeCell ref="A691:A693"/>
    <mergeCell ref="A694:A696"/>
    <mergeCell ref="A697:A699"/>
    <mergeCell ref="A700:A702"/>
    <mergeCell ref="A703:A705"/>
    <mergeCell ref="A706:A708"/>
    <mergeCell ref="A709:A711"/>
    <mergeCell ref="A712:A714"/>
    <mergeCell ref="A715:A717"/>
    <mergeCell ref="A718:A720"/>
    <mergeCell ref="A721:A723"/>
    <mergeCell ref="A724:A726"/>
    <mergeCell ref="A727:A729"/>
    <mergeCell ref="A730:A732"/>
    <mergeCell ref="A733:A735"/>
    <mergeCell ref="A736:A738"/>
    <mergeCell ref="A739:A741"/>
    <mergeCell ref="A742:A744"/>
    <mergeCell ref="A745:A747"/>
    <mergeCell ref="A748:A750"/>
    <mergeCell ref="A751:A753"/>
    <mergeCell ref="A754:A756"/>
    <mergeCell ref="A757:A759"/>
    <mergeCell ref="A760:A762"/>
    <mergeCell ref="A763:A765"/>
    <mergeCell ref="A766:A768"/>
    <mergeCell ref="A769:A771"/>
    <mergeCell ref="A772:A774"/>
    <mergeCell ref="A775:A777"/>
    <mergeCell ref="A778:A780"/>
    <mergeCell ref="A781:A783"/>
    <mergeCell ref="A784:A786"/>
    <mergeCell ref="A787:A789"/>
    <mergeCell ref="A790:A792"/>
    <mergeCell ref="A793:A795"/>
    <mergeCell ref="A796:A798"/>
    <mergeCell ref="A799:A801"/>
    <mergeCell ref="A802:A804"/>
    <mergeCell ref="A805:A807"/>
    <mergeCell ref="A808:A810"/>
    <mergeCell ref="A811:A813"/>
    <mergeCell ref="A814:A816"/>
    <mergeCell ref="A817:A819"/>
    <mergeCell ref="A820:A822"/>
    <mergeCell ref="A823:A825"/>
    <mergeCell ref="A826:A828"/>
    <mergeCell ref="A829:A831"/>
    <mergeCell ref="A832:A834"/>
    <mergeCell ref="A835:A837"/>
    <mergeCell ref="A838:A840"/>
    <mergeCell ref="A841:A843"/>
    <mergeCell ref="A844:A846"/>
    <mergeCell ref="A847:A849"/>
    <mergeCell ref="A850:A852"/>
    <mergeCell ref="A853:A855"/>
    <mergeCell ref="A856:A858"/>
    <mergeCell ref="A859:A861"/>
    <mergeCell ref="A862:A864"/>
    <mergeCell ref="A865:A867"/>
    <mergeCell ref="A868:A870"/>
    <mergeCell ref="A871:A873"/>
    <mergeCell ref="A874:A876"/>
    <mergeCell ref="A877:A879"/>
    <mergeCell ref="A880:A882"/>
    <mergeCell ref="A883:A885"/>
    <mergeCell ref="A886:A888"/>
    <mergeCell ref="A889:A891"/>
    <mergeCell ref="A892:A894"/>
    <mergeCell ref="A895:A897"/>
    <mergeCell ref="A898:A900"/>
    <mergeCell ref="A901:A903"/>
    <mergeCell ref="A904:A906"/>
    <mergeCell ref="A907:A909"/>
    <mergeCell ref="A910:A912"/>
    <mergeCell ref="A913:A915"/>
    <mergeCell ref="A916:A918"/>
    <mergeCell ref="A919:A921"/>
    <mergeCell ref="A922:A924"/>
    <mergeCell ref="A925:A927"/>
    <mergeCell ref="A928:A930"/>
    <mergeCell ref="A931:A933"/>
    <mergeCell ref="A934:A936"/>
    <mergeCell ref="A937:A939"/>
    <mergeCell ref="A940:A942"/>
    <mergeCell ref="A943:A945"/>
    <mergeCell ref="A946:A948"/>
    <mergeCell ref="A949:A951"/>
    <mergeCell ref="A952:A954"/>
    <mergeCell ref="A955:A957"/>
    <mergeCell ref="A958:A960"/>
    <mergeCell ref="A961:A963"/>
    <mergeCell ref="A964:A966"/>
    <mergeCell ref="A967:A969"/>
    <mergeCell ref="A970:A972"/>
    <mergeCell ref="A973:A975"/>
    <mergeCell ref="A976:A978"/>
    <mergeCell ref="A979:A981"/>
    <mergeCell ref="A982:A984"/>
    <mergeCell ref="A985:A987"/>
    <mergeCell ref="A988:A990"/>
    <mergeCell ref="A991:A993"/>
    <mergeCell ref="A994:A996"/>
    <mergeCell ref="A997:A999"/>
    <mergeCell ref="A1000:A1002"/>
    <mergeCell ref="A1003:A1005"/>
    <mergeCell ref="A1006:A1008"/>
    <mergeCell ref="A1009:A1011"/>
    <mergeCell ref="A1012:A1014"/>
    <mergeCell ref="A1015:A1017"/>
    <mergeCell ref="A1018:A1020"/>
    <mergeCell ref="A1021:A1023"/>
    <mergeCell ref="A1024:A1026"/>
    <mergeCell ref="A1027:A1029"/>
    <mergeCell ref="A1030:A1032"/>
    <mergeCell ref="A1033:A1035"/>
    <mergeCell ref="A1036:A1038"/>
    <mergeCell ref="A1039:A1041"/>
    <mergeCell ref="A1042:A1044"/>
    <mergeCell ref="A1045:A1047"/>
    <mergeCell ref="A1048:A1050"/>
    <mergeCell ref="A1051:A1053"/>
    <mergeCell ref="A1054:A1056"/>
    <mergeCell ref="A1057:A1059"/>
    <mergeCell ref="A1060:A1062"/>
    <mergeCell ref="A1063:A1065"/>
    <mergeCell ref="A1066:A1068"/>
    <mergeCell ref="A1069:A1071"/>
    <mergeCell ref="A1072:A1074"/>
    <mergeCell ref="A1075:A1077"/>
    <mergeCell ref="A1078:A1080"/>
    <mergeCell ref="A1081:A1083"/>
    <mergeCell ref="A1084:A1086"/>
    <mergeCell ref="A1087:A1089"/>
    <mergeCell ref="A1090:A1092"/>
    <mergeCell ref="A1093:A1095"/>
    <mergeCell ref="A1096:A1098"/>
    <mergeCell ref="A1099:A1101"/>
    <mergeCell ref="A1102:A1104"/>
    <mergeCell ref="A1105:A1107"/>
    <mergeCell ref="A1108:A1110"/>
    <mergeCell ref="A1111:A1113"/>
    <mergeCell ref="A1114:A1116"/>
    <mergeCell ref="A1117:A1119"/>
    <mergeCell ref="A1120:A1122"/>
    <mergeCell ref="A1123:A1125"/>
    <mergeCell ref="A1126:A1128"/>
    <mergeCell ref="A1129:A1131"/>
    <mergeCell ref="A1132:A1134"/>
    <mergeCell ref="A1135:A1137"/>
    <mergeCell ref="A1138:A1140"/>
    <mergeCell ref="A1141:A1143"/>
    <mergeCell ref="A1144:A1146"/>
    <mergeCell ref="A1147:A1149"/>
    <mergeCell ref="A1150:A1152"/>
    <mergeCell ref="A1153:A1155"/>
    <mergeCell ref="A1156:A1158"/>
    <mergeCell ref="A1159:A1161"/>
    <mergeCell ref="A1162:A1164"/>
    <mergeCell ref="A1165:A1167"/>
    <mergeCell ref="A1168:A1170"/>
    <mergeCell ref="A1171:A1173"/>
    <mergeCell ref="A1174:A1176"/>
    <mergeCell ref="A1177:A1179"/>
    <mergeCell ref="A1180:A1182"/>
    <mergeCell ref="A1183:A1185"/>
    <mergeCell ref="A1186:A1188"/>
    <mergeCell ref="A1189:A1191"/>
    <mergeCell ref="A1192:A1194"/>
    <mergeCell ref="A1195:A1197"/>
    <mergeCell ref="A1198:A1200"/>
    <mergeCell ref="A1201:A1203"/>
    <mergeCell ref="A1204:A1206"/>
    <mergeCell ref="A1207:A1209"/>
    <mergeCell ref="A1210:A1212"/>
    <mergeCell ref="A1213:A1215"/>
    <mergeCell ref="A1216:A1218"/>
    <mergeCell ref="A1219:A1221"/>
    <mergeCell ref="A1222:A1224"/>
    <mergeCell ref="A1225:A1227"/>
    <mergeCell ref="A1228:A1230"/>
    <mergeCell ref="A1231:A1233"/>
    <mergeCell ref="A1234:A1236"/>
    <mergeCell ref="A1237:A1239"/>
    <mergeCell ref="A1240:A1242"/>
    <mergeCell ref="A1243:A1245"/>
    <mergeCell ref="A1246:A1248"/>
    <mergeCell ref="A1249:A1251"/>
    <mergeCell ref="A1252:A1254"/>
    <mergeCell ref="A1255:A1257"/>
    <mergeCell ref="A1258:A1260"/>
    <mergeCell ref="A1261:A1263"/>
    <mergeCell ref="A1264:A1266"/>
    <mergeCell ref="A1267:A1269"/>
    <mergeCell ref="A1270:A1272"/>
    <mergeCell ref="A1273:A1275"/>
    <mergeCell ref="A1276:A1278"/>
    <mergeCell ref="A1279:A1281"/>
    <mergeCell ref="A1282:A1284"/>
    <mergeCell ref="A1285:A1287"/>
    <mergeCell ref="A1288:A1290"/>
    <mergeCell ref="A1291:A1293"/>
    <mergeCell ref="A1294:A1296"/>
    <mergeCell ref="A1297:A1299"/>
    <mergeCell ref="A1300:A1302"/>
    <mergeCell ref="A1303:A1305"/>
    <mergeCell ref="A1306:A1308"/>
    <mergeCell ref="A1309:A1311"/>
    <mergeCell ref="A1312:A1314"/>
    <mergeCell ref="A1315:A1317"/>
    <mergeCell ref="A1318:A1320"/>
    <mergeCell ref="A1321:A1323"/>
    <mergeCell ref="A1324:A1326"/>
    <mergeCell ref="A1327:A1329"/>
    <mergeCell ref="A1330:A1332"/>
    <mergeCell ref="A1333:A1335"/>
    <mergeCell ref="A1336:A1338"/>
    <mergeCell ref="A1339:A1341"/>
    <mergeCell ref="A1342:A1344"/>
    <mergeCell ref="A1345:A1347"/>
    <mergeCell ref="A1348:A1350"/>
    <mergeCell ref="A1351:A1353"/>
    <mergeCell ref="A1354:A1356"/>
    <mergeCell ref="A1357:A1359"/>
    <mergeCell ref="A1360:A1362"/>
    <mergeCell ref="A1363:A1365"/>
    <mergeCell ref="A1366:A1368"/>
    <mergeCell ref="A1369:A1371"/>
    <mergeCell ref="A1372:A1374"/>
    <mergeCell ref="A1375:A1377"/>
    <mergeCell ref="A1378:A1380"/>
    <mergeCell ref="A1381:A1383"/>
    <mergeCell ref="A1384:A1386"/>
    <mergeCell ref="A1387:A1389"/>
    <mergeCell ref="A1390:A1392"/>
    <mergeCell ref="A1393:A1395"/>
    <mergeCell ref="A1396:A1398"/>
    <mergeCell ref="A1399:A1401"/>
    <mergeCell ref="A1402:A1404"/>
    <mergeCell ref="A1405:A1407"/>
    <mergeCell ref="A1408:A1410"/>
    <mergeCell ref="A1411:A1413"/>
    <mergeCell ref="A1414:A1416"/>
    <mergeCell ref="A1417:A1419"/>
    <mergeCell ref="A1420:A1422"/>
    <mergeCell ref="A1423:A1425"/>
    <mergeCell ref="A1426:A1428"/>
    <mergeCell ref="A1429:A1431"/>
    <mergeCell ref="A1432:A1434"/>
    <mergeCell ref="A1435:A1437"/>
    <mergeCell ref="A1438:A1440"/>
    <mergeCell ref="A1441:A1443"/>
    <mergeCell ref="A1444:A1446"/>
    <mergeCell ref="A1447:A1449"/>
    <mergeCell ref="A1450:A1452"/>
    <mergeCell ref="A1453:A1455"/>
    <mergeCell ref="A1456:A1458"/>
    <mergeCell ref="A1459:A1461"/>
    <mergeCell ref="A1462:A1464"/>
    <mergeCell ref="A1465:A1467"/>
    <mergeCell ref="A1468:A1470"/>
    <mergeCell ref="A1471:A1473"/>
    <mergeCell ref="A1474:A1476"/>
    <mergeCell ref="A1477:A1479"/>
    <mergeCell ref="A1480:A1482"/>
    <mergeCell ref="A1483:A1485"/>
    <mergeCell ref="A1486:A1488"/>
    <mergeCell ref="A1489:A1491"/>
    <mergeCell ref="A1492:A1494"/>
    <mergeCell ref="A1495:A1497"/>
    <mergeCell ref="A1498:A1500"/>
    <mergeCell ref="A1501:A1503"/>
    <mergeCell ref="A1504:A1506"/>
    <mergeCell ref="A1507:A1509"/>
    <mergeCell ref="A1510:A1512"/>
    <mergeCell ref="A1513:A1515"/>
    <mergeCell ref="A1516:A1518"/>
    <mergeCell ref="A1519:A1521"/>
    <mergeCell ref="A1522:A1524"/>
    <mergeCell ref="A1525:A1527"/>
    <mergeCell ref="A1528:A1530"/>
    <mergeCell ref="A1531:A1533"/>
    <mergeCell ref="A1534:A1536"/>
    <mergeCell ref="A1537:A1539"/>
    <mergeCell ref="A1540:A1542"/>
    <mergeCell ref="A1543:A1545"/>
    <mergeCell ref="A1546:A1548"/>
    <mergeCell ref="A1549:A1551"/>
    <mergeCell ref="A1552:A1554"/>
    <mergeCell ref="A1555:A1557"/>
    <mergeCell ref="A1558:A1560"/>
    <mergeCell ref="A1561:A1563"/>
    <mergeCell ref="A1564:A1566"/>
    <mergeCell ref="A1567:A1569"/>
    <mergeCell ref="A1570:A1572"/>
    <mergeCell ref="A1573:A1575"/>
    <mergeCell ref="A1576:A1578"/>
    <mergeCell ref="A1579:A1581"/>
    <mergeCell ref="A1582:A1584"/>
    <mergeCell ref="A1585:A1587"/>
    <mergeCell ref="A1588:A1590"/>
    <mergeCell ref="A1591:A1593"/>
    <mergeCell ref="A1594:A1596"/>
    <mergeCell ref="A1597:A1599"/>
    <mergeCell ref="A1600:A1602"/>
    <mergeCell ref="A1603:A1605"/>
    <mergeCell ref="A1606:A1608"/>
    <mergeCell ref="A1609:A1611"/>
    <mergeCell ref="A1612:A1614"/>
    <mergeCell ref="A1615:A1617"/>
    <mergeCell ref="A1618:A1620"/>
    <mergeCell ref="A1621:A1623"/>
    <mergeCell ref="A1624:A1626"/>
    <mergeCell ref="A1627:A1629"/>
    <mergeCell ref="A1630:A1632"/>
    <mergeCell ref="A1633:A1635"/>
    <mergeCell ref="A1636:A1638"/>
    <mergeCell ref="A1639:A1641"/>
    <mergeCell ref="A1642:A1644"/>
    <mergeCell ref="A1645:A1647"/>
    <mergeCell ref="A1648:A1650"/>
    <mergeCell ref="A1651:A1653"/>
    <mergeCell ref="A1654:A1656"/>
    <mergeCell ref="A1657:A1659"/>
    <mergeCell ref="A1660:A1662"/>
    <mergeCell ref="A1663:A1665"/>
    <mergeCell ref="A1666:A1668"/>
    <mergeCell ref="A1669:A1671"/>
    <mergeCell ref="A1672:A1674"/>
    <mergeCell ref="A1675:A1677"/>
    <mergeCell ref="A1678:A1680"/>
    <mergeCell ref="A1681:A1683"/>
    <mergeCell ref="A1684:A1686"/>
    <mergeCell ref="A1687:A1689"/>
    <mergeCell ref="A1690:A1692"/>
    <mergeCell ref="A1693:A1695"/>
    <mergeCell ref="A1696:A1698"/>
    <mergeCell ref="A1699:A1701"/>
    <mergeCell ref="A1702:A1704"/>
    <mergeCell ref="A1705:A1707"/>
    <mergeCell ref="A1708:A1710"/>
    <mergeCell ref="A1711:A1713"/>
    <mergeCell ref="A1714:A1716"/>
    <mergeCell ref="A1717:A1719"/>
    <mergeCell ref="A1720:A1722"/>
    <mergeCell ref="A1723:A1725"/>
    <mergeCell ref="A1726:A1728"/>
    <mergeCell ref="A1729:A1731"/>
    <mergeCell ref="A1732:A1734"/>
    <mergeCell ref="A1735:A1737"/>
    <mergeCell ref="A1738:A1740"/>
    <mergeCell ref="A1741:A1743"/>
    <mergeCell ref="A1744:A1746"/>
    <mergeCell ref="A1747:A1749"/>
    <mergeCell ref="A1750:A1752"/>
    <mergeCell ref="A1753:A1755"/>
    <mergeCell ref="A1756:A1758"/>
    <mergeCell ref="A1759:A1761"/>
    <mergeCell ref="A1762:A1764"/>
    <mergeCell ref="A1765:A1767"/>
    <mergeCell ref="A1768:A1770"/>
    <mergeCell ref="A1771:A1773"/>
    <mergeCell ref="A1774:A1776"/>
    <mergeCell ref="A1777:A1779"/>
    <mergeCell ref="A1780:A1782"/>
    <mergeCell ref="A1783:A1785"/>
    <mergeCell ref="A1786:A1788"/>
    <mergeCell ref="A1789:A1791"/>
    <mergeCell ref="A1792:A1794"/>
    <mergeCell ref="A1795:A1797"/>
    <mergeCell ref="A1798:A1800"/>
    <mergeCell ref="A1801:A1803"/>
    <mergeCell ref="A1804:A1806"/>
    <mergeCell ref="A1807:A1809"/>
    <mergeCell ref="A1810:A1812"/>
    <mergeCell ref="A1813:A1815"/>
    <mergeCell ref="A1816:A1818"/>
    <mergeCell ref="A1819:A1821"/>
    <mergeCell ref="A1822:A1824"/>
    <mergeCell ref="A1825:A1827"/>
    <mergeCell ref="A1828:A1830"/>
    <mergeCell ref="A1831:A1833"/>
    <mergeCell ref="A1834:A1836"/>
    <mergeCell ref="A1837:A1839"/>
    <mergeCell ref="A1840:A1842"/>
    <mergeCell ref="A1843:A1845"/>
    <mergeCell ref="A1846:A1848"/>
    <mergeCell ref="A1849:A1851"/>
    <mergeCell ref="A1852:A1854"/>
    <mergeCell ref="A1855:A1857"/>
    <mergeCell ref="A1858:A1860"/>
    <mergeCell ref="A1861:A1863"/>
    <mergeCell ref="A1864:A1866"/>
    <mergeCell ref="A1867:A1869"/>
    <mergeCell ref="A1870:A1872"/>
    <mergeCell ref="A1873:A1875"/>
    <mergeCell ref="A1876:A1878"/>
    <mergeCell ref="A1879:A1881"/>
    <mergeCell ref="A1882:A1884"/>
    <mergeCell ref="A1885:A1887"/>
    <mergeCell ref="A1888:A1890"/>
    <mergeCell ref="A1891:A1893"/>
    <mergeCell ref="A1894:A1896"/>
    <mergeCell ref="A1897:A1899"/>
    <mergeCell ref="A1900:A1902"/>
    <mergeCell ref="A1903:A1905"/>
    <mergeCell ref="A1906:A1908"/>
    <mergeCell ref="A1909:A1911"/>
    <mergeCell ref="A1912:A1914"/>
    <mergeCell ref="A1915:A1917"/>
    <mergeCell ref="A1918:A1920"/>
    <mergeCell ref="A1921:A1923"/>
    <mergeCell ref="A1924:A1926"/>
    <mergeCell ref="A1927:A1929"/>
    <mergeCell ref="A1930:A1932"/>
    <mergeCell ref="A1933:A1935"/>
    <mergeCell ref="A1936:A1938"/>
    <mergeCell ref="A1939:A1941"/>
    <mergeCell ref="A1942:A1944"/>
    <mergeCell ref="A1945:A1947"/>
    <mergeCell ref="A1948:A1950"/>
    <mergeCell ref="A1951:A1953"/>
    <mergeCell ref="A1954:A1956"/>
    <mergeCell ref="A1957:A1959"/>
    <mergeCell ref="A1960:A1962"/>
    <mergeCell ref="A1990:A1992"/>
    <mergeCell ref="A1993:A1995"/>
    <mergeCell ref="A1996:A1998"/>
    <mergeCell ref="A1999:A2001"/>
    <mergeCell ref="A2002:A2004"/>
    <mergeCell ref="A2005:A2007"/>
    <mergeCell ref="A2008:A2010"/>
    <mergeCell ref="A2011:A2013"/>
    <mergeCell ref="A1963:A1965"/>
    <mergeCell ref="A1966:A1968"/>
    <mergeCell ref="A1969:A1971"/>
    <mergeCell ref="A1972:A1974"/>
    <mergeCell ref="A1975:A1977"/>
    <mergeCell ref="A1978:A1980"/>
    <mergeCell ref="A1981:A1983"/>
    <mergeCell ref="A1984:A1986"/>
    <mergeCell ref="A1987:A198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3241-F1DC-4757-B5B9-DD7EB2B241C3}">
  <sheetPr>
    <tabColor rgb="FF00B0F0"/>
  </sheetPr>
  <dimension ref="A1:V1166"/>
  <sheetViews>
    <sheetView zoomScale="75" zoomScaleNormal="100" workbookViewId="0">
      <pane xSplit="1" ySplit="2" topLeftCell="B188" activePane="bottomRight" state="frozen"/>
      <selection pane="bottomRight" activeCell="A189" sqref="A189"/>
      <selection pane="bottomLeft"/>
      <selection pane="topRight"/>
    </sheetView>
  </sheetViews>
  <sheetFormatPr defaultColWidth="11" defaultRowHeight="15.75" customHeight="1"/>
  <cols>
    <col min="1" max="1" width="11" style="17"/>
    <col min="2" max="2" width="6.375" style="17" bestFit="1" customWidth="1"/>
    <col min="3" max="3" width="5.875" style="17" bestFit="1" customWidth="1"/>
    <col min="4" max="5" width="10.625" style="51" customWidth="1"/>
    <col min="6" max="6" width="10.625" style="119" customWidth="1"/>
    <col min="7" max="7" width="10.625" style="51" customWidth="1"/>
    <col min="8" max="8" width="12.125" style="17" customWidth="1"/>
    <col min="9" max="9" width="9.875" style="161" bestFit="1" customWidth="1"/>
    <col min="10" max="11" width="15.5" style="99" customWidth="1"/>
    <col min="12" max="12" width="46.125" style="17" customWidth="1"/>
    <col min="13" max="13" width="10.875" customWidth="1"/>
    <col min="22" max="22" width="51.625" customWidth="1"/>
  </cols>
  <sheetData>
    <row r="1" spans="1:22" ht="23.25" customHeight="1">
      <c r="A1" s="299" t="s">
        <v>227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</row>
    <row r="2" spans="1:22" ht="37.5" customHeight="1">
      <c r="A2" s="199" t="s">
        <v>12</v>
      </c>
      <c r="B2" s="199" t="s">
        <v>228</v>
      </c>
      <c r="C2" s="199" t="s">
        <v>13</v>
      </c>
      <c r="D2" s="200" t="s">
        <v>229</v>
      </c>
      <c r="E2" s="200" t="s">
        <v>230</v>
      </c>
      <c r="F2" s="201" t="s">
        <v>231</v>
      </c>
      <c r="G2" s="200" t="s">
        <v>87</v>
      </c>
      <c r="H2" s="199" t="s">
        <v>232</v>
      </c>
      <c r="I2" s="232" t="s">
        <v>233</v>
      </c>
      <c r="J2" s="202" t="s">
        <v>234</v>
      </c>
      <c r="K2" s="202" t="s">
        <v>235</v>
      </c>
      <c r="L2" s="203" t="s">
        <v>55</v>
      </c>
      <c r="M2" s="204"/>
      <c r="N2" s="111"/>
      <c r="O2" s="111"/>
      <c r="P2" s="111"/>
      <c r="Q2" s="111"/>
      <c r="R2" s="111"/>
      <c r="S2" s="111"/>
      <c r="T2" s="111"/>
      <c r="U2" s="111"/>
      <c r="V2" s="111"/>
    </row>
    <row r="3" spans="1:22" ht="15.95" customHeight="1">
      <c r="A3" s="96">
        <v>45800</v>
      </c>
      <c r="B3" s="97">
        <v>1142</v>
      </c>
      <c r="C3" s="98">
        <f t="shared" ref="C3:C56" si="0">(B3/1050)*100</f>
        <v>108.76190476190477</v>
      </c>
      <c r="D3" s="138">
        <v>0.39</v>
      </c>
      <c r="E3" s="138">
        <v>0.92</v>
      </c>
      <c r="F3" s="141">
        <v>0.6</v>
      </c>
      <c r="G3" s="138">
        <v>1.89</v>
      </c>
      <c r="H3" s="97">
        <v>45</v>
      </c>
      <c r="I3" s="158">
        <v>50</v>
      </c>
      <c r="J3" s="205"/>
      <c r="K3" s="205"/>
      <c r="L3" s="206"/>
      <c r="M3" s="204"/>
      <c r="N3" s="111"/>
      <c r="O3" s="111"/>
      <c r="P3" s="111"/>
      <c r="Q3" s="111"/>
      <c r="R3" s="111"/>
      <c r="S3" s="111"/>
      <c r="T3" s="111"/>
      <c r="U3" s="111"/>
      <c r="V3" s="111"/>
    </row>
    <row r="4" spans="1:22" ht="15.95" customHeight="1">
      <c r="A4" s="96">
        <v>45801</v>
      </c>
      <c r="B4" s="97">
        <v>1135</v>
      </c>
      <c r="C4" s="98">
        <f t="shared" si="0"/>
        <v>108.09523809523809</v>
      </c>
      <c r="D4" s="138">
        <v>0.41</v>
      </c>
      <c r="E4" s="138">
        <v>0.89</v>
      </c>
      <c r="F4" s="141">
        <v>0.4</v>
      </c>
      <c r="G4" s="138">
        <v>1.89</v>
      </c>
      <c r="H4" s="97">
        <v>43</v>
      </c>
      <c r="I4" s="158">
        <v>46</v>
      </c>
      <c r="J4" s="205"/>
      <c r="K4" s="205"/>
      <c r="L4" s="206"/>
      <c r="M4" s="204"/>
      <c r="N4" s="111"/>
      <c r="O4" s="111"/>
      <c r="P4" s="111"/>
      <c r="Q4" s="111"/>
      <c r="R4" s="111"/>
      <c r="S4" s="111"/>
      <c r="T4" s="111"/>
      <c r="U4" s="111"/>
      <c r="V4" s="111"/>
    </row>
    <row r="5" spans="1:22" ht="15.95" customHeight="1">
      <c r="A5" s="96">
        <v>45802</v>
      </c>
      <c r="B5" s="97">
        <v>1149</v>
      </c>
      <c r="C5" s="98">
        <f t="shared" si="0"/>
        <v>109.42857142857143</v>
      </c>
      <c r="D5" s="138">
        <v>0.37</v>
      </c>
      <c r="E5" s="138">
        <v>0.89</v>
      </c>
      <c r="F5" s="141">
        <v>0.4</v>
      </c>
      <c r="G5" s="138">
        <v>1.88</v>
      </c>
      <c r="H5" s="97">
        <v>38.5</v>
      </c>
      <c r="I5" s="158">
        <v>54</v>
      </c>
      <c r="J5" s="205"/>
      <c r="K5" s="205"/>
      <c r="L5" s="206"/>
      <c r="M5" s="204"/>
      <c r="N5" s="111"/>
      <c r="O5" s="111"/>
      <c r="P5" s="111"/>
      <c r="Q5" s="111"/>
      <c r="R5" s="111"/>
      <c r="S5" s="111"/>
      <c r="T5" s="111"/>
      <c r="U5" s="111"/>
      <c r="V5" s="111"/>
    </row>
    <row r="6" spans="1:22" ht="15.95" customHeight="1">
      <c r="A6" s="96">
        <v>45803</v>
      </c>
      <c r="B6" s="97">
        <v>1144</v>
      </c>
      <c r="C6" s="98">
        <f t="shared" si="0"/>
        <v>108.95238095238096</v>
      </c>
      <c r="D6" s="138">
        <v>0.38</v>
      </c>
      <c r="E6" s="138">
        <v>0.9</v>
      </c>
      <c r="F6" s="141">
        <v>0.6</v>
      </c>
      <c r="G6" s="138">
        <v>1.88</v>
      </c>
      <c r="H6" s="97">
        <v>41.8</v>
      </c>
      <c r="I6" s="158">
        <v>52</v>
      </c>
      <c r="J6" s="205"/>
      <c r="K6" s="205"/>
      <c r="L6" s="206"/>
      <c r="M6" s="204"/>
      <c r="N6" s="111"/>
      <c r="O6" s="111"/>
      <c r="P6" s="111"/>
      <c r="Q6" s="111"/>
      <c r="R6" s="111"/>
      <c r="S6" s="111"/>
      <c r="T6" s="111"/>
      <c r="U6" s="111"/>
      <c r="V6" s="111"/>
    </row>
    <row r="7" spans="1:22" ht="15.95" customHeight="1">
      <c r="A7" s="96">
        <v>45804</v>
      </c>
      <c r="B7" s="97">
        <v>1135</v>
      </c>
      <c r="C7" s="98">
        <f t="shared" si="0"/>
        <v>108.09523809523809</v>
      </c>
      <c r="D7" s="138">
        <v>0.37</v>
      </c>
      <c r="E7" s="138">
        <v>0.91</v>
      </c>
      <c r="F7" s="141">
        <v>0.6</v>
      </c>
      <c r="G7" s="138">
        <v>1.89</v>
      </c>
      <c r="H7" s="97">
        <v>42.2</v>
      </c>
      <c r="I7" s="158">
        <v>52</v>
      </c>
      <c r="J7" s="205"/>
      <c r="K7" s="205"/>
      <c r="L7" s="206"/>
      <c r="M7" s="204"/>
      <c r="N7" s="111"/>
      <c r="O7" s="111"/>
      <c r="P7" s="111"/>
      <c r="Q7" s="111"/>
      <c r="R7" s="111"/>
      <c r="S7" s="111"/>
      <c r="T7" s="111"/>
      <c r="U7" s="111"/>
      <c r="V7" s="111"/>
    </row>
    <row r="8" spans="1:22" ht="15.95" customHeight="1">
      <c r="A8" s="96">
        <v>45805</v>
      </c>
      <c r="B8" s="97">
        <v>1137</v>
      </c>
      <c r="C8" s="98">
        <f t="shared" si="0"/>
        <v>108.28571428571429</v>
      </c>
      <c r="D8" s="138">
        <v>0.37</v>
      </c>
      <c r="E8" s="138">
        <v>0.9</v>
      </c>
      <c r="F8" s="141">
        <v>0.5</v>
      </c>
      <c r="G8" s="138">
        <v>1.89</v>
      </c>
      <c r="H8" s="97">
        <v>42.2</v>
      </c>
      <c r="I8" s="158">
        <v>53</v>
      </c>
      <c r="J8" s="205"/>
      <c r="K8" s="205"/>
      <c r="L8" s="206"/>
      <c r="M8" s="204"/>
      <c r="N8" s="111"/>
      <c r="O8" s="111"/>
      <c r="P8" s="111"/>
      <c r="Q8" s="111"/>
      <c r="R8" s="111"/>
      <c r="S8" s="111"/>
      <c r="T8" s="111"/>
      <c r="U8" s="111"/>
      <c r="V8" s="111"/>
    </row>
    <row r="9" spans="1:22" ht="15.95" customHeight="1">
      <c r="A9" s="96">
        <v>45806</v>
      </c>
      <c r="B9" s="97">
        <v>1146</v>
      </c>
      <c r="C9" s="98">
        <f t="shared" si="0"/>
        <v>109.14285714285714</v>
      </c>
      <c r="D9" s="138">
        <v>0.36</v>
      </c>
      <c r="E9" s="138">
        <v>0.92</v>
      </c>
      <c r="F9" s="141">
        <v>0.3</v>
      </c>
      <c r="G9" s="138">
        <v>1.91</v>
      </c>
      <c r="H9" s="97">
        <v>44</v>
      </c>
      <c r="I9" s="158">
        <v>53</v>
      </c>
      <c r="J9" s="205"/>
      <c r="K9" s="205"/>
      <c r="L9" s="206"/>
      <c r="M9" s="204"/>
      <c r="N9" s="111"/>
      <c r="O9" s="111"/>
      <c r="P9" s="111"/>
      <c r="Q9" s="111"/>
      <c r="R9" s="111"/>
      <c r="S9" s="111"/>
      <c r="T9" s="111"/>
      <c r="U9" s="111"/>
      <c r="V9" s="111"/>
    </row>
    <row r="10" spans="1:22" ht="15.95" customHeight="1">
      <c r="A10" s="96">
        <v>45807</v>
      </c>
      <c r="B10" s="97">
        <v>1155</v>
      </c>
      <c r="C10" s="98">
        <f t="shared" si="0"/>
        <v>110.00000000000001</v>
      </c>
      <c r="D10" s="138">
        <v>0.35</v>
      </c>
      <c r="E10" s="138">
        <v>0.92</v>
      </c>
      <c r="F10" s="141">
        <v>0.4</v>
      </c>
      <c r="G10" s="138">
        <v>1.92</v>
      </c>
      <c r="H10" s="97">
        <v>41</v>
      </c>
      <c r="I10" s="158">
        <v>54</v>
      </c>
      <c r="J10" s="205"/>
      <c r="K10" s="205"/>
      <c r="L10" s="206"/>
      <c r="M10" s="204"/>
      <c r="N10" s="111"/>
      <c r="O10" s="111"/>
      <c r="P10" s="111"/>
      <c r="Q10" s="111"/>
      <c r="R10" s="111"/>
      <c r="S10" s="111"/>
      <c r="T10" s="111"/>
      <c r="U10" s="111"/>
      <c r="V10" s="111"/>
    </row>
    <row r="11" spans="1:22" ht="15.95" customHeight="1">
      <c r="A11" s="96">
        <v>45808</v>
      </c>
      <c r="B11" s="97">
        <v>1148</v>
      </c>
      <c r="C11" s="98">
        <f t="shared" si="0"/>
        <v>109.33333333333333</v>
      </c>
      <c r="D11" s="138">
        <v>0.35</v>
      </c>
      <c r="E11" s="138">
        <v>0.91</v>
      </c>
      <c r="F11" s="141">
        <v>0.4</v>
      </c>
      <c r="G11" s="138">
        <v>1.92</v>
      </c>
      <c r="H11" s="97">
        <v>36</v>
      </c>
      <c r="I11" s="158">
        <v>48</v>
      </c>
      <c r="J11" s="205"/>
      <c r="K11" s="205"/>
      <c r="L11" s="206"/>
      <c r="M11" s="204"/>
      <c r="N11" s="111"/>
      <c r="O11" s="111"/>
      <c r="P11" s="111"/>
      <c r="Q11" s="111"/>
      <c r="R11" s="111"/>
      <c r="S11" s="111"/>
      <c r="T11" s="111"/>
      <c r="U11" s="111"/>
      <c r="V11" s="111"/>
    </row>
    <row r="12" spans="1:22" ht="15.95" customHeight="1">
      <c r="A12" s="96">
        <v>45809</v>
      </c>
      <c r="B12" s="97">
        <v>1149</v>
      </c>
      <c r="C12" s="98">
        <f t="shared" si="0"/>
        <v>109.42857142857143</v>
      </c>
      <c r="D12" s="138">
        <v>0.33</v>
      </c>
      <c r="E12" s="138">
        <v>0.92</v>
      </c>
      <c r="F12" s="141">
        <v>0.5</v>
      </c>
      <c r="G12" s="138">
        <v>1.93</v>
      </c>
      <c r="H12" s="97">
        <v>40.299999999999997</v>
      </c>
      <c r="I12" s="158">
        <v>71</v>
      </c>
      <c r="J12" s="205"/>
      <c r="K12" s="205"/>
      <c r="L12" s="206"/>
      <c r="M12" s="204"/>
      <c r="N12" s="111"/>
      <c r="O12" s="111"/>
      <c r="P12" s="111"/>
      <c r="Q12" s="111"/>
      <c r="R12" s="111"/>
      <c r="S12" s="111"/>
      <c r="T12" s="111"/>
      <c r="U12" s="111"/>
      <c r="V12" s="111"/>
    </row>
    <row r="13" spans="1:22" ht="15.95" customHeight="1">
      <c r="A13" s="96">
        <v>45810</v>
      </c>
      <c r="B13" s="97">
        <v>1148</v>
      </c>
      <c r="C13" s="98">
        <f t="shared" si="0"/>
        <v>109.33333333333333</v>
      </c>
      <c r="D13" s="138">
        <v>0.31</v>
      </c>
      <c r="E13" s="138">
        <v>0.9</v>
      </c>
      <c r="F13" s="141">
        <v>0.5</v>
      </c>
      <c r="G13" s="138">
        <v>1.96</v>
      </c>
      <c r="H13" s="97">
        <v>41.2</v>
      </c>
      <c r="I13" s="158">
        <v>46</v>
      </c>
      <c r="J13" s="205"/>
      <c r="K13" s="205"/>
      <c r="L13" s="206"/>
      <c r="M13" s="204"/>
      <c r="N13" s="111"/>
      <c r="O13" s="111"/>
      <c r="P13" s="111"/>
      <c r="Q13" s="111"/>
      <c r="R13" s="111"/>
      <c r="S13" s="111"/>
      <c r="T13" s="111"/>
      <c r="U13" s="111"/>
      <c r="V13" s="111"/>
    </row>
    <row r="14" spans="1:22" ht="15.95" customHeight="1">
      <c r="A14" s="96">
        <v>45811</v>
      </c>
      <c r="B14" s="97">
        <v>1141</v>
      </c>
      <c r="C14" s="98">
        <f t="shared" si="0"/>
        <v>108.66666666666667</v>
      </c>
      <c r="D14" s="138">
        <v>0.3</v>
      </c>
      <c r="E14" s="138">
        <v>0.92</v>
      </c>
      <c r="F14" s="141">
        <v>0.3</v>
      </c>
      <c r="G14" s="138">
        <v>1.95</v>
      </c>
      <c r="H14" s="97">
        <v>35.4</v>
      </c>
      <c r="I14" s="158">
        <v>46</v>
      </c>
      <c r="J14" s="205"/>
      <c r="K14" s="205"/>
      <c r="L14" s="206"/>
      <c r="M14" s="204"/>
      <c r="N14" s="111"/>
      <c r="O14" s="111"/>
      <c r="P14" s="111"/>
      <c r="Q14" s="111"/>
      <c r="R14" s="111"/>
      <c r="S14" s="111"/>
      <c r="T14" s="111"/>
      <c r="U14" s="111"/>
      <c r="V14" s="111"/>
    </row>
    <row r="15" spans="1:22" ht="15.95" customHeight="1">
      <c r="A15" s="96">
        <v>45812</v>
      </c>
      <c r="B15" s="97">
        <v>1141</v>
      </c>
      <c r="C15" s="98">
        <f t="shared" si="0"/>
        <v>108.66666666666667</v>
      </c>
      <c r="D15" s="138">
        <v>0.31</v>
      </c>
      <c r="E15" s="138">
        <v>0.9</v>
      </c>
      <c r="F15" s="141">
        <v>0.2</v>
      </c>
      <c r="G15" s="138">
        <v>1.97</v>
      </c>
      <c r="H15" s="97">
        <v>38.4</v>
      </c>
      <c r="I15" s="158">
        <v>55</v>
      </c>
      <c r="J15" s="205"/>
      <c r="K15" s="205"/>
      <c r="L15" s="206"/>
      <c r="M15" s="204"/>
      <c r="N15" s="111"/>
      <c r="O15" s="111"/>
      <c r="P15" s="111"/>
      <c r="Q15" s="111"/>
      <c r="R15" s="111"/>
      <c r="S15" s="111"/>
      <c r="T15" s="111"/>
      <c r="U15" s="111"/>
      <c r="V15" s="111"/>
    </row>
    <row r="16" spans="1:22" ht="15.95" customHeight="1">
      <c r="A16" s="96">
        <v>45813</v>
      </c>
      <c r="B16" s="97">
        <v>1145</v>
      </c>
      <c r="C16" s="98">
        <f t="shared" si="0"/>
        <v>109.04761904761904</v>
      </c>
      <c r="D16" s="138">
        <v>0.28999999999999998</v>
      </c>
      <c r="E16" s="138">
        <v>0.93</v>
      </c>
      <c r="F16" s="141">
        <v>0.6</v>
      </c>
      <c r="G16" s="138">
        <v>1.97</v>
      </c>
      <c r="H16" s="97">
        <v>39.9</v>
      </c>
      <c r="I16" s="158">
        <v>46</v>
      </c>
      <c r="J16" s="205"/>
      <c r="K16" s="205"/>
      <c r="L16" s="206"/>
      <c r="M16" s="204"/>
      <c r="N16" s="111"/>
      <c r="O16" s="111"/>
      <c r="P16" s="111"/>
      <c r="Q16" s="111"/>
      <c r="R16" s="111"/>
      <c r="S16" s="111"/>
      <c r="T16" s="111"/>
      <c r="U16" s="111"/>
      <c r="V16" s="111"/>
    </row>
    <row r="17" spans="1:22" ht="15.95" customHeight="1">
      <c r="A17" s="96">
        <v>45814</v>
      </c>
      <c r="B17" s="97">
        <v>1138</v>
      </c>
      <c r="C17" s="98">
        <f t="shared" si="0"/>
        <v>108.38095238095238</v>
      </c>
      <c r="D17" s="138">
        <v>0.28999999999999998</v>
      </c>
      <c r="E17" s="138">
        <v>0.93</v>
      </c>
      <c r="F17" s="141">
        <v>0.1</v>
      </c>
      <c r="G17" s="138">
        <v>1.97</v>
      </c>
      <c r="H17" s="97">
        <v>42.3</v>
      </c>
      <c r="I17" s="158">
        <v>42</v>
      </c>
      <c r="J17" s="205"/>
      <c r="K17" s="205"/>
      <c r="L17" s="206"/>
      <c r="M17" s="204"/>
      <c r="N17" s="111"/>
      <c r="O17" s="111"/>
      <c r="P17" s="111"/>
      <c r="Q17" s="111"/>
      <c r="R17" s="111"/>
      <c r="S17" s="111"/>
      <c r="T17" s="111"/>
      <c r="U17" s="111"/>
      <c r="V17" s="111"/>
    </row>
    <row r="18" spans="1:22" ht="15.95" customHeight="1">
      <c r="A18" s="96">
        <v>45815</v>
      </c>
      <c r="B18" s="97">
        <v>1115</v>
      </c>
      <c r="C18" s="98">
        <f t="shared" si="0"/>
        <v>106.19047619047619</v>
      </c>
      <c r="D18" s="138">
        <v>0.32</v>
      </c>
      <c r="E18" s="138">
        <v>0.91</v>
      </c>
      <c r="F18" s="141">
        <v>0.2</v>
      </c>
      <c r="G18" s="138">
        <v>1.97</v>
      </c>
      <c r="H18" s="97">
        <v>44</v>
      </c>
      <c r="I18" s="158">
        <v>42</v>
      </c>
      <c r="J18" s="205"/>
      <c r="K18" s="205"/>
      <c r="L18" s="206"/>
      <c r="M18" s="204"/>
      <c r="N18" s="111"/>
      <c r="O18" s="111"/>
      <c r="P18" s="111"/>
      <c r="Q18" s="111"/>
      <c r="R18" s="111"/>
      <c r="S18" s="111"/>
      <c r="T18" s="111"/>
      <c r="U18" s="111"/>
      <c r="V18" s="111"/>
    </row>
    <row r="19" spans="1:22" ht="15.95" customHeight="1">
      <c r="A19" s="96">
        <v>45816</v>
      </c>
      <c r="B19" s="97">
        <v>1145</v>
      </c>
      <c r="C19" s="98">
        <f t="shared" si="0"/>
        <v>109.04761904761904</v>
      </c>
      <c r="D19" s="138">
        <v>0.31</v>
      </c>
      <c r="E19" s="138">
        <v>0.94</v>
      </c>
      <c r="F19" s="141">
        <v>0.2</v>
      </c>
      <c r="G19" s="138">
        <v>1.98</v>
      </c>
      <c r="H19" s="97">
        <v>44.2</v>
      </c>
      <c r="I19" s="158">
        <v>35</v>
      </c>
      <c r="J19" s="205"/>
      <c r="K19" s="205"/>
      <c r="L19" s="206"/>
      <c r="M19" s="204"/>
      <c r="N19" s="111"/>
      <c r="O19" s="111"/>
      <c r="P19" s="111"/>
      <c r="Q19" s="111"/>
      <c r="R19" s="111"/>
      <c r="S19" s="111"/>
      <c r="T19" s="111"/>
      <c r="U19" s="111"/>
      <c r="V19" s="111"/>
    </row>
    <row r="20" spans="1:22" ht="15.95" customHeight="1">
      <c r="A20" s="96">
        <v>45817</v>
      </c>
      <c r="B20" s="97">
        <v>1127</v>
      </c>
      <c r="C20" s="98">
        <f t="shared" si="0"/>
        <v>107.33333333333333</v>
      </c>
      <c r="D20" s="138">
        <v>0.32</v>
      </c>
      <c r="E20" s="138">
        <v>0.95</v>
      </c>
      <c r="F20" s="141">
        <v>0.2</v>
      </c>
      <c r="G20" s="138">
        <v>1.98</v>
      </c>
      <c r="H20" s="97">
        <v>47.2</v>
      </c>
      <c r="I20" s="158">
        <v>35</v>
      </c>
      <c r="J20" s="205"/>
      <c r="K20" s="205"/>
      <c r="L20" s="206"/>
      <c r="M20" s="204"/>
      <c r="N20" s="111"/>
      <c r="O20" s="111"/>
      <c r="P20" s="111"/>
      <c r="Q20" s="111"/>
      <c r="R20" s="111"/>
      <c r="S20" s="111"/>
      <c r="T20" s="111"/>
      <c r="U20" s="111"/>
      <c r="V20" s="111"/>
    </row>
    <row r="21" spans="1:22" ht="15.95" customHeight="1">
      <c r="A21" s="96">
        <v>45818</v>
      </c>
      <c r="B21" s="97">
        <v>1138</v>
      </c>
      <c r="C21" s="98">
        <f t="shared" si="0"/>
        <v>108.38095238095238</v>
      </c>
      <c r="D21" s="138">
        <v>0.33</v>
      </c>
      <c r="E21" s="138">
        <v>0.95</v>
      </c>
      <c r="F21" s="141">
        <v>0.7</v>
      </c>
      <c r="G21" s="138">
        <v>1.98</v>
      </c>
      <c r="H21" s="97">
        <v>49.4</v>
      </c>
      <c r="I21" s="158">
        <v>28</v>
      </c>
      <c r="J21" s="205"/>
      <c r="K21" s="205"/>
      <c r="L21" s="206"/>
      <c r="M21" s="204"/>
      <c r="N21" s="111"/>
      <c r="O21" s="111"/>
      <c r="P21" s="111"/>
      <c r="Q21" s="111"/>
      <c r="R21" s="111"/>
      <c r="S21" s="111"/>
      <c r="T21" s="111"/>
      <c r="U21" s="111"/>
      <c r="V21" s="111"/>
    </row>
    <row r="22" spans="1:22" ht="15.95" customHeight="1">
      <c r="A22" s="96">
        <v>45819</v>
      </c>
      <c r="B22" s="97">
        <v>1143</v>
      </c>
      <c r="C22" s="98">
        <f t="shared" si="0"/>
        <v>108.85714285714285</v>
      </c>
      <c r="D22" s="138">
        <v>0.31</v>
      </c>
      <c r="E22" s="138">
        <v>0.94</v>
      </c>
      <c r="F22" s="141">
        <v>0.6</v>
      </c>
      <c r="G22" s="138">
        <v>1.98</v>
      </c>
      <c r="H22" s="97">
        <v>48.8</v>
      </c>
      <c r="I22" s="158">
        <v>28</v>
      </c>
      <c r="J22" s="205"/>
      <c r="K22" s="205"/>
      <c r="L22" s="206"/>
      <c r="M22" s="204"/>
      <c r="N22" s="111"/>
      <c r="O22" s="111"/>
      <c r="P22" s="111"/>
      <c r="Q22" s="111"/>
      <c r="R22" s="111"/>
      <c r="S22" s="111"/>
      <c r="T22" s="111"/>
      <c r="U22" s="111"/>
      <c r="V22" s="111"/>
    </row>
    <row r="23" spans="1:22" ht="15.95" customHeight="1">
      <c r="A23" s="96">
        <v>45820</v>
      </c>
      <c r="B23" s="97">
        <v>1140</v>
      </c>
      <c r="C23" s="98">
        <f t="shared" si="0"/>
        <v>108.57142857142857</v>
      </c>
      <c r="D23" s="138">
        <v>0.32</v>
      </c>
      <c r="E23" s="138">
        <v>0.96</v>
      </c>
      <c r="F23" s="141">
        <v>0.5</v>
      </c>
      <c r="G23" s="138">
        <v>1.99</v>
      </c>
      <c r="H23" s="97">
        <v>48.2</v>
      </c>
      <c r="I23" s="158">
        <v>32</v>
      </c>
      <c r="J23" s="205"/>
      <c r="K23" s="205"/>
      <c r="L23" s="206"/>
      <c r="M23" s="204"/>
      <c r="N23" s="111"/>
      <c r="O23" s="111"/>
      <c r="P23" s="111"/>
      <c r="Q23" s="111"/>
      <c r="R23" s="111"/>
      <c r="S23" s="111"/>
      <c r="T23" s="111"/>
      <c r="U23" s="111"/>
      <c r="V23" s="111"/>
    </row>
    <row r="24" spans="1:22" ht="15.95" customHeight="1">
      <c r="A24" s="96">
        <v>45821</v>
      </c>
      <c r="B24" s="97">
        <v>1141</v>
      </c>
      <c r="C24" s="98">
        <f t="shared" si="0"/>
        <v>108.66666666666667</v>
      </c>
      <c r="D24" s="138">
        <v>0.32</v>
      </c>
      <c r="E24" s="138">
        <v>0.96</v>
      </c>
      <c r="F24" s="141">
        <v>0.5</v>
      </c>
      <c r="G24" s="138">
        <v>1.98</v>
      </c>
      <c r="H24" s="97">
        <v>47.4</v>
      </c>
      <c r="I24" s="158">
        <v>36</v>
      </c>
      <c r="J24" s="205"/>
      <c r="K24" s="205"/>
      <c r="L24" s="206"/>
      <c r="M24" s="204"/>
      <c r="N24" s="111"/>
      <c r="O24" s="111"/>
      <c r="P24" s="111"/>
      <c r="Q24" s="111"/>
      <c r="R24" s="111"/>
      <c r="S24" s="111"/>
      <c r="T24" s="111"/>
      <c r="U24" s="111"/>
      <c r="V24" s="111"/>
    </row>
    <row r="25" spans="1:22" ht="15.95" customHeight="1">
      <c r="A25" s="96">
        <v>45822</v>
      </c>
      <c r="B25" s="97">
        <v>1144</v>
      </c>
      <c r="C25" s="98">
        <f t="shared" si="0"/>
        <v>108.95238095238096</v>
      </c>
      <c r="D25" s="138">
        <v>0.33</v>
      </c>
      <c r="E25" s="138">
        <v>0.94</v>
      </c>
      <c r="F25" s="141">
        <v>0.5</v>
      </c>
      <c r="G25" s="138">
        <v>1.98</v>
      </c>
      <c r="H25" s="97">
        <v>44.5</v>
      </c>
      <c r="I25" s="158">
        <v>40</v>
      </c>
      <c r="J25" s="205"/>
      <c r="K25" s="205"/>
      <c r="L25" s="206"/>
      <c r="M25" s="204"/>
      <c r="N25" s="111"/>
      <c r="O25" s="111"/>
      <c r="P25" s="111"/>
      <c r="Q25" s="111"/>
      <c r="R25" s="111"/>
      <c r="S25" s="111"/>
      <c r="T25" s="111"/>
      <c r="U25" s="111"/>
      <c r="V25" s="111"/>
    </row>
    <row r="26" spans="1:22" ht="15.95" customHeight="1">
      <c r="A26" s="96">
        <v>45823</v>
      </c>
      <c r="B26" s="97">
        <v>1146</v>
      </c>
      <c r="C26" s="98">
        <f t="shared" si="0"/>
        <v>109.14285714285714</v>
      </c>
      <c r="D26" s="138">
        <v>0.32</v>
      </c>
      <c r="E26" s="138">
        <v>0.93</v>
      </c>
      <c r="F26" s="141">
        <v>0.3</v>
      </c>
      <c r="G26" s="138">
        <v>1.97</v>
      </c>
      <c r="H26" s="97">
        <v>45.5</v>
      </c>
      <c r="I26" s="158">
        <v>34</v>
      </c>
      <c r="J26" s="205"/>
      <c r="K26" s="205"/>
      <c r="L26" s="206"/>
      <c r="M26" s="204"/>
      <c r="N26" s="111"/>
      <c r="O26" s="111"/>
      <c r="P26" s="111"/>
      <c r="Q26" s="111"/>
      <c r="R26" s="111"/>
      <c r="S26" s="111"/>
      <c r="T26" s="111"/>
      <c r="U26" s="111"/>
      <c r="V26" s="111"/>
    </row>
    <row r="27" spans="1:22" ht="15.95">
      <c r="A27" s="96">
        <v>45824</v>
      </c>
      <c r="B27" s="99">
        <v>1142</v>
      </c>
      <c r="C27" s="98">
        <f t="shared" si="0"/>
        <v>108.76190476190477</v>
      </c>
      <c r="D27" s="117">
        <v>0.33</v>
      </c>
      <c r="E27" s="117">
        <v>0.93</v>
      </c>
      <c r="F27" s="98">
        <v>0.4</v>
      </c>
      <c r="G27" s="117">
        <v>1.97</v>
      </c>
      <c r="H27" s="100">
        <v>42</v>
      </c>
      <c r="I27" s="158">
        <v>44</v>
      </c>
      <c r="L27" s="151"/>
      <c r="M27" s="111"/>
      <c r="N27" s="111"/>
      <c r="O27" s="111"/>
      <c r="P27" s="111"/>
      <c r="Q27" s="111"/>
      <c r="R27" s="111"/>
      <c r="S27" s="111"/>
      <c r="T27" s="111"/>
      <c r="U27" s="111"/>
      <c r="V27" s="111"/>
    </row>
    <row r="28" spans="1:22" ht="15.95">
      <c r="A28" s="96">
        <v>45825</v>
      </c>
      <c r="B28" s="99">
        <v>1144</v>
      </c>
      <c r="C28" s="98">
        <f t="shared" si="0"/>
        <v>108.95238095238096</v>
      </c>
      <c r="D28" s="117">
        <v>0.33</v>
      </c>
      <c r="E28" s="117">
        <v>0.93</v>
      </c>
      <c r="F28" s="98">
        <v>0.36</v>
      </c>
      <c r="G28" s="117">
        <v>1.96</v>
      </c>
      <c r="H28" s="100">
        <v>42</v>
      </c>
      <c r="I28" s="158">
        <v>50</v>
      </c>
      <c r="L28" s="151"/>
      <c r="M28" s="111"/>
      <c r="N28" s="111"/>
      <c r="O28" s="111"/>
      <c r="P28" s="111"/>
      <c r="Q28" s="111"/>
      <c r="R28" s="111"/>
      <c r="S28" s="111"/>
      <c r="T28" s="111"/>
      <c r="U28" s="111"/>
      <c r="V28" s="111"/>
    </row>
    <row r="29" spans="1:22" ht="15.95">
      <c r="A29" s="96">
        <v>45826</v>
      </c>
      <c r="B29" s="99">
        <v>1137</v>
      </c>
      <c r="C29" s="98">
        <f t="shared" si="0"/>
        <v>108.28571428571429</v>
      </c>
      <c r="D29" s="117">
        <v>0.34</v>
      </c>
      <c r="E29" s="117">
        <v>0.94</v>
      </c>
      <c r="F29" s="98">
        <v>0.43</v>
      </c>
      <c r="G29" s="117">
        <v>1.97</v>
      </c>
      <c r="H29" s="100">
        <v>42</v>
      </c>
      <c r="I29" s="158">
        <v>57</v>
      </c>
      <c r="L29" s="151"/>
      <c r="M29" s="111"/>
      <c r="N29" s="111"/>
      <c r="O29" s="111"/>
      <c r="P29" s="111"/>
      <c r="Q29" s="111"/>
      <c r="R29" s="111"/>
      <c r="S29" s="111"/>
      <c r="T29" s="111"/>
      <c r="U29" s="111"/>
      <c r="V29" s="111"/>
    </row>
    <row r="30" spans="1:22" ht="15.95">
      <c r="A30" s="96">
        <v>45827</v>
      </c>
      <c r="B30" s="99">
        <v>1139</v>
      </c>
      <c r="C30" s="98">
        <f t="shared" si="0"/>
        <v>108.47619047619048</v>
      </c>
      <c r="D30" s="117">
        <v>0.38</v>
      </c>
      <c r="E30" s="117">
        <v>0.95</v>
      </c>
      <c r="F30" s="98">
        <v>0.43</v>
      </c>
      <c r="G30" s="117">
        <v>1.96</v>
      </c>
      <c r="H30" s="100">
        <v>45</v>
      </c>
      <c r="I30" s="158">
        <v>45</v>
      </c>
      <c r="L30" s="151"/>
      <c r="M30" s="111"/>
      <c r="N30" s="111"/>
      <c r="O30" s="111"/>
      <c r="P30" s="111"/>
      <c r="Q30" s="111"/>
      <c r="R30" s="111"/>
      <c r="S30" s="111"/>
      <c r="T30" s="111"/>
      <c r="U30" s="111"/>
      <c r="V30" s="111"/>
    </row>
    <row r="31" spans="1:22" ht="15.95">
      <c r="A31" s="96">
        <v>45828</v>
      </c>
      <c r="B31" s="99">
        <v>1109</v>
      </c>
      <c r="C31" s="98">
        <f t="shared" si="0"/>
        <v>105.61904761904761</v>
      </c>
      <c r="D31" s="117">
        <v>0.42</v>
      </c>
      <c r="E31" s="117">
        <v>0.96</v>
      </c>
      <c r="F31" s="98">
        <v>0.43</v>
      </c>
      <c r="G31" s="117">
        <v>1.97</v>
      </c>
      <c r="H31" s="100">
        <v>45</v>
      </c>
      <c r="I31" s="158">
        <v>46</v>
      </c>
      <c r="L31" s="151"/>
      <c r="M31" s="111"/>
      <c r="N31" s="111"/>
      <c r="O31" s="111"/>
      <c r="P31" s="111"/>
      <c r="Q31" s="111"/>
      <c r="R31" s="111"/>
      <c r="S31" s="111"/>
      <c r="T31" s="111"/>
      <c r="U31" s="111"/>
      <c r="V31" s="111"/>
    </row>
    <row r="32" spans="1:22" ht="32.1">
      <c r="A32" s="96">
        <v>45829</v>
      </c>
      <c r="B32" s="99">
        <v>953</v>
      </c>
      <c r="C32" s="98">
        <f t="shared" si="0"/>
        <v>90.761904761904759</v>
      </c>
      <c r="D32" s="117">
        <v>0.42</v>
      </c>
      <c r="E32" s="117">
        <v>0.95</v>
      </c>
      <c r="F32" s="98">
        <v>0.6</v>
      </c>
      <c r="G32" s="117">
        <v>1.96</v>
      </c>
      <c r="H32" s="100">
        <v>44</v>
      </c>
      <c r="I32" s="158">
        <v>46</v>
      </c>
      <c r="L32" s="152" t="s">
        <v>236</v>
      </c>
      <c r="M32" s="111"/>
      <c r="N32" s="111"/>
      <c r="O32" s="111"/>
      <c r="P32" s="111"/>
      <c r="Q32" s="111"/>
      <c r="R32" s="111"/>
      <c r="S32" s="111"/>
      <c r="T32" s="111"/>
      <c r="U32" s="111"/>
      <c r="V32" s="111"/>
    </row>
    <row r="33" spans="1:22" ht="32.1">
      <c r="A33" s="96">
        <v>45830</v>
      </c>
      <c r="B33" s="99">
        <v>781</v>
      </c>
      <c r="C33" s="98">
        <f t="shared" si="0"/>
        <v>74.38095238095238</v>
      </c>
      <c r="D33" s="117">
        <v>0.43</v>
      </c>
      <c r="E33" s="117">
        <v>0.94</v>
      </c>
      <c r="F33" s="98">
        <v>0.43</v>
      </c>
      <c r="G33" s="117">
        <v>1.95</v>
      </c>
      <c r="H33" s="100">
        <v>36</v>
      </c>
      <c r="I33" s="158">
        <v>79</v>
      </c>
      <c r="L33" s="152" t="s">
        <v>237</v>
      </c>
      <c r="M33" s="111"/>
      <c r="N33" s="111"/>
      <c r="O33" s="111"/>
      <c r="P33" s="111"/>
      <c r="Q33" s="111"/>
      <c r="R33" s="111"/>
      <c r="S33" s="111"/>
      <c r="T33" s="111"/>
      <c r="U33" s="111"/>
      <c r="V33" s="111"/>
    </row>
    <row r="34" spans="1:22" ht="15.95">
      <c r="A34" s="96">
        <v>45831</v>
      </c>
      <c r="B34" s="99">
        <v>1130</v>
      </c>
      <c r="C34" s="98">
        <f t="shared" si="0"/>
        <v>107.61904761904762</v>
      </c>
      <c r="D34" s="117">
        <v>0.42</v>
      </c>
      <c r="E34" s="117">
        <v>0.95</v>
      </c>
      <c r="F34" s="98">
        <v>0.37</v>
      </c>
      <c r="G34" s="117">
        <v>1.98</v>
      </c>
      <c r="H34" s="100">
        <v>36</v>
      </c>
      <c r="I34" s="158">
        <v>80</v>
      </c>
      <c r="L34" s="151"/>
      <c r="M34" s="111"/>
      <c r="N34" s="111"/>
      <c r="O34" s="111"/>
      <c r="P34" s="111"/>
      <c r="Q34" s="111"/>
      <c r="R34" s="111"/>
      <c r="S34" s="111"/>
      <c r="T34" s="111"/>
      <c r="U34" s="111"/>
      <c r="V34" s="111"/>
    </row>
    <row r="35" spans="1:22" ht="15.95">
      <c r="A35" s="96">
        <v>45832</v>
      </c>
      <c r="B35" s="99">
        <v>1118</v>
      </c>
      <c r="C35" s="98">
        <f t="shared" si="0"/>
        <v>106.47619047619048</v>
      </c>
      <c r="D35" s="117">
        <v>0.44</v>
      </c>
      <c r="E35" s="117">
        <v>0.95</v>
      </c>
      <c r="F35" s="98">
        <v>0.63</v>
      </c>
      <c r="G35" s="117">
        <v>1.98</v>
      </c>
      <c r="H35" s="100">
        <v>43</v>
      </c>
      <c r="I35" s="158">
        <v>80</v>
      </c>
      <c r="L35" s="151"/>
      <c r="M35" s="111"/>
      <c r="N35" s="111"/>
      <c r="O35" s="111"/>
      <c r="P35" s="111"/>
      <c r="Q35" s="111"/>
      <c r="R35" s="111"/>
      <c r="S35" s="111"/>
      <c r="T35" s="111"/>
      <c r="U35" s="111"/>
      <c r="V35" s="111"/>
    </row>
    <row r="36" spans="1:22" ht="15.95">
      <c r="A36" s="96">
        <v>45833</v>
      </c>
      <c r="B36" s="99"/>
      <c r="C36" s="98">
        <f t="shared" si="0"/>
        <v>0</v>
      </c>
      <c r="D36" s="117">
        <v>0.48</v>
      </c>
      <c r="E36" s="117"/>
      <c r="F36" s="98"/>
      <c r="G36" s="117"/>
      <c r="H36" s="100">
        <v>40</v>
      </c>
      <c r="I36" s="158">
        <v>83</v>
      </c>
      <c r="L36" s="151"/>
      <c r="M36" s="111"/>
      <c r="N36" s="111"/>
      <c r="O36" s="111"/>
      <c r="P36" s="111"/>
      <c r="Q36" s="111"/>
      <c r="R36" s="111"/>
      <c r="S36" s="111"/>
      <c r="T36" s="111"/>
      <c r="U36" s="111"/>
      <c r="V36" s="111"/>
    </row>
    <row r="37" spans="1:22" ht="15.95">
      <c r="A37" s="96">
        <v>45834</v>
      </c>
      <c r="B37" s="99">
        <v>1146</v>
      </c>
      <c r="C37" s="98">
        <f t="shared" si="0"/>
        <v>109.14285714285714</v>
      </c>
      <c r="D37" s="117">
        <v>0.46</v>
      </c>
      <c r="E37" s="117">
        <v>0.92</v>
      </c>
      <c r="F37" s="98">
        <v>0.5</v>
      </c>
      <c r="G37" s="117">
        <v>1.9</v>
      </c>
      <c r="H37" s="100">
        <v>30</v>
      </c>
      <c r="I37" s="158">
        <v>83</v>
      </c>
      <c r="L37" s="151"/>
      <c r="M37" s="111"/>
      <c r="N37" s="111"/>
      <c r="O37" s="111"/>
      <c r="P37" s="111"/>
      <c r="Q37" s="111"/>
      <c r="R37" s="111"/>
      <c r="S37" s="111"/>
      <c r="T37" s="111"/>
      <c r="U37" s="111"/>
      <c r="V37" s="111"/>
    </row>
    <row r="38" spans="1:22" ht="32.1">
      <c r="A38" s="96">
        <v>45835</v>
      </c>
      <c r="B38" s="99">
        <v>1091</v>
      </c>
      <c r="C38" s="98">
        <f t="shared" si="0"/>
        <v>103.9047619047619</v>
      </c>
      <c r="D38" s="117">
        <v>0.45</v>
      </c>
      <c r="E38" s="117">
        <v>0.93</v>
      </c>
      <c r="F38" s="98">
        <v>0.87</v>
      </c>
      <c r="G38" s="117">
        <v>1.91</v>
      </c>
      <c r="H38" s="100">
        <v>36</v>
      </c>
      <c r="I38" s="158">
        <v>80</v>
      </c>
      <c r="L38" s="153" t="s">
        <v>238</v>
      </c>
      <c r="M38" s="111"/>
      <c r="N38" s="111"/>
      <c r="O38" s="111"/>
      <c r="P38" s="111"/>
      <c r="Q38" s="111"/>
      <c r="R38" s="111"/>
      <c r="S38" s="111"/>
      <c r="T38" s="111"/>
      <c r="U38" s="111"/>
      <c r="V38" s="111"/>
    </row>
    <row r="39" spans="1:22" ht="15.95">
      <c r="A39" s="96">
        <v>45836</v>
      </c>
      <c r="B39" s="99">
        <v>1111</v>
      </c>
      <c r="C39" s="98">
        <f t="shared" si="0"/>
        <v>105.80952380952382</v>
      </c>
      <c r="D39" s="117">
        <v>0.45</v>
      </c>
      <c r="E39" s="117">
        <v>0.94</v>
      </c>
      <c r="F39" s="98">
        <v>0.53</v>
      </c>
      <c r="G39" s="117">
        <v>1.95</v>
      </c>
      <c r="H39" s="100">
        <v>35</v>
      </c>
      <c r="I39" s="158">
        <v>84</v>
      </c>
      <c r="L39" s="151"/>
      <c r="M39" s="111"/>
      <c r="N39" s="111"/>
      <c r="O39" s="111"/>
      <c r="P39" s="111"/>
      <c r="Q39" s="111"/>
      <c r="R39" s="111"/>
      <c r="S39" s="111"/>
      <c r="T39" s="111"/>
      <c r="U39" s="111"/>
      <c r="V39" s="111"/>
    </row>
    <row r="40" spans="1:22" ht="15.95">
      <c r="A40" s="96">
        <v>45837</v>
      </c>
      <c r="B40" s="99">
        <v>1133</v>
      </c>
      <c r="C40" s="98">
        <f t="shared" si="0"/>
        <v>107.9047619047619</v>
      </c>
      <c r="D40" s="117">
        <v>0.46</v>
      </c>
      <c r="E40" s="117">
        <v>0.94</v>
      </c>
      <c r="F40" s="98">
        <v>0.6</v>
      </c>
      <c r="G40" s="117">
        <v>1.95</v>
      </c>
      <c r="H40" s="100">
        <v>40</v>
      </c>
      <c r="I40" s="158">
        <v>83</v>
      </c>
      <c r="L40" s="151"/>
      <c r="M40" s="111"/>
      <c r="N40" s="111"/>
      <c r="O40" s="111"/>
      <c r="P40" s="111"/>
      <c r="Q40" s="111"/>
      <c r="R40" s="111"/>
      <c r="S40" s="111"/>
      <c r="T40" s="111"/>
      <c r="U40" s="111"/>
      <c r="V40" s="111"/>
    </row>
    <row r="41" spans="1:22" ht="15.95">
      <c r="A41" s="96">
        <v>45838</v>
      </c>
      <c r="B41" s="99">
        <v>1149</v>
      </c>
      <c r="C41" s="98">
        <f t="shared" si="0"/>
        <v>109.42857142857143</v>
      </c>
      <c r="D41" s="117">
        <v>0.45</v>
      </c>
      <c r="E41" s="117">
        <v>0.91</v>
      </c>
      <c r="F41" s="98">
        <v>0.47</v>
      </c>
      <c r="G41" s="117">
        <v>1.93</v>
      </c>
      <c r="H41" s="100">
        <v>39</v>
      </c>
      <c r="I41" s="158">
        <v>87</v>
      </c>
      <c r="L41" s="151"/>
      <c r="M41" s="298"/>
      <c r="N41" s="298"/>
      <c r="O41" s="298"/>
      <c r="P41" s="298"/>
      <c r="Q41" s="298"/>
      <c r="R41" s="298"/>
      <c r="S41" s="298"/>
      <c r="T41" s="298"/>
      <c r="U41" s="298"/>
      <c r="V41" s="298"/>
    </row>
    <row r="42" spans="1:22" ht="15.95">
      <c r="A42" s="96">
        <v>45839</v>
      </c>
      <c r="B42" s="99">
        <v>1151</v>
      </c>
      <c r="C42" s="98">
        <f t="shared" si="0"/>
        <v>109.61904761904762</v>
      </c>
      <c r="D42" s="117">
        <v>0.46</v>
      </c>
      <c r="E42" s="117">
        <v>0.93</v>
      </c>
      <c r="F42" s="98">
        <v>0.33</v>
      </c>
      <c r="G42" s="117">
        <v>1.92</v>
      </c>
      <c r="H42" s="100">
        <v>38</v>
      </c>
      <c r="I42" s="158">
        <v>83</v>
      </c>
      <c r="L42" s="151"/>
      <c r="M42" s="298"/>
      <c r="N42" s="298"/>
      <c r="O42" s="298"/>
      <c r="P42" s="298"/>
      <c r="Q42" s="298"/>
      <c r="R42" s="298"/>
      <c r="S42" s="298"/>
      <c r="T42" s="298"/>
      <c r="U42" s="298"/>
      <c r="V42" s="298"/>
    </row>
    <row r="43" spans="1:22" ht="15.95">
      <c r="A43" s="96">
        <v>45840</v>
      </c>
      <c r="B43" s="99">
        <v>1156</v>
      </c>
      <c r="C43" s="98">
        <f t="shared" si="0"/>
        <v>110.09523809523809</v>
      </c>
      <c r="D43" s="117">
        <v>0.47</v>
      </c>
      <c r="E43" s="117">
        <v>0.94</v>
      </c>
      <c r="F43" s="98">
        <v>0.37</v>
      </c>
      <c r="G43" s="117">
        <v>1.9</v>
      </c>
      <c r="H43" s="100">
        <v>39</v>
      </c>
      <c r="I43" s="158">
        <v>80</v>
      </c>
      <c r="L43" s="151"/>
      <c r="M43" s="298"/>
      <c r="N43" s="298"/>
      <c r="O43" s="298"/>
      <c r="P43" s="298"/>
      <c r="Q43" s="298"/>
      <c r="R43" s="298"/>
      <c r="S43" s="298"/>
      <c r="T43" s="298"/>
      <c r="U43" s="298"/>
      <c r="V43" s="298"/>
    </row>
    <row r="44" spans="1:22" ht="15.95">
      <c r="A44" s="96">
        <v>45841</v>
      </c>
      <c r="B44" s="99">
        <v>1153</v>
      </c>
      <c r="C44" s="98">
        <f t="shared" si="0"/>
        <v>109.8095238095238</v>
      </c>
      <c r="D44" s="117">
        <v>0.46</v>
      </c>
      <c r="E44" s="117">
        <v>0.94</v>
      </c>
      <c r="F44" s="98">
        <v>0.5</v>
      </c>
      <c r="G44" s="117">
        <v>1.91</v>
      </c>
      <c r="H44" s="100">
        <v>37</v>
      </c>
      <c r="I44" s="158">
        <v>77</v>
      </c>
      <c r="L44" s="151"/>
      <c r="M44" s="298"/>
      <c r="N44" s="298"/>
      <c r="O44" s="298"/>
      <c r="P44" s="298"/>
      <c r="Q44" s="298"/>
      <c r="R44" s="298"/>
      <c r="S44" s="298"/>
      <c r="T44" s="298"/>
      <c r="U44" s="298"/>
      <c r="V44" s="298"/>
    </row>
    <row r="45" spans="1:22" ht="15.95">
      <c r="A45" s="96">
        <v>45842</v>
      </c>
      <c r="B45" s="99">
        <v>1142</v>
      </c>
      <c r="C45" s="98">
        <f t="shared" si="0"/>
        <v>108.76190476190477</v>
      </c>
      <c r="D45" s="117">
        <v>0.48</v>
      </c>
      <c r="E45" s="117">
        <v>0.94</v>
      </c>
      <c r="F45" s="98">
        <v>0.56000000000000005</v>
      </c>
      <c r="G45" s="117">
        <v>1.92</v>
      </c>
      <c r="H45" s="100">
        <v>39</v>
      </c>
      <c r="I45" s="158">
        <v>65</v>
      </c>
      <c r="L45" s="151"/>
      <c r="M45" s="298"/>
      <c r="N45" s="298"/>
      <c r="O45" s="298"/>
      <c r="P45" s="298"/>
      <c r="Q45" s="298"/>
      <c r="R45" s="298"/>
      <c r="S45" s="298"/>
      <c r="T45" s="298"/>
      <c r="U45" s="298"/>
      <c r="V45" s="298"/>
    </row>
    <row r="46" spans="1:22" ht="15.95">
      <c r="A46" s="96">
        <v>45843</v>
      </c>
      <c r="B46" s="99">
        <v>1142</v>
      </c>
      <c r="C46" s="98">
        <f t="shared" si="0"/>
        <v>108.76190476190477</v>
      </c>
      <c r="D46" s="117">
        <v>0.45</v>
      </c>
      <c r="E46" s="117">
        <v>0.94</v>
      </c>
      <c r="F46" s="98">
        <v>0.56000000000000005</v>
      </c>
      <c r="G46" s="117">
        <v>1.92</v>
      </c>
      <c r="H46" s="100">
        <v>41</v>
      </c>
      <c r="I46" s="158">
        <v>63</v>
      </c>
      <c r="L46" s="151"/>
      <c r="M46" s="298"/>
      <c r="N46" s="298"/>
      <c r="O46" s="298"/>
      <c r="P46" s="298"/>
      <c r="Q46" s="298"/>
      <c r="R46" s="298"/>
      <c r="S46" s="298"/>
      <c r="T46" s="298"/>
      <c r="U46" s="298"/>
      <c r="V46" s="298"/>
    </row>
    <row r="47" spans="1:22" ht="15.95">
      <c r="A47" s="96">
        <v>45844</v>
      </c>
      <c r="B47" s="99">
        <v>1147</v>
      </c>
      <c r="C47" s="98">
        <f t="shared" si="0"/>
        <v>109.23809523809524</v>
      </c>
      <c r="D47" s="117">
        <v>0.44</v>
      </c>
      <c r="E47" s="117">
        <v>0.95</v>
      </c>
      <c r="F47" s="98">
        <v>0.66</v>
      </c>
      <c r="G47" s="117">
        <v>1.92</v>
      </c>
      <c r="H47" s="100">
        <v>35</v>
      </c>
      <c r="I47" s="158">
        <v>76</v>
      </c>
      <c r="L47" s="151"/>
      <c r="M47" s="298"/>
      <c r="N47" s="298"/>
      <c r="O47" s="298"/>
      <c r="P47" s="298"/>
      <c r="Q47" s="298"/>
      <c r="R47" s="298"/>
      <c r="S47" s="298"/>
      <c r="T47" s="298"/>
      <c r="U47" s="298"/>
      <c r="V47" s="298"/>
    </row>
    <row r="48" spans="1:22" ht="15.95">
      <c r="A48" s="96">
        <v>45845</v>
      </c>
      <c r="B48" s="99">
        <v>1147</v>
      </c>
      <c r="C48" s="98">
        <f t="shared" si="0"/>
        <v>109.23809523809524</v>
      </c>
      <c r="D48" s="117">
        <v>0.45</v>
      </c>
      <c r="E48" s="117">
        <v>0.92</v>
      </c>
      <c r="F48" s="98">
        <v>0.6</v>
      </c>
      <c r="G48" s="117">
        <v>1.92</v>
      </c>
      <c r="H48" s="100">
        <v>35</v>
      </c>
      <c r="I48" s="158">
        <v>76</v>
      </c>
      <c r="L48" s="151"/>
      <c r="M48" s="298"/>
      <c r="N48" s="298"/>
      <c r="O48" s="298"/>
      <c r="P48" s="298"/>
      <c r="Q48" s="298"/>
      <c r="R48" s="298"/>
      <c r="S48" s="298"/>
      <c r="T48" s="298"/>
      <c r="U48" s="298"/>
      <c r="V48" s="298"/>
    </row>
    <row r="49" spans="1:22" ht="15.95">
      <c r="A49" s="101">
        <v>45846</v>
      </c>
      <c r="B49" s="102">
        <v>1163</v>
      </c>
      <c r="C49" s="103">
        <f t="shared" si="0"/>
        <v>110.76190476190477</v>
      </c>
      <c r="D49" s="139">
        <v>0.47</v>
      </c>
      <c r="E49" s="139">
        <v>0.93</v>
      </c>
      <c r="F49" s="103">
        <v>0.46</v>
      </c>
      <c r="G49" s="139">
        <v>1.93</v>
      </c>
      <c r="H49" s="104">
        <v>36</v>
      </c>
      <c r="I49" s="159">
        <v>76</v>
      </c>
      <c r="L49" s="154" t="s">
        <v>239</v>
      </c>
      <c r="M49" s="298"/>
      <c r="N49" s="298"/>
      <c r="O49" s="298"/>
      <c r="P49" s="298"/>
      <c r="Q49" s="298"/>
      <c r="R49" s="298"/>
      <c r="S49" s="298"/>
      <c r="T49" s="298"/>
      <c r="U49" s="298"/>
      <c r="V49" s="298"/>
    </row>
    <row r="50" spans="1:22" ht="15.95">
      <c r="A50" s="101">
        <v>45847</v>
      </c>
      <c r="B50" s="102">
        <v>1182</v>
      </c>
      <c r="C50" s="103">
        <f t="shared" si="0"/>
        <v>112.57142857142857</v>
      </c>
      <c r="D50" s="139">
        <v>0.43</v>
      </c>
      <c r="E50" s="139">
        <v>0.91</v>
      </c>
      <c r="F50" s="103">
        <v>0.73</v>
      </c>
      <c r="G50" s="139">
        <v>1.9</v>
      </c>
      <c r="H50" s="104">
        <v>35</v>
      </c>
      <c r="I50" s="159">
        <v>91</v>
      </c>
      <c r="L50" s="154" t="s">
        <v>239</v>
      </c>
      <c r="M50" s="298"/>
      <c r="N50" s="298"/>
      <c r="O50" s="298"/>
      <c r="P50" s="298"/>
      <c r="Q50" s="298"/>
      <c r="R50" s="298"/>
      <c r="S50" s="298"/>
      <c r="T50" s="298"/>
      <c r="U50" s="298"/>
      <c r="V50" s="298"/>
    </row>
    <row r="51" spans="1:22" ht="15.95">
      <c r="A51" s="101">
        <v>45848</v>
      </c>
      <c r="B51" s="102">
        <v>1170</v>
      </c>
      <c r="C51" s="103">
        <f t="shared" si="0"/>
        <v>111.42857142857143</v>
      </c>
      <c r="D51" s="139">
        <v>0.43</v>
      </c>
      <c r="E51" s="139">
        <v>0.92</v>
      </c>
      <c r="F51" s="103">
        <v>0.43</v>
      </c>
      <c r="G51" s="139">
        <v>1.9</v>
      </c>
      <c r="H51" s="104">
        <v>32</v>
      </c>
      <c r="I51" s="159">
        <v>76</v>
      </c>
      <c r="L51" s="154" t="s">
        <v>239</v>
      </c>
      <c r="M51" s="298"/>
      <c r="N51" s="298"/>
      <c r="O51" s="298"/>
      <c r="P51" s="298"/>
      <c r="Q51" s="298"/>
      <c r="R51" s="298"/>
      <c r="S51" s="298"/>
      <c r="T51" s="298"/>
      <c r="U51" s="298"/>
      <c r="V51" s="298"/>
    </row>
    <row r="52" spans="1:22" ht="15.95">
      <c r="A52" s="96">
        <v>45849</v>
      </c>
      <c r="B52" s="99">
        <v>1154</v>
      </c>
      <c r="C52" s="98">
        <f t="shared" si="0"/>
        <v>109.9047619047619</v>
      </c>
      <c r="D52" s="117">
        <v>0.42</v>
      </c>
      <c r="E52" s="117">
        <v>0.94</v>
      </c>
      <c r="F52" s="98">
        <v>0.56000000000000005</v>
      </c>
      <c r="G52" s="51">
        <v>1.9</v>
      </c>
      <c r="H52" s="100">
        <v>36</v>
      </c>
      <c r="I52" s="158">
        <v>74</v>
      </c>
      <c r="L52" s="155"/>
      <c r="M52" s="298"/>
      <c r="N52" s="298"/>
      <c r="O52" s="298"/>
      <c r="P52" s="298"/>
      <c r="Q52" s="298"/>
      <c r="R52" s="298"/>
      <c r="S52" s="298"/>
      <c r="T52" s="298"/>
      <c r="U52" s="298"/>
      <c r="V52" s="298"/>
    </row>
    <row r="53" spans="1:22" ht="15.95">
      <c r="A53" s="96">
        <v>45850</v>
      </c>
      <c r="B53" s="99">
        <v>1154</v>
      </c>
      <c r="C53" s="98">
        <f t="shared" si="0"/>
        <v>109.9047619047619</v>
      </c>
      <c r="D53" s="117">
        <v>0.4</v>
      </c>
      <c r="E53" s="117">
        <v>0.92</v>
      </c>
      <c r="F53" s="98">
        <v>0.5</v>
      </c>
      <c r="G53" s="117">
        <v>1.89</v>
      </c>
      <c r="H53" s="100">
        <v>37</v>
      </c>
      <c r="I53" s="158">
        <v>76</v>
      </c>
      <c r="L53" s="155"/>
      <c r="M53" s="298"/>
      <c r="N53" s="298"/>
      <c r="O53" s="298"/>
      <c r="P53" s="298"/>
      <c r="Q53" s="298"/>
      <c r="R53" s="298"/>
      <c r="S53" s="298"/>
      <c r="T53" s="298"/>
      <c r="U53" s="298"/>
      <c r="V53" s="298"/>
    </row>
    <row r="54" spans="1:22" ht="15.95">
      <c r="A54" s="96">
        <v>45851</v>
      </c>
      <c r="B54" s="99">
        <v>1151</v>
      </c>
      <c r="C54" s="98">
        <f t="shared" si="0"/>
        <v>109.61904761904762</v>
      </c>
      <c r="D54" s="117">
        <v>0.43</v>
      </c>
      <c r="E54" s="117">
        <v>0.93</v>
      </c>
      <c r="F54" s="98">
        <v>0.37</v>
      </c>
      <c r="G54" s="117">
        <v>1.89</v>
      </c>
      <c r="H54" s="100">
        <v>39</v>
      </c>
      <c r="I54" s="158">
        <v>79</v>
      </c>
      <c r="L54" s="155"/>
      <c r="M54" s="298"/>
      <c r="N54" s="298"/>
      <c r="O54" s="298"/>
      <c r="P54" s="298"/>
      <c r="Q54" s="298"/>
      <c r="R54" s="298"/>
      <c r="S54" s="298"/>
      <c r="T54" s="298"/>
      <c r="U54" s="298"/>
      <c r="V54" s="298"/>
    </row>
    <row r="55" spans="1:22" ht="15.95">
      <c r="A55" s="96">
        <v>45852</v>
      </c>
      <c r="B55" s="99">
        <v>1191</v>
      </c>
      <c r="C55" s="98">
        <f t="shared" si="0"/>
        <v>113.42857142857143</v>
      </c>
      <c r="D55" s="117">
        <v>0.43</v>
      </c>
      <c r="E55" s="117">
        <v>0.95</v>
      </c>
      <c r="F55" s="98">
        <v>0.53</v>
      </c>
      <c r="G55" s="117">
        <v>1.89</v>
      </c>
      <c r="H55" s="100">
        <v>39</v>
      </c>
      <c r="I55" s="158">
        <v>68</v>
      </c>
      <c r="L55" s="156" t="s">
        <v>240</v>
      </c>
      <c r="M55" s="298"/>
      <c r="N55" s="298"/>
      <c r="O55" s="298"/>
      <c r="P55" s="298"/>
      <c r="Q55" s="298"/>
      <c r="R55" s="298"/>
      <c r="S55" s="298"/>
      <c r="T55" s="298"/>
      <c r="U55" s="298"/>
      <c r="V55" s="298"/>
    </row>
    <row r="56" spans="1:22" ht="15.95">
      <c r="A56" s="96">
        <v>45853</v>
      </c>
      <c r="B56" s="99">
        <v>1119</v>
      </c>
      <c r="C56" s="98">
        <f t="shared" si="0"/>
        <v>106.57142857142856</v>
      </c>
      <c r="D56" s="117">
        <v>0.45</v>
      </c>
      <c r="E56" s="117">
        <v>0.94</v>
      </c>
      <c r="F56" s="98">
        <v>0.8</v>
      </c>
      <c r="G56" s="117">
        <v>2</v>
      </c>
      <c r="H56" s="100">
        <v>35</v>
      </c>
      <c r="I56" s="158">
        <v>74</v>
      </c>
      <c r="L56" s="157" t="s">
        <v>241</v>
      </c>
      <c r="M56" s="298"/>
      <c r="N56" s="298"/>
      <c r="O56" s="298"/>
      <c r="P56" s="298"/>
      <c r="Q56" s="298"/>
      <c r="R56" s="298"/>
      <c r="S56" s="298"/>
      <c r="T56" s="298"/>
      <c r="U56" s="298"/>
      <c r="V56" s="298"/>
    </row>
    <row r="57" spans="1:22" ht="15.95">
      <c r="A57" s="96">
        <v>45854</v>
      </c>
      <c r="B57" s="99">
        <v>1130</v>
      </c>
      <c r="C57" s="98">
        <f>(B57/1050)*100</f>
        <v>107.61904761904762</v>
      </c>
      <c r="D57" s="117">
        <v>0.47</v>
      </c>
      <c r="E57" s="117">
        <v>0.95</v>
      </c>
      <c r="F57" s="98">
        <v>0.76</v>
      </c>
      <c r="G57" s="117">
        <v>2.0499999999999998</v>
      </c>
      <c r="H57" s="100">
        <v>32</v>
      </c>
      <c r="I57" s="158">
        <v>75</v>
      </c>
      <c r="L57" s="157" t="s">
        <v>241</v>
      </c>
      <c r="M57" s="298"/>
      <c r="N57" s="298"/>
      <c r="O57" s="298"/>
      <c r="P57" s="298"/>
      <c r="Q57" s="298"/>
      <c r="R57" s="298"/>
      <c r="S57" s="298"/>
      <c r="T57" s="298"/>
      <c r="U57" s="298"/>
      <c r="V57" s="298"/>
    </row>
    <row r="58" spans="1:22" ht="15.95">
      <c r="A58" s="96">
        <v>45855</v>
      </c>
      <c r="B58" s="99">
        <v>1139</v>
      </c>
      <c r="C58" s="98">
        <f t="shared" ref="C58:C60" si="1">(B58/1050)*100</f>
        <v>108.47619047619048</v>
      </c>
      <c r="D58" s="117">
        <v>0.45</v>
      </c>
      <c r="E58" s="117">
        <v>0.94</v>
      </c>
      <c r="F58" s="98">
        <v>0.65</v>
      </c>
      <c r="G58" s="117">
        <v>1.98</v>
      </c>
      <c r="H58" s="100">
        <v>32</v>
      </c>
      <c r="I58" s="158">
        <v>76</v>
      </c>
      <c r="L58" s="156" t="s">
        <v>242</v>
      </c>
      <c r="M58" s="298"/>
      <c r="N58" s="298"/>
      <c r="O58" s="298"/>
      <c r="P58" s="298"/>
      <c r="Q58" s="298"/>
      <c r="R58" s="298"/>
      <c r="S58" s="298"/>
      <c r="T58" s="298"/>
      <c r="U58" s="298"/>
      <c r="V58" s="298"/>
    </row>
    <row r="59" spans="1:22" ht="15.95">
      <c r="A59" s="96">
        <v>45856</v>
      </c>
      <c r="B59" s="99">
        <v>1147</v>
      </c>
      <c r="C59" s="98">
        <f t="shared" si="1"/>
        <v>109.23809523809524</v>
      </c>
      <c r="D59" s="117">
        <v>0.44</v>
      </c>
      <c r="E59" s="117">
        <v>0.94</v>
      </c>
      <c r="F59" s="98">
        <v>0.43</v>
      </c>
      <c r="G59" s="117">
        <v>1.89</v>
      </c>
      <c r="H59" s="100">
        <v>34</v>
      </c>
      <c r="I59" s="158">
        <v>68</v>
      </c>
      <c r="L59" s="151"/>
      <c r="M59" s="298"/>
      <c r="N59" s="298"/>
      <c r="O59" s="298"/>
      <c r="P59" s="298"/>
      <c r="Q59" s="298"/>
      <c r="R59" s="298"/>
      <c r="S59" s="298"/>
      <c r="T59" s="298"/>
      <c r="U59" s="298"/>
      <c r="V59" s="298"/>
    </row>
    <row r="60" spans="1:22" ht="15.95">
      <c r="A60" s="96">
        <v>45857</v>
      </c>
      <c r="B60" s="99">
        <v>1140</v>
      </c>
      <c r="C60" s="98">
        <f t="shared" si="1"/>
        <v>108.57142857142857</v>
      </c>
      <c r="D60" s="117">
        <v>0.47</v>
      </c>
      <c r="E60" s="117">
        <v>0.94</v>
      </c>
      <c r="F60" s="98">
        <v>0.37</v>
      </c>
      <c r="G60" s="117">
        <v>1.94</v>
      </c>
      <c r="H60" s="100">
        <v>39</v>
      </c>
      <c r="I60" s="158">
        <v>73</v>
      </c>
      <c r="L60" s="151"/>
      <c r="M60" s="300"/>
      <c r="N60" s="300"/>
      <c r="O60" s="300"/>
      <c r="P60" s="300"/>
      <c r="Q60" s="300"/>
      <c r="R60" s="300"/>
      <c r="S60" s="300"/>
      <c r="T60" s="300"/>
      <c r="U60" s="300"/>
      <c r="V60" s="300"/>
    </row>
    <row r="61" spans="1:22" ht="15.95">
      <c r="A61" s="96">
        <v>45858</v>
      </c>
      <c r="B61" s="105">
        <v>1132</v>
      </c>
      <c r="C61" s="106">
        <f>(B61/1050)*100</f>
        <v>107.8095238095238</v>
      </c>
      <c r="D61" s="140">
        <v>0.46</v>
      </c>
      <c r="E61" s="140">
        <v>0.93</v>
      </c>
      <c r="F61" s="106">
        <v>0.37</v>
      </c>
      <c r="G61" s="140">
        <v>1.93</v>
      </c>
      <c r="H61" s="107">
        <v>39</v>
      </c>
      <c r="I61" s="160">
        <v>69</v>
      </c>
      <c r="L61" s="150"/>
      <c r="M61" s="112"/>
      <c r="N61" s="112"/>
      <c r="O61" s="112"/>
      <c r="P61" s="112"/>
      <c r="Q61" s="112"/>
      <c r="R61" s="112"/>
      <c r="S61" s="112"/>
      <c r="T61" s="112"/>
      <c r="U61" s="112"/>
      <c r="V61" s="112"/>
    </row>
    <row r="62" spans="1:22" ht="15.95">
      <c r="A62" s="96">
        <v>45859</v>
      </c>
      <c r="B62" s="99">
        <f>'UREA PLANT ENERGY INDEX PROFILE'!B24</f>
        <v>0</v>
      </c>
      <c r="C62" s="98">
        <f>'UREA PLANT ENERGY INDEX PROFILE'!C24</f>
        <v>107.5</v>
      </c>
      <c r="D62" s="117"/>
      <c r="E62" s="117"/>
      <c r="F62" s="98"/>
      <c r="G62" s="117"/>
      <c r="H62" s="100"/>
      <c r="I62" s="158"/>
      <c r="L62" s="301" t="s">
        <v>243</v>
      </c>
      <c r="M62" s="112"/>
      <c r="N62" s="112"/>
      <c r="O62" s="112"/>
      <c r="P62" s="112"/>
      <c r="Q62" s="112"/>
      <c r="R62" s="112"/>
      <c r="S62" s="112"/>
      <c r="T62" s="112"/>
      <c r="U62" s="112"/>
      <c r="V62" s="112"/>
    </row>
    <row r="63" spans="1:22" ht="15.95">
      <c r="A63" s="96">
        <v>45860</v>
      </c>
      <c r="B63" s="99">
        <f>'UREA PLANT ENERGY INDEX PROFILE'!B25</f>
        <v>0</v>
      </c>
      <c r="C63" s="98">
        <f>'UREA PLANT ENERGY INDEX PROFILE'!C25</f>
        <v>73.3</v>
      </c>
      <c r="D63" s="117"/>
      <c r="E63" s="117"/>
      <c r="F63" s="98"/>
      <c r="G63" s="117"/>
      <c r="H63" s="100"/>
      <c r="I63" s="158"/>
      <c r="L63" s="302"/>
      <c r="M63" s="112"/>
      <c r="N63" s="112"/>
      <c r="O63" s="112"/>
      <c r="P63" s="112"/>
      <c r="Q63" s="112"/>
      <c r="R63" s="112"/>
      <c r="S63" s="112"/>
      <c r="T63" s="112"/>
      <c r="U63" s="112"/>
      <c r="V63" s="112"/>
    </row>
    <row r="64" spans="1:22" ht="15.95">
      <c r="A64" s="96">
        <v>45861</v>
      </c>
      <c r="B64" s="99">
        <f>'UREA PLANT ENERGY INDEX PROFILE'!B26</f>
        <v>0</v>
      </c>
      <c r="C64" s="98">
        <f>'UREA PLANT ENERGY INDEX PROFILE'!C26</f>
        <v>0.6</v>
      </c>
      <c r="D64" s="117"/>
      <c r="E64" s="117"/>
      <c r="F64" s="98"/>
      <c r="G64" s="117"/>
      <c r="H64" s="100"/>
      <c r="I64" s="158"/>
      <c r="L64" s="302"/>
      <c r="M64" s="112"/>
      <c r="N64" s="112"/>
      <c r="O64" s="112"/>
      <c r="P64" s="112"/>
      <c r="Q64" s="112"/>
      <c r="R64" s="112"/>
      <c r="S64" s="112"/>
      <c r="T64" s="112"/>
      <c r="U64" s="112"/>
      <c r="V64" s="112"/>
    </row>
    <row r="65" spans="1:22" ht="15.95">
      <c r="A65" s="96">
        <v>45862</v>
      </c>
      <c r="B65" s="99">
        <f>'UREA PLANT ENERGY INDEX PROFILE'!B27</f>
        <v>0</v>
      </c>
      <c r="C65" s="98">
        <f>'UREA PLANT ENERGY INDEX PROFILE'!C27</f>
        <v>0.8</v>
      </c>
      <c r="D65" s="117"/>
      <c r="E65" s="117"/>
      <c r="F65" s="98"/>
      <c r="G65" s="117"/>
      <c r="H65" s="100"/>
      <c r="I65" s="158"/>
      <c r="L65" s="302"/>
      <c r="M65" s="112"/>
      <c r="N65" s="112"/>
      <c r="O65" s="112"/>
      <c r="P65" s="112"/>
      <c r="Q65" s="112"/>
      <c r="R65" s="112"/>
      <c r="S65" s="112"/>
      <c r="T65" s="112"/>
      <c r="U65" s="112"/>
      <c r="V65" s="112"/>
    </row>
    <row r="66" spans="1:22" ht="15.95">
      <c r="A66" s="96">
        <v>45863</v>
      </c>
      <c r="B66" s="99">
        <f>'UREA PLANT ENERGY INDEX PROFILE'!B28</f>
        <v>0</v>
      </c>
      <c r="C66" s="98">
        <f>'UREA PLANT ENERGY INDEX PROFILE'!C28</f>
        <v>0.6</v>
      </c>
      <c r="D66" s="117"/>
      <c r="E66" s="117"/>
      <c r="F66" s="98"/>
      <c r="G66" s="117"/>
      <c r="H66" s="100"/>
      <c r="I66" s="158"/>
      <c r="L66" s="302"/>
      <c r="M66" s="112"/>
      <c r="N66" s="112"/>
      <c r="O66" s="112"/>
      <c r="P66" s="112"/>
      <c r="Q66" s="112"/>
      <c r="R66" s="112"/>
      <c r="S66" s="112"/>
      <c r="T66" s="112"/>
      <c r="U66" s="112"/>
      <c r="V66" s="112"/>
    </row>
    <row r="67" spans="1:22" ht="15.95">
      <c r="A67" s="96">
        <v>45864</v>
      </c>
      <c r="B67" s="99">
        <f>'UREA PLANT ENERGY INDEX PROFILE'!B29</f>
        <v>0</v>
      </c>
      <c r="C67" s="98">
        <f>'UREA PLANT ENERGY INDEX PROFILE'!C29</f>
        <v>8.8000000000000007</v>
      </c>
      <c r="D67" s="117"/>
      <c r="E67" s="117"/>
      <c r="F67" s="98"/>
      <c r="G67" s="117"/>
      <c r="H67" s="100">
        <v>39</v>
      </c>
      <c r="I67" s="158">
        <v>73</v>
      </c>
      <c r="L67" s="303"/>
      <c r="M67" s="112"/>
      <c r="N67" s="112"/>
      <c r="O67" s="112"/>
      <c r="P67" s="112"/>
      <c r="Q67" s="112"/>
      <c r="R67" s="112"/>
      <c r="S67" s="112"/>
      <c r="T67" s="112"/>
      <c r="U67" s="112"/>
      <c r="V67" s="112"/>
    </row>
    <row r="68" spans="1:22" ht="15.95">
      <c r="A68" s="96">
        <v>45865</v>
      </c>
      <c r="B68" s="99">
        <f>'UREA PLANT ENERGY INDEX PROFILE'!B30</f>
        <v>847</v>
      </c>
      <c r="C68" s="98">
        <f>'UREA PLANT ENERGY INDEX PROFILE'!C30</f>
        <v>68.900000000000006</v>
      </c>
      <c r="D68" s="117">
        <v>0.48</v>
      </c>
      <c r="E68" s="117">
        <v>1</v>
      </c>
      <c r="F68" s="98">
        <v>0.23</v>
      </c>
      <c r="G68" s="117">
        <v>1.92</v>
      </c>
      <c r="H68" s="100">
        <v>39</v>
      </c>
      <c r="I68" s="158">
        <v>69</v>
      </c>
      <c r="L68" s="151" t="s">
        <v>244</v>
      </c>
      <c r="M68" s="112"/>
      <c r="N68" s="112"/>
      <c r="O68" s="112"/>
      <c r="P68" s="112"/>
      <c r="Q68" s="112"/>
      <c r="R68" s="112"/>
      <c r="S68" s="112"/>
      <c r="T68" s="112"/>
      <c r="U68" s="112"/>
      <c r="V68" s="112"/>
    </row>
    <row r="69" spans="1:22" ht="15.95">
      <c r="A69" s="96">
        <v>45866</v>
      </c>
      <c r="B69" s="99">
        <f>'UREA PLANT ENERGY INDEX PROFILE'!B31</f>
        <v>1084</v>
      </c>
      <c r="C69" s="98">
        <f>'UREA PLANT ENERGY INDEX PROFILE'!C31</f>
        <v>91.9</v>
      </c>
      <c r="D69" s="117">
        <f>AVERAGE('Product Analysis'!F238:F240)</f>
        <v>0.39999999999999997</v>
      </c>
      <c r="E69" s="117">
        <f>AVERAGE('Product Analysis'!H238:H240)</f>
        <v>1.07</v>
      </c>
      <c r="F69" s="98"/>
      <c r="G69" s="117"/>
      <c r="H69" s="100"/>
      <c r="I69" s="158"/>
      <c r="L69" s="151"/>
      <c r="M69" s="112"/>
      <c r="N69" s="112"/>
      <c r="O69" s="112"/>
      <c r="P69" s="112"/>
      <c r="Q69" s="112"/>
      <c r="R69" s="112"/>
      <c r="S69" s="112"/>
      <c r="T69" s="112"/>
      <c r="U69" s="112"/>
      <c r="V69" s="112"/>
    </row>
    <row r="70" spans="1:22" ht="15.95">
      <c r="A70" s="96">
        <v>45867</v>
      </c>
      <c r="B70" s="99">
        <v>1154</v>
      </c>
      <c r="C70" s="98">
        <v>110</v>
      </c>
      <c r="D70" s="117">
        <v>0.47</v>
      </c>
      <c r="E70" s="117">
        <v>0.95</v>
      </c>
      <c r="F70" s="98">
        <v>0.36</v>
      </c>
      <c r="G70" s="117">
        <v>1.92</v>
      </c>
      <c r="H70" s="100">
        <v>39</v>
      </c>
      <c r="I70" s="158">
        <v>79</v>
      </c>
      <c r="L70" s="151"/>
      <c r="M70" s="112"/>
      <c r="N70" s="112"/>
      <c r="O70" s="112"/>
      <c r="P70" s="112"/>
      <c r="Q70" s="112"/>
      <c r="R70" s="112"/>
      <c r="S70" s="112"/>
      <c r="T70" s="112"/>
      <c r="U70" s="112"/>
      <c r="V70" s="112"/>
    </row>
    <row r="71" spans="1:22" ht="15.95">
      <c r="A71" s="96">
        <v>45868</v>
      </c>
      <c r="B71" s="99">
        <v>1160</v>
      </c>
      <c r="C71" s="98">
        <v>110</v>
      </c>
      <c r="D71" s="117">
        <v>0.48</v>
      </c>
      <c r="E71" s="117">
        <v>0.96</v>
      </c>
      <c r="F71" s="98">
        <v>0.36</v>
      </c>
      <c r="G71" s="117">
        <v>1.92</v>
      </c>
      <c r="H71" s="100">
        <v>34</v>
      </c>
      <c r="I71" s="158">
        <v>79</v>
      </c>
      <c r="L71" s="151"/>
      <c r="M71" s="112"/>
      <c r="N71" s="112"/>
      <c r="O71" s="112"/>
      <c r="P71" s="112"/>
      <c r="Q71" s="112"/>
      <c r="R71" s="112"/>
      <c r="S71" s="112"/>
      <c r="T71" s="112"/>
      <c r="U71" s="112"/>
      <c r="V71" s="112"/>
    </row>
    <row r="72" spans="1:22" ht="15.95">
      <c r="A72" s="96">
        <v>45869</v>
      </c>
      <c r="B72" s="99">
        <v>1160</v>
      </c>
      <c r="C72" s="98">
        <v>110</v>
      </c>
      <c r="D72" s="117">
        <v>0.47</v>
      </c>
      <c r="E72" s="117">
        <v>0.95</v>
      </c>
      <c r="F72" s="98">
        <v>0.36</v>
      </c>
      <c r="G72" s="117">
        <v>1.9</v>
      </c>
      <c r="H72" s="100">
        <v>35</v>
      </c>
      <c r="I72" s="160">
        <v>79</v>
      </c>
      <c r="J72" s="105"/>
      <c r="K72" s="105"/>
      <c r="L72" s="151"/>
      <c r="M72" s="112"/>
      <c r="N72" s="112"/>
      <c r="O72" s="112"/>
      <c r="P72" s="112"/>
      <c r="Q72" s="112"/>
      <c r="R72" s="112"/>
      <c r="S72" s="112"/>
      <c r="T72" s="112"/>
      <c r="U72" s="112"/>
      <c r="V72" s="112"/>
    </row>
    <row r="73" spans="1:22" ht="15.95">
      <c r="A73" s="96">
        <v>45870</v>
      </c>
      <c r="B73" s="99">
        <v>1167</v>
      </c>
      <c r="C73" s="98">
        <v>111</v>
      </c>
      <c r="D73" s="117">
        <v>0.49</v>
      </c>
      <c r="E73" s="117">
        <v>0.94</v>
      </c>
      <c r="F73" s="98">
        <v>0.3</v>
      </c>
      <c r="G73" s="117">
        <v>1.93</v>
      </c>
      <c r="H73" s="110">
        <v>36</v>
      </c>
      <c r="I73" s="233">
        <v>76</v>
      </c>
      <c r="J73" s="100">
        <v>29</v>
      </c>
      <c r="K73" s="100">
        <v>36</v>
      </c>
      <c r="L73" s="151"/>
      <c r="M73" s="112"/>
      <c r="N73" s="112"/>
      <c r="O73" s="112"/>
      <c r="P73" s="112"/>
      <c r="Q73" s="112"/>
      <c r="R73" s="112"/>
      <c r="S73" s="112"/>
      <c r="T73" s="112"/>
      <c r="U73" s="112"/>
      <c r="V73" s="112"/>
    </row>
    <row r="74" spans="1:22" ht="15.95">
      <c r="A74" s="96">
        <v>45871</v>
      </c>
      <c r="B74" s="99">
        <v>1189</v>
      </c>
      <c r="C74" s="98">
        <v>113</v>
      </c>
      <c r="D74" s="117">
        <v>0.47</v>
      </c>
      <c r="E74" s="117">
        <v>0.92</v>
      </c>
      <c r="F74" s="98">
        <v>0.4</v>
      </c>
      <c r="G74" s="117">
        <v>1.92</v>
      </c>
      <c r="H74" s="110">
        <v>37</v>
      </c>
      <c r="I74" s="233">
        <v>68</v>
      </c>
      <c r="J74" s="100">
        <v>29</v>
      </c>
      <c r="K74" s="100">
        <v>37</v>
      </c>
      <c r="L74" s="151"/>
      <c r="M74" s="112"/>
      <c r="N74" s="112"/>
      <c r="O74" s="112"/>
      <c r="P74" s="112"/>
      <c r="Q74" s="112"/>
      <c r="R74" s="112"/>
      <c r="S74" s="112"/>
      <c r="T74" s="112"/>
      <c r="U74" s="112"/>
      <c r="V74" s="112"/>
    </row>
    <row r="75" spans="1:22" ht="15.95">
      <c r="A75" s="96">
        <v>45872</v>
      </c>
      <c r="B75" s="99">
        <v>1196</v>
      </c>
      <c r="C75" s="98">
        <v>113</v>
      </c>
      <c r="D75" s="117">
        <v>0.46</v>
      </c>
      <c r="E75" s="117">
        <v>0.93</v>
      </c>
      <c r="F75" s="98">
        <v>0.36</v>
      </c>
      <c r="G75" s="117">
        <v>1.89</v>
      </c>
      <c r="H75" s="110">
        <v>39</v>
      </c>
      <c r="I75" s="233">
        <v>69</v>
      </c>
      <c r="J75" s="100">
        <v>29</v>
      </c>
      <c r="K75" s="100">
        <v>39</v>
      </c>
      <c r="L75" s="151"/>
      <c r="M75" s="112"/>
      <c r="N75" s="112"/>
      <c r="O75" s="112"/>
      <c r="P75" s="112"/>
      <c r="Q75" s="112"/>
      <c r="R75" s="112"/>
      <c r="S75" s="112"/>
      <c r="T75" s="112"/>
      <c r="U75" s="112"/>
      <c r="V75" s="112"/>
    </row>
    <row r="76" spans="1:22" ht="15.95">
      <c r="A76" s="96">
        <v>45873</v>
      </c>
      <c r="B76" s="99">
        <v>1196</v>
      </c>
      <c r="C76" s="98">
        <v>113</v>
      </c>
      <c r="D76" s="117">
        <v>0.47</v>
      </c>
      <c r="E76" s="117">
        <v>0.91</v>
      </c>
      <c r="F76" s="98">
        <v>0.4</v>
      </c>
      <c r="G76" s="117">
        <v>1.91</v>
      </c>
      <c r="H76" s="110">
        <v>40</v>
      </c>
      <c r="I76" s="233">
        <v>70</v>
      </c>
      <c r="J76" s="100">
        <v>30</v>
      </c>
      <c r="K76" s="100">
        <v>40</v>
      </c>
      <c r="L76" s="151"/>
      <c r="M76" s="112"/>
      <c r="N76" s="112"/>
      <c r="O76" s="112"/>
      <c r="P76" s="112"/>
      <c r="Q76" s="112"/>
      <c r="R76" s="112"/>
      <c r="S76" s="112"/>
      <c r="T76" s="112"/>
      <c r="U76" s="112"/>
      <c r="V76" s="112"/>
    </row>
    <row r="77" spans="1:22" ht="15.95">
      <c r="A77" s="96">
        <v>45874</v>
      </c>
      <c r="B77" s="99">
        <v>1200</v>
      </c>
      <c r="C77" s="98">
        <v>114</v>
      </c>
      <c r="D77" s="117">
        <v>0.47</v>
      </c>
      <c r="E77" s="117">
        <v>0.92</v>
      </c>
      <c r="F77" s="98">
        <v>0.4</v>
      </c>
      <c r="G77" s="117">
        <v>1.9</v>
      </c>
      <c r="H77" s="110">
        <v>39</v>
      </c>
      <c r="I77" s="233">
        <v>69</v>
      </c>
      <c r="J77" s="100">
        <v>29</v>
      </c>
      <c r="K77" s="100">
        <v>39</v>
      </c>
      <c r="L77" s="151"/>
      <c r="M77" s="112"/>
      <c r="N77" s="112"/>
      <c r="O77" s="112"/>
      <c r="P77" s="112"/>
      <c r="Q77" s="112"/>
      <c r="R77" s="112"/>
      <c r="S77" s="112"/>
      <c r="T77" s="112"/>
      <c r="U77" s="112"/>
      <c r="V77" s="112"/>
    </row>
    <row r="78" spans="1:22" ht="15.95">
      <c r="A78" s="96">
        <v>45875</v>
      </c>
      <c r="B78" s="99">
        <v>1197</v>
      </c>
      <c r="C78" s="98">
        <v>114</v>
      </c>
      <c r="D78" s="117">
        <v>0.45</v>
      </c>
      <c r="E78" s="117">
        <v>0.91</v>
      </c>
      <c r="F78" s="98">
        <v>0.33</v>
      </c>
      <c r="G78" s="117">
        <v>1.91</v>
      </c>
      <c r="H78" s="110">
        <v>37</v>
      </c>
      <c r="I78" s="233">
        <v>67</v>
      </c>
      <c r="J78" s="100">
        <v>26</v>
      </c>
      <c r="K78" s="100">
        <v>37</v>
      </c>
      <c r="L78" s="151"/>
      <c r="M78" s="112"/>
      <c r="N78" s="112"/>
      <c r="O78" s="112"/>
      <c r="P78" s="112"/>
      <c r="Q78" s="112"/>
      <c r="R78" s="112"/>
      <c r="S78" s="112"/>
      <c r="T78" s="112"/>
      <c r="U78" s="112"/>
      <c r="V78" s="112"/>
    </row>
    <row r="79" spans="1:22" ht="15.95">
      <c r="A79" s="96">
        <v>45876</v>
      </c>
      <c r="B79" s="99">
        <v>990</v>
      </c>
      <c r="C79" s="98">
        <v>94</v>
      </c>
      <c r="D79" s="117">
        <v>0.48</v>
      </c>
      <c r="E79" s="117">
        <v>1.31</v>
      </c>
      <c r="F79" s="98">
        <v>0.41</v>
      </c>
      <c r="G79" s="117">
        <v>1.9</v>
      </c>
      <c r="H79" s="110">
        <v>36</v>
      </c>
      <c r="I79" s="233">
        <v>68</v>
      </c>
      <c r="J79" s="100">
        <v>25</v>
      </c>
      <c r="K79" s="100">
        <v>36</v>
      </c>
      <c r="L79" s="151" t="s">
        <v>245</v>
      </c>
      <c r="M79" s="112"/>
      <c r="N79" s="112"/>
      <c r="O79" s="112"/>
      <c r="P79" s="112"/>
      <c r="Q79" s="112"/>
      <c r="R79" s="112"/>
      <c r="S79" s="112"/>
      <c r="T79" s="112"/>
      <c r="U79" s="112"/>
      <c r="V79" s="112"/>
    </row>
    <row r="80" spans="1:22" ht="15.95">
      <c r="A80" s="96">
        <v>45877</v>
      </c>
      <c r="B80" s="99">
        <v>1103</v>
      </c>
      <c r="C80" s="98">
        <v>105</v>
      </c>
      <c r="D80" s="117">
        <v>0.47</v>
      </c>
      <c r="E80" s="117">
        <v>1.1499999999999999</v>
      </c>
      <c r="F80" s="98">
        <v>0.37</v>
      </c>
      <c r="G80" s="117">
        <v>1.89</v>
      </c>
      <c r="H80" s="110">
        <v>37</v>
      </c>
      <c r="I80" s="233">
        <v>68</v>
      </c>
      <c r="J80" s="100">
        <v>29</v>
      </c>
      <c r="K80" s="100">
        <v>37</v>
      </c>
      <c r="L80" s="151"/>
      <c r="M80" s="112"/>
      <c r="N80" s="112"/>
      <c r="O80" s="112"/>
      <c r="P80" s="112"/>
      <c r="Q80" s="112"/>
      <c r="R80" s="112"/>
      <c r="S80" s="112"/>
      <c r="T80" s="112"/>
      <c r="U80" s="112"/>
      <c r="V80" s="112"/>
    </row>
    <row r="81" spans="1:22" ht="15.95">
      <c r="A81" s="96">
        <v>45878</v>
      </c>
      <c r="B81" s="108">
        <v>1010</v>
      </c>
      <c r="C81" s="109">
        <v>96</v>
      </c>
      <c r="D81" s="117">
        <v>0.46</v>
      </c>
      <c r="E81" s="117">
        <v>1.1200000000000001</v>
      </c>
      <c r="F81" s="98">
        <v>0.33</v>
      </c>
      <c r="G81" s="117">
        <v>1.86</v>
      </c>
      <c r="H81" s="110">
        <v>34</v>
      </c>
      <c r="I81" s="233">
        <v>76</v>
      </c>
      <c r="J81" s="100">
        <v>27</v>
      </c>
      <c r="K81" s="100">
        <v>34</v>
      </c>
      <c r="L81" s="151" t="s">
        <v>246</v>
      </c>
      <c r="M81" s="112"/>
      <c r="N81" s="112"/>
      <c r="O81" s="112"/>
      <c r="P81" s="112"/>
      <c r="Q81" s="112"/>
      <c r="R81" s="112"/>
      <c r="S81" s="112"/>
      <c r="T81" s="112"/>
      <c r="U81" s="112"/>
      <c r="V81" s="112"/>
    </row>
    <row r="82" spans="1:22" ht="15.95">
      <c r="A82" s="96">
        <v>45879</v>
      </c>
      <c r="B82" s="99">
        <v>1171</v>
      </c>
      <c r="C82" s="98">
        <v>112</v>
      </c>
      <c r="D82" s="117">
        <v>0.47</v>
      </c>
      <c r="E82" s="117">
        <v>1.1599999999999999</v>
      </c>
      <c r="F82" s="98">
        <v>0.3</v>
      </c>
      <c r="G82" s="117">
        <v>1.89</v>
      </c>
      <c r="H82" s="110">
        <v>36</v>
      </c>
      <c r="I82" s="233">
        <v>80</v>
      </c>
      <c r="J82" s="100">
        <v>30</v>
      </c>
      <c r="K82" s="100">
        <v>36</v>
      </c>
      <c r="L82" s="151"/>
      <c r="M82" s="112"/>
      <c r="N82" s="112"/>
      <c r="O82" s="112"/>
      <c r="P82" s="112"/>
      <c r="Q82" s="112"/>
      <c r="R82" s="112"/>
      <c r="S82" s="112"/>
      <c r="T82" s="112"/>
      <c r="U82" s="112"/>
      <c r="V82" s="112"/>
    </row>
    <row r="83" spans="1:22" ht="15.95">
      <c r="A83" s="96">
        <v>45880</v>
      </c>
      <c r="B83" s="99">
        <v>1191</v>
      </c>
      <c r="C83" s="98">
        <v>113</v>
      </c>
      <c r="D83" s="117">
        <v>0.46</v>
      </c>
      <c r="E83" s="117">
        <v>1.1200000000000001</v>
      </c>
      <c r="F83" s="98">
        <v>0.6</v>
      </c>
      <c r="G83" s="117">
        <v>1.87</v>
      </c>
      <c r="H83" s="110">
        <v>40</v>
      </c>
      <c r="I83" s="233">
        <v>63</v>
      </c>
      <c r="J83" s="100">
        <v>30</v>
      </c>
      <c r="K83" s="100">
        <v>40</v>
      </c>
      <c r="L83" s="151"/>
      <c r="M83" s="112"/>
      <c r="N83" s="112"/>
      <c r="O83" s="112"/>
      <c r="P83" s="112"/>
      <c r="Q83" s="112"/>
      <c r="R83" s="112"/>
      <c r="S83" s="112"/>
      <c r="T83" s="112"/>
      <c r="U83" s="112"/>
      <c r="V83" s="112"/>
    </row>
    <row r="84" spans="1:22" ht="15.95">
      <c r="A84" s="96">
        <v>45881</v>
      </c>
      <c r="B84" s="99">
        <v>1191</v>
      </c>
      <c r="C84" s="98">
        <v>113</v>
      </c>
      <c r="D84" s="117">
        <v>0.47</v>
      </c>
      <c r="E84" s="117">
        <v>1.1399999999999999</v>
      </c>
      <c r="F84" s="98">
        <v>0.4</v>
      </c>
      <c r="G84" s="117">
        <v>1.84</v>
      </c>
      <c r="H84" s="110">
        <v>38</v>
      </c>
      <c r="I84" s="233">
        <v>68</v>
      </c>
      <c r="J84" s="100">
        <v>29</v>
      </c>
      <c r="K84" s="100">
        <v>38</v>
      </c>
      <c r="L84" s="151"/>
      <c r="M84" s="112"/>
      <c r="N84" s="112"/>
      <c r="O84" s="112"/>
      <c r="P84" s="112"/>
      <c r="Q84" s="112"/>
      <c r="R84" s="112"/>
      <c r="S84" s="112"/>
      <c r="T84" s="112"/>
      <c r="U84" s="112"/>
      <c r="V84" s="112"/>
    </row>
    <row r="85" spans="1:22" ht="15.95">
      <c r="A85" s="96">
        <v>45882</v>
      </c>
      <c r="B85" s="99">
        <v>1191</v>
      </c>
      <c r="C85" s="98">
        <v>113</v>
      </c>
      <c r="D85" s="117">
        <v>0.47</v>
      </c>
      <c r="E85" s="117">
        <v>1.1399999999999999</v>
      </c>
      <c r="F85" s="98">
        <v>0.4</v>
      </c>
      <c r="G85" s="117">
        <v>1.84</v>
      </c>
      <c r="H85" s="110">
        <v>38</v>
      </c>
      <c r="I85" s="233">
        <v>69</v>
      </c>
      <c r="J85" s="100">
        <v>30</v>
      </c>
      <c r="K85" s="100">
        <v>37</v>
      </c>
      <c r="L85" s="151"/>
      <c r="M85" s="112"/>
      <c r="N85" s="112"/>
      <c r="O85" s="112"/>
      <c r="P85" s="112"/>
      <c r="Q85" s="112"/>
      <c r="R85" s="112"/>
      <c r="S85" s="112"/>
      <c r="T85" s="112"/>
      <c r="U85" s="112"/>
      <c r="V85" s="112"/>
    </row>
    <row r="86" spans="1:22" ht="15.95">
      <c r="A86" s="96">
        <v>45883</v>
      </c>
      <c r="B86" s="99">
        <v>1190</v>
      </c>
      <c r="C86" s="98">
        <v>113</v>
      </c>
      <c r="D86" s="117">
        <v>0.48</v>
      </c>
      <c r="E86" s="117">
        <v>1.03</v>
      </c>
      <c r="F86" s="98">
        <v>0.43</v>
      </c>
      <c r="G86" s="117">
        <v>1.86</v>
      </c>
      <c r="H86" s="110">
        <v>35</v>
      </c>
      <c r="I86" s="233">
        <v>76</v>
      </c>
      <c r="J86" s="100">
        <v>28</v>
      </c>
      <c r="K86" s="100">
        <v>35</v>
      </c>
      <c r="L86" s="151"/>
      <c r="M86" s="112"/>
      <c r="N86" s="112"/>
      <c r="O86" s="112"/>
      <c r="P86" s="112"/>
      <c r="Q86" s="112"/>
      <c r="R86" s="112"/>
      <c r="S86" s="112"/>
      <c r="T86" s="112"/>
      <c r="U86" s="112"/>
      <c r="V86" s="112"/>
    </row>
    <row r="87" spans="1:22" ht="15.95">
      <c r="A87" s="96">
        <v>45884</v>
      </c>
      <c r="B87" s="99">
        <v>1190</v>
      </c>
      <c r="C87" s="98">
        <v>113</v>
      </c>
      <c r="D87" s="117">
        <v>0.49</v>
      </c>
      <c r="E87" s="117">
        <v>1.03</v>
      </c>
      <c r="F87" s="98">
        <v>0.5</v>
      </c>
      <c r="G87" s="117">
        <v>1.87</v>
      </c>
      <c r="H87" s="110"/>
      <c r="I87" s="233">
        <v>69</v>
      </c>
      <c r="J87" s="100">
        <v>28</v>
      </c>
      <c r="K87" s="100">
        <v>36</v>
      </c>
      <c r="L87" s="151"/>
      <c r="M87" s="112"/>
      <c r="N87" s="112"/>
      <c r="O87" s="112"/>
      <c r="P87" s="112"/>
      <c r="Q87" s="112"/>
      <c r="R87" s="112"/>
      <c r="S87" s="112"/>
      <c r="T87" s="112"/>
      <c r="U87" s="112"/>
      <c r="V87" s="112"/>
    </row>
    <row r="88" spans="1:22" ht="15.95">
      <c r="A88" s="96">
        <v>45885</v>
      </c>
      <c r="B88" s="99">
        <v>1191</v>
      </c>
      <c r="C88" s="98">
        <v>113</v>
      </c>
      <c r="D88" s="117">
        <v>0.47</v>
      </c>
      <c r="E88" s="117">
        <v>1.06</v>
      </c>
      <c r="F88" s="98">
        <v>0.53</v>
      </c>
      <c r="G88" s="117">
        <v>1.86</v>
      </c>
      <c r="H88" s="110"/>
      <c r="I88" s="233">
        <v>70</v>
      </c>
      <c r="J88" s="100">
        <v>30</v>
      </c>
      <c r="K88" s="100">
        <v>38</v>
      </c>
      <c r="L88" s="151"/>
      <c r="M88" s="112"/>
      <c r="N88" s="112"/>
      <c r="O88" s="112"/>
      <c r="P88" s="112"/>
      <c r="Q88" s="112"/>
      <c r="R88" s="112"/>
      <c r="S88" s="112"/>
      <c r="T88" s="112"/>
      <c r="U88" s="112"/>
      <c r="V88" s="112"/>
    </row>
    <row r="89" spans="1:22" ht="15.95">
      <c r="A89" s="96">
        <v>45886</v>
      </c>
      <c r="B89" s="99">
        <v>1190</v>
      </c>
      <c r="C89" s="98">
        <v>113</v>
      </c>
      <c r="D89" s="117">
        <v>0.47</v>
      </c>
      <c r="E89" s="117">
        <v>1.1000000000000001</v>
      </c>
      <c r="F89" s="98">
        <v>0.33</v>
      </c>
      <c r="G89" s="117">
        <v>1.86</v>
      </c>
      <c r="H89" s="110"/>
      <c r="I89" s="233">
        <v>91</v>
      </c>
      <c r="J89" s="100">
        <v>25</v>
      </c>
      <c r="K89" s="100">
        <v>34</v>
      </c>
      <c r="L89" s="151"/>
      <c r="M89" s="112"/>
      <c r="N89" s="112"/>
      <c r="O89" s="112"/>
      <c r="P89" s="112"/>
      <c r="Q89" s="112"/>
      <c r="R89" s="112"/>
      <c r="S89" s="112"/>
      <c r="T89" s="112"/>
      <c r="U89" s="112"/>
      <c r="V89" s="112"/>
    </row>
    <row r="90" spans="1:22" ht="15.95">
      <c r="A90" s="96">
        <v>45887</v>
      </c>
      <c r="B90" s="99">
        <v>1190</v>
      </c>
      <c r="C90" s="98">
        <v>113</v>
      </c>
      <c r="D90" s="117">
        <v>0.46</v>
      </c>
      <c r="E90" s="117">
        <v>1.04</v>
      </c>
      <c r="F90" s="98">
        <v>0.47</v>
      </c>
      <c r="G90" s="117">
        <v>1.84</v>
      </c>
      <c r="H90" s="110"/>
      <c r="I90" s="233">
        <v>91</v>
      </c>
      <c r="J90" s="100">
        <v>25</v>
      </c>
      <c r="K90" s="100">
        <v>29</v>
      </c>
      <c r="L90" s="151"/>
      <c r="M90" s="112"/>
      <c r="N90" s="112"/>
      <c r="O90" s="112"/>
      <c r="P90" s="112"/>
      <c r="Q90" s="112"/>
      <c r="R90" s="112"/>
      <c r="S90" s="112"/>
      <c r="T90" s="112"/>
      <c r="U90" s="112"/>
      <c r="V90" s="112"/>
    </row>
    <row r="91" spans="1:22" ht="15.95">
      <c r="A91" s="96">
        <v>45888</v>
      </c>
      <c r="B91" s="99">
        <f>'UREA PLANT ENERGY INDEX PROFILE'!B53</f>
        <v>1193</v>
      </c>
      <c r="C91" s="98">
        <f>'UREA PLANT ENERGY INDEX PROFILE'!C53</f>
        <v>113.2</v>
      </c>
      <c r="D91" s="117">
        <f>AVERAGE('Product Analysis'!F211:F213)</f>
        <v>0.45333333333333337</v>
      </c>
      <c r="E91" s="117">
        <f>AVERAGE('Product Analysis'!H211:H213)</f>
        <v>1.03</v>
      </c>
      <c r="F91" s="98">
        <f>AVERAGE('Product Analysis'!R211:R213)</f>
        <v>0.46666666666666662</v>
      </c>
      <c r="G91" s="117">
        <f>AVERAGE('Product Analysis'!S211:S213)</f>
        <v>1.8766666666666667</v>
      </c>
      <c r="H91" s="110"/>
      <c r="I91" s="233">
        <v>83</v>
      </c>
      <c r="J91" s="100">
        <v>25</v>
      </c>
      <c r="K91" s="100">
        <v>30</v>
      </c>
      <c r="L91" s="151"/>
      <c r="M91" s="112"/>
      <c r="N91" s="112"/>
      <c r="O91" s="112"/>
      <c r="P91" s="112"/>
      <c r="Q91" s="112"/>
      <c r="R91" s="112"/>
      <c r="S91" s="112"/>
      <c r="T91" s="112"/>
      <c r="U91" s="112"/>
      <c r="V91" s="112"/>
    </row>
    <row r="92" spans="1:22" ht="15.95">
      <c r="A92" s="96">
        <v>45889</v>
      </c>
      <c r="B92" s="99">
        <f>'UREA PLANT ENERGY INDEX PROFILE'!B54</f>
        <v>1193</v>
      </c>
      <c r="C92" s="98">
        <f>'UREA PLANT ENERGY INDEX PROFILE'!C54</f>
        <v>113.2</v>
      </c>
      <c r="D92" s="117">
        <f>AVERAGE('Product Analysis'!F214:F216)</f>
        <v>0.45333333333333331</v>
      </c>
      <c r="E92" s="117">
        <f>AVERAGE('Product Analysis'!H214:H216)</f>
        <v>1.03</v>
      </c>
      <c r="F92" s="98">
        <f>AVERAGE('Product Analysis'!R214:R216)</f>
        <v>0.43333333333333335</v>
      </c>
      <c r="G92" s="117">
        <f>AVERAGE('Product Analysis'!S214:S216)</f>
        <v>1.87</v>
      </c>
      <c r="H92" s="110"/>
      <c r="I92" s="233">
        <v>87</v>
      </c>
      <c r="J92" s="100">
        <v>26</v>
      </c>
      <c r="K92" s="100">
        <v>36</v>
      </c>
      <c r="L92" s="151"/>
      <c r="M92" s="112"/>
      <c r="N92" s="112"/>
      <c r="O92" s="112"/>
      <c r="P92" s="112"/>
      <c r="Q92" s="112"/>
      <c r="R92" s="112"/>
      <c r="S92" s="112"/>
      <c r="T92" s="112"/>
      <c r="U92" s="112"/>
      <c r="V92" s="112"/>
    </row>
    <row r="93" spans="1:22" ht="15.95">
      <c r="A93" s="96">
        <v>45890</v>
      </c>
      <c r="B93" s="99">
        <f>'UREA PLANT ENERGY INDEX PROFILE'!B55</f>
        <v>1191</v>
      </c>
      <c r="C93" s="98">
        <f>'UREA PLANT ENERGY INDEX PROFILE'!C55</f>
        <v>113.3</v>
      </c>
      <c r="D93" s="117">
        <f>AVERAGE('Product Analysis'!F213:F215)</f>
        <v>0.45666666666666661</v>
      </c>
      <c r="E93" s="117">
        <f>AVERAGE('Product Analysis'!H213:H215)</f>
        <v>1.03</v>
      </c>
      <c r="F93" s="98">
        <f>AVERAGE('Product Analysis'!R213:R215)</f>
        <v>0.43333333333333335</v>
      </c>
      <c r="G93" s="117">
        <f>AVERAGE('Product Analysis'!S213:S215)</f>
        <v>1.8633333333333335</v>
      </c>
      <c r="H93" s="110"/>
      <c r="I93" s="233">
        <v>76</v>
      </c>
      <c r="J93" s="100">
        <v>26</v>
      </c>
      <c r="K93" s="100">
        <v>37</v>
      </c>
      <c r="L93" s="151"/>
      <c r="M93" s="112"/>
      <c r="N93" s="112"/>
      <c r="O93" s="112"/>
      <c r="P93" s="112"/>
      <c r="Q93" s="112"/>
      <c r="R93" s="112"/>
      <c r="S93" s="112"/>
      <c r="T93" s="112"/>
      <c r="U93" s="112"/>
      <c r="V93" s="112"/>
    </row>
    <row r="94" spans="1:22" ht="15.95">
      <c r="A94" s="96">
        <v>45891</v>
      </c>
      <c r="B94" s="99">
        <f>'UREA PLANT ENERGY INDEX PROFILE'!B56</f>
        <v>1191</v>
      </c>
      <c r="C94" s="98">
        <f>'UREA PLANT ENERGY INDEX PROFILE'!C56</f>
        <v>113</v>
      </c>
      <c r="D94" s="117">
        <f>AVERAGE('Product Analysis'!F216:F218)</f>
        <v>0.45666666666666672</v>
      </c>
      <c r="E94" s="117">
        <f>AVERAGE('Product Analysis'!H216:H218)</f>
        <v>1.0333333333333334</v>
      </c>
      <c r="F94" s="98">
        <f>AVERAGE('Product Analysis'!R216:R218)</f>
        <v>0.5</v>
      </c>
      <c r="G94" s="117">
        <f>AVERAGE('Product Analysis'!S216:S218)</f>
        <v>1.88</v>
      </c>
      <c r="H94" s="110"/>
      <c r="I94" s="233">
        <v>76</v>
      </c>
      <c r="J94" s="100">
        <v>29</v>
      </c>
      <c r="K94" s="100">
        <v>38</v>
      </c>
      <c r="L94" s="151"/>
      <c r="M94" s="112"/>
      <c r="N94" s="112"/>
      <c r="O94" s="112"/>
      <c r="P94" s="112"/>
      <c r="Q94" s="112"/>
      <c r="R94" s="112"/>
      <c r="S94" s="112"/>
      <c r="T94" s="112"/>
      <c r="U94" s="112"/>
      <c r="V94" s="112"/>
    </row>
    <row r="95" spans="1:22" ht="15.95">
      <c r="A95" s="96">
        <v>45892</v>
      </c>
      <c r="B95" s="99">
        <f>'UREA PLANT ENERGY INDEX PROFILE'!B57</f>
        <v>1185</v>
      </c>
      <c r="C95" s="98">
        <f>'UREA PLANT ENERGY INDEX PROFILE'!C57</f>
        <v>112.9</v>
      </c>
      <c r="D95" s="117">
        <f>AVERAGE('Product Analysis'!F215:F217)</f>
        <v>0.45</v>
      </c>
      <c r="E95" s="117">
        <f>AVERAGE('Product Analysis'!H215:H217)</f>
        <v>1.0266666666666666</v>
      </c>
      <c r="F95" s="98">
        <f>AVERAGE('Product Analysis'!R215:R217)</f>
        <v>0.3666666666666667</v>
      </c>
      <c r="G95" s="117">
        <f>AVERAGE('Product Analysis'!S215:S217)</f>
        <v>1.88</v>
      </c>
      <c r="H95" s="110"/>
      <c r="I95" s="233">
        <v>88</v>
      </c>
      <c r="J95" s="100">
        <v>24</v>
      </c>
      <c r="K95" s="100">
        <v>39</v>
      </c>
      <c r="L95" s="151"/>
      <c r="M95" s="112"/>
      <c r="N95" s="112"/>
      <c r="O95" s="112"/>
      <c r="P95" s="112"/>
      <c r="Q95" s="112"/>
      <c r="R95" s="112"/>
      <c r="S95" s="112"/>
      <c r="T95" s="112"/>
      <c r="U95" s="112"/>
      <c r="V95" s="112"/>
    </row>
    <row r="96" spans="1:22" ht="15.95">
      <c r="A96" s="96">
        <v>45893</v>
      </c>
      <c r="B96" s="99">
        <f>'UREA PLANT ENERGY INDEX PROFILE'!B58</f>
        <v>1189</v>
      </c>
      <c r="C96" s="98">
        <f>'UREA PLANT ENERGY INDEX PROFILE'!C58</f>
        <v>113.2</v>
      </c>
      <c r="D96" s="117">
        <f>AVERAGE('Product Analysis'!F218:F220)</f>
        <v>0.46666666666666662</v>
      </c>
      <c r="E96" s="117">
        <f>AVERAGE('Product Analysis'!H218:H220)</f>
        <v>1.05</v>
      </c>
      <c r="F96" s="98">
        <f>AVERAGE('Product Analysis'!R218:R220)</f>
        <v>0.53333333333333333</v>
      </c>
      <c r="G96" s="117">
        <f>AVERAGE('Product Analysis'!S218:S220)</f>
        <v>1.8666666666666665</v>
      </c>
      <c r="H96" s="110"/>
      <c r="I96" s="233">
        <v>79</v>
      </c>
      <c r="J96" s="100">
        <v>24</v>
      </c>
      <c r="K96" s="100">
        <v>33</v>
      </c>
      <c r="L96" s="151"/>
      <c r="M96" s="112"/>
      <c r="N96" s="112"/>
      <c r="O96" s="112"/>
      <c r="P96" s="112"/>
      <c r="Q96" s="112"/>
      <c r="R96" s="112"/>
      <c r="S96" s="112"/>
      <c r="T96" s="112"/>
      <c r="U96" s="112"/>
      <c r="V96" s="112"/>
    </row>
    <row r="97" spans="1:22" ht="15.95">
      <c r="A97" s="96">
        <v>45894</v>
      </c>
      <c r="B97" s="99">
        <f>'UREA PLANT ENERGY INDEX PROFILE'!B59</f>
        <v>1192</v>
      </c>
      <c r="C97" s="98">
        <f>'UREA PLANT ENERGY INDEX PROFILE'!C59</f>
        <v>113.2</v>
      </c>
      <c r="D97" s="117">
        <f>AVERAGE('Product Analysis'!F217:F219)</f>
        <v>0.46333333333333337</v>
      </c>
      <c r="E97" s="117">
        <f>AVERAGE('Product Analysis'!H217:H219)</f>
        <v>1.0433333333333334</v>
      </c>
      <c r="F97" s="98">
        <f>AVERAGE('Product Analysis'!R217:R219)</f>
        <v>0.46666666666666673</v>
      </c>
      <c r="G97" s="117">
        <f>AVERAGE('Product Analysis'!S217:S219)</f>
        <v>1.8666666666666665</v>
      </c>
      <c r="H97" s="110"/>
      <c r="I97" s="233">
        <v>75</v>
      </c>
      <c r="J97" s="100">
        <v>26</v>
      </c>
      <c r="K97" s="100">
        <v>36</v>
      </c>
      <c r="L97" s="151" t="s">
        <v>247</v>
      </c>
      <c r="M97" s="112"/>
      <c r="N97" s="112"/>
      <c r="O97" s="112"/>
      <c r="P97" s="112"/>
      <c r="Q97" s="112"/>
      <c r="R97" s="112"/>
      <c r="S97" s="112"/>
      <c r="T97" s="112"/>
      <c r="U97" s="112"/>
      <c r="V97" s="112"/>
    </row>
    <row r="98" spans="1:22" ht="15.95">
      <c r="A98" s="96">
        <v>45895</v>
      </c>
      <c r="B98" s="99">
        <f>'UREA PLANT ENERGY INDEX PROFILE'!B60</f>
        <v>1187</v>
      </c>
      <c r="C98" s="98">
        <f>'UREA PLANT ENERGY INDEX PROFILE'!C60</f>
        <v>113.3</v>
      </c>
      <c r="D98" s="117">
        <f>AVERAGE('Product Analysis'!F220:F222)</f>
        <v>0.46666666666666662</v>
      </c>
      <c r="E98" s="117">
        <f>AVERAGE('Product Analysis'!H220:H222)</f>
        <v>1.0366666666666668</v>
      </c>
      <c r="F98" s="98">
        <f>AVERAGE('Product Analysis'!R220:R222)</f>
        <v>0.3666666666666667</v>
      </c>
      <c r="G98" s="117">
        <f>AVERAGE('Product Analysis'!S220:S222)</f>
        <v>1.8766666666666667</v>
      </c>
      <c r="H98" s="110"/>
      <c r="I98" s="233">
        <v>74</v>
      </c>
      <c r="J98" s="100">
        <v>27</v>
      </c>
      <c r="K98" s="100">
        <v>35</v>
      </c>
      <c r="L98" s="151"/>
      <c r="M98" s="112"/>
      <c r="N98" s="112"/>
      <c r="O98" s="112"/>
      <c r="P98" s="112"/>
      <c r="Q98" s="112"/>
      <c r="R98" s="112"/>
      <c r="S98" s="112"/>
      <c r="T98" s="112"/>
      <c r="U98" s="112"/>
      <c r="V98" s="112"/>
    </row>
    <row r="99" spans="1:22" ht="15.95">
      <c r="A99" s="96">
        <v>45896</v>
      </c>
      <c r="B99" s="99">
        <f>'UREA PLANT ENERGY INDEX PROFILE'!B61</f>
        <v>1187</v>
      </c>
      <c r="C99" s="98">
        <f>'UREA PLANT ENERGY INDEX PROFILE'!C61</f>
        <v>113</v>
      </c>
      <c r="D99" s="117">
        <f>AVERAGE('Product Analysis'!F219:F221)</f>
        <v>0.46666666666666662</v>
      </c>
      <c r="E99" s="117">
        <f>AVERAGE('Product Analysis'!H219:H221)</f>
        <v>1.0433333333333334</v>
      </c>
      <c r="F99" s="98">
        <f>AVERAGE('Product Analysis'!R219:R221)</f>
        <v>0.40000000000000008</v>
      </c>
      <c r="G99" s="117">
        <f>AVERAGE('Product Analysis'!S219:S221)</f>
        <v>1.8733333333333333</v>
      </c>
      <c r="H99" s="110"/>
      <c r="I99" s="233">
        <v>69</v>
      </c>
      <c r="J99" s="100">
        <v>26</v>
      </c>
      <c r="K99" s="100">
        <v>33</v>
      </c>
      <c r="L99" s="151"/>
      <c r="M99" s="112"/>
      <c r="N99" s="112"/>
      <c r="O99" s="112"/>
      <c r="P99" s="112"/>
      <c r="Q99" s="112"/>
      <c r="R99" s="112"/>
      <c r="S99" s="112"/>
      <c r="T99" s="112"/>
      <c r="U99" s="112"/>
      <c r="V99" s="112"/>
    </row>
    <row r="100" spans="1:22" ht="15.95">
      <c r="A100" s="96">
        <v>45897</v>
      </c>
      <c r="B100" s="99">
        <f>'UREA PLANT ENERGY INDEX PROFILE'!B62</f>
        <v>1187</v>
      </c>
      <c r="C100" s="98">
        <f>'UREA PLANT ENERGY INDEX PROFILE'!C62</f>
        <v>113</v>
      </c>
      <c r="D100" s="117">
        <f>AVERAGE('Product Analysis'!F222:F224)</f>
        <v>0.47333333333333333</v>
      </c>
      <c r="E100" s="117">
        <f>AVERAGE('Product Analysis'!H222:H224)</f>
        <v>1.0466666666666666</v>
      </c>
      <c r="F100" s="98">
        <f>AVERAGE('Product Analysis'!R222:R224)</f>
        <v>0.6</v>
      </c>
      <c r="G100" s="117">
        <f>AVERAGE('Product Analysis'!S222:S224)</f>
        <v>1.8766666666666667</v>
      </c>
      <c r="H100" s="110"/>
      <c r="I100" s="233">
        <v>76</v>
      </c>
      <c r="J100" s="100">
        <v>29</v>
      </c>
      <c r="K100" s="100">
        <v>37</v>
      </c>
      <c r="L100" s="151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</row>
    <row r="101" spans="1:22" ht="15.95">
      <c r="A101" s="96">
        <v>45898</v>
      </c>
      <c r="B101" s="99">
        <f>'UREA PLANT ENERGY INDEX PROFILE'!B63</f>
        <v>1182</v>
      </c>
      <c r="C101" s="98">
        <f>'UREA PLANT ENERGY INDEX PROFILE'!C63</f>
        <v>113</v>
      </c>
      <c r="D101" s="117">
        <f>AVERAGE('Product Analysis'!F221:F223)</f>
        <v>0.46666666666666662</v>
      </c>
      <c r="E101" s="117">
        <f>AVERAGE('Product Analysis'!H221:H223)</f>
        <v>1.0333333333333334</v>
      </c>
      <c r="F101" s="98">
        <f>AVERAGE('Product Analysis'!R221:R223)</f>
        <v>0.43333333333333335</v>
      </c>
      <c r="G101" s="117">
        <f>AVERAGE('Product Analysis'!S221:S223)</f>
        <v>1.8766666666666667</v>
      </c>
      <c r="H101" s="110"/>
      <c r="I101" s="233">
        <v>76</v>
      </c>
      <c r="J101" s="100">
        <v>29</v>
      </c>
      <c r="K101" s="100">
        <v>38</v>
      </c>
      <c r="L101" s="151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</row>
    <row r="102" spans="1:22" ht="15.95">
      <c r="A102" s="96">
        <v>45899</v>
      </c>
      <c r="B102" s="99">
        <f>'UREA PLANT ENERGY INDEX PROFILE'!B64</f>
        <v>1191</v>
      </c>
      <c r="C102" s="98">
        <f>'UREA PLANT ENERGY INDEX PROFILE'!C64</f>
        <v>113</v>
      </c>
      <c r="D102" s="117">
        <f>AVERAGE('Product Analysis'!F224:F226)</f>
        <v>0.48333333333333334</v>
      </c>
      <c r="E102" s="117">
        <f>AVERAGE('Product Analysis'!H224:H226)</f>
        <v>1.0466666666666666</v>
      </c>
      <c r="F102" s="98">
        <f>AVERAGE('Product Analysis'!R224:R226)</f>
        <v>0.6333333333333333</v>
      </c>
      <c r="G102" s="117">
        <f>AVERAGE('Product Analysis'!S224:S226)</f>
        <v>1.8633333333333333</v>
      </c>
      <c r="H102" s="110"/>
      <c r="I102" s="233">
        <v>87</v>
      </c>
      <c r="J102" s="100">
        <v>24</v>
      </c>
      <c r="K102" s="100">
        <v>30</v>
      </c>
      <c r="L102" s="151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</row>
    <row r="103" spans="1:22" ht="15.95">
      <c r="A103" s="96">
        <v>45900</v>
      </c>
      <c r="B103" s="99">
        <f>'UREA PLANT ENERGY INDEX PROFILE'!B65</f>
        <v>1182</v>
      </c>
      <c r="C103" s="98">
        <f>'UREA PLANT ENERGY INDEX PROFILE'!C65</f>
        <v>113</v>
      </c>
      <c r="D103" s="117">
        <f>AVERAGE('Product Analysis'!F223:F225)</f>
        <v>0.48</v>
      </c>
      <c r="E103" s="117">
        <f>AVERAGE('Product Analysis'!H223:H225)</f>
        <v>1.0566666666666666</v>
      </c>
      <c r="F103" s="98">
        <f>AVERAGE('Product Analysis'!R223:R225)</f>
        <v>0.66666666666666663</v>
      </c>
      <c r="G103" s="117">
        <f>AVERAGE('Product Analysis'!S223:S225)</f>
        <v>1.8733333333333331</v>
      </c>
      <c r="H103" s="110"/>
      <c r="I103" s="233">
        <v>83</v>
      </c>
      <c r="J103" s="100">
        <v>25</v>
      </c>
      <c r="K103" s="100">
        <v>35</v>
      </c>
      <c r="L103" s="151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</row>
    <row r="104" spans="1:22" ht="15.95">
      <c r="A104" s="96">
        <v>45901</v>
      </c>
      <c r="B104" s="99">
        <f>'UREA PLANT ENERGY INDEX PROFILE'!B66</f>
        <v>1182</v>
      </c>
      <c r="C104" s="98">
        <f>'UREA PLANT ENERGY INDEX PROFILE'!C66</f>
        <v>113</v>
      </c>
      <c r="D104" s="117">
        <f>AVERAGE('Product Analysis'!F226:F228)</f>
        <v>0.47333333333333333</v>
      </c>
      <c r="E104" s="117">
        <f>AVERAGE('Product Analysis'!H226:H228)</f>
        <v>1.03</v>
      </c>
      <c r="F104" s="98">
        <f>AVERAGE('Product Analysis'!R226:R228)</f>
        <v>0.39999999999999997</v>
      </c>
      <c r="G104" s="117">
        <f>AVERAGE('Product Analysis'!S226:S228)</f>
        <v>1.8933333333333333</v>
      </c>
      <c r="H104" s="110"/>
      <c r="I104" s="233">
        <v>79</v>
      </c>
      <c r="J104" s="100">
        <v>26</v>
      </c>
      <c r="K104" s="100">
        <v>33</v>
      </c>
      <c r="L104" s="151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</row>
    <row r="105" spans="1:22" ht="15.95">
      <c r="A105" s="96">
        <v>45902</v>
      </c>
      <c r="B105" s="99">
        <f>'UREA PLANT ENERGY INDEX PROFILE'!B67</f>
        <v>1189</v>
      </c>
      <c r="C105" s="98">
        <f>'UREA PLANT ENERGY INDEX PROFILE'!C67</f>
        <v>113</v>
      </c>
      <c r="D105" s="117">
        <f>AVERAGE('Product Analysis'!F225:F227)</f>
        <v>0.48</v>
      </c>
      <c r="E105" s="117">
        <f>AVERAGE('Product Analysis'!H225:H227)</f>
        <v>1.0366666666666668</v>
      </c>
      <c r="F105" s="98">
        <f>AVERAGE('Product Analysis'!R225:R227)</f>
        <v>0.46666666666666662</v>
      </c>
      <c r="G105" s="117">
        <f>AVERAGE('Product Analysis'!S225:S227)</f>
        <v>1.8866666666666667</v>
      </c>
      <c r="H105" s="110"/>
      <c r="I105" s="233">
        <v>74</v>
      </c>
      <c r="J105" s="100">
        <v>24</v>
      </c>
      <c r="K105" s="100">
        <v>36</v>
      </c>
      <c r="L105" s="151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</row>
    <row r="106" spans="1:22" ht="15.95">
      <c r="A106" s="96">
        <v>45903</v>
      </c>
      <c r="B106" s="99">
        <f>'UREA PLANT ENERGY INDEX PROFILE'!B68</f>
        <v>1187</v>
      </c>
      <c r="C106" s="98">
        <f>'UREA PLANT ENERGY INDEX PROFILE'!C68</f>
        <v>113</v>
      </c>
      <c r="D106" s="117">
        <f>AVERAGE('Product Analysis'!F228:F230)</f>
        <v>0.46333333333333332</v>
      </c>
      <c r="E106" s="117">
        <f>AVERAGE('Product Analysis'!H228:H230)</f>
        <v>1.0333333333333334</v>
      </c>
      <c r="F106" s="98">
        <f>AVERAGE('Product Analysis'!R228:R230)</f>
        <v>0.46666666666666662</v>
      </c>
      <c r="G106" s="117">
        <f>AVERAGE('Product Analysis'!S228:S230)</f>
        <v>1.8566666666666667</v>
      </c>
      <c r="H106" s="110"/>
      <c r="I106" s="233">
        <v>74</v>
      </c>
      <c r="J106" s="100">
        <v>26</v>
      </c>
      <c r="K106" s="100">
        <v>33</v>
      </c>
      <c r="L106" s="151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</row>
    <row r="107" spans="1:22" ht="15.95">
      <c r="A107" s="96">
        <v>45904</v>
      </c>
      <c r="B107" s="99">
        <v>1187</v>
      </c>
      <c r="C107" s="98">
        <v>113</v>
      </c>
      <c r="D107" s="117">
        <v>0.44</v>
      </c>
      <c r="E107" s="117">
        <v>1.18</v>
      </c>
      <c r="F107" s="98">
        <v>0.2</v>
      </c>
      <c r="G107" s="117">
        <v>2.04</v>
      </c>
      <c r="H107" s="110"/>
      <c r="I107" s="233">
        <v>87</v>
      </c>
      <c r="J107" s="100">
        <v>26</v>
      </c>
      <c r="K107" s="100">
        <v>36</v>
      </c>
      <c r="L107" s="151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</row>
    <row r="108" spans="1:22" ht="15.95">
      <c r="A108" s="96">
        <v>45905</v>
      </c>
      <c r="B108" s="99">
        <v>1180</v>
      </c>
      <c r="C108" s="98">
        <v>112</v>
      </c>
      <c r="D108" s="117">
        <v>0.45</v>
      </c>
      <c r="E108" s="117">
        <v>1.1399999999999999</v>
      </c>
      <c r="F108" s="98">
        <v>0.2</v>
      </c>
      <c r="G108" s="117">
        <v>1.96</v>
      </c>
      <c r="H108" s="110"/>
      <c r="I108" s="233">
        <v>75</v>
      </c>
      <c r="J108" s="100">
        <v>25</v>
      </c>
      <c r="K108" s="100">
        <v>37</v>
      </c>
      <c r="L108" s="151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</row>
    <row r="109" spans="1:22" ht="15.95">
      <c r="A109" s="96">
        <v>45906</v>
      </c>
      <c r="B109" s="99">
        <v>1180</v>
      </c>
      <c r="C109" s="98">
        <v>112</v>
      </c>
      <c r="D109" s="117">
        <v>0.46</v>
      </c>
      <c r="E109" s="117">
        <v>1.1200000000000001</v>
      </c>
      <c r="F109" s="98">
        <v>0.2</v>
      </c>
      <c r="G109" s="117">
        <v>1.93</v>
      </c>
      <c r="H109" s="110"/>
      <c r="I109" s="233">
        <v>64</v>
      </c>
      <c r="J109" s="100">
        <v>26</v>
      </c>
      <c r="K109" s="100">
        <v>38</v>
      </c>
      <c r="L109" s="151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</row>
    <row r="110" spans="1:22" ht="15.95">
      <c r="A110" s="96">
        <v>45907</v>
      </c>
      <c r="B110" s="99">
        <v>1186</v>
      </c>
      <c r="C110" s="98">
        <v>113</v>
      </c>
      <c r="D110" s="117">
        <v>0.47</v>
      </c>
      <c r="E110" s="117">
        <v>1.0900000000000001</v>
      </c>
      <c r="F110" s="98">
        <v>0.3</v>
      </c>
      <c r="G110" s="117">
        <v>1.91</v>
      </c>
      <c r="H110" s="110"/>
      <c r="I110" s="233">
        <v>82</v>
      </c>
      <c r="J110" s="100">
        <v>25</v>
      </c>
      <c r="K110" s="100">
        <v>33</v>
      </c>
      <c r="L110" s="151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</row>
    <row r="111" spans="1:22" ht="15.95">
      <c r="A111" s="96">
        <v>45908</v>
      </c>
      <c r="B111" s="99">
        <v>1184</v>
      </c>
      <c r="C111" s="98">
        <v>113</v>
      </c>
      <c r="D111" s="117">
        <v>0.44</v>
      </c>
      <c r="E111" s="117">
        <v>1.1499999999999999</v>
      </c>
      <c r="F111" s="98">
        <v>0.5</v>
      </c>
      <c r="G111" s="117">
        <v>1.88</v>
      </c>
      <c r="H111" s="110"/>
      <c r="I111" s="233">
        <v>79</v>
      </c>
      <c r="J111" s="100">
        <v>24</v>
      </c>
      <c r="K111" s="100">
        <v>32</v>
      </c>
      <c r="L111" s="151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</row>
    <row r="112" spans="1:22" ht="15.95">
      <c r="A112" s="96">
        <v>45909</v>
      </c>
      <c r="B112" s="99">
        <v>1182</v>
      </c>
      <c r="C112" s="98">
        <v>113</v>
      </c>
      <c r="D112" s="117">
        <v>0.43</v>
      </c>
      <c r="E112" s="117">
        <v>1.1499999999999999</v>
      </c>
      <c r="F112" s="98">
        <v>0.2</v>
      </c>
      <c r="G112" s="117">
        <v>1.91</v>
      </c>
      <c r="H112" s="165"/>
      <c r="I112" s="233">
        <v>76</v>
      </c>
      <c r="J112" s="100">
        <v>26</v>
      </c>
      <c r="K112" s="100">
        <v>36</v>
      </c>
      <c r="L112" s="151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</row>
    <row r="113" spans="1:22" ht="15.95">
      <c r="A113" s="96">
        <v>45910</v>
      </c>
      <c r="B113" s="99">
        <v>1186</v>
      </c>
      <c r="C113" s="98">
        <v>113</v>
      </c>
      <c r="D113" s="117">
        <v>0.42</v>
      </c>
      <c r="E113" s="117">
        <v>1.2</v>
      </c>
      <c r="F113" s="98">
        <v>0.2</v>
      </c>
      <c r="G113" s="164">
        <v>1.94</v>
      </c>
      <c r="H113" s="100"/>
      <c r="I113" s="234">
        <v>79</v>
      </c>
      <c r="J113" s="100">
        <v>27</v>
      </c>
      <c r="K113" s="100">
        <v>36</v>
      </c>
      <c r="L113" s="151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</row>
    <row r="114" spans="1:22" ht="15.95">
      <c r="A114" s="96">
        <v>45911</v>
      </c>
      <c r="B114" s="99">
        <v>1184</v>
      </c>
      <c r="C114" s="98">
        <v>113</v>
      </c>
      <c r="D114" s="117">
        <v>0.45</v>
      </c>
      <c r="E114" s="117">
        <v>1.2</v>
      </c>
      <c r="F114" s="98">
        <v>0.2</v>
      </c>
      <c r="G114" s="164">
        <v>1.93</v>
      </c>
      <c r="H114" s="100"/>
      <c r="I114" s="234">
        <v>83</v>
      </c>
      <c r="J114" s="100">
        <v>28</v>
      </c>
      <c r="K114" s="100">
        <v>38</v>
      </c>
      <c r="L114" s="151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</row>
    <row r="115" spans="1:22" ht="15.95">
      <c r="A115" s="96">
        <v>45912</v>
      </c>
      <c r="B115" s="99">
        <v>1184</v>
      </c>
      <c r="C115" s="98">
        <v>113</v>
      </c>
      <c r="D115" s="117">
        <v>0.44</v>
      </c>
      <c r="E115" s="117">
        <v>1.17</v>
      </c>
      <c r="F115" s="98">
        <v>0.2</v>
      </c>
      <c r="G115" s="164">
        <v>1.92</v>
      </c>
      <c r="H115" s="100"/>
      <c r="I115" s="234">
        <v>79</v>
      </c>
      <c r="J115" s="100">
        <v>27</v>
      </c>
      <c r="K115" s="100">
        <v>38</v>
      </c>
      <c r="L115" s="151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</row>
    <row r="116" spans="1:22" ht="15.95">
      <c r="A116" s="96">
        <v>45913</v>
      </c>
      <c r="B116" s="99">
        <v>1182</v>
      </c>
      <c r="C116" s="98">
        <v>113</v>
      </c>
      <c r="D116" s="117">
        <v>0.47</v>
      </c>
      <c r="E116" s="117">
        <v>1.21</v>
      </c>
      <c r="F116" s="98">
        <v>0.4</v>
      </c>
      <c r="G116" s="164">
        <v>1.89</v>
      </c>
      <c r="H116" s="100"/>
      <c r="I116" s="234">
        <v>83</v>
      </c>
      <c r="J116" s="100">
        <v>27</v>
      </c>
      <c r="K116" s="100">
        <v>38</v>
      </c>
      <c r="L116" s="151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</row>
    <row r="117" spans="1:22" ht="15.95">
      <c r="A117" s="96">
        <v>45914</v>
      </c>
      <c r="B117" s="99">
        <v>1184</v>
      </c>
      <c r="C117" s="98">
        <v>113</v>
      </c>
      <c r="D117" s="117">
        <v>0.47</v>
      </c>
      <c r="E117" s="117">
        <v>1.26</v>
      </c>
      <c r="F117" s="98">
        <v>0.2</v>
      </c>
      <c r="G117" s="164">
        <v>1.89</v>
      </c>
      <c r="H117" s="100"/>
      <c r="I117" s="234">
        <v>69</v>
      </c>
      <c r="J117" s="100">
        <v>28</v>
      </c>
      <c r="K117" s="100">
        <v>38</v>
      </c>
      <c r="L117" s="151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</row>
    <row r="118" spans="1:22" ht="15.95">
      <c r="A118" s="96">
        <v>45915</v>
      </c>
      <c r="B118" s="99">
        <v>1184</v>
      </c>
      <c r="C118" s="98">
        <v>113</v>
      </c>
      <c r="D118" s="117">
        <v>0.43</v>
      </c>
      <c r="E118" s="117">
        <v>1.18</v>
      </c>
      <c r="F118" s="98">
        <v>0.4</v>
      </c>
      <c r="G118" s="164">
        <v>1.9</v>
      </c>
      <c r="H118" s="100"/>
      <c r="I118" s="234">
        <v>75</v>
      </c>
      <c r="J118" s="100">
        <v>28</v>
      </c>
      <c r="K118" s="100">
        <v>39</v>
      </c>
      <c r="L118" s="151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</row>
    <row r="119" spans="1:22" ht="15.95">
      <c r="A119" s="96">
        <v>45916</v>
      </c>
      <c r="B119" s="99">
        <v>1184</v>
      </c>
      <c r="C119" s="98">
        <v>113</v>
      </c>
      <c r="D119" s="117">
        <v>0.42</v>
      </c>
      <c r="E119" s="117">
        <v>1.07</v>
      </c>
      <c r="F119" s="98">
        <v>0.17</v>
      </c>
      <c r="G119" s="164">
        <v>1.92</v>
      </c>
      <c r="H119" s="100"/>
      <c r="I119" s="234">
        <v>83</v>
      </c>
      <c r="J119" s="100">
        <v>28</v>
      </c>
      <c r="K119" s="100">
        <v>38</v>
      </c>
      <c r="L119" s="151" t="s">
        <v>248</v>
      </c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</row>
    <row r="120" spans="1:22" ht="15.95">
      <c r="A120" s="96">
        <v>45917</v>
      </c>
      <c r="B120" s="99">
        <v>1179</v>
      </c>
      <c r="C120" s="98">
        <v>112</v>
      </c>
      <c r="D120" s="117">
        <v>0.43</v>
      </c>
      <c r="E120" s="117">
        <v>0.95</v>
      </c>
      <c r="F120" s="98">
        <v>0.2</v>
      </c>
      <c r="G120" s="164">
        <v>1.92</v>
      </c>
      <c r="H120" s="100"/>
      <c r="I120" s="234">
        <v>75</v>
      </c>
      <c r="J120" s="100">
        <v>27</v>
      </c>
      <c r="K120" s="100">
        <v>37</v>
      </c>
      <c r="L120" s="151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</row>
    <row r="121" spans="1:22" ht="15.95">
      <c r="A121" s="96">
        <v>45918</v>
      </c>
      <c r="B121" s="99">
        <f>'UREA PLANT ENERGY INDEX PROFILE'!B83</f>
        <v>0</v>
      </c>
      <c r="C121" s="98">
        <f>'UREA PLANT ENERGY INDEX PROFILE'!C83</f>
        <v>0</v>
      </c>
      <c r="D121" s="117">
        <f>AVERAGE('Product Analysis'!F301:F303)</f>
        <v>0.42666666666666669</v>
      </c>
      <c r="E121" s="117">
        <f>AVERAGE('Product Analysis'!H301:H303)</f>
        <v>0.91999999999999993</v>
      </c>
      <c r="F121" s="98">
        <f>AVERAGE('Product Analysis'!R301:R303)</f>
        <v>0.13333333333333333</v>
      </c>
      <c r="G121" s="164">
        <f>AVERAGE('Product Analysis'!S301:S303)</f>
        <v>1.9466666666666665</v>
      </c>
      <c r="H121" s="100"/>
      <c r="I121" s="234">
        <v>74</v>
      </c>
      <c r="J121" s="100">
        <v>24</v>
      </c>
      <c r="K121" s="100">
        <v>36</v>
      </c>
      <c r="L121" s="151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</row>
    <row r="122" spans="1:22" ht="15.95">
      <c r="A122" s="96">
        <v>45919</v>
      </c>
      <c r="B122" s="99">
        <f>'UREA PLANT ENERGY INDEX PROFILE'!B84</f>
        <v>0</v>
      </c>
      <c r="C122" s="98">
        <f>'UREA PLANT ENERGY INDEX PROFILE'!C84</f>
        <v>0</v>
      </c>
      <c r="D122" s="117">
        <f>AVERAGE('Product Analysis'!F304:F306)</f>
        <v>0.40666666666666673</v>
      </c>
      <c r="E122" s="117">
        <f>AVERAGE('Product Analysis'!H304:H306)</f>
        <v>0.91</v>
      </c>
      <c r="F122" s="98">
        <f>AVERAGE('Product Analysis'!R304:R306)</f>
        <v>0.20000000000000004</v>
      </c>
      <c r="G122" s="117">
        <f>AVERAGE('Product Analysis'!S304:S306)</f>
        <v>1.92</v>
      </c>
      <c r="H122" s="166"/>
      <c r="I122" s="233">
        <v>74</v>
      </c>
      <c r="J122" s="100">
        <v>26</v>
      </c>
      <c r="K122" s="100">
        <v>37</v>
      </c>
      <c r="L122" s="151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</row>
    <row r="123" spans="1:22" ht="15.95">
      <c r="A123" s="96">
        <v>45920</v>
      </c>
      <c r="B123" s="99">
        <f>'UREA PLANT ENERGY INDEX PROFILE'!B85</f>
        <v>0</v>
      </c>
      <c r="C123" s="98">
        <f>'UREA PLANT ENERGY INDEX PROFILE'!C85</f>
        <v>0</v>
      </c>
      <c r="D123" s="117">
        <f>AVERAGE('Product Analysis'!F303:F305)</f>
        <v>0.41333333333333333</v>
      </c>
      <c r="E123" s="117">
        <f>AVERAGE('Product Analysis'!H303:H305)</f>
        <v>0.90666666666666673</v>
      </c>
      <c r="F123" s="98">
        <f>AVERAGE('Product Analysis'!R307:R309)</f>
        <v>0.23333333333333336</v>
      </c>
      <c r="G123" s="117">
        <f>AVERAGE('Product Analysis'!S303:S305)</f>
        <v>1.9266666666666667</v>
      </c>
      <c r="H123" s="110"/>
      <c r="I123" s="233">
        <v>79</v>
      </c>
      <c r="J123" s="100">
        <v>26</v>
      </c>
      <c r="K123" s="100">
        <v>36</v>
      </c>
      <c r="L123" s="151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</row>
    <row r="124" spans="1:22" ht="15.95">
      <c r="A124" s="96">
        <v>45921</v>
      </c>
      <c r="B124" s="99">
        <f>'UREA PLANT ENERGY INDEX PROFILE'!B86</f>
        <v>0</v>
      </c>
      <c r="C124" s="98">
        <f>'UREA PLANT ENERGY INDEX PROFILE'!C86</f>
        <v>0</v>
      </c>
      <c r="D124" s="117">
        <f>AVERAGE('Product Analysis'!F306:F308)</f>
        <v>0.42666666666666669</v>
      </c>
      <c r="E124" s="117">
        <f>AVERAGE('Product Analysis'!H306:H308)</f>
        <v>0.90666666666666673</v>
      </c>
      <c r="F124" s="98">
        <f>AVERAGE('Product Analysis'!R310:R312)</f>
        <v>0.26666666666666666</v>
      </c>
      <c r="G124" s="117">
        <f>AVERAGE('Product Analysis'!S306:S308)</f>
        <v>1.97</v>
      </c>
      <c r="H124" s="110"/>
      <c r="I124" s="233">
        <v>70</v>
      </c>
      <c r="J124" s="100">
        <v>26</v>
      </c>
      <c r="K124" s="100">
        <v>36</v>
      </c>
      <c r="L124" s="151" t="s">
        <v>249</v>
      </c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</row>
    <row r="125" spans="1:22" ht="15.95">
      <c r="A125" s="96">
        <v>45922</v>
      </c>
      <c r="B125" s="99">
        <f>'UREA PLANT ENERGY INDEX PROFILE'!B87</f>
        <v>1187</v>
      </c>
      <c r="C125" s="98">
        <f>'UREA PLANT ENERGY INDEX PROFILE'!C87</f>
        <v>113</v>
      </c>
      <c r="D125" s="117">
        <f>AVERAGE('Product Analysis'!F305:F307)</f>
        <v>0.41</v>
      </c>
      <c r="E125" s="117">
        <f>AVERAGE('Product Analysis'!H305:H307)</f>
        <v>0.91333333333333344</v>
      </c>
      <c r="F125" s="98">
        <f>AVERAGE('Product Analysis'!R313:R315)</f>
        <v>0.3666666666666667</v>
      </c>
      <c r="G125" s="117">
        <f>AVERAGE('Product Analysis'!S305:S307)</f>
        <v>1.9533333333333334</v>
      </c>
      <c r="H125" s="110"/>
      <c r="I125" s="233">
        <v>70</v>
      </c>
      <c r="J125" s="100">
        <v>27</v>
      </c>
      <c r="K125" s="100">
        <v>38</v>
      </c>
      <c r="L125" s="151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</row>
    <row r="126" spans="1:22" ht="15.95">
      <c r="A126" s="96">
        <v>45923</v>
      </c>
      <c r="B126" s="99">
        <f>'UREA PLANT ENERGY INDEX PROFILE'!B88</f>
        <v>1187</v>
      </c>
      <c r="C126" s="98">
        <f>'UREA PLANT ENERGY INDEX PROFILE'!C88</f>
        <v>113</v>
      </c>
      <c r="D126" s="117">
        <f>AVERAGE('Product Analysis'!F308:F310)</f>
        <v>0.44</v>
      </c>
      <c r="E126" s="117">
        <f>AVERAGE('Product Analysis'!H308:H310)</f>
        <v>0.91999999999999993</v>
      </c>
      <c r="F126" s="98">
        <f>AVERAGE('Product Analysis'!R316:R318)</f>
        <v>0.40000000000000008</v>
      </c>
      <c r="G126" s="117">
        <f>AVERAGE('Product Analysis'!S308:S310)</f>
        <v>1.8966666666666665</v>
      </c>
      <c r="H126" s="110"/>
      <c r="I126" s="233">
        <v>75</v>
      </c>
      <c r="J126" s="100">
        <v>27</v>
      </c>
      <c r="K126" s="100">
        <v>38</v>
      </c>
      <c r="L126" s="151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</row>
    <row r="127" spans="1:22" ht="15.95">
      <c r="A127" s="96">
        <v>45924</v>
      </c>
      <c r="B127" s="99">
        <f>'UREA PLANT ENERGY INDEX PROFILE'!B89</f>
        <v>1184</v>
      </c>
      <c r="C127" s="98">
        <f>'UREA PLANT ENERGY INDEX PROFILE'!C89</f>
        <v>113</v>
      </c>
      <c r="D127" s="117">
        <f>AVERAGE('Product Analysis'!F307:F309)</f>
        <v>0.43333333333333335</v>
      </c>
      <c r="E127" s="117">
        <f>AVERAGE('Product Analysis'!H307:H309)</f>
        <v>0.91</v>
      </c>
      <c r="F127" s="98">
        <f>AVERAGE('Product Analysis'!R319:R321)</f>
        <v>0.3</v>
      </c>
      <c r="G127" s="117">
        <f>AVERAGE('Product Analysis'!S319:S321)</f>
        <v>1.9066666666666665</v>
      </c>
      <c r="H127" s="110"/>
      <c r="I127" s="233">
        <v>74</v>
      </c>
      <c r="J127" s="100">
        <v>27</v>
      </c>
      <c r="K127" s="100">
        <v>37</v>
      </c>
      <c r="L127" s="151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</row>
    <row r="128" spans="1:22" ht="15.95">
      <c r="A128" s="96">
        <v>45925</v>
      </c>
      <c r="B128" s="99">
        <f>'UREA PLANT ENERGY INDEX PROFILE'!B90</f>
        <v>1187</v>
      </c>
      <c r="C128" s="98">
        <f>'UREA PLANT ENERGY INDEX PROFILE'!C90</f>
        <v>113</v>
      </c>
      <c r="D128" s="117">
        <f>AVERAGE('Product Analysis'!F322:F324)</f>
        <v>0.38999999999999996</v>
      </c>
      <c r="E128" s="117">
        <f>AVERAGE('Product Analysis'!H322:H324)</f>
        <v>0.91</v>
      </c>
      <c r="F128" s="98">
        <f>AVERAGE('Product Analysis'!R322:R324)</f>
        <v>0.3</v>
      </c>
      <c r="G128" s="117">
        <f>AVERAGE('Product Analysis'!S322:S324)</f>
        <v>1.9466666666666665</v>
      </c>
      <c r="H128" s="110"/>
      <c r="I128" s="233">
        <v>62</v>
      </c>
      <c r="J128" s="100">
        <v>25</v>
      </c>
      <c r="K128" s="100">
        <v>36</v>
      </c>
      <c r="L128" s="151" t="s">
        <v>95</v>
      </c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</row>
    <row r="129" spans="1:22" ht="15.95">
      <c r="A129" s="96">
        <v>45926</v>
      </c>
      <c r="B129" s="99">
        <f>'UREA PLANT ENERGY INDEX PROFILE'!B91</f>
        <v>1186</v>
      </c>
      <c r="C129" s="98">
        <f>'UREA PLANT ENERGY INDEX PROFILE'!C91</f>
        <v>113</v>
      </c>
      <c r="D129" s="117">
        <f>AVERAGE('Product Analysis'!F325:F327)</f>
        <v>0.41</v>
      </c>
      <c r="E129" s="117">
        <f>AVERAGE('Product Analysis'!H325:H327)</f>
        <v>0.93333333333333324</v>
      </c>
      <c r="F129" s="98">
        <f>AVERAGE('Product Analysis'!R325:R327)</f>
        <v>0.23333333333333331</v>
      </c>
      <c r="G129" s="117">
        <f>AVERAGE('Product Analysis'!S325:S327)</f>
        <v>1.9466666666666665</v>
      </c>
      <c r="H129" s="110"/>
      <c r="I129" s="235">
        <v>59</v>
      </c>
      <c r="J129" s="162">
        <v>26</v>
      </c>
      <c r="K129" s="100">
        <v>37</v>
      </c>
      <c r="L129" s="151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</row>
    <row r="130" spans="1:22" ht="15.95">
      <c r="A130" s="96">
        <v>45927</v>
      </c>
      <c r="B130" s="99">
        <f>'UREA PLANT ENERGY INDEX PROFILE'!B92</f>
        <v>1189</v>
      </c>
      <c r="C130" s="98">
        <f>'UREA PLANT ENERGY INDEX PROFILE'!C92</f>
        <v>113</v>
      </c>
      <c r="D130" s="117">
        <f>AVERAGE('Product Analysis'!F328:F330)</f>
        <v>0.3833333333333333</v>
      </c>
      <c r="E130" s="117">
        <f>AVERAGE('Product Analysis'!H328:H330)</f>
        <v>0.93333333333333324</v>
      </c>
      <c r="F130" s="98">
        <f>AVERAGE('Product Analysis'!R328:R330)</f>
        <v>0.36666666666666664</v>
      </c>
      <c r="G130" s="117">
        <f>AVERAGE('Product Analysis'!S328:S330)</f>
        <v>1.9333333333333333</v>
      </c>
      <c r="H130" s="100"/>
      <c r="I130" s="236">
        <v>60</v>
      </c>
      <c r="J130" s="163">
        <v>27</v>
      </c>
      <c r="K130" s="163">
        <v>38</v>
      </c>
      <c r="L130" s="151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</row>
    <row r="131" spans="1:22" ht="15.95">
      <c r="A131" s="96">
        <v>45928</v>
      </c>
      <c r="B131" s="99">
        <f>'UREA PLANT ENERGY INDEX PROFILE'!B93</f>
        <v>1184</v>
      </c>
      <c r="C131" s="98">
        <f>'UREA PLANT ENERGY INDEX PROFILE'!C93</f>
        <v>113</v>
      </c>
      <c r="D131" s="117">
        <f>AVERAGE('Product Analysis'!F331:F333)</f>
        <v>0.39999999999999997</v>
      </c>
      <c r="E131" s="117">
        <f>AVERAGE('Product Analysis'!H331:H333)</f>
        <v>0.95333333333333325</v>
      </c>
      <c r="F131" s="98">
        <f>AVERAGE('Product Analysis'!R331:R333)</f>
        <v>0.43333333333333335</v>
      </c>
      <c r="G131" s="117">
        <f>AVERAGE('Product Analysis'!S331:S333)</f>
        <v>1.9433333333333334</v>
      </c>
      <c r="H131" s="100"/>
      <c r="I131" s="237">
        <v>52</v>
      </c>
      <c r="J131" s="173">
        <v>26</v>
      </c>
      <c r="K131" s="173">
        <v>40</v>
      </c>
      <c r="L131" s="151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</row>
    <row r="132" spans="1:22" ht="15.95">
      <c r="A132" s="96">
        <v>45929</v>
      </c>
      <c r="B132" s="99">
        <f>'UREA PLANT ENERGY INDEX PROFILE'!B94</f>
        <v>1189</v>
      </c>
      <c r="C132" s="98">
        <f>'UREA PLANT ENERGY INDEX PROFILE'!C94</f>
        <v>113</v>
      </c>
      <c r="D132" s="117">
        <f>AVERAGE('Product Analysis'!F334:F336)</f>
        <v>0.41666666666666669</v>
      </c>
      <c r="E132" s="117">
        <f>AVERAGE('Product Analysis'!H334:H336)</f>
        <v>0.93666666666666665</v>
      </c>
      <c r="F132" s="98">
        <f>AVERAGE('Product Analysis'!R334:R336)</f>
        <v>0.33333333333333331</v>
      </c>
      <c r="G132" s="117">
        <f>AVERAGE('Product Analysis'!S334:S336)</f>
        <v>1.93</v>
      </c>
      <c r="H132" s="100"/>
      <c r="I132" s="237">
        <v>60</v>
      </c>
      <c r="J132" s="173">
        <v>26</v>
      </c>
      <c r="K132" s="173">
        <v>37</v>
      </c>
      <c r="L132" s="151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</row>
    <row r="133" spans="1:22" ht="15.95">
      <c r="A133" s="96">
        <v>45930</v>
      </c>
      <c r="B133" s="99">
        <v>1180</v>
      </c>
      <c r="C133" s="98">
        <f>'UREA PLANT ENERGY INDEX PROFILE'!C95</f>
        <v>112</v>
      </c>
      <c r="D133" s="117">
        <f>AVERAGE('Product Analysis'!F337:F339)</f>
        <v>0.41</v>
      </c>
      <c r="E133" s="117">
        <f>AVERAGE('Product Analysis'!H337:H339)</f>
        <v>0.93</v>
      </c>
      <c r="F133" s="98">
        <f>AVERAGE('Product Analysis'!R337:R339)</f>
        <v>0.80000000000000016</v>
      </c>
      <c r="G133" s="117">
        <f>AVERAGE('Product Analysis'!S337:S339)</f>
        <v>1.9333333333333336</v>
      </c>
      <c r="H133" s="100"/>
      <c r="I133" s="237">
        <v>70</v>
      </c>
      <c r="J133" s="173">
        <v>25</v>
      </c>
      <c r="K133" s="173">
        <v>25</v>
      </c>
      <c r="L133" s="151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</row>
    <row r="134" spans="1:22" ht="15.95">
      <c r="A134" s="96">
        <v>45931</v>
      </c>
      <c r="B134" s="99">
        <f>'UREA PLANT ENERGY INDEX PROFILE'!B96</f>
        <v>0</v>
      </c>
      <c r="C134" s="98">
        <f>'UREA PLANT ENERGY INDEX PROFILE'!C96</f>
        <v>0</v>
      </c>
      <c r="D134" s="117">
        <f>AVERAGE('Product Analysis'!F340:F342)</f>
        <v>0.4</v>
      </c>
      <c r="E134" s="117">
        <f>AVERAGE('Product Analysis'!H342:H344)</f>
        <v>0.94666666666666666</v>
      </c>
      <c r="F134" s="98">
        <f>AVERAGE('Product Analysis'!R340:R342)</f>
        <v>0.4</v>
      </c>
      <c r="G134" s="117">
        <f>AVERAGE('Product Analysis'!S338:S340)</f>
        <v>1.9400000000000002</v>
      </c>
      <c r="H134" s="100"/>
      <c r="I134" s="237">
        <v>70</v>
      </c>
      <c r="J134" s="207">
        <v>27.3</v>
      </c>
      <c r="K134" s="173">
        <v>31.6</v>
      </c>
      <c r="L134" s="151" t="s">
        <v>250</v>
      </c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</row>
    <row r="135" spans="1:22" ht="15.95">
      <c r="A135" s="96">
        <v>45932</v>
      </c>
      <c r="B135" s="99">
        <f>'UREA PLANT ENERGY INDEX PROFILE'!B97</f>
        <v>0</v>
      </c>
      <c r="C135" s="98">
        <f>'UREA PLANT ENERGY INDEX PROFILE'!C97</f>
        <v>0</v>
      </c>
      <c r="D135" s="117">
        <f>AVERAGE('Product Analysis'!F339:F341)</f>
        <v>0.41000000000000003</v>
      </c>
      <c r="E135" s="117">
        <f>AVERAGE('Product Analysis'!H343:H345)</f>
        <v>0.93333333333333346</v>
      </c>
      <c r="F135" s="98">
        <f>AVERAGE('Product Analysis'!R343:R345)</f>
        <v>0.40000000000000008</v>
      </c>
      <c r="G135" s="117">
        <f>AVERAGE('Product Analysis'!S339:S341)</f>
        <v>1.9750000000000001</v>
      </c>
      <c r="H135" s="100"/>
      <c r="I135" s="237">
        <v>63</v>
      </c>
      <c r="J135" s="207">
        <v>27.1</v>
      </c>
      <c r="K135" s="173">
        <v>38.1</v>
      </c>
      <c r="L135" s="151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</row>
    <row r="136" spans="1:22" ht="15.95">
      <c r="A136" s="96">
        <v>45933</v>
      </c>
      <c r="B136" s="99">
        <f>'UREA PLANT ENERGY INDEX PROFILE'!B98</f>
        <v>0</v>
      </c>
      <c r="C136" s="98">
        <f>'UREA PLANT ENERGY INDEX PROFILE'!C98</f>
        <v>0</v>
      </c>
      <c r="D136" s="117">
        <f>AVERAGE('Product Analysis'!F346:F348)</f>
        <v>0.44333333333333336</v>
      </c>
      <c r="E136" s="117">
        <f>AVERAGE('Product Analysis'!H346:H348)</f>
        <v>0.94333333333333336</v>
      </c>
      <c r="F136" s="98">
        <f>AVERAGE('Product Analysis'!R346:R348)</f>
        <v>0.39999999999999997</v>
      </c>
      <c r="G136" s="117">
        <f>AVERAGE('Product Analysis'!S340:S342)</f>
        <v>1.9699999999999998</v>
      </c>
      <c r="H136" s="100"/>
      <c r="I136" s="237">
        <v>79</v>
      </c>
      <c r="J136" s="173">
        <v>24</v>
      </c>
      <c r="K136" s="173">
        <v>33</v>
      </c>
      <c r="L136" s="151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</row>
    <row r="137" spans="1:22" ht="15.95">
      <c r="A137" s="96">
        <v>45934</v>
      </c>
      <c r="B137" s="99">
        <f>'UREA PLANT ENERGY INDEX PROFILE'!B99</f>
        <v>0</v>
      </c>
      <c r="C137" s="98">
        <f>'UREA PLANT ENERGY INDEX PROFILE'!C99</f>
        <v>0</v>
      </c>
      <c r="D137" s="117">
        <f>AVERAGE('Product Analysis'!F341:F343)</f>
        <v>0.40500000000000003</v>
      </c>
      <c r="E137" s="117">
        <f>AVERAGE('Product Analysis'!H349:H351)</f>
        <v>0.94333333333333336</v>
      </c>
      <c r="F137" s="98">
        <f>AVERAGE('Product Analysis'!R349:R351)</f>
        <v>0.3666666666666667</v>
      </c>
      <c r="G137" s="117">
        <f>AVERAGE('Product Analysis'!S341:S343)</f>
        <v>1.9649999999999999</v>
      </c>
      <c r="H137" s="100"/>
      <c r="I137" s="158">
        <v>72</v>
      </c>
      <c r="J137" s="99">
        <v>20</v>
      </c>
      <c r="K137" s="99">
        <v>32</v>
      </c>
      <c r="L137" s="151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</row>
    <row r="138" spans="1:22" ht="15.95">
      <c r="A138" s="96">
        <v>45935</v>
      </c>
      <c r="B138" s="99">
        <f>'UREA PLANT ENERGY INDEX PROFILE'!B100</f>
        <v>1175</v>
      </c>
      <c r="C138" s="98">
        <f>'UREA PLANT ENERGY INDEX PROFILE'!C100</f>
        <v>112</v>
      </c>
      <c r="D138" s="117">
        <f>AVERAGE('Product Analysis'!F352:F354)</f>
        <v>0.41666666666666669</v>
      </c>
      <c r="E138" s="117">
        <f>AVERAGE('Product Analysis'!H352:H354)</f>
        <v>0.92333333333333334</v>
      </c>
      <c r="F138" s="98">
        <f>AVERAGE('Product Analysis'!R352:R354)</f>
        <v>0.3</v>
      </c>
      <c r="G138" s="117">
        <f>AVERAGE('Product Analysis'!S352:S354)</f>
        <v>1.8999999999999997</v>
      </c>
      <c r="H138" s="100"/>
      <c r="I138" s="158">
        <v>80</v>
      </c>
      <c r="J138" s="99">
        <v>19</v>
      </c>
      <c r="K138" s="99">
        <v>30</v>
      </c>
      <c r="L138" s="151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</row>
    <row r="139" spans="1:22" ht="15.95">
      <c r="A139" s="96">
        <v>45936</v>
      </c>
      <c r="B139" s="99">
        <f>'UREA PLANT ENERGY INDEX PROFILE'!B101</f>
        <v>1179</v>
      </c>
      <c r="C139" s="98">
        <f>'UREA PLANT ENERGY INDEX PROFILE'!C101</f>
        <v>112</v>
      </c>
      <c r="D139" s="117">
        <f>AVERAGE('Product Analysis'!F355:F357)</f>
        <v>0.40666666666666668</v>
      </c>
      <c r="E139" s="117">
        <f>AVERAGE('Product Analysis'!H355:H357)</f>
        <v>0.93333333333333346</v>
      </c>
      <c r="F139" s="98">
        <f>AVERAGE('Product Analysis'!R355:R357)</f>
        <v>0.33333333333333331</v>
      </c>
      <c r="G139" s="117">
        <f>AVERAGE('Product Analysis'!S355:S357)</f>
        <v>1.9033333333333333</v>
      </c>
      <c r="H139" s="100"/>
      <c r="I139" s="237">
        <v>74</v>
      </c>
      <c r="J139" s="173">
        <v>18</v>
      </c>
      <c r="K139" s="173">
        <v>26</v>
      </c>
      <c r="L139" s="151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</row>
    <row r="140" spans="1:22" ht="15.95">
      <c r="A140" s="96">
        <v>45937</v>
      </c>
      <c r="B140" s="99">
        <f>'UREA PLANT ENERGY INDEX PROFILE'!B102</f>
        <v>1047</v>
      </c>
      <c r="C140" s="98">
        <f>'UREA PLANT ENERGY INDEX PROFILE'!C102</f>
        <v>100</v>
      </c>
      <c r="D140" s="117">
        <f>AVERAGE('Product Analysis'!F358:F360)</f>
        <v>0.28666666666666668</v>
      </c>
      <c r="E140" s="117">
        <f>AVERAGE('Product Analysis'!H358:H360)</f>
        <v>0.6166666666666667</v>
      </c>
      <c r="F140" s="98">
        <f>AVERAGE('Product Analysis'!R358:R360)</f>
        <v>0.23333333333333331</v>
      </c>
      <c r="G140" s="117">
        <f>AVERAGE('Product Analysis'!S358:S360)</f>
        <v>1.28</v>
      </c>
      <c r="H140" s="100"/>
      <c r="I140" s="237">
        <v>71</v>
      </c>
      <c r="J140" s="173">
        <v>18</v>
      </c>
      <c r="K140" s="173">
        <v>27</v>
      </c>
      <c r="L140" s="151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</row>
    <row r="141" spans="1:22" ht="15.95">
      <c r="A141" s="96">
        <v>45938</v>
      </c>
      <c r="B141" s="99">
        <f>'UREA PLANT ENERGY INDEX PROFILE'!B103</f>
        <v>1119</v>
      </c>
      <c r="C141" s="98">
        <f>'UREA PLANT ENERGY INDEX PROFILE'!C103</f>
        <v>107</v>
      </c>
      <c r="D141" s="117">
        <f>AVERAGE('Product Analysis'!F361:F363)</f>
        <v>0.42333333333333334</v>
      </c>
      <c r="E141" s="117">
        <f>AVERAGE('Product Analysis'!H361:H363)</f>
        <v>0.91333333333333344</v>
      </c>
      <c r="F141" s="98">
        <f>AVERAGE('Product Analysis'!R361:R363)</f>
        <v>0.23333333333333331</v>
      </c>
      <c r="G141" s="117">
        <f>AVERAGE('Product Analysis'!S361:S363)</f>
        <v>1.9433333333333334</v>
      </c>
      <c r="H141" s="100"/>
      <c r="I141" s="158"/>
      <c r="L141" s="151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</row>
    <row r="142" spans="1:22" ht="15.95">
      <c r="A142" s="96">
        <v>45939</v>
      </c>
      <c r="B142" s="99">
        <f>'UREA PLANT ENERGY INDEX PROFILE'!B104</f>
        <v>1170</v>
      </c>
      <c r="C142" s="98">
        <f>'UREA PLANT ENERGY INDEX PROFILE'!C104</f>
        <v>111</v>
      </c>
      <c r="D142" s="117">
        <f>AVERAGE('Product Analysis'!F364:F366)</f>
        <v>0.38666666666666671</v>
      </c>
      <c r="E142" s="117">
        <f>AVERAGE('Product Analysis'!H364:H366)</f>
        <v>0.90333333333333332</v>
      </c>
      <c r="F142" s="98">
        <f>AVERAGE('Product Analysis'!R364:R366)</f>
        <v>0.23333333333333331</v>
      </c>
      <c r="G142" s="117">
        <f>AVERAGE('Product Analysis'!S364:S366)</f>
        <v>1.8999999999999997</v>
      </c>
      <c r="H142" s="100"/>
      <c r="I142" s="158"/>
      <c r="L142" s="151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</row>
    <row r="143" spans="1:22" ht="15.95">
      <c r="A143" s="96">
        <v>45940</v>
      </c>
      <c r="B143" s="99">
        <f>'UREA PLANT ENERGY INDEX PROFILE'!B105</f>
        <v>1187</v>
      </c>
      <c r="C143" s="98">
        <f>'UREA PLANT ENERGY INDEX PROFILE'!C105</f>
        <v>113</v>
      </c>
      <c r="D143" s="117">
        <f>AVERAGE('Product Analysis'!F367:F369)</f>
        <v>0.42333333333333334</v>
      </c>
      <c r="E143" s="117">
        <f>AVERAGE('Product Analysis'!H367:H369)</f>
        <v>0.91666666666666663</v>
      </c>
      <c r="F143" s="98">
        <f>AVERAGE('Product Analysis'!R367:R369)</f>
        <v>0.39999999999999997</v>
      </c>
      <c r="G143" s="117">
        <f>AVERAGE('Product Analysis'!S367:S369)</f>
        <v>1.8566666666666667</v>
      </c>
      <c r="H143" s="100"/>
      <c r="I143" s="238">
        <v>68</v>
      </c>
      <c r="J143" s="182">
        <v>17</v>
      </c>
      <c r="K143" s="182">
        <v>28</v>
      </c>
      <c r="L143" s="151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</row>
    <row r="144" spans="1:22" ht="15.95">
      <c r="A144" s="96">
        <v>45941</v>
      </c>
      <c r="B144" s="99">
        <f>'UREA PLANT ENERGY INDEX PROFILE'!B106</f>
        <v>1184</v>
      </c>
      <c r="C144" s="98">
        <f>'UREA PLANT ENERGY INDEX PROFILE'!C106</f>
        <v>113</v>
      </c>
      <c r="D144" s="117">
        <f>AVERAGE('Product Analysis'!F370:F372)</f>
        <v>0.4366666666666667</v>
      </c>
      <c r="E144" s="117">
        <f>AVERAGE('Product Analysis'!H370:H372)</f>
        <v>0.89</v>
      </c>
      <c r="F144" s="98">
        <f>AVERAGE('Product Analysis'!R370:R372)</f>
        <v>0.3666666666666667</v>
      </c>
      <c r="G144" s="117">
        <f>AVERAGE('Product Analysis'!S370:S372)</f>
        <v>1.87</v>
      </c>
      <c r="H144" s="100"/>
      <c r="I144" s="238">
        <v>65</v>
      </c>
      <c r="J144" s="182">
        <v>20</v>
      </c>
      <c r="K144" s="182">
        <v>32</v>
      </c>
      <c r="L144" s="151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</row>
    <row r="145" spans="1:22" ht="15.95">
      <c r="A145" s="96">
        <v>45942</v>
      </c>
      <c r="B145" s="99">
        <f>'UREA PLANT ENERGY INDEX PROFILE'!B107</f>
        <v>1189</v>
      </c>
      <c r="C145" s="98">
        <f>'UREA PLANT ENERGY INDEX PROFILE'!C107</f>
        <v>113</v>
      </c>
      <c r="D145" s="117">
        <f>AVERAGE('Product Analysis'!F373:F375)</f>
        <v>0.42666666666666669</v>
      </c>
      <c r="E145" s="117">
        <f>AVERAGE('Product Analysis'!H373:H375)</f>
        <v>0.90333333333333332</v>
      </c>
      <c r="F145" s="98">
        <f>AVERAGE('Product Analysis'!R373:R375)</f>
        <v>0.3</v>
      </c>
      <c r="G145" s="117">
        <f>AVERAGE('Product Analysis'!S373:S375)</f>
        <v>1.8833333333333331</v>
      </c>
      <c r="H145" s="100"/>
      <c r="I145" s="237">
        <v>71</v>
      </c>
      <c r="J145" s="173">
        <v>20</v>
      </c>
      <c r="K145" s="173">
        <v>34</v>
      </c>
      <c r="L145" s="151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</row>
    <row r="146" spans="1:22" ht="15.95">
      <c r="A146" s="96">
        <v>45943</v>
      </c>
      <c r="B146" s="99">
        <f>'UREA PLANT ENERGY INDEX PROFILE'!B108</f>
        <v>0</v>
      </c>
      <c r="C146" s="98">
        <f>'UREA PLANT ENERGY INDEX PROFILE'!C108</f>
        <v>0</v>
      </c>
      <c r="D146" s="117">
        <f>AVERAGE('Product Analysis'!F376:F378)</f>
        <v>0.40333333333333332</v>
      </c>
      <c r="E146" s="117">
        <f>AVERAGE('Product Analysis'!H376:H378)</f>
        <v>0.95000000000000007</v>
      </c>
      <c r="F146" s="98">
        <f>AVERAGE('Product Analysis'!R376:R378)</f>
        <v>0.23333333333333331</v>
      </c>
      <c r="G146" s="98">
        <f>AVERAGE('Product Analysis'!S376:S378)</f>
        <v>1.89</v>
      </c>
      <c r="H146" s="100"/>
      <c r="I146" s="237">
        <v>70</v>
      </c>
      <c r="J146" s="173">
        <v>19</v>
      </c>
      <c r="K146" s="173">
        <v>33</v>
      </c>
      <c r="L146" s="151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</row>
    <row r="147" spans="1:22" ht="15.95">
      <c r="A147" s="96">
        <v>45944</v>
      </c>
      <c r="B147" s="99">
        <f>'UREA PLANT ENERGY INDEX PROFILE'!B109</f>
        <v>0</v>
      </c>
      <c r="C147" s="98"/>
      <c r="D147" s="117">
        <f>AVERAGE('Product Analysis'!F379:F381)</f>
        <v>0.41333333333333333</v>
      </c>
      <c r="E147" s="117">
        <f>AVERAGE('Product Analysis'!H379:H381)</f>
        <v>0.92333333333333334</v>
      </c>
      <c r="F147" s="117">
        <f>AVERAGE('Product Analysis'!R379:R381)</f>
        <v>0.3</v>
      </c>
      <c r="G147" s="117">
        <f>AVERAGE('Product Analysis'!S379:S381)</f>
        <v>1.9233333333333331</v>
      </c>
      <c r="H147" s="100"/>
      <c r="I147" s="237">
        <v>60</v>
      </c>
      <c r="J147" s="173">
        <v>21</v>
      </c>
      <c r="K147" s="173">
        <v>32</v>
      </c>
      <c r="L147" s="151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</row>
    <row r="148" spans="1:22" ht="15.95">
      <c r="A148" s="96">
        <v>45945</v>
      </c>
      <c r="B148" s="99">
        <f>'UREA PLANT ENERGY INDEX PROFILE'!B110</f>
        <v>0</v>
      </c>
      <c r="C148" s="98"/>
      <c r="D148" s="117">
        <f>AVERAGE('Product Analysis'!F382:F384)</f>
        <v>0.40333333333333332</v>
      </c>
      <c r="E148" s="117">
        <f>AVERAGE('Product Analysis'!H382:H384)</f>
        <v>0.91</v>
      </c>
      <c r="F148" s="117">
        <f>AVERAGE('Product Analysis'!R382:R384)</f>
        <v>0.23333333333333331</v>
      </c>
      <c r="G148" s="117">
        <f>AVERAGE('Product Analysis'!S382:S384)</f>
        <v>1.9233333333333331</v>
      </c>
      <c r="H148" s="100"/>
      <c r="I148" s="237">
        <v>64</v>
      </c>
      <c r="J148" s="173">
        <v>22</v>
      </c>
      <c r="K148" s="173">
        <v>33</v>
      </c>
      <c r="L148" s="151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</row>
    <row r="149" spans="1:22" ht="15.95">
      <c r="A149" s="96">
        <v>45946</v>
      </c>
      <c r="B149" s="99">
        <f>'UREA PLANT ENERGY INDEX PROFILE'!B111</f>
        <v>1193</v>
      </c>
      <c r="C149" s="98"/>
      <c r="D149" s="117">
        <f>AVERAGE('Product Analysis'!F385:F387)</f>
        <v>0.44333333333333336</v>
      </c>
      <c r="E149" s="117">
        <f>AVERAGE('Product Analysis'!H385:H387)</f>
        <v>0.92333333333333334</v>
      </c>
      <c r="F149" s="117">
        <f>AVERAGE('Product Analysis'!R385:R387)</f>
        <v>0.23333333333333331</v>
      </c>
      <c r="G149" s="117">
        <f>AVERAGE('Product Analysis'!S385:S387)</f>
        <v>1.86</v>
      </c>
      <c r="H149" s="100"/>
      <c r="I149" s="237">
        <v>65</v>
      </c>
      <c r="J149" s="173">
        <v>21</v>
      </c>
      <c r="K149" s="173">
        <v>33</v>
      </c>
      <c r="L149" s="151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</row>
    <row r="150" spans="1:22" ht="15.95">
      <c r="A150" s="96">
        <v>45947</v>
      </c>
      <c r="B150" s="99">
        <f>'UREA PLANT ENERGY INDEX PROFILE'!B112</f>
        <v>1193</v>
      </c>
      <c r="C150" s="98"/>
      <c r="D150" s="117">
        <f>AVERAGE('Product Analysis'!F388:F390)</f>
        <v>0.4366666666666667</v>
      </c>
      <c r="E150" s="117">
        <f>AVERAGE('Product Analysis'!H388:H390)</f>
        <v>0.92</v>
      </c>
      <c r="F150" s="117">
        <f>AVERAGE('Product Analysis'!R388:R390)</f>
        <v>0.23333333333333331</v>
      </c>
      <c r="G150" s="117">
        <f>AVERAGE('Product Analysis'!S388:S390)</f>
        <v>1.8933333333333333</v>
      </c>
      <c r="H150" s="100"/>
      <c r="I150" s="237">
        <v>62</v>
      </c>
      <c r="J150" s="173">
        <v>19</v>
      </c>
      <c r="K150" s="173">
        <v>34</v>
      </c>
      <c r="L150" s="151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</row>
    <row r="151" spans="1:22" ht="15.95">
      <c r="A151" s="96">
        <v>45948</v>
      </c>
      <c r="B151" s="99">
        <f>'UREA PLANT ENERGY INDEX PROFILE'!B113</f>
        <v>1187</v>
      </c>
      <c r="C151" s="98"/>
      <c r="D151" s="117">
        <f>AVERAGE('Product Analysis'!F391:F393)</f>
        <v>0.44333333333333336</v>
      </c>
      <c r="E151" s="117">
        <f>AVERAGE('Product Analysis'!H391:H393)</f>
        <v>0.93333333333333324</v>
      </c>
      <c r="F151" s="117">
        <f>AVERAGE('Product Analysis'!R391:R393)</f>
        <v>0.23333333333333331</v>
      </c>
      <c r="G151" s="117">
        <f>AVERAGE('Product Analysis'!S391:S393)</f>
        <v>1.8500000000000003</v>
      </c>
      <c r="H151" s="100"/>
      <c r="I151" s="237">
        <v>57</v>
      </c>
      <c r="J151" s="173">
        <v>21</v>
      </c>
      <c r="K151" s="173">
        <v>33</v>
      </c>
      <c r="L151" s="151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</row>
    <row r="152" spans="1:22" ht="15.95">
      <c r="A152" s="96">
        <v>45949</v>
      </c>
      <c r="B152" s="99">
        <f>'UREA PLANT ENERGY INDEX PROFILE'!B114</f>
        <v>1137</v>
      </c>
      <c r="C152" s="98"/>
      <c r="D152" s="117">
        <f>AVERAGE('Product Analysis'!F394:F396)</f>
        <v>0.44666666666666671</v>
      </c>
      <c r="E152" s="117">
        <f>AVERAGE('Product Analysis'!H394:H396)</f>
        <v>0.93333333333333346</v>
      </c>
      <c r="F152" s="117">
        <f>AVERAGE('Product Analysis'!R394:R396)</f>
        <v>0.39999999999999997</v>
      </c>
      <c r="G152" s="117">
        <f>AVERAGE('Product Analysis'!S394:S396)</f>
        <v>1.9033333333333333</v>
      </c>
      <c r="H152" s="100"/>
      <c r="I152" s="237">
        <v>60</v>
      </c>
      <c r="J152" s="173">
        <v>21</v>
      </c>
      <c r="K152" s="173">
        <v>34</v>
      </c>
      <c r="L152" s="151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</row>
    <row r="153" spans="1:22" ht="15.95">
      <c r="A153" s="96">
        <v>45950</v>
      </c>
      <c r="B153" s="99">
        <f>'UREA PLANT ENERGY INDEX PROFILE'!B115</f>
        <v>1191</v>
      </c>
      <c r="C153" s="98"/>
      <c r="D153" s="117">
        <f>AVERAGE('Product Analysis'!F397:F399)</f>
        <v>0.42666666666666669</v>
      </c>
      <c r="E153" s="117">
        <f>AVERAGE('Product Analysis'!H397:H399)</f>
        <v>0.92</v>
      </c>
      <c r="F153" s="117">
        <f>AVERAGE('Product Analysis'!R397:R399)</f>
        <v>0.26666666666666666</v>
      </c>
      <c r="G153" s="117">
        <f>AVERAGE('Product Analysis'!S397:S399)</f>
        <v>1.9333333333333333</v>
      </c>
      <c r="H153" s="100"/>
      <c r="I153" s="237">
        <v>56</v>
      </c>
      <c r="J153" s="173">
        <v>20</v>
      </c>
      <c r="K153" s="173">
        <v>33</v>
      </c>
      <c r="L153" s="151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</row>
    <row r="154" spans="1:22" ht="15.95">
      <c r="A154" s="96">
        <v>45951</v>
      </c>
      <c r="B154" s="99">
        <f>'UREA PLANT ENERGY INDEX PROFILE'!B116</f>
        <v>1165</v>
      </c>
      <c r="C154" s="98"/>
      <c r="D154" s="117">
        <f>AVERAGE('Product Analysis'!F400:F402)</f>
        <v>0.43</v>
      </c>
      <c r="E154" s="117">
        <f>AVERAGE('Product Analysis'!H400:H402)</f>
        <v>0.93</v>
      </c>
      <c r="F154" s="98">
        <f>AVERAGE('Product Analysis'!R400:R402)</f>
        <v>0.3</v>
      </c>
      <c r="G154" s="117">
        <f>AVERAGE('Product Analysis'!S400:S402)</f>
        <v>1.8833333333333335</v>
      </c>
      <c r="H154" s="100"/>
      <c r="I154" s="237">
        <v>45</v>
      </c>
      <c r="J154" s="173">
        <v>19</v>
      </c>
      <c r="K154" s="173">
        <v>32</v>
      </c>
      <c r="L154" s="151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</row>
    <row r="155" spans="1:22" ht="15.95">
      <c r="A155" s="96">
        <v>45952</v>
      </c>
      <c r="B155" s="99">
        <f>'UREA PLANT ENERGY INDEX PROFILE'!B117</f>
        <v>1151</v>
      </c>
      <c r="C155" s="98"/>
      <c r="D155" s="117">
        <f>AVERAGE('Product Analysis'!F403:F405)</f>
        <v>0.43</v>
      </c>
      <c r="E155" s="117">
        <f>AVERAGE('Product Analysis'!H403:H405)</f>
        <v>0.93</v>
      </c>
      <c r="F155" s="98">
        <f>AVERAGE('Product Analysis'!R403:R405)</f>
        <v>0.26666666666666666</v>
      </c>
      <c r="G155" s="117">
        <f>AVERAGE('Product Analysis'!S403:S405)</f>
        <v>1.9166666666666667</v>
      </c>
      <c r="H155" s="100"/>
      <c r="I155" s="237">
        <v>43</v>
      </c>
      <c r="J155" s="173">
        <v>19</v>
      </c>
      <c r="K155" s="173">
        <v>33</v>
      </c>
      <c r="L155" s="151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</row>
    <row r="156" spans="1:22" ht="15.95">
      <c r="A156" s="96">
        <v>45953</v>
      </c>
      <c r="B156" s="99">
        <f>'UREA PLANT ENERGY INDEX PROFILE'!B118</f>
        <v>1168</v>
      </c>
      <c r="C156" s="98"/>
      <c r="D156" s="117">
        <f>AVERAGE('Product Analysis'!F406:F408)</f>
        <v>0.42</v>
      </c>
      <c r="E156" s="117">
        <f>AVERAGE('Product Analysis'!H406:H408)</f>
        <v>0.92666666666666664</v>
      </c>
      <c r="F156" s="98">
        <f>AVERAGE('Product Analysis'!R406:R408)</f>
        <v>0.39999999999999997</v>
      </c>
      <c r="G156" s="117">
        <f>AVERAGE('Product Analysis'!S406:S408)</f>
        <v>1.9133333333333333</v>
      </c>
      <c r="H156" s="100"/>
      <c r="I156" s="237">
        <v>50</v>
      </c>
      <c r="J156" s="173">
        <v>20</v>
      </c>
      <c r="K156" s="173">
        <v>32</v>
      </c>
      <c r="L156" s="151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</row>
    <row r="157" spans="1:22" ht="15.95">
      <c r="A157" s="96">
        <v>45954</v>
      </c>
      <c r="B157" s="99">
        <v>1161</v>
      </c>
      <c r="C157" s="98">
        <v>111</v>
      </c>
      <c r="D157" s="117">
        <f>AVERAGE('Product Analysis'!F409:F411)</f>
        <v>0.44</v>
      </c>
      <c r="E157" s="117">
        <f>AVERAGE('Product Analysis'!H409:H411)</f>
        <v>0.93666666666666654</v>
      </c>
      <c r="F157" s="117">
        <f>AVERAGE('Product Analysis'!R409:R411)</f>
        <v>0.20000000000000004</v>
      </c>
      <c r="G157" s="117">
        <f>AVERAGE('Product Analysis'!S409:S411)</f>
        <v>1.9166666666666667</v>
      </c>
      <c r="H157" s="100"/>
      <c r="I157" s="237">
        <v>60</v>
      </c>
      <c r="J157" s="173">
        <v>19</v>
      </c>
      <c r="K157" s="173">
        <v>32</v>
      </c>
      <c r="L157" s="151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</row>
    <row r="158" spans="1:22" ht="15.95">
      <c r="A158" s="96">
        <v>45955</v>
      </c>
      <c r="B158" s="99">
        <v>1156</v>
      </c>
      <c r="C158" s="98">
        <v>110</v>
      </c>
      <c r="D158" s="117">
        <f>AVERAGE('Product Analysis'!F412:F414)</f>
        <v>0.45</v>
      </c>
      <c r="E158" s="117">
        <f>AVERAGE('Product Analysis'!H412:H414)</f>
        <v>0.94666666666666666</v>
      </c>
      <c r="F158" s="117">
        <f>AVERAGE('Product Analysis'!R412:R414)</f>
        <v>0.26666666666666666</v>
      </c>
      <c r="G158" s="219">
        <f>AVERAGE('Product Analysis'!S412:S414)</f>
        <v>1.8966666666666665</v>
      </c>
      <c r="H158" s="100"/>
      <c r="I158" s="237">
        <v>62</v>
      </c>
      <c r="J158" s="173">
        <v>20</v>
      </c>
      <c r="K158" s="173">
        <v>31</v>
      </c>
      <c r="L158" s="151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</row>
    <row r="159" spans="1:22" ht="15.95">
      <c r="A159" s="96">
        <v>45956</v>
      </c>
      <c r="B159" s="99">
        <v>1131</v>
      </c>
      <c r="C159" s="98">
        <v>108</v>
      </c>
      <c r="D159" s="117">
        <f>AVERAGE('Product Analysis'!F415:F417)</f>
        <v>0.42666666666666669</v>
      </c>
      <c r="E159" s="117">
        <f>AVERAGE('Product Analysis'!H415:H417)</f>
        <v>0.94</v>
      </c>
      <c r="F159" s="117">
        <f>AVERAGE('Product Analysis'!R415:R417)</f>
        <v>0.3666666666666667</v>
      </c>
      <c r="G159" s="117">
        <f>AVERAGE('Product Analysis'!S415:S417)</f>
        <v>1.9066666666666665</v>
      </c>
      <c r="H159" s="100"/>
      <c r="I159" s="218">
        <v>62</v>
      </c>
      <c r="J159" s="207">
        <v>21.5</v>
      </c>
      <c r="K159" s="207">
        <v>31.5</v>
      </c>
      <c r="L159" s="151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</row>
    <row r="160" spans="1:22" ht="15.95">
      <c r="A160" s="96">
        <v>45957</v>
      </c>
      <c r="B160" s="99">
        <v>1119</v>
      </c>
      <c r="C160" s="98">
        <v>107</v>
      </c>
      <c r="D160" s="117">
        <f>AVERAGE('Product Analysis'!F418:F420)</f>
        <v>0.42</v>
      </c>
      <c r="E160" s="117">
        <f>AVERAGE('Product Analysis'!H418:H420)</f>
        <v>0.94</v>
      </c>
      <c r="F160" s="119">
        <f>AVERAGE('Product Analysis'!R418:R420)</f>
        <v>0.26666666666666666</v>
      </c>
      <c r="G160" s="117">
        <f>AVERAGE('Product Analysis'!S418:S420)</f>
        <v>1.8966666666666665</v>
      </c>
      <c r="H160" s="100"/>
      <c r="I160" s="218">
        <v>65</v>
      </c>
      <c r="J160" s="207">
        <v>21.5</v>
      </c>
      <c r="K160" s="207">
        <v>32.6</v>
      </c>
      <c r="L160" s="151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</row>
    <row r="161" spans="1:22" ht="15.95">
      <c r="A161" s="96">
        <v>45958</v>
      </c>
      <c r="B161" s="99">
        <v>1109</v>
      </c>
      <c r="C161" s="98">
        <v>106</v>
      </c>
      <c r="D161" s="117">
        <f>AVERAGE('Product Analysis'!F421:F423)</f>
        <v>0.45</v>
      </c>
      <c r="E161" s="117">
        <f>AVERAGE('Product Analysis'!H421:H423)</f>
        <v>0.92999999999999994</v>
      </c>
      <c r="G161" s="117"/>
      <c r="H161" s="100"/>
      <c r="I161" s="237">
        <v>79</v>
      </c>
      <c r="J161" s="173">
        <v>18</v>
      </c>
      <c r="K161" s="173">
        <v>30</v>
      </c>
      <c r="L161" s="151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</row>
    <row r="162" spans="1:22" ht="15.95">
      <c r="A162" s="96">
        <v>45959</v>
      </c>
      <c r="B162" s="99">
        <v>333</v>
      </c>
      <c r="C162" s="98">
        <v>32</v>
      </c>
      <c r="D162" s="117"/>
      <c r="E162" s="117"/>
      <c r="F162" s="98"/>
      <c r="G162" s="117"/>
      <c r="H162" s="100"/>
      <c r="I162" s="218">
        <v>65</v>
      </c>
      <c r="J162" s="207">
        <v>18</v>
      </c>
      <c r="K162" s="207">
        <v>30</v>
      </c>
      <c r="L162" s="151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</row>
    <row r="163" spans="1:22" ht="15.95">
      <c r="A163" s="96">
        <v>45960</v>
      </c>
      <c r="B163" s="99">
        <v>1088</v>
      </c>
      <c r="C163" s="98">
        <v>104</v>
      </c>
      <c r="D163" s="117"/>
      <c r="E163" s="117"/>
      <c r="F163" s="98"/>
      <c r="G163" s="117"/>
      <c r="H163" s="100"/>
      <c r="I163" s="237">
        <v>68</v>
      </c>
      <c r="J163" s="173">
        <v>17</v>
      </c>
      <c r="K163" s="173">
        <v>30</v>
      </c>
      <c r="L163" s="151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</row>
    <row r="164" spans="1:22" ht="15.95">
      <c r="A164" s="96">
        <v>45961</v>
      </c>
      <c r="B164" s="99">
        <v>1133</v>
      </c>
      <c r="C164" s="98">
        <v>108</v>
      </c>
      <c r="D164" s="117"/>
      <c r="E164" s="117"/>
      <c r="F164" s="98"/>
      <c r="G164" s="117"/>
      <c r="H164" s="100"/>
      <c r="I164" s="237">
        <v>70</v>
      </c>
      <c r="J164" s="173">
        <v>17</v>
      </c>
      <c r="K164" s="173">
        <v>30</v>
      </c>
      <c r="L164" s="151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</row>
    <row r="165" spans="1:22" ht="15.95">
      <c r="A165" s="96">
        <v>45962</v>
      </c>
      <c r="B165" s="99"/>
      <c r="C165" s="98"/>
      <c r="D165" s="117"/>
      <c r="E165" s="117"/>
      <c r="F165" s="98"/>
      <c r="G165" s="117"/>
      <c r="H165" s="100"/>
      <c r="I165" s="158">
        <v>64</v>
      </c>
      <c r="J165" s="99">
        <v>18</v>
      </c>
      <c r="K165" s="99">
        <v>30</v>
      </c>
      <c r="L165" s="151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</row>
    <row r="166" spans="1:22" ht="15.95">
      <c r="A166" s="96">
        <v>45963</v>
      </c>
      <c r="B166" s="99"/>
      <c r="C166" s="98"/>
      <c r="D166" s="117"/>
      <c r="E166" s="117"/>
      <c r="F166" s="98"/>
      <c r="G166" s="117"/>
      <c r="H166" s="100"/>
      <c r="I166" s="237">
        <v>67</v>
      </c>
      <c r="J166" s="173">
        <v>18</v>
      </c>
      <c r="K166" s="173">
        <v>30</v>
      </c>
      <c r="L166" s="151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</row>
    <row r="167" spans="1:22" ht="15.95">
      <c r="A167" s="96">
        <v>45964</v>
      </c>
      <c r="B167" s="99"/>
      <c r="C167" s="98"/>
      <c r="D167" s="117"/>
      <c r="E167" s="117"/>
      <c r="F167" s="98"/>
      <c r="G167" s="117"/>
      <c r="H167" s="100"/>
      <c r="I167" s="237">
        <v>68</v>
      </c>
      <c r="J167" s="173">
        <v>18</v>
      </c>
      <c r="K167" s="173">
        <v>30</v>
      </c>
      <c r="L167" s="151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</row>
    <row r="168" spans="1:22" ht="15.95">
      <c r="A168" s="96">
        <v>45965</v>
      </c>
      <c r="B168" s="99"/>
      <c r="C168" s="98"/>
      <c r="D168" s="117"/>
      <c r="E168" s="117"/>
      <c r="F168" s="98"/>
      <c r="G168" s="117"/>
      <c r="H168" s="100"/>
      <c r="I168" s="237">
        <v>70</v>
      </c>
      <c r="J168" s="173">
        <v>15</v>
      </c>
      <c r="K168" s="173">
        <v>27</v>
      </c>
      <c r="L168" s="151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</row>
    <row r="169" spans="1:22" ht="15.95">
      <c r="A169" s="96">
        <v>45966</v>
      </c>
      <c r="B169" s="99"/>
      <c r="C169" s="98"/>
      <c r="D169" s="117"/>
      <c r="E169" s="117"/>
      <c r="F169" s="98"/>
      <c r="G169" s="117"/>
      <c r="H169" s="100"/>
      <c r="I169" s="237">
        <v>40</v>
      </c>
      <c r="J169" s="173">
        <v>11</v>
      </c>
      <c r="K169" s="173">
        <v>26</v>
      </c>
      <c r="L169" s="151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</row>
    <row r="170" spans="1:22" ht="15.95">
      <c r="A170" s="96">
        <v>45967</v>
      </c>
      <c r="B170" s="99"/>
      <c r="C170" s="98"/>
      <c r="D170" s="117"/>
      <c r="E170" s="117"/>
      <c r="F170" s="98"/>
      <c r="G170" s="117"/>
      <c r="H170" s="100"/>
      <c r="I170" s="237">
        <v>35</v>
      </c>
      <c r="J170" s="173">
        <v>12</v>
      </c>
      <c r="K170" s="173">
        <v>27</v>
      </c>
      <c r="L170" s="151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</row>
    <row r="171" spans="1:22" ht="15.95">
      <c r="A171" s="96">
        <v>45968</v>
      </c>
      <c r="B171" s="99"/>
      <c r="C171" s="98"/>
      <c r="D171" s="117"/>
      <c r="E171" s="117"/>
      <c r="F171" s="98"/>
      <c r="G171" s="117"/>
      <c r="H171" s="100"/>
      <c r="I171" s="237">
        <v>40</v>
      </c>
      <c r="J171" s="173">
        <v>13</v>
      </c>
      <c r="K171" s="173">
        <v>28</v>
      </c>
      <c r="L171" s="151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</row>
    <row r="172" spans="1:22" ht="15.95">
      <c r="A172" s="96">
        <v>45969</v>
      </c>
      <c r="B172" s="99"/>
      <c r="C172" s="98"/>
      <c r="D172" s="117"/>
      <c r="E172" s="117"/>
      <c r="F172" s="98"/>
      <c r="G172" s="117"/>
      <c r="H172" s="100"/>
      <c r="I172" s="237">
        <v>38</v>
      </c>
      <c r="J172" s="173">
        <v>12</v>
      </c>
      <c r="K172" s="173">
        <v>28</v>
      </c>
      <c r="L172" s="151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</row>
    <row r="173" spans="1:22" ht="15.95">
      <c r="A173" s="96">
        <v>45970</v>
      </c>
      <c r="B173" s="99"/>
      <c r="C173" s="98"/>
      <c r="D173" s="117"/>
      <c r="E173" s="117"/>
      <c r="F173" s="98"/>
      <c r="G173" s="117"/>
      <c r="H173" s="100"/>
      <c r="I173" s="158"/>
      <c r="L173" s="151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</row>
    <row r="174" spans="1:22" ht="15.95">
      <c r="A174" s="96">
        <v>45971</v>
      </c>
      <c r="B174" s="99"/>
      <c r="C174" s="98"/>
      <c r="D174" s="117"/>
      <c r="E174" s="117"/>
      <c r="F174" s="98"/>
      <c r="G174" s="117"/>
      <c r="H174" s="100"/>
      <c r="I174" s="158"/>
      <c r="L174" s="151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</row>
    <row r="175" spans="1:22" ht="15.95">
      <c r="A175" s="96">
        <v>45972</v>
      </c>
      <c r="B175" s="99"/>
      <c r="C175" s="98"/>
      <c r="D175" s="117"/>
      <c r="E175" s="117"/>
      <c r="F175" s="98"/>
      <c r="G175" s="117"/>
      <c r="H175" s="100"/>
      <c r="I175" s="237">
        <v>43</v>
      </c>
      <c r="J175" s="173">
        <v>12</v>
      </c>
      <c r="K175" s="173">
        <v>24</v>
      </c>
      <c r="L175" s="151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</row>
    <row r="176" spans="1:22" ht="15.95">
      <c r="A176" s="96">
        <v>45973</v>
      </c>
      <c r="B176" s="99"/>
      <c r="C176" s="98"/>
      <c r="D176" s="117"/>
      <c r="E176" s="117"/>
      <c r="F176" s="98"/>
      <c r="G176" s="117"/>
      <c r="H176" s="100"/>
      <c r="I176" s="237">
        <v>38</v>
      </c>
      <c r="J176" s="173">
        <v>11</v>
      </c>
      <c r="K176" s="173">
        <v>26</v>
      </c>
      <c r="L176" s="151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</row>
    <row r="177" spans="1:22" ht="15.95">
      <c r="A177" s="96">
        <v>45974</v>
      </c>
      <c r="B177" s="99"/>
      <c r="C177" s="98"/>
      <c r="D177" s="117"/>
      <c r="E177" s="117"/>
      <c r="F177" s="98"/>
      <c r="G177" s="117"/>
      <c r="H177" s="100"/>
      <c r="I177" s="237">
        <v>43</v>
      </c>
      <c r="J177" s="173">
        <v>11</v>
      </c>
      <c r="K177" s="173">
        <v>25</v>
      </c>
      <c r="L177" s="151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</row>
    <row r="178" spans="1:22" ht="15.95">
      <c r="A178" s="96">
        <v>45975</v>
      </c>
      <c r="B178" s="99"/>
      <c r="C178" s="98"/>
      <c r="D178" s="117"/>
      <c r="E178" s="117"/>
      <c r="F178" s="98"/>
      <c r="G178" s="117"/>
      <c r="H178" s="100"/>
      <c r="I178" s="237">
        <v>40</v>
      </c>
      <c r="J178" s="173">
        <v>11</v>
      </c>
      <c r="K178" s="173">
        <v>26</v>
      </c>
      <c r="L178" s="151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</row>
    <row r="179" spans="1:22" ht="15.95">
      <c r="A179" s="96">
        <v>45976</v>
      </c>
      <c r="B179" s="99"/>
      <c r="C179" s="98"/>
      <c r="D179" s="117"/>
      <c r="E179" s="117"/>
      <c r="F179" s="98"/>
      <c r="G179" s="117"/>
      <c r="H179" s="100"/>
      <c r="I179" s="237">
        <v>47</v>
      </c>
      <c r="J179" s="173">
        <v>11</v>
      </c>
      <c r="K179" s="173">
        <v>25</v>
      </c>
      <c r="L179" s="151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</row>
    <row r="180" spans="1:22" ht="15.95">
      <c r="A180" s="96">
        <v>45977</v>
      </c>
      <c r="B180" s="99"/>
      <c r="C180" s="98"/>
      <c r="D180" s="117"/>
      <c r="E180" s="117"/>
      <c r="F180" s="98"/>
      <c r="G180" s="117"/>
      <c r="H180" s="100"/>
      <c r="I180" s="158"/>
      <c r="L180" s="151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</row>
    <row r="181" spans="1:22" ht="15.95">
      <c r="A181" s="96">
        <v>45978</v>
      </c>
      <c r="B181" s="99"/>
      <c r="C181" s="98"/>
      <c r="D181" s="117"/>
      <c r="E181" s="117"/>
      <c r="F181" s="98"/>
      <c r="G181" s="117"/>
      <c r="H181" s="100"/>
      <c r="I181" s="237">
        <v>46</v>
      </c>
      <c r="J181" s="173">
        <v>11</v>
      </c>
      <c r="K181" s="173">
        <v>25</v>
      </c>
      <c r="L181" s="151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</row>
    <row r="182" spans="1:22" ht="15.95">
      <c r="A182" s="96">
        <v>45979</v>
      </c>
      <c r="B182" s="99"/>
      <c r="C182" s="98"/>
      <c r="D182" s="117"/>
      <c r="E182" s="117"/>
      <c r="F182" s="98"/>
      <c r="G182" s="117"/>
      <c r="H182" s="100"/>
      <c r="I182" s="237">
        <v>43</v>
      </c>
      <c r="J182" s="173">
        <v>11</v>
      </c>
      <c r="K182" s="173">
        <v>26</v>
      </c>
      <c r="L182" s="151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</row>
    <row r="183" spans="1:22" ht="15.95">
      <c r="A183" s="96">
        <v>45980</v>
      </c>
      <c r="B183" s="99"/>
      <c r="C183" s="98"/>
      <c r="D183" s="117"/>
      <c r="E183" s="117"/>
      <c r="F183" s="98"/>
      <c r="G183" s="117"/>
      <c r="H183" s="100"/>
      <c r="I183" s="237">
        <v>46</v>
      </c>
      <c r="J183" s="173">
        <v>11</v>
      </c>
      <c r="K183" s="173">
        <v>25</v>
      </c>
      <c r="L183" s="151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</row>
    <row r="184" spans="1:22" ht="15.95">
      <c r="A184" s="96">
        <v>45981</v>
      </c>
      <c r="B184" s="99"/>
      <c r="C184" s="98"/>
      <c r="D184" s="117"/>
      <c r="E184" s="117"/>
      <c r="F184" s="98"/>
      <c r="G184" s="117"/>
      <c r="H184" s="100"/>
      <c r="I184" s="237">
        <v>48</v>
      </c>
      <c r="J184" s="173">
        <v>12</v>
      </c>
      <c r="K184" s="173">
        <v>24</v>
      </c>
      <c r="L184" s="151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</row>
    <row r="185" spans="1:22" ht="15.95">
      <c r="A185" s="96">
        <v>45982</v>
      </c>
      <c r="B185" s="99"/>
      <c r="C185" s="98"/>
      <c r="D185" s="117"/>
      <c r="E185" s="117"/>
      <c r="F185" s="98"/>
      <c r="G185" s="117"/>
      <c r="H185" s="100"/>
      <c r="I185" s="158"/>
      <c r="L185" s="151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</row>
    <row r="186" spans="1:22" ht="15.95">
      <c r="A186" s="96">
        <v>45983</v>
      </c>
      <c r="B186" s="99"/>
      <c r="C186" s="98"/>
      <c r="D186" s="117"/>
      <c r="E186" s="117"/>
      <c r="F186" s="98"/>
      <c r="G186" s="117"/>
      <c r="H186" s="100"/>
      <c r="I186" s="237">
        <v>51</v>
      </c>
      <c r="J186" s="173">
        <v>10</v>
      </c>
      <c r="K186" s="173">
        <v>24</v>
      </c>
      <c r="L186" s="151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</row>
    <row r="187" spans="1:22" ht="15.95">
      <c r="A187" s="96">
        <v>45984</v>
      </c>
      <c r="B187" s="99"/>
      <c r="C187" s="98"/>
      <c r="D187" s="117"/>
      <c r="E187" s="117"/>
      <c r="F187" s="98"/>
      <c r="G187" s="117"/>
      <c r="H187" s="100"/>
      <c r="I187" s="237">
        <v>59</v>
      </c>
      <c r="J187" s="173">
        <v>9</v>
      </c>
      <c r="K187" s="173">
        <v>23</v>
      </c>
      <c r="L187" s="151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</row>
    <row r="188" spans="1:22" ht="15.95">
      <c r="A188" s="96">
        <v>45985</v>
      </c>
      <c r="B188" s="99"/>
      <c r="C188" s="98"/>
      <c r="D188" s="117"/>
      <c r="E188" s="117"/>
      <c r="F188" s="98"/>
      <c r="G188" s="117"/>
      <c r="H188" s="100"/>
      <c r="I188" s="158"/>
      <c r="L188" s="151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</row>
    <row r="189" spans="1:22" ht="15.95">
      <c r="A189" s="96">
        <v>45986</v>
      </c>
      <c r="B189" s="99"/>
      <c r="C189" s="98"/>
      <c r="D189" s="117"/>
      <c r="E189" s="117"/>
      <c r="F189" s="98"/>
      <c r="G189" s="117"/>
      <c r="H189" s="100"/>
      <c r="I189" s="237">
        <v>63</v>
      </c>
      <c r="J189" s="173">
        <v>8</v>
      </c>
      <c r="K189" s="173">
        <v>23</v>
      </c>
      <c r="L189" s="151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</row>
    <row r="190" spans="1:22" ht="15.95">
      <c r="A190" s="96">
        <v>45987</v>
      </c>
      <c r="B190" s="99"/>
      <c r="C190" s="98"/>
      <c r="D190" s="117"/>
      <c r="E190" s="117"/>
      <c r="F190" s="98"/>
      <c r="G190" s="117"/>
      <c r="H190" s="100"/>
      <c r="I190" s="237">
        <v>59</v>
      </c>
      <c r="J190" s="173">
        <v>8</v>
      </c>
      <c r="K190" s="173">
        <v>23</v>
      </c>
      <c r="L190" s="151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</row>
    <row r="191" spans="1:22" ht="15.95">
      <c r="A191" s="96">
        <v>45988</v>
      </c>
      <c r="B191" s="99"/>
      <c r="C191" s="98"/>
      <c r="D191" s="117"/>
      <c r="E191" s="117"/>
      <c r="F191" s="98"/>
      <c r="G191" s="117"/>
      <c r="H191" s="100"/>
      <c r="I191" s="237">
        <v>62</v>
      </c>
      <c r="J191" s="173">
        <v>9</v>
      </c>
      <c r="K191" s="173">
        <v>22</v>
      </c>
      <c r="L191" s="151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</row>
    <row r="192" spans="1:22" ht="15.95">
      <c r="A192" s="96">
        <v>45989</v>
      </c>
      <c r="B192" s="99"/>
      <c r="C192" s="98"/>
      <c r="D192" s="117"/>
      <c r="E192" s="117"/>
      <c r="F192" s="98"/>
      <c r="G192" s="117"/>
      <c r="H192" s="100"/>
      <c r="I192" s="240">
        <v>50</v>
      </c>
      <c r="J192" s="173">
        <v>8</v>
      </c>
      <c r="K192" s="173">
        <v>24</v>
      </c>
      <c r="L192" s="151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</row>
    <row r="193" spans="1:22" ht="15.95">
      <c r="A193" s="96">
        <v>45990</v>
      </c>
      <c r="B193" s="99"/>
      <c r="C193" s="98"/>
      <c r="D193" s="117"/>
      <c r="E193" s="117"/>
      <c r="F193" s="98"/>
      <c r="G193" s="117"/>
      <c r="H193" s="100"/>
      <c r="I193" s="240">
        <v>47</v>
      </c>
      <c r="J193" s="173">
        <v>7</v>
      </c>
      <c r="K193" s="173">
        <v>23</v>
      </c>
      <c r="L193" s="151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</row>
    <row r="194" spans="1:22" ht="15.95">
      <c r="A194" s="96">
        <v>45991</v>
      </c>
      <c r="B194" s="99"/>
      <c r="C194" s="98"/>
      <c r="D194" s="117"/>
      <c r="E194" s="117"/>
      <c r="F194" s="98"/>
      <c r="G194" s="117"/>
      <c r="H194" s="100"/>
      <c r="I194" s="240">
        <v>50</v>
      </c>
      <c r="J194" s="173">
        <v>6</v>
      </c>
      <c r="K194" s="173">
        <v>23</v>
      </c>
      <c r="L194" s="151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</row>
    <row r="195" spans="1:22" ht="15.95">
      <c r="A195" s="96">
        <v>45992</v>
      </c>
      <c r="B195" s="99"/>
      <c r="C195" s="98"/>
      <c r="D195" s="117"/>
      <c r="E195" s="117"/>
      <c r="F195" s="98"/>
      <c r="G195" s="117"/>
      <c r="H195" s="100"/>
      <c r="I195" s="240">
        <v>50</v>
      </c>
      <c r="J195" s="173">
        <v>7</v>
      </c>
      <c r="K195" s="173">
        <v>23</v>
      </c>
      <c r="L195" s="151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</row>
    <row r="196" spans="1:22" ht="15.95">
      <c r="A196" s="96">
        <v>45993</v>
      </c>
      <c r="B196" s="99"/>
      <c r="C196" s="98"/>
      <c r="D196" s="117"/>
      <c r="E196" s="117"/>
      <c r="F196" s="98"/>
      <c r="G196" s="117"/>
      <c r="H196" s="100"/>
      <c r="I196" s="240">
        <v>47</v>
      </c>
      <c r="J196" s="173">
        <v>6</v>
      </c>
      <c r="K196" s="173">
        <v>22</v>
      </c>
      <c r="L196" s="151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</row>
    <row r="197" spans="1:22" ht="15.95">
      <c r="A197" s="96">
        <v>45994</v>
      </c>
      <c r="B197" s="99"/>
      <c r="C197" s="98"/>
      <c r="D197" s="117"/>
      <c r="E197" s="117"/>
      <c r="F197" s="98"/>
      <c r="G197" s="117"/>
      <c r="H197" s="100"/>
      <c r="I197" s="240">
        <v>47</v>
      </c>
      <c r="J197" s="173">
        <v>6</v>
      </c>
      <c r="K197" s="173">
        <v>22</v>
      </c>
      <c r="L197" s="151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</row>
    <row r="198" spans="1:22" ht="15.95">
      <c r="A198" s="96">
        <v>45995</v>
      </c>
      <c r="B198" s="99"/>
      <c r="C198" s="98"/>
      <c r="D198" s="117"/>
      <c r="E198" s="117"/>
      <c r="F198" s="98"/>
      <c r="G198" s="117"/>
      <c r="H198" s="100"/>
      <c r="I198" s="240">
        <v>45</v>
      </c>
      <c r="J198" s="173">
        <v>7</v>
      </c>
      <c r="K198" s="173">
        <v>22</v>
      </c>
      <c r="L198" s="151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</row>
    <row r="199" spans="1:22" ht="15.95">
      <c r="A199" s="96">
        <v>45996</v>
      </c>
      <c r="B199" s="99"/>
      <c r="C199" s="98"/>
      <c r="D199" s="117"/>
      <c r="E199" s="117"/>
      <c r="F199" s="98"/>
      <c r="G199" s="117"/>
      <c r="H199" s="100"/>
      <c r="I199" s="240">
        <v>42</v>
      </c>
      <c r="J199" s="173">
        <v>6</v>
      </c>
      <c r="K199" s="173">
        <v>23</v>
      </c>
      <c r="L199" s="151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</row>
    <row r="200" spans="1:22" ht="15.95">
      <c r="A200" s="96">
        <v>45997</v>
      </c>
      <c r="B200" s="99"/>
      <c r="C200" s="98"/>
      <c r="D200" s="117"/>
      <c r="E200" s="117"/>
      <c r="F200" s="98"/>
      <c r="G200" s="117"/>
      <c r="H200" s="100"/>
      <c r="I200" s="240">
        <v>38</v>
      </c>
      <c r="J200" s="173">
        <v>7</v>
      </c>
      <c r="K200" s="173">
        <v>23</v>
      </c>
      <c r="L200" s="151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</row>
    <row r="201" spans="1:22" ht="15.95">
      <c r="A201" s="96">
        <v>45998</v>
      </c>
      <c r="B201" s="99"/>
      <c r="C201" s="98"/>
      <c r="D201" s="117"/>
      <c r="E201" s="117"/>
      <c r="F201" s="98"/>
      <c r="G201" s="117"/>
      <c r="H201" s="100"/>
      <c r="I201" s="240">
        <v>47</v>
      </c>
      <c r="J201" s="173">
        <v>6</v>
      </c>
      <c r="K201" s="173">
        <v>22</v>
      </c>
      <c r="L201" s="151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</row>
    <row r="202" spans="1:22" ht="15.95">
      <c r="A202" s="96">
        <v>45999</v>
      </c>
      <c r="B202" s="99"/>
      <c r="C202" s="98"/>
      <c r="D202" s="117"/>
      <c r="E202" s="117"/>
      <c r="F202" s="98"/>
      <c r="G202" s="117"/>
      <c r="H202" s="100"/>
      <c r="I202" s="240">
        <v>56</v>
      </c>
      <c r="J202" s="173">
        <v>9</v>
      </c>
      <c r="K202" s="173">
        <v>23</v>
      </c>
      <c r="L202" s="151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</row>
    <row r="203" spans="1:22" ht="15.95">
      <c r="A203" s="96">
        <v>46000</v>
      </c>
      <c r="B203" s="99"/>
      <c r="C203" s="98"/>
      <c r="D203" s="117"/>
      <c r="E203" s="117"/>
      <c r="F203" s="98"/>
      <c r="G203" s="117"/>
      <c r="H203" s="100"/>
      <c r="I203" s="158"/>
      <c r="L203" s="151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</row>
    <row r="204" spans="1:22" ht="15.95">
      <c r="A204" s="96">
        <v>46001</v>
      </c>
      <c r="B204" s="99"/>
      <c r="C204" s="98"/>
      <c r="D204" s="117"/>
      <c r="E204" s="117"/>
      <c r="F204" s="98"/>
      <c r="G204" s="117"/>
      <c r="H204" s="100"/>
      <c r="I204" s="158"/>
      <c r="L204" s="151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</row>
    <row r="205" spans="1:22" ht="15.95">
      <c r="A205" s="96">
        <v>46002</v>
      </c>
      <c r="B205" s="99"/>
      <c r="C205" s="98"/>
      <c r="D205" s="117"/>
      <c r="E205" s="117"/>
      <c r="F205" s="98"/>
      <c r="G205" s="117"/>
      <c r="H205" s="100"/>
      <c r="I205" s="158"/>
      <c r="L205" s="151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</row>
    <row r="206" spans="1:22" ht="15.95">
      <c r="A206" s="96">
        <v>46003</v>
      </c>
      <c r="B206" s="99"/>
      <c r="C206" s="98"/>
      <c r="D206" s="117"/>
      <c r="E206" s="117"/>
      <c r="F206" s="98"/>
      <c r="G206" s="117"/>
      <c r="H206" s="100"/>
      <c r="I206" s="158"/>
      <c r="L206" s="151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</row>
    <row r="207" spans="1:22" ht="15.95">
      <c r="A207" s="96">
        <v>46004</v>
      </c>
      <c r="B207" s="99"/>
      <c r="C207" s="98"/>
      <c r="D207" s="117"/>
      <c r="E207" s="117"/>
      <c r="F207" s="98"/>
      <c r="G207" s="117"/>
      <c r="H207" s="100"/>
      <c r="I207" s="158"/>
      <c r="L207" s="151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</row>
    <row r="208" spans="1:22" ht="15.95">
      <c r="A208" s="96">
        <v>46005</v>
      </c>
      <c r="B208" s="99"/>
      <c r="C208" s="98"/>
      <c r="D208" s="117"/>
      <c r="E208" s="117"/>
      <c r="F208" s="98"/>
      <c r="G208" s="117"/>
      <c r="H208" s="100"/>
      <c r="I208" s="158"/>
      <c r="L208" s="151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</row>
    <row r="209" spans="1:22" ht="15.95">
      <c r="A209" s="96">
        <v>46006</v>
      </c>
      <c r="B209" s="99"/>
      <c r="C209" s="98"/>
      <c r="D209" s="117"/>
      <c r="E209" s="117"/>
      <c r="F209" s="98"/>
      <c r="G209" s="117"/>
      <c r="H209" s="100"/>
      <c r="I209" s="158"/>
      <c r="L209" s="151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</row>
    <row r="210" spans="1:22" ht="15.95">
      <c r="A210" s="96">
        <v>46007</v>
      </c>
      <c r="B210" s="99"/>
      <c r="C210" s="98"/>
      <c r="D210" s="117"/>
      <c r="E210" s="117"/>
      <c r="F210" s="98"/>
      <c r="G210" s="117"/>
      <c r="H210" s="100"/>
      <c r="I210" s="158"/>
      <c r="L210" s="151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</row>
    <row r="211" spans="1:22" ht="15.95">
      <c r="A211" s="96">
        <v>46008</v>
      </c>
      <c r="B211" s="99"/>
      <c r="C211" s="98"/>
      <c r="D211" s="117"/>
      <c r="E211" s="117"/>
      <c r="F211" s="98"/>
      <c r="G211" s="117"/>
      <c r="H211" s="100"/>
      <c r="I211" s="158"/>
      <c r="L211" s="151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</row>
    <row r="212" spans="1:22" ht="15.95">
      <c r="A212" s="96">
        <v>46009</v>
      </c>
      <c r="B212" s="99"/>
      <c r="C212" s="98"/>
      <c r="D212" s="117"/>
      <c r="E212" s="117"/>
      <c r="F212" s="98"/>
      <c r="G212" s="117"/>
      <c r="H212" s="100"/>
      <c r="I212" s="158"/>
      <c r="L212" s="151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</row>
    <row r="213" spans="1:22" ht="15.95">
      <c r="A213" s="96">
        <v>46010</v>
      </c>
      <c r="B213" s="99"/>
      <c r="C213" s="98"/>
      <c r="D213" s="117"/>
      <c r="E213" s="117"/>
      <c r="F213" s="98"/>
      <c r="G213" s="117"/>
      <c r="H213" s="100"/>
      <c r="I213" s="158"/>
      <c r="L213" s="151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</row>
    <row r="214" spans="1:22" ht="15.95">
      <c r="A214" s="96">
        <v>46011</v>
      </c>
      <c r="B214" s="99"/>
      <c r="C214" s="98"/>
      <c r="D214" s="117"/>
      <c r="E214" s="117"/>
      <c r="F214" s="98"/>
      <c r="G214" s="117"/>
      <c r="H214" s="100"/>
      <c r="I214" s="158"/>
      <c r="L214" s="151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</row>
    <row r="215" spans="1:22" ht="15.95">
      <c r="A215" s="96">
        <v>46012</v>
      </c>
      <c r="B215" s="99"/>
      <c r="C215" s="98"/>
      <c r="D215" s="117"/>
      <c r="E215" s="117"/>
      <c r="F215" s="98"/>
      <c r="G215" s="117"/>
      <c r="H215" s="100"/>
      <c r="I215" s="158"/>
      <c r="L215" s="151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</row>
    <row r="216" spans="1:22" ht="15.95">
      <c r="A216" s="96">
        <v>46013</v>
      </c>
      <c r="B216" s="99"/>
      <c r="C216" s="98"/>
      <c r="D216" s="117"/>
      <c r="E216" s="117"/>
      <c r="F216" s="98"/>
      <c r="G216" s="117"/>
      <c r="H216" s="100"/>
      <c r="I216" s="158"/>
      <c r="L216" s="151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</row>
    <row r="217" spans="1:22" ht="15.95">
      <c r="A217" s="96">
        <v>46014</v>
      </c>
      <c r="B217" s="99"/>
      <c r="C217" s="98"/>
      <c r="D217" s="117"/>
      <c r="E217" s="117"/>
      <c r="F217" s="98"/>
      <c r="G217" s="117"/>
      <c r="H217" s="100"/>
      <c r="I217" s="158"/>
      <c r="L217" s="151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</row>
    <row r="218" spans="1:22" ht="15.95">
      <c r="A218" s="96">
        <v>46015</v>
      </c>
      <c r="B218" s="99"/>
      <c r="C218" s="98"/>
      <c r="D218" s="117"/>
      <c r="E218" s="117"/>
      <c r="F218" s="98"/>
      <c r="G218" s="117"/>
      <c r="H218" s="100"/>
      <c r="I218" s="158"/>
      <c r="L218" s="151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</row>
    <row r="219" spans="1:22" ht="15.95">
      <c r="A219" s="96">
        <v>46016</v>
      </c>
      <c r="B219" s="99"/>
      <c r="C219" s="98"/>
      <c r="D219" s="117"/>
      <c r="E219" s="117"/>
      <c r="F219" s="98"/>
      <c r="G219" s="117"/>
      <c r="H219" s="100"/>
      <c r="I219" s="158"/>
      <c r="L219" s="151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</row>
    <row r="220" spans="1:22" ht="15.95">
      <c r="A220" s="96">
        <v>46017</v>
      </c>
      <c r="B220" s="99"/>
      <c r="C220" s="98"/>
      <c r="D220" s="117"/>
      <c r="E220" s="117"/>
      <c r="F220" s="98"/>
      <c r="G220" s="117"/>
      <c r="H220" s="100"/>
      <c r="I220" s="158"/>
      <c r="L220" s="151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</row>
    <row r="221" spans="1:22" ht="15.95">
      <c r="A221" s="96">
        <v>46018</v>
      </c>
      <c r="B221" s="99"/>
      <c r="C221" s="98"/>
      <c r="D221" s="117"/>
      <c r="E221" s="117"/>
      <c r="F221" s="98"/>
      <c r="G221" s="117"/>
      <c r="H221" s="100"/>
      <c r="I221" s="158"/>
      <c r="L221" s="151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</row>
    <row r="222" spans="1:22" ht="15.95">
      <c r="A222" s="96">
        <v>46019</v>
      </c>
      <c r="B222" s="99"/>
      <c r="C222" s="98"/>
      <c r="D222" s="117"/>
      <c r="E222" s="117"/>
      <c r="F222" s="98"/>
      <c r="G222" s="117"/>
      <c r="H222" s="100"/>
      <c r="I222" s="158"/>
      <c r="L222" s="151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</row>
    <row r="223" spans="1:22" ht="15.95">
      <c r="A223" s="96">
        <v>46020</v>
      </c>
      <c r="B223" s="99"/>
      <c r="C223" s="98"/>
      <c r="D223" s="117"/>
      <c r="E223" s="117"/>
      <c r="F223" s="98"/>
      <c r="G223" s="117"/>
      <c r="H223" s="100"/>
      <c r="I223" s="158"/>
      <c r="L223" s="151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</row>
    <row r="224" spans="1:22" ht="15.95">
      <c r="A224" s="96">
        <v>46021</v>
      </c>
      <c r="B224" s="99"/>
      <c r="C224" s="98"/>
      <c r="D224" s="117"/>
      <c r="E224" s="117"/>
      <c r="F224" s="98"/>
      <c r="G224" s="117"/>
      <c r="H224" s="100"/>
      <c r="I224" s="158"/>
      <c r="L224" s="151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</row>
    <row r="225" spans="1:22" ht="15.95">
      <c r="A225" s="96">
        <v>46022</v>
      </c>
      <c r="B225" s="99"/>
      <c r="C225" s="98"/>
      <c r="D225" s="117"/>
      <c r="E225" s="117"/>
      <c r="F225" s="98"/>
      <c r="G225" s="117"/>
      <c r="H225" s="100"/>
      <c r="I225" s="158"/>
      <c r="L225" s="151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</row>
    <row r="226" spans="1:22" ht="15.95">
      <c r="A226" s="96">
        <v>46023</v>
      </c>
      <c r="B226" s="99"/>
      <c r="C226" s="98"/>
      <c r="D226" s="117"/>
      <c r="E226" s="117"/>
      <c r="F226" s="98"/>
      <c r="G226" s="117"/>
      <c r="H226" s="100"/>
      <c r="I226" s="158"/>
      <c r="L226" s="151"/>
    </row>
    <row r="227" spans="1:22" ht="15.75" customHeight="1">
      <c r="A227" s="96">
        <v>46024</v>
      </c>
      <c r="B227" s="99"/>
      <c r="C227" s="98"/>
      <c r="D227" s="117"/>
      <c r="E227" s="117"/>
      <c r="F227" s="98"/>
      <c r="G227" s="117"/>
      <c r="H227" s="100"/>
      <c r="I227" s="158"/>
      <c r="L227" s="151"/>
    </row>
    <row r="228" spans="1:22" ht="15.75" customHeight="1">
      <c r="A228" s="96">
        <v>46025</v>
      </c>
      <c r="B228" s="99"/>
      <c r="C228" s="98"/>
      <c r="D228" s="117"/>
      <c r="E228" s="117"/>
      <c r="F228" s="98"/>
      <c r="G228" s="117"/>
      <c r="H228" s="100"/>
      <c r="I228" s="158"/>
      <c r="L228" s="151"/>
    </row>
    <row r="229" spans="1:22" ht="15.75" customHeight="1">
      <c r="A229" s="96">
        <v>46026</v>
      </c>
      <c r="B229" s="99"/>
      <c r="C229" s="98"/>
      <c r="D229" s="117"/>
      <c r="E229" s="117"/>
      <c r="F229" s="98"/>
      <c r="G229" s="117"/>
      <c r="H229" s="100"/>
      <c r="I229" s="158"/>
      <c r="L229" s="151"/>
    </row>
    <row r="230" spans="1:22" ht="15.75" customHeight="1">
      <c r="A230" s="96">
        <v>46027</v>
      </c>
      <c r="B230" s="99"/>
      <c r="C230" s="98"/>
      <c r="D230" s="117"/>
      <c r="E230" s="117"/>
      <c r="F230" s="98"/>
      <c r="G230" s="117"/>
      <c r="H230" s="100"/>
      <c r="I230" s="158"/>
      <c r="L230" s="151"/>
    </row>
    <row r="231" spans="1:22" ht="15.75" customHeight="1">
      <c r="A231" s="96">
        <v>46028</v>
      </c>
      <c r="B231" s="99"/>
      <c r="C231" s="98"/>
      <c r="D231" s="117"/>
      <c r="E231" s="117"/>
      <c r="F231" s="98"/>
      <c r="G231" s="117"/>
      <c r="H231" s="100"/>
      <c r="I231" s="158"/>
      <c r="L231" s="151"/>
    </row>
    <row r="232" spans="1:22" ht="15.75" customHeight="1">
      <c r="A232" s="96">
        <v>46029</v>
      </c>
      <c r="B232" s="99"/>
      <c r="C232" s="98"/>
      <c r="D232" s="117"/>
      <c r="E232" s="117"/>
      <c r="F232" s="98"/>
      <c r="G232" s="117"/>
      <c r="H232" s="100"/>
      <c r="I232" s="158"/>
      <c r="L232" s="151"/>
    </row>
    <row r="233" spans="1:22" ht="15.75" customHeight="1">
      <c r="A233" s="96">
        <v>46030</v>
      </c>
      <c r="B233" s="99"/>
      <c r="C233" s="98"/>
      <c r="D233" s="117"/>
      <c r="E233" s="117"/>
      <c r="F233" s="98"/>
      <c r="G233" s="117"/>
      <c r="H233" s="100"/>
      <c r="I233" s="158"/>
      <c r="L233" s="151"/>
    </row>
    <row r="234" spans="1:22" ht="15.75" customHeight="1">
      <c r="A234" s="96">
        <v>46031</v>
      </c>
      <c r="B234" s="99"/>
      <c r="C234" s="98"/>
      <c r="D234" s="117"/>
      <c r="E234" s="117"/>
      <c r="F234" s="98"/>
      <c r="G234" s="117"/>
      <c r="H234" s="100"/>
      <c r="I234" s="158"/>
      <c r="L234" s="151"/>
    </row>
    <row r="235" spans="1:22" ht="15.75" customHeight="1">
      <c r="A235" s="96">
        <v>46032</v>
      </c>
      <c r="B235" s="99"/>
      <c r="C235" s="98"/>
      <c r="D235" s="117"/>
      <c r="E235" s="117"/>
      <c r="F235" s="98"/>
      <c r="G235" s="117"/>
      <c r="H235" s="100"/>
      <c r="I235" s="158"/>
      <c r="L235" s="151"/>
    </row>
    <row r="236" spans="1:22" ht="15.75" customHeight="1">
      <c r="A236" s="96">
        <v>46033</v>
      </c>
      <c r="B236" s="99"/>
      <c r="C236" s="98"/>
      <c r="D236" s="117"/>
      <c r="E236" s="117"/>
      <c r="F236" s="98"/>
      <c r="G236" s="117"/>
      <c r="H236" s="100"/>
      <c r="I236" s="158"/>
      <c r="L236" s="151"/>
    </row>
    <row r="237" spans="1:22" ht="15.75" customHeight="1">
      <c r="A237" s="96">
        <v>46034</v>
      </c>
      <c r="B237" s="99"/>
      <c r="C237" s="98"/>
      <c r="D237" s="117"/>
      <c r="E237" s="117"/>
      <c r="F237" s="98"/>
      <c r="G237" s="117"/>
      <c r="H237" s="100"/>
      <c r="I237" s="158"/>
      <c r="L237" s="151"/>
    </row>
    <row r="238" spans="1:22" ht="15.75" customHeight="1">
      <c r="A238" s="96">
        <v>46035</v>
      </c>
      <c r="B238" s="99"/>
      <c r="C238" s="98"/>
      <c r="D238" s="117"/>
      <c r="E238" s="117"/>
      <c r="F238" s="98"/>
      <c r="G238" s="117"/>
      <c r="H238" s="100"/>
      <c r="I238" s="158"/>
      <c r="L238" s="151"/>
    </row>
    <row r="239" spans="1:22" ht="15.75" customHeight="1">
      <c r="A239" s="96">
        <v>46036</v>
      </c>
      <c r="B239" s="99"/>
      <c r="C239" s="98"/>
      <c r="D239" s="117"/>
      <c r="E239" s="117"/>
      <c r="F239" s="98"/>
      <c r="G239" s="117"/>
      <c r="H239" s="100"/>
      <c r="I239" s="158"/>
      <c r="L239" s="151"/>
    </row>
    <row r="240" spans="1:22" ht="15.75" customHeight="1">
      <c r="A240" s="96">
        <v>46037</v>
      </c>
      <c r="B240" s="99"/>
      <c r="C240" s="98"/>
      <c r="D240" s="117"/>
      <c r="E240" s="117"/>
      <c r="F240" s="98"/>
      <c r="G240" s="117"/>
      <c r="H240" s="100"/>
      <c r="I240" s="158"/>
      <c r="L240" s="151"/>
    </row>
    <row r="241" spans="1:12" ht="15.75" customHeight="1">
      <c r="A241" s="96">
        <v>46038</v>
      </c>
      <c r="B241" s="99"/>
      <c r="C241" s="98"/>
      <c r="D241" s="117"/>
      <c r="E241" s="117"/>
      <c r="F241" s="98"/>
      <c r="G241" s="117"/>
      <c r="H241" s="100"/>
      <c r="I241" s="158"/>
      <c r="L241" s="151"/>
    </row>
    <row r="242" spans="1:12" ht="15.75" customHeight="1">
      <c r="A242" s="96">
        <v>46039</v>
      </c>
      <c r="B242" s="99"/>
      <c r="C242" s="98"/>
      <c r="D242" s="117"/>
      <c r="E242" s="117"/>
      <c r="F242" s="98"/>
      <c r="G242" s="117"/>
      <c r="H242" s="100"/>
      <c r="I242" s="158"/>
      <c r="L242" s="151"/>
    </row>
    <row r="243" spans="1:12" ht="15.75" customHeight="1">
      <c r="A243" s="96">
        <v>46040</v>
      </c>
      <c r="B243" s="99"/>
      <c r="C243" s="98"/>
      <c r="D243" s="117"/>
      <c r="E243" s="117"/>
      <c r="F243" s="98"/>
      <c r="G243" s="117"/>
      <c r="H243" s="100"/>
      <c r="I243" s="158"/>
      <c r="L243" s="151"/>
    </row>
    <row r="244" spans="1:12" ht="15.75" customHeight="1">
      <c r="A244" s="96">
        <v>46041</v>
      </c>
      <c r="B244" s="99"/>
      <c r="C244" s="98"/>
      <c r="D244" s="117"/>
      <c r="E244" s="117"/>
      <c r="F244" s="98"/>
      <c r="G244" s="117"/>
      <c r="H244" s="100"/>
      <c r="I244" s="158"/>
      <c r="L244" s="151"/>
    </row>
    <row r="245" spans="1:12" ht="15.75" customHeight="1">
      <c r="A245" s="96">
        <v>46042</v>
      </c>
      <c r="B245" s="99"/>
      <c r="C245" s="98"/>
      <c r="D245" s="117"/>
      <c r="E245" s="117"/>
      <c r="F245" s="98"/>
      <c r="G245" s="117"/>
      <c r="H245" s="100"/>
      <c r="I245" s="158"/>
      <c r="L245" s="151"/>
    </row>
    <row r="246" spans="1:12" ht="15.75" customHeight="1">
      <c r="A246" s="96">
        <v>46043</v>
      </c>
      <c r="B246" s="99"/>
      <c r="C246" s="98"/>
      <c r="D246" s="117"/>
      <c r="E246" s="117"/>
      <c r="F246" s="98"/>
      <c r="G246" s="117"/>
      <c r="H246" s="100"/>
      <c r="I246" s="158"/>
      <c r="L246" s="151"/>
    </row>
    <row r="247" spans="1:12" ht="15.75" customHeight="1">
      <c r="A247" s="96">
        <v>46044</v>
      </c>
      <c r="B247" s="99"/>
      <c r="C247" s="98"/>
      <c r="D247" s="117"/>
      <c r="E247" s="117"/>
      <c r="F247" s="98"/>
      <c r="G247" s="117"/>
      <c r="H247" s="100"/>
      <c r="I247" s="158"/>
      <c r="L247" s="151"/>
    </row>
    <row r="248" spans="1:12" ht="15.75" customHeight="1">
      <c r="A248" s="96">
        <v>46045</v>
      </c>
      <c r="B248" s="99"/>
      <c r="C248" s="98"/>
      <c r="D248" s="117"/>
      <c r="E248" s="117"/>
      <c r="F248" s="98"/>
      <c r="G248" s="117"/>
      <c r="H248" s="100"/>
      <c r="I248" s="158"/>
      <c r="L248" s="151"/>
    </row>
    <row r="249" spans="1:12" ht="15.75" customHeight="1">
      <c r="A249" s="96">
        <v>46046</v>
      </c>
      <c r="B249" s="99"/>
      <c r="C249" s="98"/>
      <c r="D249" s="117"/>
      <c r="E249" s="117"/>
      <c r="F249" s="98"/>
      <c r="G249" s="117"/>
      <c r="H249" s="100"/>
      <c r="I249" s="158"/>
      <c r="L249" s="151"/>
    </row>
    <row r="250" spans="1:12" ht="15.75" customHeight="1">
      <c r="A250" s="96">
        <v>46047</v>
      </c>
      <c r="B250" s="99"/>
      <c r="C250" s="98"/>
      <c r="D250" s="117"/>
      <c r="E250" s="117"/>
      <c r="F250" s="98"/>
      <c r="G250" s="117"/>
      <c r="H250" s="100"/>
      <c r="I250" s="158"/>
      <c r="L250" s="151"/>
    </row>
    <row r="251" spans="1:12" ht="15.75" customHeight="1">
      <c r="A251" s="96">
        <v>46048</v>
      </c>
      <c r="B251" s="99"/>
      <c r="C251" s="98"/>
      <c r="D251" s="117"/>
      <c r="E251" s="117"/>
      <c r="F251" s="98"/>
      <c r="G251" s="117"/>
      <c r="H251" s="100"/>
      <c r="I251" s="158"/>
      <c r="L251" s="151"/>
    </row>
    <row r="252" spans="1:12" ht="15.75" customHeight="1">
      <c r="A252" s="96">
        <v>46049</v>
      </c>
      <c r="B252" s="99"/>
      <c r="C252" s="98"/>
      <c r="D252" s="117"/>
      <c r="E252" s="117"/>
      <c r="F252" s="98"/>
      <c r="G252" s="117"/>
      <c r="H252" s="100"/>
      <c r="I252" s="158"/>
      <c r="L252" s="151"/>
    </row>
    <row r="253" spans="1:12" ht="15.75" customHeight="1">
      <c r="A253" s="96">
        <v>46050</v>
      </c>
      <c r="B253" s="99"/>
      <c r="C253" s="98"/>
      <c r="D253" s="117"/>
      <c r="E253" s="117"/>
      <c r="F253" s="98"/>
      <c r="G253" s="117"/>
      <c r="H253" s="100"/>
      <c r="I253" s="158"/>
      <c r="L253" s="151"/>
    </row>
    <row r="254" spans="1:12" ht="15.75" customHeight="1">
      <c r="A254" s="96">
        <v>46051</v>
      </c>
      <c r="B254" s="99"/>
      <c r="C254" s="98"/>
      <c r="D254" s="117"/>
      <c r="E254" s="117"/>
      <c r="F254" s="98"/>
      <c r="G254" s="117"/>
      <c r="H254" s="100"/>
      <c r="I254" s="158"/>
      <c r="L254" s="151"/>
    </row>
    <row r="255" spans="1:12" ht="15.75" customHeight="1">
      <c r="A255" s="96">
        <v>46052</v>
      </c>
      <c r="B255" s="99"/>
      <c r="C255" s="98"/>
      <c r="D255" s="117"/>
      <c r="E255" s="117"/>
      <c r="F255" s="98"/>
      <c r="G255" s="117"/>
      <c r="H255" s="100"/>
      <c r="I255" s="158"/>
      <c r="L255" s="151"/>
    </row>
    <row r="256" spans="1:12" ht="15.75" customHeight="1">
      <c r="A256" s="96">
        <v>46053</v>
      </c>
      <c r="B256" s="99"/>
      <c r="C256" s="98"/>
      <c r="D256" s="117"/>
      <c r="E256" s="117"/>
      <c r="F256" s="98"/>
      <c r="G256" s="117"/>
      <c r="H256" s="100"/>
      <c r="I256" s="158"/>
      <c r="L256" s="151"/>
    </row>
    <row r="257" spans="1:12" ht="15.75" customHeight="1">
      <c r="A257" s="96">
        <v>46054</v>
      </c>
      <c r="B257" s="99"/>
      <c r="C257" s="98"/>
      <c r="D257" s="117"/>
      <c r="E257" s="117"/>
      <c r="F257" s="98"/>
      <c r="G257" s="117"/>
      <c r="H257" s="100"/>
      <c r="I257" s="158"/>
      <c r="L257" s="151"/>
    </row>
    <row r="258" spans="1:12" ht="15.75" customHeight="1">
      <c r="A258" s="96">
        <v>46055</v>
      </c>
      <c r="B258" s="99"/>
      <c r="C258" s="98"/>
      <c r="D258" s="117"/>
      <c r="E258" s="117"/>
      <c r="F258" s="98"/>
      <c r="G258" s="117"/>
      <c r="H258" s="100"/>
      <c r="I258" s="158"/>
      <c r="L258" s="151"/>
    </row>
    <row r="259" spans="1:12" ht="15.75" customHeight="1">
      <c r="A259" s="96">
        <v>46056</v>
      </c>
      <c r="B259" s="99"/>
      <c r="C259" s="98"/>
      <c r="D259" s="117"/>
      <c r="E259" s="117"/>
      <c r="F259" s="98"/>
      <c r="G259" s="117"/>
      <c r="H259" s="100"/>
      <c r="I259" s="158"/>
      <c r="L259" s="151"/>
    </row>
    <row r="260" spans="1:12" ht="15.75" customHeight="1">
      <c r="A260" s="96">
        <v>46057</v>
      </c>
      <c r="B260" s="99"/>
      <c r="C260" s="98"/>
      <c r="D260" s="117"/>
      <c r="E260" s="117"/>
      <c r="F260" s="98"/>
      <c r="G260" s="117"/>
      <c r="H260" s="100"/>
      <c r="I260" s="158"/>
      <c r="L260" s="151"/>
    </row>
    <row r="261" spans="1:12" ht="15.75" customHeight="1">
      <c r="A261" s="96">
        <v>46058</v>
      </c>
      <c r="B261" s="99"/>
      <c r="C261" s="98"/>
      <c r="D261" s="117"/>
      <c r="E261" s="117"/>
      <c r="F261" s="98"/>
      <c r="G261" s="117"/>
      <c r="H261" s="100"/>
      <c r="I261" s="158"/>
      <c r="L261" s="151"/>
    </row>
    <row r="262" spans="1:12" ht="15.75" customHeight="1">
      <c r="A262" s="96">
        <v>46059</v>
      </c>
      <c r="B262" s="99"/>
      <c r="C262" s="98"/>
      <c r="D262" s="117"/>
      <c r="E262" s="117"/>
      <c r="F262" s="98"/>
      <c r="G262" s="117"/>
      <c r="H262" s="100"/>
      <c r="I262" s="158"/>
      <c r="L262" s="151"/>
    </row>
    <row r="263" spans="1:12" ht="15.75" customHeight="1">
      <c r="A263" s="96">
        <v>46060</v>
      </c>
      <c r="B263" s="99"/>
      <c r="C263" s="98"/>
      <c r="D263" s="117"/>
      <c r="E263" s="117"/>
      <c r="F263" s="98"/>
      <c r="G263" s="117"/>
      <c r="H263" s="100"/>
      <c r="I263" s="158"/>
      <c r="L263" s="151"/>
    </row>
    <row r="264" spans="1:12" ht="15.75" customHeight="1">
      <c r="A264" s="96">
        <v>46061</v>
      </c>
      <c r="B264" s="99"/>
      <c r="C264" s="98"/>
      <c r="D264" s="117"/>
      <c r="E264" s="117"/>
      <c r="F264" s="98"/>
      <c r="G264" s="117"/>
      <c r="H264" s="100"/>
      <c r="I264" s="158"/>
      <c r="L264" s="151"/>
    </row>
    <row r="265" spans="1:12" ht="15.75" customHeight="1">
      <c r="A265" s="96">
        <v>46062</v>
      </c>
      <c r="B265" s="99"/>
      <c r="C265" s="98"/>
      <c r="D265" s="117"/>
      <c r="E265" s="117"/>
      <c r="F265" s="98"/>
      <c r="G265" s="117"/>
      <c r="H265" s="100"/>
      <c r="I265" s="158"/>
      <c r="L265" s="151"/>
    </row>
    <row r="266" spans="1:12" ht="15.75" customHeight="1">
      <c r="A266" s="96">
        <v>46063</v>
      </c>
      <c r="B266" s="99"/>
      <c r="C266" s="98"/>
      <c r="D266" s="117"/>
      <c r="E266" s="117"/>
      <c r="F266" s="98"/>
      <c r="G266" s="117"/>
      <c r="H266" s="100"/>
      <c r="I266" s="158"/>
      <c r="L266" s="151"/>
    </row>
    <row r="267" spans="1:12" ht="15.75" customHeight="1">
      <c r="A267" s="96">
        <v>46064</v>
      </c>
      <c r="B267" s="99"/>
      <c r="C267" s="98"/>
      <c r="D267" s="117"/>
      <c r="E267" s="117"/>
      <c r="F267" s="98"/>
      <c r="G267" s="117"/>
      <c r="H267" s="100"/>
      <c r="I267" s="158"/>
      <c r="L267" s="151"/>
    </row>
    <row r="268" spans="1:12" ht="15.75" customHeight="1">
      <c r="A268" s="96">
        <v>46065</v>
      </c>
      <c r="B268" s="99"/>
      <c r="C268" s="98"/>
      <c r="D268" s="117"/>
      <c r="E268" s="117"/>
      <c r="F268" s="98"/>
      <c r="G268" s="117"/>
      <c r="H268" s="100"/>
      <c r="I268" s="158"/>
      <c r="L268" s="151"/>
    </row>
    <row r="269" spans="1:12" ht="15.75" customHeight="1">
      <c r="A269" s="96">
        <v>46066</v>
      </c>
      <c r="B269" s="99"/>
      <c r="C269" s="98"/>
      <c r="D269" s="117"/>
      <c r="E269" s="117"/>
      <c r="F269" s="98"/>
      <c r="G269" s="117"/>
      <c r="H269" s="100"/>
      <c r="I269" s="158"/>
      <c r="L269" s="151"/>
    </row>
    <row r="270" spans="1:12" ht="15.75" customHeight="1">
      <c r="A270" s="96">
        <v>46067</v>
      </c>
      <c r="B270" s="99"/>
      <c r="C270" s="98"/>
      <c r="D270" s="117"/>
      <c r="E270" s="117"/>
      <c r="F270" s="98"/>
      <c r="G270" s="117"/>
      <c r="H270" s="100"/>
      <c r="I270" s="158"/>
      <c r="L270" s="151"/>
    </row>
    <row r="271" spans="1:12" ht="15.75" customHeight="1">
      <c r="A271" s="96">
        <v>46068</v>
      </c>
      <c r="B271" s="99"/>
      <c r="C271" s="98"/>
      <c r="D271" s="117"/>
      <c r="E271" s="117"/>
      <c r="F271" s="98"/>
      <c r="G271" s="117"/>
      <c r="H271" s="100"/>
      <c r="I271" s="158"/>
      <c r="L271" s="151"/>
    </row>
    <row r="272" spans="1:12" ht="15.75" customHeight="1">
      <c r="A272" s="96">
        <v>46069</v>
      </c>
      <c r="B272" s="99"/>
      <c r="C272" s="98"/>
      <c r="D272" s="117"/>
      <c r="E272" s="117"/>
      <c r="F272" s="98"/>
      <c r="G272" s="117"/>
      <c r="H272" s="100"/>
      <c r="I272" s="158"/>
      <c r="L272" s="151"/>
    </row>
    <row r="273" spans="1:12" ht="15.75" customHeight="1">
      <c r="A273" s="96">
        <v>46070</v>
      </c>
      <c r="B273" s="99"/>
      <c r="C273" s="98"/>
      <c r="D273" s="117"/>
      <c r="E273" s="117"/>
      <c r="F273" s="98"/>
      <c r="G273" s="117"/>
      <c r="H273" s="100"/>
      <c r="I273" s="158"/>
      <c r="L273" s="151"/>
    </row>
    <row r="274" spans="1:12" ht="15.75" customHeight="1">
      <c r="A274" s="96">
        <v>46071</v>
      </c>
      <c r="B274" s="99"/>
      <c r="C274" s="98"/>
      <c r="D274" s="117"/>
      <c r="E274" s="117"/>
      <c r="F274" s="98"/>
      <c r="G274" s="117"/>
      <c r="H274" s="100"/>
      <c r="I274" s="158"/>
      <c r="L274" s="151"/>
    </row>
    <row r="275" spans="1:12" ht="15.75" customHeight="1">
      <c r="A275" s="96">
        <v>46072</v>
      </c>
      <c r="B275" s="99"/>
      <c r="C275" s="98"/>
      <c r="D275" s="117"/>
      <c r="E275" s="117"/>
      <c r="F275" s="98"/>
      <c r="G275" s="117"/>
      <c r="H275" s="100"/>
      <c r="I275" s="158"/>
      <c r="L275" s="151"/>
    </row>
    <row r="276" spans="1:12" ht="15.75" customHeight="1">
      <c r="A276" s="96">
        <v>46073</v>
      </c>
      <c r="B276" s="99"/>
      <c r="C276" s="98"/>
      <c r="D276" s="117"/>
      <c r="E276" s="117"/>
      <c r="F276" s="98"/>
      <c r="G276" s="117"/>
      <c r="H276" s="100"/>
      <c r="I276" s="158"/>
      <c r="L276" s="151"/>
    </row>
    <row r="277" spans="1:12" ht="15.75" customHeight="1">
      <c r="A277" s="96">
        <v>46074</v>
      </c>
      <c r="B277" s="99"/>
      <c r="C277" s="98"/>
      <c r="D277" s="117"/>
      <c r="E277" s="117"/>
      <c r="F277" s="98"/>
      <c r="G277" s="117"/>
      <c r="H277" s="100"/>
      <c r="I277" s="158"/>
      <c r="L277" s="151"/>
    </row>
    <row r="278" spans="1:12" ht="15.75" customHeight="1">
      <c r="A278" s="96">
        <v>46075</v>
      </c>
      <c r="B278" s="99"/>
      <c r="C278" s="98"/>
      <c r="D278" s="117"/>
      <c r="E278" s="117"/>
      <c r="F278" s="98"/>
      <c r="G278" s="117"/>
      <c r="H278" s="100"/>
      <c r="I278" s="158"/>
      <c r="L278" s="151"/>
    </row>
    <row r="279" spans="1:12" ht="15.75" customHeight="1">
      <c r="A279" s="96">
        <v>46076</v>
      </c>
      <c r="B279" s="99"/>
      <c r="C279" s="98"/>
      <c r="D279" s="117"/>
      <c r="E279" s="117"/>
      <c r="F279" s="98"/>
      <c r="G279" s="117"/>
      <c r="H279" s="100"/>
      <c r="I279" s="158"/>
      <c r="L279" s="151"/>
    </row>
    <row r="280" spans="1:12" ht="15.75" customHeight="1">
      <c r="A280" s="96">
        <v>46077</v>
      </c>
      <c r="B280" s="99"/>
      <c r="C280" s="98"/>
      <c r="D280" s="117"/>
      <c r="E280" s="117"/>
      <c r="F280" s="98"/>
      <c r="G280" s="117"/>
      <c r="H280" s="100"/>
      <c r="I280" s="158"/>
      <c r="L280" s="151"/>
    </row>
    <row r="281" spans="1:12" ht="15.75" customHeight="1">
      <c r="A281" s="96">
        <v>46078</v>
      </c>
      <c r="B281" s="99"/>
      <c r="C281" s="98"/>
      <c r="D281" s="117"/>
      <c r="E281" s="117"/>
      <c r="F281" s="98"/>
      <c r="G281" s="117"/>
      <c r="H281" s="100"/>
      <c r="I281" s="158"/>
      <c r="L281" s="151"/>
    </row>
    <row r="282" spans="1:12" ht="15.75" customHeight="1">
      <c r="A282" s="96">
        <v>46079</v>
      </c>
      <c r="B282" s="99"/>
      <c r="C282" s="98"/>
      <c r="D282" s="117"/>
      <c r="E282" s="117"/>
      <c r="F282" s="98"/>
      <c r="G282" s="117"/>
      <c r="H282" s="100"/>
      <c r="I282" s="158"/>
      <c r="L282" s="151"/>
    </row>
    <row r="283" spans="1:12" ht="15.75" customHeight="1">
      <c r="A283" s="96">
        <v>46080</v>
      </c>
      <c r="B283" s="99"/>
      <c r="C283" s="98"/>
      <c r="D283" s="117"/>
      <c r="E283" s="117"/>
      <c r="F283" s="98"/>
      <c r="G283" s="117"/>
      <c r="H283" s="100"/>
      <c r="I283" s="158"/>
      <c r="L283" s="151"/>
    </row>
    <row r="284" spans="1:12" ht="15.75" customHeight="1">
      <c r="A284" s="96">
        <v>46081</v>
      </c>
      <c r="B284" s="99"/>
      <c r="C284" s="98"/>
      <c r="D284" s="117"/>
      <c r="E284" s="117"/>
      <c r="F284" s="98"/>
      <c r="G284" s="117"/>
      <c r="H284" s="100"/>
      <c r="I284" s="158"/>
      <c r="L284" s="151"/>
    </row>
    <row r="285" spans="1:12" ht="15.75" customHeight="1">
      <c r="A285" s="96">
        <v>46082</v>
      </c>
      <c r="B285" s="99"/>
      <c r="C285" s="98"/>
      <c r="D285" s="117"/>
      <c r="E285" s="117"/>
      <c r="F285" s="98"/>
      <c r="G285" s="117"/>
      <c r="H285" s="100"/>
      <c r="I285" s="158"/>
      <c r="L285" s="151"/>
    </row>
    <row r="286" spans="1:12" ht="15.75" customHeight="1">
      <c r="A286" s="96">
        <v>46083</v>
      </c>
      <c r="B286" s="99"/>
      <c r="C286" s="98"/>
      <c r="D286" s="117"/>
      <c r="E286" s="117"/>
      <c r="F286" s="98"/>
      <c r="G286" s="117"/>
      <c r="H286" s="100"/>
      <c r="I286" s="158"/>
      <c r="L286" s="151"/>
    </row>
    <row r="287" spans="1:12" ht="15.75" customHeight="1">
      <c r="A287" s="96">
        <v>46084</v>
      </c>
      <c r="B287" s="99"/>
      <c r="C287" s="98"/>
      <c r="D287" s="117"/>
      <c r="E287" s="117"/>
      <c r="F287" s="98"/>
      <c r="G287" s="117"/>
      <c r="H287" s="100"/>
      <c r="I287" s="158"/>
      <c r="L287" s="151"/>
    </row>
    <row r="288" spans="1:12" ht="15.75" customHeight="1">
      <c r="A288" s="96">
        <v>46085</v>
      </c>
      <c r="B288" s="99"/>
      <c r="C288" s="98"/>
      <c r="D288" s="117"/>
      <c r="E288" s="117"/>
      <c r="F288" s="98"/>
      <c r="G288" s="117"/>
      <c r="H288" s="100"/>
      <c r="I288" s="158"/>
      <c r="L288" s="151"/>
    </row>
    <row r="289" spans="1:12" ht="15.75" customHeight="1">
      <c r="A289" s="96">
        <v>46086</v>
      </c>
      <c r="B289" s="99"/>
      <c r="C289" s="98"/>
      <c r="D289" s="117"/>
      <c r="E289" s="117"/>
      <c r="F289" s="98"/>
      <c r="G289" s="117"/>
      <c r="H289" s="100"/>
      <c r="I289" s="158"/>
      <c r="L289" s="151"/>
    </row>
    <row r="290" spans="1:12" ht="15.75" customHeight="1">
      <c r="A290" s="96">
        <v>46087</v>
      </c>
      <c r="B290" s="99"/>
      <c r="C290" s="98"/>
      <c r="D290" s="117"/>
      <c r="E290" s="117"/>
      <c r="F290" s="98"/>
      <c r="G290" s="117"/>
      <c r="H290" s="100"/>
      <c r="I290" s="158"/>
      <c r="L290" s="151"/>
    </row>
    <row r="291" spans="1:12" ht="15.75" customHeight="1">
      <c r="A291" s="96">
        <v>46088</v>
      </c>
      <c r="B291" s="99"/>
      <c r="C291" s="98"/>
      <c r="D291" s="117"/>
      <c r="E291" s="117"/>
      <c r="F291" s="98"/>
      <c r="G291" s="117"/>
      <c r="H291" s="100"/>
      <c r="I291" s="158"/>
      <c r="L291" s="151"/>
    </row>
    <row r="292" spans="1:12" ht="15.75" customHeight="1">
      <c r="A292" s="96">
        <v>46089</v>
      </c>
      <c r="B292" s="99"/>
      <c r="C292" s="98"/>
      <c r="D292" s="117"/>
      <c r="E292" s="117"/>
      <c r="F292" s="98"/>
      <c r="G292" s="117"/>
      <c r="H292" s="100"/>
      <c r="I292" s="158"/>
      <c r="L292" s="151"/>
    </row>
    <row r="293" spans="1:12" ht="15.75" customHeight="1">
      <c r="A293" s="96">
        <v>46090</v>
      </c>
      <c r="B293" s="99"/>
      <c r="C293" s="98"/>
      <c r="D293" s="117"/>
      <c r="E293" s="117"/>
      <c r="F293" s="98"/>
      <c r="G293" s="117"/>
      <c r="H293" s="100"/>
      <c r="I293" s="158"/>
      <c r="L293" s="151"/>
    </row>
    <row r="294" spans="1:12" ht="15.75" customHeight="1">
      <c r="A294" s="96">
        <v>46091</v>
      </c>
      <c r="B294" s="99"/>
      <c r="C294" s="98"/>
      <c r="D294" s="117"/>
      <c r="E294" s="117"/>
      <c r="F294" s="98"/>
      <c r="G294" s="117"/>
      <c r="H294" s="100"/>
      <c r="I294" s="158"/>
      <c r="L294" s="151"/>
    </row>
    <row r="295" spans="1:12" ht="15.75" customHeight="1">
      <c r="A295" s="96">
        <v>46092</v>
      </c>
      <c r="B295" s="99"/>
      <c r="C295" s="98"/>
      <c r="D295" s="117"/>
      <c r="E295" s="117"/>
      <c r="F295" s="98"/>
      <c r="G295" s="117"/>
      <c r="H295" s="100"/>
      <c r="I295" s="158"/>
      <c r="L295" s="151"/>
    </row>
    <row r="296" spans="1:12" ht="15.75" customHeight="1">
      <c r="A296" s="96">
        <v>46093</v>
      </c>
      <c r="B296" s="99"/>
      <c r="C296" s="98"/>
      <c r="D296" s="117"/>
      <c r="E296" s="117"/>
      <c r="F296" s="98"/>
      <c r="G296" s="117"/>
      <c r="H296" s="100"/>
      <c r="I296" s="158"/>
      <c r="L296" s="151"/>
    </row>
    <row r="297" spans="1:12" ht="15.75" customHeight="1">
      <c r="A297" s="96">
        <v>46094</v>
      </c>
      <c r="B297" s="99"/>
      <c r="C297" s="98"/>
      <c r="D297" s="117"/>
      <c r="E297" s="117"/>
      <c r="F297" s="98"/>
      <c r="G297" s="117"/>
      <c r="H297" s="100"/>
      <c r="I297" s="158"/>
      <c r="L297" s="151"/>
    </row>
    <row r="298" spans="1:12" ht="15.75" customHeight="1">
      <c r="A298" s="96">
        <v>46095</v>
      </c>
      <c r="B298" s="99"/>
      <c r="C298" s="98"/>
      <c r="D298" s="117"/>
      <c r="E298" s="117"/>
      <c r="F298" s="98"/>
      <c r="G298" s="117"/>
      <c r="H298" s="100"/>
      <c r="I298" s="158"/>
      <c r="L298" s="151"/>
    </row>
    <row r="299" spans="1:12" ht="15.75" customHeight="1">
      <c r="A299" s="96">
        <v>46096</v>
      </c>
      <c r="B299" s="99"/>
      <c r="C299" s="98"/>
      <c r="D299" s="117"/>
      <c r="E299" s="117"/>
      <c r="F299" s="98"/>
      <c r="G299" s="117"/>
      <c r="H299" s="100"/>
      <c r="I299" s="158"/>
      <c r="L299" s="151"/>
    </row>
    <row r="300" spans="1:12" ht="15.75" customHeight="1">
      <c r="A300" s="96">
        <v>46097</v>
      </c>
      <c r="B300" s="99"/>
      <c r="C300" s="98"/>
      <c r="D300" s="117"/>
      <c r="E300" s="117"/>
      <c r="F300" s="98"/>
      <c r="G300" s="117"/>
      <c r="H300" s="100"/>
      <c r="I300" s="158"/>
      <c r="L300" s="151"/>
    </row>
    <row r="301" spans="1:12" ht="15.75" customHeight="1">
      <c r="A301" s="96">
        <v>46098</v>
      </c>
      <c r="B301" s="99"/>
      <c r="C301" s="98"/>
      <c r="D301" s="117"/>
      <c r="E301" s="117"/>
      <c r="F301" s="98"/>
      <c r="G301" s="117"/>
      <c r="H301" s="100"/>
      <c r="I301" s="158"/>
      <c r="L301" s="151"/>
    </row>
    <row r="302" spans="1:12" ht="15.75" customHeight="1">
      <c r="A302" s="96">
        <v>46099</v>
      </c>
      <c r="B302" s="99"/>
      <c r="C302" s="98"/>
      <c r="D302" s="117"/>
      <c r="E302" s="117"/>
      <c r="F302" s="98"/>
      <c r="G302" s="117"/>
      <c r="H302" s="100"/>
      <c r="I302" s="158"/>
      <c r="L302" s="151"/>
    </row>
    <row r="303" spans="1:12" ht="15.75" customHeight="1">
      <c r="A303" s="96">
        <v>46100</v>
      </c>
      <c r="B303" s="99"/>
      <c r="C303" s="98"/>
      <c r="D303" s="117"/>
      <c r="E303" s="117"/>
      <c r="F303" s="98"/>
      <c r="G303" s="117"/>
      <c r="H303" s="100"/>
      <c r="I303" s="158"/>
      <c r="L303" s="151"/>
    </row>
    <row r="304" spans="1:12" ht="15.75" customHeight="1">
      <c r="A304" s="96">
        <v>46101</v>
      </c>
      <c r="B304" s="99"/>
      <c r="C304" s="98"/>
      <c r="D304" s="117"/>
      <c r="E304" s="117"/>
      <c r="F304" s="98"/>
      <c r="G304" s="117"/>
      <c r="H304" s="100"/>
      <c r="I304" s="158"/>
      <c r="L304" s="151"/>
    </row>
    <row r="305" spans="1:12" ht="15.75" customHeight="1">
      <c r="A305" s="96">
        <v>46102</v>
      </c>
      <c r="B305" s="99"/>
      <c r="C305" s="98"/>
      <c r="D305" s="117"/>
      <c r="E305" s="117"/>
      <c r="F305" s="98"/>
      <c r="G305" s="117"/>
      <c r="H305" s="100"/>
      <c r="I305" s="158"/>
      <c r="L305" s="151"/>
    </row>
    <row r="306" spans="1:12" ht="15.75" customHeight="1">
      <c r="A306" s="96">
        <v>46103</v>
      </c>
      <c r="B306" s="99"/>
      <c r="C306" s="98"/>
      <c r="D306" s="117"/>
      <c r="E306" s="117"/>
      <c r="F306" s="98"/>
      <c r="G306" s="117"/>
      <c r="H306" s="100"/>
      <c r="I306" s="158"/>
      <c r="L306" s="151"/>
    </row>
    <row r="307" spans="1:12" ht="15.75" customHeight="1">
      <c r="A307" s="96">
        <v>46104</v>
      </c>
      <c r="B307" s="99"/>
      <c r="C307" s="98"/>
      <c r="D307" s="117"/>
      <c r="E307" s="117"/>
      <c r="F307" s="98"/>
      <c r="G307" s="117"/>
      <c r="H307" s="100"/>
      <c r="I307" s="158"/>
      <c r="L307" s="151"/>
    </row>
    <row r="308" spans="1:12" ht="15.75" customHeight="1">
      <c r="A308" s="96">
        <v>46105</v>
      </c>
      <c r="B308" s="99"/>
      <c r="C308" s="98"/>
      <c r="D308" s="117"/>
      <c r="E308" s="117"/>
      <c r="F308" s="98"/>
      <c r="G308" s="117"/>
      <c r="H308" s="100"/>
      <c r="I308" s="158"/>
      <c r="L308" s="151"/>
    </row>
    <row r="309" spans="1:12" ht="15.75" customHeight="1">
      <c r="A309" s="96">
        <v>46106</v>
      </c>
      <c r="B309" s="99"/>
      <c r="C309" s="98"/>
      <c r="D309" s="117"/>
      <c r="E309" s="117"/>
      <c r="F309" s="98"/>
      <c r="G309" s="117"/>
      <c r="H309" s="100"/>
      <c r="I309" s="158"/>
      <c r="L309" s="151"/>
    </row>
    <row r="310" spans="1:12" ht="15.75" customHeight="1">
      <c r="A310" s="96">
        <v>46107</v>
      </c>
      <c r="B310" s="99"/>
      <c r="C310" s="98"/>
      <c r="D310" s="117"/>
      <c r="E310" s="117"/>
      <c r="F310" s="98"/>
      <c r="G310" s="117"/>
      <c r="H310" s="100"/>
      <c r="I310" s="158"/>
      <c r="L310" s="151"/>
    </row>
    <row r="311" spans="1:12" ht="15.75" customHeight="1">
      <c r="A311" s="96">
        <v>46108</v>
      </c>
      <c r="B311" s="99"/>
      <c r="C311" s="98"/>
      <c r="D311" s="117"/>
      <c r="E311" s="117"/>
      <c r="F311" s="98"/>
      <c r="G311" s="117"/>
      <c r="H311" s="100"/>
      <c r="I311" s="158"/>
      <c r="L311" s="151"/>
    </row>
    <row r="312" spans="1:12" ht="15.75" customHeight="1">
      <c r="A312" s="96">
        <v>46109</v>
      </c>
      <c r="B312" s="99"/>
      <c r="C312" s="98"/>
      <c r="D312" s="117"/>
      <c r="E312" s="117"/>
      <c r="F312" s="98"/>
      <c r="G312" s="117"/>
      <c r="H312" s="100"/>
      <c r="I312" s="158"/>
      <c r="L312" s="151"/>
    </row>
    <row r="313" spans="1:12" ht="15.75" customHeight="1">
      <c r="A313" s="96">
        <v>46110</v>
      </c>
      <c r="B313" s="99"/>
      <c r="C313" s="98"/>
      <c r="D313" s="117"/>
      <c r="E313" s="117"/>
      <c r="F313" s="98"/>
      <c r="G313" s="117"/>
      <c r="H313" s="100"/>
      <c r="I313" s="158"/>
      <c r="L313" s="151"/>
    </row>
    <row r="314" spans="1:12" ht="15.75" customHeight="1">
      <c r="A314" s="96">
        <v>46111</v>
      </c>
      <c r="B314" s="99"/>
      <c r="C314" s="98"/>
      <c r="D314" s="117"/>
      <c r="E314" s="117"/>
      <c r="F314" s="98"/>
      <c r="G314" s="117"/>
      <c r="H314" s="100"/>
      <c r="I314" s="158"/>
      <c r="L314" s="151"/>
    </row>
    <row r="315" spans="1:12" ht="15.75" customHeight="1">
      <c r="A315" s="96">
        <v>46112</v>
      </c>
      <c r="B315" s="99"/>
      <c r="C315" s="98"/>
      <c r="D315" s="117"/>
      <c r="E315" s="117"/>
      <c r="F315" s="98"/>
      <c r="G315" s="117"/>
      <c r="H315" s="100"/>
      <c r="I315" s="158"/>
      <c r="L315" s="151"/>
    </row>
    <row r="316" spans="1:12" ht="15.75" customHeight="1">
      <c r="A316" s="96">
        <v>46113</v>
      </c>
      <c r="B316" s="99"/>
      <c r="C316" s="98"/>
      <c r="D316" s="117"/>
      <c r="E316" s="117"/>
      <c r="F316" s="98"/>
      <c r="G316" s="117"/>
      <c r="H316" s="100"/>
      <c r="I316" s="158"/>
      <c r="L316" s="151"/>
    </row>
    <row r="317" spans="1:12" ht="15.75" customHeight="1">
      <c r="A317" s="96">
        <v>46114</v>
      </c>
      <c r="B317" s="99"/>
      <c r="C317" s="98"/>
      <c r="D317" s="117"/>
      <c r="E317" s="117"/>
      <c r="F317" s="98"/>
      <c r="G317" s="117"/>
      <c r="H317" s="100"/>
      <c r="I317" s="158"/>
      <c r="L317" s="151"/>
    </row>
    <row r="318" spans="1:12" ht="15.75" customHeight="1">
      <c r="A318" s="96">
        <v>46115</v>
      </c>
      <c r="B318" s="99"/>
      <c r="C318" s="98"/>
      <c r="D318" s="117"/>
      <c r="E318" s="117"/>
      <c r="F318" s="98"/>
      <c r="G318" s="117"/>
      <c r="H318" s="100"/>
      <c r="I318" s="158"/>
      <c r="L318" s="151"/>
    </row>
    <row r="319" spans="1:12" ht="15.75" customHeight="1">
      <c r="A319" s="96">
        <v>46116</v>
      </c>
      <c r="B319" s="99"/>
      <c r="C319" s="98"/>
      <c r="D319" s="117"/>
      <c r="E319" s="117"/>
      <c r="F319" s="98"/>
      <c r="G319" s="117"/>
      <c r="H319" s="100"/>
      <c r="I319" s="158"/>
      <c r="L319" s="151"/>
    </row>
    <row r="320" spans="1:12" ht="15.75" customHeight="1">
      <c r="A320" s="96">
        <v>46117</v>
      </c>
      <c r="B320" s="99"/>
      <c r="C320" s="98"/>
      <c r="D320" s="117"/>
      <c r="E320" s="117"/>
      <c r="F320" s="98"/>
      <c r="G320" s="117"/>
      <c r="H320" s="100"/>
      <c r="I320" s="158"/>
      <c r="L320" s="151"/>
    </row>
    <row r="321" spans="1:12" ht="15.75" customHeight="1">
      <c r="A321" s="96">
        <v>46118</v>
      </c>
      <c r="B321" s="99"/>
      <c r="C321" s="98"/>
      <c r="D321" s="117"/>
      <c r="E321" s="117"/>
      <c r="F321" s="98"/>
      <c r="G321" s="117"/>
      <c r="H321" s="100"/>
      <c r="I321" s="158"/>
      <c r="L321" s="151"/>
    </row>
    <row r="322" spans="1:12" ht="15.75" customHeight="1">
      <c r="A322" s="96">
        <v>46119</v>
      </c>
      <c r="B322" s="99"/>
      <c r="C322" s="98"/>
      <c r="D322" s="117"/>
      <c r="E322" s="117"/>
      <c r="F322" s="98"/>
      <c r="G322" s="117"/>
      <c r="H322" s="100"/>
      <c r="I322" s="158"/>
      <c r="L322" s="151"/>
    </row>
    <row r="323" spans="1:12" ht="15.75" customHeight="1">
      <c r="A323" s="96">
        <v>46120</v>
      </c>
      <c r="B323" s="99"/>
      <c r="C323" s="98"/>
      <c r="D323" s="117"/>
      <c r="E323" s="117"/>
      <c r="F323" s="98"/>
      <c r="G323" s="117"/>
      <c r="H323" s="100"/>
      <c r="I323" s="158"/>
      <c r="L323" s="151"/>
    </row>
    <row r="324" spans="1:12" ht="15.75" customHeight="1">
      <c r="A324" s="96">
        <v>46121</v>
      </c>
      <c r="B324" s="99"/>
      <c r="C324" s="98"/>
      <c r="D324" s="117"/>
      <c r="E324" s="117"/>
      <c r="F324" s="98"/>
      <c r="G324" s="117"/>
      <c r="H324" s="100"/>
      <c r="I324" s="158"/>
      <c r="L324" s="151"/>
    </row>
    <row r="325" spans="1:12" ht="15.75" customHeight="1">
      <c r="A325" s="96">
        <v>46122</v>
      </c>
      <c r="B325" s="99"/>
      <c r="C325" s="98"/>
      <c r="D325" s="117"/>
      <c r="E325" s="117"/>
      <c r="F325" s="98"/>
      <c r="G325" s="117"/>
      <c r="H325" s="100"/>
      <c r="I325" s="158"/>
      <c r="L325" s="151"/>
    </row>
    <row r="326" spans="1:12" ht="15.75" customHeight="1">
      <c r="A326" s="96">
        <v>46123</v>
      </c>
      <c r="B326" s="99"/>
      <c r="C326" s="98"/>
      <c r="D326" s="117"/>
      <c r="E326" s="117"/>
      <c r="F326" s="98"/>
      <c r="G326" s="117"/>
      <c r="H326" s="100"/>
      <c r="I326" s="158"/>
      <c r="L326" s="151"/>
    </row>
    <row r="327" spans="1:12" ht="15.75" customHeight="1">
      <c r="A327" s="96">
        <v>46124</v>
      </c>
      <c r="B327" s="99"/>
      <c r="C327" s="98"/>
      <c r="D327" s="117"/>
      <c r="E327" s="117"/>
      <c r="F327" s="98"/>
      <c r="G327" s="117"/>
      <c r="H327" s="100"/>
      <c r="I327" s="158"/>
      <c r="L327" s="151"/>
    </row>
    <row r="328" spans="1:12" ht="15.75" customHeight="1">
      <c r="A328" s="96">
        <v>46125</v>
      </c>
      <c r="B328" s="99"/>
      <c r="C328" s="98"/>
      <c r="D328" s="117"/>
      <c r="E328" s="117"/>
      <c r="F328" s="98"/>
      <c r="G328" s="117"/>
      <c r="H328" s="100"/>
      <c r="I328" s="158"/>
      <c r="L328" s="151"/>
    </row>
    <row r="329" spans="1:12" ht="15.75" customHeight="1">
      <c r="A329" s="96">
        <v>46126</v>
      </c>
      <c r="B329" s="99"/>
      <c r="C329" s="98"/>
      <c r="D329" s="117"/>
      <c r="E329" s="117"/>
      <c r="F329" s="98"/>
      <c r="G329" s="117"/>
      <c r="H329" s="100"/>
      <c r="I329" s="158"/>
      <c r="L329" s="151"/>
    </row>
    <row r="330" spans="1:12" ht="15.75" customHeight="1">
      <c r="A330" s="96">
        <v>46127</v>
      </c>
      <c r="B330" s="99"/>
      <c r="C330" s="98"/>
      <c r="D330" s="117"/>
      <c r="E330" s="117"/>
      <c r="F330" s="98"/>
      <c r="G330" s="117"/>
      <c r="H330" s="100"/>
      <c r="I330" s="158"/>
      <c r="L330" s="151"/>
    </row>
    <row r="331" spans="1:12" ht="15.75" customHeight="1">
      <c r="A331" s="96">
        <v>46128</v>
      </c>
      <c r="B331" s="99"/>
      <c r="C331" s="98"/>
      <c r="D331" s="117"/>
      <c r="E331" s="117"/>
      <c r="F331" s="98"/>
      <c r="G331" s="117"/>
      <c r="H331" s="100"/>
      <c r="I331" s="158"/>
      <c r="L331" s="151"/>
    </row>
    <row r="332" spans="1:12" ht="15.75" customHeight="1">
      <c r="A332" s="96">
        <v>46129</v>
      </c>
      <c r="B332" s="99"/>
      <c r="C332" s="98"/>
      <c r="D332" s="117"/>
      <c r="E332" s="117"/>
      <c r="F332" s="98"/>
      <c r="G332" s="117"/>
      <c r="H332" s="100"/>
      <c r="I332" s="158"/>
      <c r="L332" s="151"/>
    </row>
    <row r="333" spans="1:12" ht="15.75" customHeight="1">
      <c r="A333" s="96">
        <v>46130</v>
      </c>
      <c r="B333" s="99"/>
      <c r="C333" s="98"/>
      <c r="D333" s="117"/>
      <c r="E333" s="117"/>
      <c r="F333" s="98"/>
      <c r="G333" s="117"/>
      <c r="H333" s="100"/>
      <c r="I333" s="158"/>
      <c r="L333" s="151"/>
    </row>
    <row r="334" spans="1:12" ht="15.75" customHeight="1">
      <c r="A334" s="96">
        <v>46131</v>
      </c>
      <c r="B334" s="99"/>
      <c r="C334" s="98"/>
      <c r="D334" s="117"/>
      <c r="E334" s="117"/>
      <c r="F334" s="98"/>
      <c r="G334" s="117"/>
      <c r="H334" s="100"/>
      <c r="I334" s="158"/>
      <c r="L334" s="151"/>
    </row>
    <row r="335" spans="1:12" ht="15.75" customHeight="1">
      <c r="A335" s="96">
        <v>46132</v>
      </c>
      <c r="B335" s="99"/>
      <c r="C335" s="98"/>
      <c r="D335" s="117"/>
      <c r="E335" s="117"/>
      <c r="F335" s="98"/>
      <c r="G335" s="117"/>
      <c r="H335" s="100"/>
      <c r="I335" s="158"/>
      <c r="L335" s="151"/>
    </row>
    <row r="336" spans="1:12" ht="15.75" customHeight="1">
      <c r="A336" s="96">
        <v>46133</v>
      </c>
      <c r="B336" s="99"/>
      <c r="C336" s="98"/>
      <c r="D336" s="117"/>
      <c r="E336" s="117"/>
      <c r="F336" s="98"/>
      <c r="G336" s="117"/>
      <c r="H336" s="100"/>
      <c r="I336" s="158"/>
      <c r="L336" s="151"/>
    </row>
    <row r="337" spans="1:12" ht="15.75" customHeight="1">
      <c r="A337" s="96">
        <v>46134</v>
      </c>
      <c r="B337" s="99"/>
      <c r="C337" s="98"/>
      <c r="D337" s="117"/>
      <c r="E337" s="117"/>
      <c r="F337" s="98"/>
      <c r="G337" s="117"/>
      <c r="H337" s="100"/>
      <c r="I337" s="158"/>
      <c r="L337" s="151"/>
    </row>
    <row r="338" spans="1:12" ht="15.75" customHeight="1">
      <c r="A338" s="96">
        <v>46135</v>
      </c>
      <c r="B338" s="99"/>
      <c r="C338" s="98"/>
      <c r="D338" s="117"/>
      <c r="E338" s="117"/>
      <c r="F338" s="98"/>
      <c r="G338" s="117"/>
      <c r="H338" s="100"/>
      <c r="I338" s="158"/>
      <c r="L338" s="151"/>
    </row>
    <row r="339" spans="1:12" ht="15.75" customHeight="1">
      <c r="A339" s="96">
        <v>46136</v>
      </c>
      <c r="B339" s="99"/>
      <c r="C339" s="98"/>
      <c r="D339" s="117"/>
      <c r="E339" s="117"/>
      <c r="F339" s="98"/>
      <c r="G339" s="117"/>
      <c r="H339" s="100"/>
      <c r="I339" s="158"/>
      <c r="L339" s="151"/>
    </row>
    <row r="340" spans="1:12" ht="15.75" customHeight="1">
      <c r="A340" s="96">
        <v>46137</v>
      </c>
      <c r="B340" s="99"/>
      <c r="C340" s="98"/>
      <c r="D340" s="117"/>
      <c r="E340" s="117"/>
      <c r="F340" s="98"/>
      <c r="G340" s="117"/>
      <c r="H340" s="100"/>
      <c r="I340" s="158"/>
      <c r="L340" s="151"/>
    </row>
    <row r="341" spans="1:12" ht="15.75" customHeight="1">
      <c r="A341" s="96">
        <v>46138</v>
      </c>
      <c r="B341" s="99"/>
      <c r="C341" s="98"/>
      <c r="D341" s="117"/>
      <c r="E341" s="117"/>
      <c r="F341" s="98"/>
      <c r="G341" s="117"/>
      <c r="H341" s="100"/>
      <c r="I341" s="158"/>
      <c r="L341" s="151"/>
    </row>
    <row r="342" spans="1:12" ht="15.75" customHeight="1">
      <c r="A342" s="96">
        <v>46139</v>
      </c>
      <c r="B342" s="99"/>
      <c r="C342" s="98"/>
      <c r="D342" s="117"/>
      <c r="E342" s="117"/>
      <c r="F342" s="98"/>
      <c r="G342" s="117"/>
      <c r="H342" s="100"/>
      <c r="I342" s="158"/>
      <c r="L342" s="151"/>
    </row>
    <row r="343" spans="1:12" ht="15.75" customHeight="1">
      <c r="A343" s="96">
        <v>46140</v>
      </c>
      <c r="B343" s="99"/>
      <c r="C343" s="98"/>
      <c r="D343" s="117"/>
      <c r="E343" s="117"/>
      <c r="F343" s="98"/>
      <c r="G343" s="117"/>
      <c r="H343" s="100"/>
      <c r="I343" s="158"/>
      <c r="L343" s="151"/>
    </row>
    <row r="344" spans="1:12" ht="15.75" customHeight="1">
      <c r="A344" s="96">
        <v>46141</v>
      </c>
      <c r="B344" s="99"/>
      <c r="C344" s="98"/>
      <c r="D344" s="117"/>
      <c r="E344" s="117"/>
      <c r="F344" s="98"/>
      <c r="G344" s="117"/>
      <c r="H344" s="100"/>
      <c r="I344" s="158"/>
      <c r="L344" s="151"/>
    </row>
    <row r="345" spans="1:12" ht="15.75" customHeight="1">
      <c r="A345" s="96">
        <v>46142</v>
      </c>
      <c r="B345" s="99"/>
      <c r="C345" s="98"/>
      <c r="D345" s="117"/>
      <c r="E345" s="117"/>
      <c r="F345" s="98"/>
      <c r="G345" s="117"/>
      <c r="H345" s="100"/>
      <c r="I345" s="158"/>
      <c r="L345" s="151"/>
    </row>
    <row r="346" spans="1:12" ht="15.75" customHeight="1">
      <c r="A346" s="96">
        <v>46143</v>
      </c>
      <c r="B346" s="99"/>
      <c r="C346" s="98"/>
      <c r="D346" s="117"/>
      <c r="E346" s="117"/>
      <c r="F346" s="98"/>
      <c r="G346" s="117"/>
      <c r="H346" s="100"/>
      <c r="I346" s="158"/>
      <c r="L346" s="151"/>
    </row>
    <row r="347" spans="1:12" ht="15.75" customHeight="1">
      <c r="A347" s="96">
        <v>46144</v>
      </c>
      <c r="B347" s="99"/>
      <c r="C347" s="98"/>
      <c r="D347" s="117"/>
      <c r="E347" s="117"/>
      <c r="F347" s="98"/>
      <c r="G347" s="117"/>
      <c r="H347" s="100"/>
      <c r="I347" s="158"/>
      <c r="L347" s="151"/>
    </row>
    <row r="348" spans="1:12" ht="15.75" customHeight="1">
      <c r="A348" s="96">
        <v>46145</v>
      </c>
      <c r="B348" s="99"/>
      <c r="C348" s="98"/>
      <c r="D348" s="117"/>
      <c r="E348" s="117"/>
      <c r="F348" s="98"/>
      <c r="G348" s="117"/>
      <c r="H348" s="100"/>
      <c r="I348" s="158"/>
      <c r="L348" s="151"/>
    </row>
    <row r="349" spans="1:12" ht="15.75" customHeight="1">
      <c r="A349" s="96">
        <v>46146</v>
      </c>
      <c r="B349" s="99"/>
      <c r="C349" s="98"/>
      <c r="D349" s="117"/>
      <c r="E349" s="117"/>
      <c r="F349" s="98"/>
      <c r="G349" s="117"/>
      <c r="H349" s="100"/>
      <c r="I349" s="158"/>
      <c r="L349" s="151"/>
    </row>
    <row r="350" spans="1:12" ht="15.75" customHeight="1">
      <c r="A350" s="96">
        <v>46147</v>
      </c>
      <c r="B350" s="99"/>
      <c r="C350" s="98"/>
      <c r="D350" s="117"/>
      <c r="E350" s="117"/>
      <c r="F350" s="98"/>
      <c r="G350" s="117"/>
      <c r="H350" s="100"/>
      <c r="I350" s="158"/>
      <c r="L350" s="151"/>
    </row>
    <row r="351" spans="1:12" ht="15.75" customHeight="1">
      <c r="A351" s="96">
        <v>46148</v>
      </c>
      <c r="B351" s="99"/>
      <c r="C351" s="98"/>
      <c r="D351" s="117"/>
      <c r="E351" s="117"/>
      <c r="F351" s="98"/>
      <c r="G351" s="117"/>
      <c r="H351" s="100"/>
      <c r="I351" s="158"/>
      <c r="L351" s="151"/>
    </row>
    <row r="352" spans="1:12" ht="15.75" customHeight="1">
      <c r="A352" s="96">
        <v>46149</v>
      </c>
      <c r="B352" s="99"/>
      <c r="C352" s="98"/>
      <c r="D352" s="117"/>
      <c r="E352" s="117"/>
      <c r="F352" s="98"/>
      <c r="G352" s="117"/>
      <c r="H352" s="100"/>
      <c r="I352" s="158"/>
      <c r="L352" s="151"/>
    </row>
    <row r="353" spans="1:12" ht="15.75" customHeight="1">
      <c r="A353" s="96">
        <v>46150</v>
      </c>
      <c r="B353" s="99"/>
      <c r="C353" s="98"/>
      <c r="D353" s="117"/>
      <c r="E353" s="117"/>
      <c r="F353" s="98"/>
      <c r="G353" s="117"/>
      <c r="H353" s="100"/>
      <c r="I353" s="158"/>
      <c r="L353" s="151"/>
    </row>
    <row r="354" spans="1:12" ht="15.75" customHeight="1">
      <c r="A354" s="96">
        <v>46151</v>
      </c>
      <c r="B354" s="99"/>
      <c r="C354" s="98"/>
      <c r="D354" s="117"/>
      <c r="E354" s="117"/>
      <c r="F354" s="98"/>
      <c r="G354" s="117"/>
      <c r="H354" s="100"/>
      <c r="I354" s="158"/>
      <c r="L354" s="151"/>
    </row>
    <row r="355" spans="1:12" ht="15.75" customHeight="1">
      <c r="A355" s="96">
        <v>46152</v>
      </c>
      <c r="B355" s="99"/>
      <c r="C355" s="98"/>
      <c r="D355" s="117"/>
      <c r="E355" s="117"/>
      <c r="F355" s="98"/>
      <c r="G355" s="117"/>
      <c r="H355" s="100"/>
      <c r="I355" s="158"/>
      <c r="L355" s="151"/>
    </row>
    <row r="356" spans="1:12" ht="15.75" customHeight="1">
      <c r="A356" s="96">
        <v>46153</v>
      </c>
      <c r="B356" s="99"/>
      <c r="C356" s="98"/>
      <c r="D356" s="117"/>
      <c r="E356" s="117"/>
      <c r="F356" s="98"/>
      <c r="G356" s="117"/>
      <c r="H356" s="100"/>
      <c r="I356" s="158"/>
      <c r="L356" s="151"/>
    </row>
    <row r="357" spans="1:12" ht="15.75" customHeight="1">
      <c r="A357" s="96">
        <v>46154</v>
      </c>
      <c r="B357" s="99"/>
      <c r="C357" s="98"/>
      <c r="D357" s="117"/>
      <c r="E357" s="117"/>
      <c r="F357" s="98"/>
      <c r="G357" s="117"/>
      <c r="H357" s="100"/>
      <c r="I357" s="158"/>
      <c r="L357" s="151"/>
    </row>
    <row r="358" spans="1:12" ht="15.75" customHeight="1">
      <c r="A358" s="96">
        <v>46155</v>
      </c>
      <c r="B358" s="99"/>
      <c r="C358" s="98"/>
      <c r="D358" s="117"/>
      <c r="E358" s="117"/>
      <c r="F358" s="98"/>
      <c r="G358" s="117"/>
      <c r="H358" s="100"/>
      <c r="I358" s="158"/>
      <c r="L358" s="151"/>
    </row>
    <row r="359" spans="1:12" ht="15.75" customHeight="1">
      <c r="A359" s="96">
        <v>46156</v>
      </c>
      <c r="B359" s="99"/>
      <c r="C359" s="98"/>
      <c r="D359" s="117"/>
      <c r="E359" s="117"/>
      <c r="F359" s="98"/>
      <c r="G359" s="117"/>
      <c r="H359" s="100"/>
      <c r="I359" s="158"/>
      <c r="L359" s="151"/>
    </row>
    <row r="360" spans="1:12" ht="15.75" customHeight="1">
      <c r="A360" s="96">
        <v>46157</v>
      </c>
      <c r="B360" s="99"/>
      <c r="C360" s="98"/>
      <c r="D360" s="117"/>
      <c r="E360" s="117"/>
      <c r="F360" s="98"/>
      <c r="G360" s="117"/>
      <c r="H360" s="100"/>
      <c r="I360" s="158"/>
      <c r="L360" s="151"/>
    </row>
    <row r="361" spans="1:12" ht="15.75" customHeight="1">
      <c r="A361" s="96">
        <v>46158</v>
      </c>
      <c r="B361" s="99"/>
      <c r="C361" s="98"/>
      <c r="D361" s="117"/>
      <c r="E361" s="117"/>
      <c r="F361" s="98"/>
      <c r="G361" s="117"/>
      <c r="H361" s="100"/>
      <c r="I361" s="158"/>
      <c r="L361" s="151"/>
    </row>
    <row r="362" spans="1:12" ht="15.75" customHeight="1">
      <c r="A362" s="96">
        <v>46159</v>
      </c>
      <c r="B362" s="99"/>
      <c r="C362" s="98"/>
      <c r="D362" s="117"/>
      <c r="E362" s="117"/>
      <c r="F362" s="98"/>
      <c r="G362" s="117"/>
      <c r="H362" s="100"/>
      <c r="I362" s="158"/>
      <c r="L362" s="151"/>
    </row>
    <row r="363" spans="1:12" ht="15.75" customHeight="1">
      <c r="A363" s="96">
        <v>46160</v>
      </c>
      <c r="B363" s="99"/>
      <c r="C363" s="98"/>
      <c r="D363" s="117"/>
      <c r="E363" s="117"/>
      <c r="F363" s="98"/>
      <c r="G363" s="117"/>
      <c r="H363" s="100"/>
      <c r="I363" s="158"/>
      <c r="L363" s="151"/>
    </row>
    <row r="364" spans="1:12" ht="15.75" customHeight="1">
      <c r="A364" s="96">
        <v>46161</v>
      </c>
      <c r="B364" s="99"/>
      <c r="C364" s="98"/>
      <c r="D364" s="117"/>
      <c r="E364" s="117"/>
      <c r="F364" s="98"/>
      <c r="G364" s="117"/>
      <c r="H364" s="100"/>
      <c r="I364" s="158"/>
      <c r="L364" s="151"/>
    </row>
    <row r="365" spans="1:12" ht="15.75" customHeight="1">
      <c r="A365" s="96">
        <v>46162</v>
      </c>
      <c r="B365" s="99"/>
      <c r="C365" s="98"/>
      <c r="D365" s="117"/>
      <c r="E365" s="117"/>
      <c r="F365" s="98"/>
      <c r="G365" s="117"/>
      <c r="H365" s="100"/>
      <c r="I365" s="158"/>
      <c r="L365" s="151"/>
    </row>
    <row r="366" spans="1:12" ht="15.75" customHeight="1">
      <c r="A366" s="96">
        <v>46163</v>
      </c>
      <c r="B366" s="99"/>
      <c r="C366" s="98"/>
      <c r="D366" s="117"/>
      <c r="E366" s="117"/>
      <c r="F366" s="98"/>
      <c r="G366" s="117"/>
      <c r="H366" s="100"/>
      <c r="I366" s="158"/>
      <c r="L366" s="151"/>
    </row>
    <row r="367" spans="1:12" ht="15.75" customHeight="1">
      <c r="A367" s="96">
        <v>46164</v>
      </c>
      <c r="B367" s="99"/>
      <c r="C367" s="98"/>
      <c r="D367" s="117"/>
      <c r="E367" s="117"/>
      <c r="F367" s="98"/>
      <c r="G367" s="117"/>
      <c r="H367" s="100"/>
      <c r="I367" s="158"/>
      <c r="L367" s="151"/>
    </row>
    <row r="368" spans="1:12" ht="15.75" customHeight="1">
      <c r="A368" s="96">
        <v>46165</v>
      </c>
      <c r="B368" s="99"/>
      <c r="C368" s="98"/>
      <c r="D368" s="117"/>
      <c r="E368" s="117"/>
      <c r="F368" s="98"/>
      <c r="G368" s="117"/>
      <c r="H368" s="100"/>
      <c r="I368" s="158"/>
      <c r="L368" s="151"/>
    </row>
    <row r="369" spans="1:12" ht="15.75" customHeight="1">
      <c r="A369" s="96">
        <v>46166</v>
      </c>
      <c r="B369" s="99"/>
      <c r="C369" s="98"/>
      <c r="D369" s="117"/>
      <c r="E369" s="117"/>
      <c r="F369" s="98"/>
      <c r="G369" s="117"/>
      <c r="H369" s="100"/>
      <c r="I369" s="158"/>
      <c r="L369" s="151"/>
    </row>
    <row r="370" spans="1:12" ht="15.75" customHeight="1">
      <c r="A370" s="96">
        <v>46167</v>
      </c>
      <c r="B370" s="99"/>
      <c r="C370" s="98"/>
      <c r="D370" s="117"/>
      <c r="E370" s="117"/>
      <c r="F370" s="98"/>
      <c r="G370" s="117"/>
      <c r="H370" s="100"/>
      <c r="I370" s="158"/>
      <c r="L370" s="151"/>
    </row>
    <row r="371" spans="1:12" ht="15.75" customHeight="1">
      <c r="A371" s="96">
        <v>46168</v>
      </c>
      <c r="B371" s="99"/>
      <c r="C371" s="98"/>
      <c r="D371" s="117"/>
      <c r="E371" s="117"/>
      <c r="F371" s="98"/>
      <c r="G371" s="117"/>
      <c r="H371" s="100"/>
      <c r="I371" s="158"/>
      <c r="L371" s="151"/>
    </row>
    <row r="372" spans="1:12" ht="15.75" customHeight="1">
      <c r="A372" s="96">
        <v>46169</v>
      </c>
      <c r="B372" s="99"/>
      <c r="C372" s="98"/>
      <c r="D372" s="117"/>
      <c r="E372" s="117"/>
      <c r="F372" s="98"/>
      <c r="G372" s="117"/>
      <c r="H372" s="100"/>
      <c r="I372" s="158"/>
      <c r="L372" s="151"/>
    </row>
    <row r="373" spans="1:12" ht="15.75" customHeight="1">
      <c r="A373" s="96">
        <v>46170</v>
      </c>
      <c r="B373" s="99"/>
      <c r="C373" s="98"/>
      <c r="D373" s="117"/>
      <c r="E373" s="117"/>
      <c r="F373" s="98"/>
      <c r="G373" s="117"/>
      <c r="H373" s="100"/>
      <c r="I373" s="158"/>
      <c r="L373" s="151"/>
    </row>
    <row r="374" spans="1:12" ht="15.75" customHeight="1">
      <c r="A374" s="96">
        <v>46171</v>
      </c>
      <c r="B374" s="99"/>
      <c r="C374" s="98"/>
      <c r="D374" s="117"/>
      <c r="E374" s="117"/>
      <c r="F374" s="98"/>
      <c r="G374" s="117"/>
      <c r="H374" s="100"/>
      <c r="I374" s="158"/>
      <c r="L374" s="151"/>
    </row>
    <row r="375" spans="1:12" ht="15.75" customHeight="1">
      <c r="A375" s="96">
        <v>46172</v>
      </c>
      <c r="B375" s="99"/>
      <c r="C375" s="98"/>
      <c r="D375" s="117"/>
      <c r="E375" s="117"/>
      <c r="F375" s="98"/>
      <c r="G375" s="117"/>
      <c r="H375" s="100"/>
      <c r="I375" s="158"/>
      <c r="L375" s="151"/>
    </row>
    <row r="376" spans="1:12" ht="15.75" customHeight="1">
      <c r="A376" s="96">
        <v>46173</v>
      </c>
      <c r="B376" s="99"/>
      <c r="C376" s="98"/>
      <c r="D376" s="117"/>
      <c r="E376" s="117"/>
      <c r="F376" s="98"/>
      <c r="G376" s="117"/>
      <c r="H376" s="100"/>
      <c r="I376" s="158"/>
      <c r="L376" s="151"/>
    </row>
    <row r="377" spans="1:12" ht="15.75" customHeight="1">
      <c r="A377" s="96">
        <v>46174</v>
      </c>
      <c r="B377" s="99"/>
      <c r="C377" s="98"/>
      <c r="D377" s="117"/>
      <c r="E377" s="117"/>
      <c r="F377" s="98"/>
      <c r="G377" s="117"/>
      <c r="H377" s="100"/>
      <c r="I377" s="158"/>
      <c r="L377" s="151"/>
    </row>
    <row r="378" spans="1:12" ht="15.75" customHeight="1">
      <c r="A378" s="96">
        <v>46175</v>
      </c>
      <c r="B378" s="99"/>
      <c r="C378" s="98"/>
      <c r="D378" s="117"/>
      <c r="E378" s="117"/>
      <c r="F378" s="98"/>
      <c r="G378" s="117"/>
      <c r="H378" s="100"/>
      <c r="I378" s="158"/>
      <c r="L378" s="151"/>
    </row>
    <row r="379" spans="1:12" ht="15.75" customHeight="1">
      <c r="A379" s="96">
        <v>46176</v>
      </c>
      <c r="B379" s="99"/>
      <c r="C379" s="98"/>
      <c r="D379" s="117"/>
      <c r="E379" s="117"/>
      <c r="F379" s="98"/>
      <c r="G379" s="117"/>
      <c r="H379" s="100"/>
      <c r="I379" s="158"/>
      <c r="L379" s="151"/>
    </row>
    <row r="380" spans="1:12" ht="15.75" customHeight="1">
      <c r="A380" s="96">
        <v>46177</v>
      </c>
      <c r="B380" s="99"/>
      <c r="C380" s="98"/>
      <c r="D380" s="117"/>
      <c r="E380" s="117"/>
      <c r="F380" s="98"/>
      <c r="G380" s="117"/>
      <c r="H380" s="100"/>
      <c r="I380" s="158"/>
      <c r="L380" s="151"/>
    </row>
    <row r="381" spans="1:12" ht="15.75" customHeight="1">
      <c r="A381" s="96">
        <v>46178</v>
      </c>
      <c r="B381" s="99"/>
      <c r="C381" s="98"/>
      <c r="D381" s="117"/>
      <c r="E381" s="117"/>
      <c r="F381" s="98"/>
      <c r="G381" s="117"/>
      <c r="H381" s="100"/>
      <c r="I381" s="158"/>
      <c r="L381" s="151"/>
    </row>
    <row r="382" spans="1:12" ht="15.75" customHeight="1">
      <c r="A382" s="96">
        <v>46179</v>
      </c>
      <c r="B382" s="99"/>
      <c r="C382" s="98"/>
      <c r="D382" s="117"/>
      <c r="E382" s="117"/>
      <c r="F382" s="98"/>
      <c r="G382" s="117"/>
      <c r="H382" s="100"/>
      <c r="I382" s="158"/>
      <c r="L382" s="151"/>
    </row>
    <row r="383" spans="1:12" ht="15.75" customHeight="1">
      <c r="A383" s="96">
        <v>46180</v>
      </c>
      <c r="B383" s="99"/>
      <c r="C383" s="98"/>
      <c r="D383" s="117"/>
      <c r="E383" s="117"/>
      <c r="F383" s="98"/>
      <c r="G383" s="117"/>
      <c r="H383" s="100"/>
      <c r="I383" s="158"/>
      <c r="L383" s="151"/>
    </row>
    <row r="384" spans="1:12" ht="15.75" customHeight="1">
      <c r="A384" s="96">
        <v>46181</v>
      </c>
      <c r="B384" s="99"/>
      <c r="C384" s="98"/>
      <c r="D384" s="117"/>
      <c r="E384" s="117"/>
      <c r="F384" s="98"/>
      <c r="G384" s="117"/>
      <c r="H384" s="100"/>
      <c r="I384" s="158"/>
      <c r="L384" s="151"/>
    </row>
    <row r="385" spans="1:12" ht="15.75" customHeight="1">
      <c r="A385" s="96">
        <v>46182</v>
      </c>
      <c r="B385" s="99"/>
      <c r="C385" s="98"/>
      <c r="D385" s="117"/>
      <c r="E385" s="117"/>
      <c r="F385" s="98"/>
      <c r="G385" s="117"/>
      <c r="H385" s="100"/>
      <c r="I385" s="158"/>
      <c r="L385" s="151"/>
    </row>
    <row r="386" spans="1:12" ht="15.75" customHeight="1">
      <c r="A386" s="96">
        <v>46183</v>
      </c>
      <c r="B386" s="99"/>
      <c r="C386" s="98"/>
      <c r="D386" s="117"/>
      <c r="E386" s="117"/>
      <c r="F386" s="98"/>
      <c r="G386" s="117"/>
      <c r="H386" s="100"/>
      <c r="I386" s="158"/>
      <c r="L386" s="151"/>
    </row>
    <row r="387" spans="1:12" ht="15.75" customHeight="1">
      <c r="A387" s="96">
        <v>46184</v>
      </c>
      <c r="B387" s="99"/>
      <c r="C387" s="98"/>
      <c r="D387" s="117"/>
      <c r="E387" s="117"/>
      <c r="F387" s="98"/>
      <c r="G387" s="117"/>
      <c r="H387" s="100"/>
      <c r="I387" s="158"/>
      <c r="L387" s="151"/>
    </row>
    <row r="388" spans="1:12" ht="15.75" customHeight="1">
      <c r="A388" s="96">
        <v>46185</v>
      </c>
      <c r="B388" s="99"/>
      <c r="C388" s="98"/>
      <c r="D388" s="117"/>
      <c r="E388" s="117"/>
      <c r="F388" s="98"/>
      <c r="G388" s="117"/>
      <c r="H388" s="100"/>
      <c r="I388" s="158"/>
      <c r="L388" s="151"/>
    </row>
    <row r="389" spans="1:12" ht="15.75" customHeight="1">
      <c r="A389" s="96">
        <v>46186</v>
      </c>
      <c r="B389" s="99"/>
      <c r="C389" s="98"/>
      <c r="D389" s="117"/>
      <c r="E389" s="117"/>
      <c r="F389" s="98"/>
      <c r="G389" s="117"/>
      <c r="H389" s="100"/>
      <c r="I389" s="158"/>
      <c r="L389" s="151"/>
    </row>
    <row r="390" spans="1:12" ht="15.75" customHeight="1">
      <c r="A390" s="96">
        <v>46187</v>
      </c>
      <c r="B390" s="99"/>
      <c r="C390" s="98"/>
      <c r="D390" s="117"/>
      <c r="E390" s="117"/>
      <c r="F390" s="98"/>
      <c r="G390" s="117"/>
      <c r="H390" s="100"/>
      <c r="I390" s="158"/>
      <c r="L390" s="151"/>
    </row>
    <row r="391" spans="1:12" ht="15.75" customHeight="1">
      <c r="A391" s="96">
        <v>46188</v>
      </c>
      <c r="B391" s="99"/>
      <c r="C391" s="98"/>
      <c r="D391" s="117"/>
      <c r="E391" s="117"/>
      <c r="F391" s="98"/>
      <c r="G391" s="117"/>
      <c r="H391" s="100"/>
      <c r="I391" s="158"/>
      <c r="L391" s="151"/>
    </row>
    <row r="392" spans="1:12" ht="15.75" customHeight="1">
      <c r="A392" s="96">
        <v>46189</v>
      </c>
      <c r="B392" s="99"/>
      <c r="C392" s="98"/>
      <c r="D392" s="117"/>
      <c r="E392" s="117"/>
      <c r="F392" s="98"/>
      <c r="G392" s="117"/>
      <c r="H392" s="100"/>
      <c r="I392" s="158"/>
      <c r="L392" s="151"/>
    </row>
    <row r="393" spans="1:12" ht="15.75" customHeight="1">
      <c r="A393" s="96">
        <v>46190</v>
      </c>
      <c r="B393" s="99"/>
      <c r="C393" s="98"/>
      <c r="D393" s="117"/>
      <c r="E393" s="117"/>
      <c r="F393" s="98"/>
      <c r="G393" s="117"/>
      <c r="H393" s="100"/>
      <c r="I393" s="158"/>
      <c r="L393" s="151"/>
    </row>
    <row r="394" spans="1:12" ht="15.75" customHeight="1">
      <c r="A394" s="96">
        <v>46191</v>
      </c>
      <c r="B394" s="99"/>
      <c r="C394" s="98"/>
      <c r="D394" s="117"/>
      <c r="E394" s="117"/>
      <c r="F394" s="98"/>
      <c r="G394" s="117"/>
      <c r="H394" s="100"/>
      <c r="I394" s="158"/>
      <c r="L394" s="151"/>
    </row>
    <row r="395" spans="1:12" ht="15.75" customHeight="1">
      <c r="A395" s="96">
        <v>46192</v>
      </c>
      <c r="B395" s="99"/>
      <c r="C395" s="98"/>
      <c r="D395" s="117"/>
      <c r="E395" s="117"/>
      <c r="F395" s="98"/>
      <c r="G395" s="117"/>
      <c r="H395" s="100"/>
      <c r="I395" s="158"/>
      <c r="L395" s="151"/>
    </row>
    <row r="396" spans="1:12" ht="15.75" customHeight="1">
      <c r="A396" s="96">
        <v>46193</v>
      </c>
      <c r="B396" s="99"/>
      <c r="C396" s="98"/>
      <c r="D396" s="117"/>
      <c r="E396" s="117"/>
      <c r="F396" s="98"/>
      <c r="G396" s="117"/>
      <c r="H396" s="100"/>
      <c r="I396" s="158"/>
      <c r="L396" s="151"/>
    </row>
    <row r="397" spans="1:12" ht="15.75" customHeight="1">
      <c r="A397" s="96">
        <v>46194</v>
      </c>
      <c r="B397" s="99"/>
      <c r="C397" s="98"/>
      <c r="D397" s="117"/>
      <c r="E397" s="117"/>
      <c r="F397" s="98"/>
      <c r="G397" s="117"/>
      <c r="H397" s="100"/>
      <c r="I397" s="158"/>
      <c r="L397" s="151"/>
    </row>
    <row r="398" spans="1:12" ht="15.75" customHeight="1">
      <c r="A398" s="96">
        <v>46195</v>
      </c>
      <c r="B398" s="99"/>
      <c r="C398" s="98"/>
      <c r="D398" s="117"/>
      <c r="E398" s="117"/>
      <c r="F398" s="98"/>
      <c r="G398" s="117"/>
      <c r="H398" s="100"/>
      <c r="I398" s="158"/>
      <c r="L398" s="151"/>
    </row>
    <row r="399" spans="1:12" ht="15.75" customHeight="1">
      <c r="A399" s="96">
        <v>46196</v>
      </c>
      <c r="B399" s="99"/>
      <c r="C399" s="98"/>
      <c r="D399" s="117"/>
      <c r="E399" s="117"/>
      <c r="F399" s="98"/>
      <c r="G399" s="117"/>
      <c r="H399" s="100"/>
      <c r="I399" s="158"/>
      <c r="L399" s="151"/>
    </row>
    <row r="400" spans="1:12" ht="15.75" customHeight="1">
      <c r="A400" s="96">
        <v>46197</v>
      </c>
      <c r="B400" s="99"/>
      <c r="C400" s="98"/>
      <c r="D400" s="117"/>
      <c r="E400" s="117"/>
      <c r="F400" s="98"/>
      <c r="G400" s="117"/>
      <c r="H400" s="100"/>
      <c r="I400" s="158"/>
      <c r="L400" s="151"/>
    </row>
    <row r="401" spans="1:12" ht="15.75" customHeight="1">
      <c r="A401" s="96">
        <v>46198</v>
      </c>
      <c r="B401" s="99"/>
      <c r="C401" s="98"/>
      <c r="D401" s="117"/>
      <c r="E401" s="117"/>
      <c r="F401" s="98"/>
      <c r="G401" s="117"/>
      <c r="H401" s="100"/>
      <c r="I401" s="158"/>
      <c r="L401" s="151"/>
    </row>
    <row r="402" spans="1:12" ht="15.75" customHeight="1">
      <c r="A402" s="96">
        <v>46199</v>
      </c>
      <c r="B402" s="99"/>
      <c r="C402" s="98"/>
      <c r="D402" s="117"/>
      <c r="E402" s="117"/>
      <c r="F402" s="98"/>
      <c r="G402" s="117"/>
      <c r="H402" s="100"/>
      <c r="I402" s="158"/>
      <c r="L402" s="151"/>
    </row>
    <row r="403" spans="1:12" ht="15.75" customHeight="1">
      <c r="A403" s="96">
        <v>46200</v>
      </c>
      <c r="B403" s="99"/>
      <c r="C403" s="98"/>
      <c r="D403" s="117"/>
      <c r="E403" s="117"/>
      <c r="F403" s="98"/>
      <c r="G403" s="117"/>
      <c r="H403" s="100"/>
      <c r="I403" s="158"/>
      <c r="L403" s="151"/>
    </row>
    <row r="404" spans="1:12" ht="15.75" customHeight="1">
      <c r="A404" s="96">
        <v>46201</v>
      </c>
      <c r="B404" s="99"/>
      <c r="C404" s="98"/>
      <c r="D404" s="117"/>
      <c r="E404" s="117"/>
      <c r="F404" s="98"/>
      <c r="G404" s="117"/>
      <c r="H404" s="100"/>
      <c r="I404" s="158"/>
      <c r="L404" s="151"/>
    </row>
    <row r="405" spans="1:12" ht="15.75" customHeight="1">
      <c r="A405" s="96">
        <v>46202</v>
      </c>
      <c r="B405" s="99"/>
      <c r="C405" s="98"/>
      <c r="D405" s="117"/>
      <c r="E405" s="117"/>
      <c r="F405" s="98"/>
      <c r="G405" s="117"/>
      <c r="H405" s="100"/>
      <c r="I405" s="158"/>
      <c r="L405" s="151"/>
    </row>
    <row r="406" spans="1:12" ht="15.75" customHeight="1">
      <c r="A406" s="96">
        <v>46203</v>
      </c>
      <c r="B406" s="99"/>
      <c r="C406" s="98"/>
      <c r="D406" s="117"/>
      <c r="E406" s="117"/>
      <c r="F406" s="98"/>
      <c r="G406" s="117"/>
      <c r="H406" s="100"/>
      <c r="I406" s="158"/>
      <c r="L406" s="151"/>
    </row>
    <row r="407" spans="1:12" ht="15.75" customHeight="1">
      <c r="A407" s="96">
        <v>46204</v>
      </c>
      <c r="B407" s="99"/>
      <c r="C407" s="98"/>
      <c r="D407" s="117"/>
      <c r="E407" s="117"/>
      <c r="F407" s="98"/>
      <c r="G407" s="117"/>
      <c r="H407" s="100"/>
      <c r="I407" s="158"/>
      <c r="L407" s="151"/>
    </row>
    <row r="408" spans="1:12" ht="15.75" customHeight="1">
      <c r="A408" s="96">
        <v>46205</v>
      </c>
      <c r="B408" s="99"/>
      <c r="C408" s="98"/>
      <c r="D408" s="117"/>
      <c r="E408" s="117"/>
      <c r="F408" s="98"/>
      <c r="G408" s="117"/>
      <c r="H408" s="100"/>
      <c r="I408" s="158"/>
      <c r="L408" s="151"/>
    </row>
    <row r="409" spans="1:12" ht="15.75" customHeight="1">
      <c r="A409" s="96">
        <v>46206</v>
      </c>
      <c r="B409" s="99"/>
      <c r="C409" s="98"/>
      <c r="D409" s="117"/>
      <c r="E409" s="117"/>
      <c r="F409" s="98"/>
      <c r="G409" s="117"/>
      <c r="H409" s="100"/>
      <c r="I409" s="158"/>
      <c r="L409" s="151"/>
    </row>
    <row r="410" spans="1:12" ht="15.75" customHeight="1">
      <c r="A410" s="96">
        <v>46207</v>
      </c>
      <c r="B410" s="99"/>
      <c r="C410" s="98"/>
      <c r="D410" s="117"/>
      <c r="E410" s="117"/>
      <c r="F410" s="98"/>
      <c r="G410" s="117"/>
      <c r="H410" s="100"/>
      <c r="I410" s="158"/>
      <c r="L410" s="151"/>
    </row>
    <row r="411" spans="1:12" ht="15.75" customHeight="1">
      <c r="A411" s="96">
        <v>46208</v>
      </c>
      <c r="B411" s="99"/>
      <c r="C411" s="98"/>
      <c r="D411" s="117"/>
      <c r="E411" s="117"/>
      <c r="F411" s="98"/>
      <c r="G411" s="117"/>
      <c r="H411" s="100"/>
      <c r="I411" s="158"/>
      <c r="L411" s="151"/>
    </row>
    <row r="412" spans="1:12" ht="15.75" customHeight="1">
      <c r="A412" s="96">
        <v>46209</v>
      </c>
      <c r="B412" s="99"/>
      <c r="C412" s="98"/>
      <c r="D412" s="117"/>
      <c r="E412" s="117"/>
      <c r="F412" s="98"/>
      <c r="G412" s="117"/>
      <c r="H412" s="100"/>
      <c r="I412" s="158"/>
      <c r="L412" s="151"/>
    </row>
    <row r="413" spans="1:12" ht="15.75" customHeight="1">
      <c r="A413" s="96">
        <v>46210</v>
      </c>
      <c r="B413" s="99"/>
      <c r="C413" s="98"/>
      <c r="D413" s="117"/>
      <c r="E413" s="117"/>
      <c r="F413" s="98"/>
      <c r="G413" s="117"/>
      <c r="H413" s="100"/>
      <c r="I413" s="158"/>
      <c r="L413" s="151"/>
    </row>
    <row r="414" spans="1:12" ht="15.75" customHeight="1">
      <c r="A414" s="96">
        <v>46211</v>
      </c>
      <c r="B414" s="99"/>
      <c r="C414" s="98"/>
      <c r="D414" s="117"/>
      <c r="E414" s="117"/>
      <c r="F414" s="98"/>
      <c r="G414" s="117"/>
      <c r="H414" s="100"/>
      <c r="I414" s="158"/>
      <c r="L414" s="151"/>
    </row>
    <row r="415" spans="1:12" ht="15.75" customHeight="1">
      <c r="A415" s="96">
        <v>46212</v>
      </c>
      <c r="B415" s="99"/>
      <c r="C415" s="98"/>
      <c r="D415" s="117"/>
      <c r="E415" s="117"/>
      <c r="F415" s="98"/>
      <c r="G415" s="117"/>
      <c r="H415" s="100"/>
      <c r="I415" s="158"/>
      <c r="L415" s="151"/>
    </row>
    <row r="416" spans="1:12" ht="15.75" customHeight="1">
      <c r="A416" s="96">
        <v>46213</v>
      </c>
      <c r="B416" s="99"/>
      <c r="C416" s="98"/>
      <c r="D416" s="117"/>
      <c r="E416" s="117"/>
      <c r="F416" s="98"/>
      <c r="G416" s="117"/>
      <c r="H416" s="100"/>
      <c r="I416" s="158"/>
      <c r="L416" s="151"/>
    </row>
    <row r="417" spans="1:12" ht="15.75" customHeight="1">
      <c r="A417" s="96">
        <v>46214</v>
      </c>
      <c r="B417" s="99"/>
      <c r="C417" s="98"/>
      <c r="D417" s="117"/>
      <c r="E417" s="117"/>
      <c r="F417" s="98"/>
      <c r="G417" s="117"/>
      <c r="H417" s="100"/>
      <c r="I417" s="158"/>
      <c r="L417" s="151"/>
    </row>
    <row r="418" spans="1:12" ht="15.75" customHeight="1">
      <c r="A418" s="96">
        <v>46215</v>
      </c>
      <c r="B418" s="99"/>
      <c r="C418" s="98"/>
      <c r="D418" s="117"/>
      <c r="E418" s="117"/>
      <c r="F418" s="98"/>
      <c r="G418" s="117"/>
      <c r="H418" s="100"/>
      <c r="I418" s="158"/>
      <c r="L418" s="151"/>
    </row>
    <row r="419" spans="1:12" ht="15.75" customHeight="1">
      <c r="A419" s="96">
        <v>46216</v>
      </c>
      <c r="B419" s="99"/>
      <c r="C419" s="98"/>
      <c r="D419" s="117"/>
      <c r="E419" s="117"/>
      <c r="F419" s="98"/>
      <c r="G419" s="117"/>
      <c r="H419" s="100"/>
      <c r="I419" s="158"/>
      <c r="L419" s="151"/>
    </row>
    <row r="420" spans="1:12" ht="15.75" customHeight="1">
      <c r="A420" s="96">
        <v>46217</v>
      </c>
      <c r="B420" s="99"/>
      <c r="C420" s="98"/>
      <c r="D420" s="117"/>
      <c r="E420" s="117"/>
      <c r="F420" s="98"/>
      <c r="G420" s="117"/>
      <c r="H420" s="100"/>
      <c r="I420" s="158"/>
      <c r="L420" s="151"/>
    </row>
    <row r="421" spans="1:12" ht="15.75" customHeight="1">
      <c r="A421" s="96">
        <v>46218</v>
      </c>
      <c r="B421" s="99"/>
      <c r="C421" s="98"/>
      <c r="D421" s="117"/>
      <c r="E421" s="117"/>
      <c r="F421" s="98"/>
      <c r="G421" s="117"/>
      <c r="H421" s="100"/>
      <c r="I421" s="158"/>
      <c r="L421" s="151"/>
    </row>
    <row r="422" spans="1:12" ht="15.75" customHeight="1">
      <c r="A422" s="96">
        <v>46219</v>
      </c>
      <c r="B422" s="99"/>
      <c r="C422" s="98"/>
      <c r="D422" s="117"/>
      <c r="E422" s="117"/>
      <c r="F422" s="98"/>
      <c r="G422" s="117"/>
      <c r="H422" s="100"/>
      <c r="I422" s="158"/>
      <c r="L422" s="151"/>
    </row>
    <row r="423" spans="1:12" ht="15.75" customHeight="1">
      <c r="A423" s="96">
        <v>46220</v>
      </c>
      <c r="B423" s="99"/>
      <c r="C423" s="98"/>
      <c r="D423" s="117"/>
      <c r="E423" s="117"/>
      <c r="F423" s="98"/>
      <c r="G423" s="117"/>
      <c r="H423" s="100"/>
      <c r="I423" s="158"/>
      <c r="L423" s="151"/>
    </row>
    <row r="424" spans="1:12" ht="15.75" customHeight="1">
      <c r="A424" s="96">
        <v>46221</v>
      </c>
      <c r="B424" s="99"/>
      <c r="C424" s="98"/>
      <c r="D424" s="117"/>
      <c r="E424" s="117"/>
      <c r="F424" s="98"/>
      <c r="G424" s="117"/>
      <c r="H424" s="100"/>
      <c r="I424" s="158"/>
      <c r="L424" s="151"/>
    </row>
    <row r="425" spans="1:12" ht="15.75" customHeight="1">
      <c r="A425" s="96">
        <v>46222</v>
      </c>
      <c r="B425" s="99"/>
      <c r="C425" s="98"/>
      <c r="D425" s="117"/>
      <c r="E425" s="117"/>
      <c r="F425" s="98"/>
      <c r="G425" s="117"/>
      <c r="H425" s="100"/>
      <c r="I425" s="158"/>
      <c r="L425" s="151"/>
    </row>
    <row r="426" spans="1:12" ht="15.75" customHeight="1">
      <c r="A426" s="96">
        <v>46223</v>
      </c>
      <c r="B426" s="99"/>
      <c r="C426" s="98"/>
      <c r="D426" s="117"/>
      <c r="E426" s="117"/>
      <c r="F426" s="98"/>
      <c r="G426" s="117"/>
      <c r="H426" s="100"/>
      <c r="I426" s="158"/>
      <c r="L426" s="151"/>
    </row>
    <row r="427" spans="1:12" ht="15.75" customHeight="1">
      <c r="A427" s="96">
        <v>46224</v>
      </c>
      <c r="B427" s="99"/>
      <c r="C427" s="98"/>
      <c r="D427" s="117"/>
      <c r="E427" s="117"/>
      <c r="F427" s="98"/>
      <c r="G427" s="117"/>
      <c r="H427" s="100"/>
      <c r="I427" s="158"/>
      <c r="L427" s="151"/>
    </row>
    <row r="428" spans="1:12" ht="15.75" customHeight="1">
      <c r="A428" s="96">
        <v>46225</v>
      </c>
      <c r="B428" s="99"/>
      <c r="C428" s="98"/>
      <c r="D428" s="117"/>
      <c r="E428" s="117"/>
      <c r="F428" s="98"/>
      <c r="G428" s="117"/>
      <c r="H428" s="100"/>
      <c r="I428" s="158"/>
      <c r="L428" s="151"/>
    </row>
    <row r="429" spans="1:12" ht="15.75" customHeight="1">
      <c r="A429" s="96">
        <v>46226</v>
      </c>
      <c r="B429" s="99"/>
      <c r="C429" s="98"/>
      <c r="D429" s="117"/>
      <c r="E429" s="117"/>
      <c r="F429" s="98"/>
      <c r="G429" s="117"/>
      <c r="H429" s="100"/>
      <c r="I429" s="158"/>
      <c r="L429" s="151"/>
    </row>
    <row r="430" spans="1:12" ht="15.75" customHeight="1">
      <c r="A430" s="96">
        <v>46227</v>
      </c>
      <c r="B430" s="99"/>
      <c r="C430" s="98"/>
      <c r="D430" s="117"/>
      <c r="E430" s="117"/>
      <c r="F430" s="98"/>
      <c r="G430" s="117"/>
      <c r="H430" s="100"/>
      <c r="I430" s="158"/>
      <c r="L430" s="151"/>
    </row>
    <row r="431" spans="1:12" ht="15.75" customHeight="1">
      <c r="A431" s="96">
        <v>46228</v>
      </c>
      <c r="B431" s="99"/>
      <c r="C431" s="98"/>
      <c r="D431" s="117"/>
      <c r="E431" s="117"/>
      <c r="F431" s="98"/>
      <c r="G431" s="117"/>
      <c r="H431" s="100"/>
      <c r="I431" s="158"/>
      <c r="L431" s="151"/>
    </row>
    <row r="432" spans="1:12" ht="15.75" customHeight="1">
      <c r="A432" s="96">
        <v>46229</v>
      </c>
      <c r="B432" s="99"/>
      <c r="C432" s="98"/>
      <c r="D432" s="117"/>
      <c r="E432" s="117"/>
      <c r="F432" s="98"/>
      <c r="G432" s="117"/>
      <c r="H432" s="100"/>
      <c r="I432" s="158"/>
      <c r="L432" s="151"/>
    </row>
    <row r="433" spans="1:12" ht="15.75" customHeight="1">
      <c r="A433" s="96">
        <v>46230</v>
      </c>
      <c r="B433" s="99"/>
      <c r="C433" s="98"/>
      <c r="D433" s="117"/>
      <c r="E433" s="117"/>
      <c r="F433" s="98"/>
      <c r="G433" s="117"/>
      <c r="H433" s="100"/>
      <c r="I433" s="158"/>
      <c r="L433" s="151"/>
    </row>
    <row r="434" spans="1:12" ht="15.75" customHeight="1">
      <c r="A434" s="96">
        <v>46231</v>
      </c>
      <c r="B434" s="99"/>
      <c r="C434" s="98"/>
      <c r="D434" s="117"/>
      <c r="E434" s="117"/>
      <c r="F434" s="98"/>
      <c r="G434" s="117"/>
      <c r="H434" s="100"/>
      <c r="I434" s="158"/>
      <c r="L434" s="151"/>
    </row>
    <row r="435" spans="1:12" ht="15.75" customHeight="1">
      <c r="A435" s="96">
        <v>46232</v>
      </c>
      <c r="B435" s="99"/>
      <c r="C435" s="98"/>
      <c r="D435" s="117"/>
      <c r="E435" s="117"/>
      <c r="F435" s="98"/>
      <c r="G435" s="117"/>
      <c r="H435" s="100"/>
      <c r="I435" s="158"/>
      <c r="L435" s="151"/>
    </row>
    <row r="436" spans="1:12" ht="15.75" customHeight="1">
      <c r="A436" s="96">
        <v>46233</v>
      </c>
      <c r="B436" s="99"/>
      <c r="C436" s="98"/>
      <c r="D436" s="117"/>
      <c r="E436" s="117"/>
      <c r="F436" s="98"/>
      <c r="G436" s="117"/>
      <c r="H436" s="100"/>
      <c r="I436" s="158"/>
      <c r="L436" s="151"/>
    </row>
    <row r="437" spans="1:12" ht="15.75" customHeight="1">
      <c r="A437" s="96">
        <v>46234</v>
      </c>
      <c r="B437" s="99"/>
      <c r="C437" s="98"/>
      <c r="D437" s="117"/>
      <c r="E437" s="117"/>
      <c r="F437" s="98"/>
      <c r="G437" s="117"/>
      <c r="H437" s="100"/>
      <c r="I437" s="158"/>
      <c r="L437" s="151"/>
    </row>
    <row r="438" spans="1:12" ht="15.75" customHeight="1">
      <c r="A438" s="96">
        <v>46235</v>
      </c>
      <c r="B438" s="99"/>
      <c r="C438" s="98"/>
      <c r="D438" s="117"/>
      <c r="E438" s="117"/>
      <c r="F438" s="98"/>
      <c r="G438" s="117"/>
      <c r="H438" s="100"/>
      <c r="I438" s="158"/>
      <c r="L438" s="151"/>
    </row>
    <row r="439" spans="1:12" ht="15.75" customHeight="1">
      <c r="A439" s="96">
        <v>46236</v>
      </c>
      <c r="B439" s="99"/>
      <c r="C439" s="98"/>
      <c r="D439" s="117"/>
      <c r="E439" s="117"/>
      <c r="F439" s="98"/>
      <c r="G439" s="117"/>
      <c r="H439" s="100"/>
      <c r="I439" s="158"/>
      <c r="L439" s="151"/>
    </row>
    <row r="440" spans="1:12" ht="15.75" customHeight="1">
      <c r="A440" s="96">
        <v>46237</v>
      </c>
      <c r="B440" s="99"/>
      <c r="C440" s="98"/>
      <c r="D440" s="117"/>
      <c r="E440" s="117"/>
      <c r="F440" s="98"/>
      <c r="G440" s="117"/>
      <c r="H440" s="100"/>
      <c r="I440" s="158"/>
      <c r="L440" s="151"/>
    </row>
    <row r="441" spans="1:12" ht="15.75" customHeight="1">
      <c r="A441" s="96">
        <v>46238</v>
      </c>
      <c r="B441" s="99"/>
      <c r="C441" s="98"/>
      <c r="D441" s="117"/>
      <c r="E441" s="117"/>
      <c r="F441" s="98"/>
      <c r="G441" s="117"/>
      <c r="H441" s="100"/>
      <c r="I441" s="158"/>
      <c r="L441" s="151"/>
    </row>
    <row r="442" spans="1:12" ht="15.75" customHeight="1">
      <c r="A442" s="96">
        <v>46239</v>
      </c>
      <c r="B442" s="99"/>
      <c r="C442" s="98"/>
      <c r="D442" s="117"/>
      <c r="E442" s="117"/>
      <c r="F442" s="98"/>
      <c r="G442" s="117"/>
      <c r="H442" s="100"/>
      <c r="I442" s="158"/>
      <c r="L442" s="151"/>
    </row>
    <row r="443" spans="1:12" ht="15.75" customHeight="1">
      <c r="A443" s="96">
        <v>46240</v>
      </c>
      <c r="B443" s="99"/>
      <c r="C443" s="98"/>
      <c r="D443" s="117"/>
      <c r="E443" s="117"/>
      <c r="F443" s="98"/>
      <c r="G443" s="117"/>
      <c r="H443" s="100"/>
      <c r="I443" s="158"/>
      <c r="L443" s="151"/>
    </row>
    <row r="444" spans="1:12" ht="15.75" customHeight="1">
      <c r="A444" s="96">
        <v>46241</v>
      </c>
      <c r="B444" s="99"/>
      <c r="C444" s="98"/>
      <c r="D444" s="117"/>
      <c r="E444" s="117"/>
      <c r="F444" s="98"/>
      <c r="G444" s="117"/>
      <c r="H444" s="100"/>
      <c r="I444" s="158"/>
      <c r="L444" s="151"/>
    </row>
    <row r="445" spans="1:12" ht="15.75" customHeight="1">
      <c r="A445" s="96">
        <v>46242</v>
      </c>
      <c r="B445" s="99"/>
      <c r="C445" s="98"/>
      <c r="D445" s="117"/>
      <c r="E445" s="117"/>
      <c r="F445" s="98"/>
      <c r="G445" s="117"/>
      <c r="H445" s="100"/>
      <c r="I445" s="158"/>
      <c r="L445" s="151"/>
    </row>
    <row r="446" spans="1:12" ht="15.75" customHeight="1">
      <c r="A446" s="96">
        <v>46243</v>
      </c>
      <c r="B446" s="99"/>
      <c r="C446" s="98"/>
      <c r="D446" s="117"/>
      <c r="E446" s="117"/>
      <c r="F446" s="98"/>
      <c r="G446" s="117"/>
      <c r="H446" s="100"/>
      <c r="I446" s="158"/>
      <c r="L446" s="151"/>
    </row>
    <row r="447" spans="1:12" ht="15.75" customHeight="1">
      <c r="A447" s="96">
        <v>46244</v>
      </c>
      <c r="B447" s="99"/>
      <c r="C447" s="98"/>
      <c r="D447" s="117"/>
      <c r="E447" s="117"/>
      <c r="F447" s="98"/>
      <c r="G447" s="117"/>
      <c r="H447" s="100"/>
      <c r="I447" s="158"/>
      <c r="L447" s="151"/>
    </row>
    <row r="448" spans="1:12" ht="15.75" customHeight="1">
      <c r="A448" s="96">
        <v>46245</v>
      </c>
      <c r="B448" s="99"/>
      <c r="C448" s="98"/>
      <c r="D448" s="117"/>
      <c r="E448" s="117"/>
      <c r="F448" s="98"/>
      <c r="G448" s="117"/>
      <c r="H448" s="100"/>
      <c r="I448" s="158"/>
      <c r="L448" s="151"/>
    </row>
    <row r="449" spans="1:12" ht="15.75" customHeight="1">
      <c r="A449" s="96">
        <v>46246</v>
      </c>
      <c r="B449" s="99"/>
      <c r="C449" s="98"/>
      <c r="D449" s="117"/>
      <c r="E449" s="117"/>
      <c r="F449" s="98"/>
      <c r="G449" s="117"/>
      <c r="H449" s="100"/>
      <c r="I449" s="158"/>
      <c r="L449" s="151"/>
    </row>
    <row r="450" spans="1:12" ht="15.75" customHeight="1">
      <c r="A450" s="96">
        <v>46247</v>
      </c>
      <c r="B450" s="99"/>
      <c r="C450" s="98"/>
      <c r="D450" s="117"/>
      <c r="E450" s="117"/>
      <c r="F450" s="98"/>
      <c r="G450" s="117"/>
      <c r="H450" s="100"/>
      <c r="I450" s="158"/>
      <c r="L450" s="151"/>
    </row>
    <row r="451" spans="1:12" ht="15.75" customHeight="1">
      <c r="A451" s="96">
        <v>46248</v>
      </c>
      <c r="B451" s="99"/>
      <c r="C451" s="98"/>
      <c r="D451" s="117"/>
      <c r="E451" s="117"/>
      <c r="F451" s="98"/>
      <c r="G451" s="117"/>
      <c r="H451" s="100"/>
      <c r="I451" s="158"/>
      <c r="L451" s="151"/>
    </row>
    <row r="452" spans="1:12" ht="15.75" customHeight="1">
      <c r="A452" s="96">
        <v>46249</v>
      </c>
      <c r="B452" s="99"/>
      <c r="C452" s="98"/>
      <c r="D452" s="117"/>
      <c r="E452" s="117"/>
      <c r="F452" s="98"/>
      <c r="G452" s="117"/>
      <c r="H452" s="100"/>
      <c r="I452" s="158"/>
      <c r="L452" s="151"/>
    </row>
    <row r="453" spans="1:12" ht="15.75" customHeight="1">
      <c r="A453" s="96">
        <v>46250</v>
      </c>
      <c r="B453" s="99"/>
      <c r="C453" s="98"/>
      <c r="D453" s="117"/>
      <c r="E453" s="117"/>
      <c r="F453" s="98"/>
      <c r="G453" s="117"/>
      <c r="H453" s="100"/>
      <c r="I453" s="158"/>
      <c r="L453" s="151"/>
    </row>
    <row r="454" spans="1:12" ht="15.75" customHeight="1">
      <c r="A454" s="96">
        <v>46251</v>
      </c>
      <c r="B454" s="99"/>
      <c r="C454" s="98"/>
      <c r="D454" s="117"/>
      <c r="E454" s="117"/>
      <c r="F454" s="98"/>
      <c r="G454" s="117"/>
      <c r="H454" s="100"/>
      <c r="I454" s="158"/>
      <c r="L454" s="151"/>
    </row>
    <row r="455" spans="1:12" ht="15.75" customHeight="1">
      <c r="A455" s="96">
        <v>46252</v>
      </c>
      <c r="B455" s="99"/>
      <c r="C455" s="98"/>
      <c r="D455" s="117"/>
      <c r="E455" s="117"/>
      <c r="F455" s="98"/>
      <c r="G455" s="117"/>
      <c r="H455" s="100"/>
      <c r="I455" s="158"/>
      <c r="L455" s="151"/>
    </row>
    <row r="456" spans="1:12" ht="15.75" customHeight="1">
      <c r="A456" s="96">
        <v>46253</v>
      </c>
      <c r="B456" s="99"/>
      <c r="C456" s="98"/>
      <c r="D456" s="117"/>
      <c r="E456" s="117"/>
      <c r="F456" s="98"/>
      <c r="G456" s="117"/>
      <c r="H456" s="100"/>
      <c r="I456" s="158"/>
      <c r="L456" s="151"/>
    </row>
    <row r="457" spans="1:12" ht="15.75" customHeight="1">
      <c r="A457" s="96">
        <v>46254</v>
      </c>
      <c r="B457" s="99"/>
      <c r="C457" s="98"/>
      <c r="D457" s="117"/>
      <c r="E457" s="117"/>
      <c r="F457" s="98"/>
      <c r="G457" s="117"/>
      <c r="H457" s="100"/>
      <c r="I457" s="158"/>
      <c r="L457" s="151"/>
    </row>
    <row r="458" spans="1:12" ht="15.75" customHeight="1">
      <c r="A458" s="96">
        <v>46255</v>
      </c>
      <c r="B458" s="99"/>
      <c r="C458" s="98"/>
      <c r="D458" s="117"/>
      <c r="E458" s="117"/>
      <c r="F458" s="98"/>
      <c r="G458" s="117"/>
      <c r="H458" s="100"/>
      <c r="I458" s="158"/>
      <c r="L458" s="151"/>
    </row>
    <row r="459" spans="1:12" ht="15.75" customHeight="1">
      <c r="A459" s="96">
        <v>46256</v>
      </c>
      <c r="B459" s="99"/>
      <c r="C459" s="98"/>
      <c r="D459" s="117"/>
      <c r="E459" s="117"/>
      <c r="F459" s="98"/>
      <c r="G459" s="117"/>
      <c r="H459" s="100"/>
      <c r="I459" s="158"/>
      <c r="L459" s="151"/>
    </row>
    <row r="460" spans="1:12" ht="15.75" customHeight="1">
      <c r="A460" s="96">
        <v>46257</v>
      </c>
      <c r="B460" s="99"/>
      <c r="C460" s="98"/>
      <c r="D460" s="117"/>
      <c r="E460" s="117"/>
      <c r="F460" s="98"/>
      <c r="G460" s="117"/>
      <c r="H460" s="100"/>
      <c r="I460" s="158"/>
      <c r="L460" s="151"/>
    </row>
    <row r="461" spans="1:12" ht="15.75" customHeight="1">
      <c r="A461" s="96">
        <v>46258</v>
      </c>
      <c r="B461" s="99"/>
      <c r="C461" s="98"/>
      <c r="D461" s="117"/>
      <c r="E461" s="117"/>
      <c r="F461" s="98"/>
      <c r="G461" s="117"/>
      <c r="H461" s="100"/>
      <c r="I461" s="158"/>
      <c r="L461" s="151"/>
    </row>
    <row r="462" spans="1:12" ht="15.75" customHeight="1">
      <c r="A462" s="96">
        <v>46259</v>
      </c>
      <c r="B462" s="99"/>
      <c r="C462" s="98"/>
      <c r="D462" s="117"/>
      <c r="E462" s="117"/>
      <c r="F462" s="98"/>
      <c r="G462" s="117"/>
      <c r="H462" s="100"/>
      <c r="I462" s="158"/>
      <c r="L462" s="151"/>
    </row>
    <row r="463" spans="1:12" ht="15.75" customHeight="1">
      <c r="A463" s="96">
        <v>46260</v>
      </c>
      <c r="B463" s="99"/>
      <c r="C463" s="98"/>
      <c r="D463" s="117"/>
      <c r="E463" s="117"/>
      <c r="F463" s="98"/>
      <c r="G463" s="117"/>
      <c r="H463" s="100"/>
      <c r="I463" s="158"/>
      <c r="L463" s="151"/>
    </row>
    <row r="464" spans="1:12" ht="15.75" customHeight="1">
      <c r="A464" s="96">
        <v>46261</v>
      </c>
      <c r="B464" s="99"/>
      <c r="C464" s="98"/>
      <c r="D464" s="117"/>
      <c r="E464" s="117"/>
      <c r="F464" s="98"/>
      <c r="G464" s="117"/>
      <c r="H464" s="100"/>
      <c r="I464" s="158"/>
      <c r="L464" s="151"/>
    </row>
    <row r="465" spans="1:12" ht="15.75" customHeight="1">
      <c r="A465" s="96">
        <v>46262</v>
      </c>
      <c r="B465" s="99"/>
      <c r="C465" s="98"/>
      <c r="D465" s="117"/>
      <c r="E465" s="117"/>
      <c r="F465" s="98"/>
      <c r="G465" s="117"/>
      <c r="H465" s="100"/>
      <c r="I465" s="158"/>
      <c r="L465" s="151"/>
    </row>
    <row r="466" spans="1:12" ht="15.75" customHeight="1">
      <c r="A466" s="96">
        <v>46263</v>
      </c>
      <c r="B466" s="99"/>
      <c r="C466" s="98"/>
      <c r="D466" s="117"/>
      <c r="E466" s="117"/>
      <c r="F466" s="98"/>
      <c r="G466" s="117"/>
      <c r="H466" s="100"/>
      <c r="I466" s="158"/>
      <c r="L466" s="151"/>
    </row>
    <row r="467" spans="1:12" ht="15.75" customHeight="1">
      <c r="A467" s="96">
        <v>46264</v>
      </c>
      <c r="B467" s="99"/>
      <c r="C467" s="98"/>
      <c r="D467" s="117"/>
      <c r="E467" s="117"/>
      <c r="F467" s="98"/>
      <c r="G467" s="117"/>
      <c r="H467" s="100"/>
      <c r="I467" s="158"/>
      <c r="L467" s="151"/>
    </row>
    <row r="468" spans="1:12" ht="15.75" customHeight="1">
      <c r="A468" s="96">
        <v>46265</v>
      </c>
      <c r="B468" s="99"/>
      <c r="C468" s="98"/>
      <c r="D468" s="117"/>
      <c r="E468" s="117"/>
      <c r="F468" s="98"/>
      <c r="G468" s="117"/>
      <c r="H468" s="100"/>
      <c r="I468" s="158"/>
      <c r="L468" s="151"/>
    </row>
    <row r="469" spans="1:12" ht="15.75" customHeight="1">
      <c r="A469" s="96">
        <v>46266</v>
      </c>
      <c r="B469" s="99"/>
      <c r="C469" s="98"/>
      <c r="D469" s="117"/>
      <c r="E469" s="117"/>
      <c r="F469" s="98"/>
      <c r="G469" s="117"/>
      <c r="H469" s="100"/>
      <c r="I469" s="158"/>
      <c r="L469" s="151"/>
    </row>
    <row r="470" spans="1:12" ht="15.75" customHeight="1">
      <c r="A470" s="96">
        <v>46267</v>
      </c>
      <c r="B470" s="99"/>
      <c r="C470" s="98"/>
      <c r="D470" s="117"/>
      <c r="E470" s="117"/>
      <c r="F470" s="98"/>
      <c r="G470" s="117"/>
      <c r="H470" s="100"/>
      <c r="I470" s="158"/>
      <c r="L470" s="151"/>
    </row>
    <row r="471" spans="1:12" ht="15.75" customHeight="1">
      <c r="A471" s="96">
        <v>46268</v>
      </c>
      <c r="B471" s="99"/>
      <c r="C471" s="98"/>
      <c r="D471" s="117"/>
      <c r="E471" s="117"/>
      <c r="F471" s="98"/>
      <c r="G471" s="117"/>
      <c r="H471" s="100"/>
      <c r="I471" s="158"/>
      <c r="L471" s="151"/>
    </row>
    <row r="472" spans="1:12" ht="15.75" customHeight="1">
      <c r="A472" s="96">
        <v>46269</v>
      </c>
      <c r="B472" s="99"/>
      <c r="C472" s="98"/>
      <c r="D472" s="117"/>
      <c r="E472" s="117"/>
      <c r="F472" s="98"/>
      <c r="G472" s="117"/>
      <c r="H472" s="100"/>
      <c r="I472" s="158"/>
      <c r="L472" s="151"/>
    </row>
    <row r="473" spans="1:12" ht="15.75" customHeight="1">
      <c r="A473" s="96">
        <v>46270</v>
      </c>
      <c r="B473" s="99"/>
      <c r="C473" s="98"/>
      <c r="D473" s="117"/>
      <c r="E473" s="117"/>
      <c r="F473" s="98"/>
      <c r="G473" s="117"/>
      <c r="H473" s="100"/>
      <c r="I473" s="158"/>
      <c r="L473" s="151"/>
    </row>
    <row r="474" spans="1:12" ht="15.75" customHeight="1">
      <c r="A474" s="96">
        <v>46271</v>
      </c>
      <c r="B474" s="99"/>
      <c r="C474" s="98"/>
      <c r="D474" s="117"/>
      <c r="E474" s="117"/>
      <c r="F474" s="98"/>
      <c r="G474" s="117"/>
      <c r="H474" s="100"/>
      <c r="I474" s="158"/>
      <c r="L474" s="151"/>
    </row>
    <row r="475" spans="1:12" ht="15.75" customHeight="1">
      <c r="A475" s="96">
        <v>46272</v>
      </c>
      <c r="B475" s="99"/>
      <c r="C475" s="98"/>
      <c r="D475" s="117"/>
      <c r="E475" s="117"/>
      <c r="F475" s="98"/>
      <c r="G475" s="117"/>
      <c r="H475" s="100"/>
      <c r="I475" s="158"/>
      <c r="L475" s="151"/>
    </row>
    <row r="476" spans="1:12" ht="15.75" customHeight="1">
      <c r="A476" s="96">
        <v>46273</v>
      </c>
      <c r="B476" s="99"/>
      <c r="C476" s="98"/>
      <c r="D476" s="117"/>
      <c r="E476" s="117"/>
      <c r="F476" s="98"/>
      <c r="G476" s="117"/>
      <c r="H476" s="100"/>
      <c r="I476" s="158"/>
      <c r="L476" s="151"/>
    </row>
    <row r="477" spans="1:12" ht="15.75" customHeight="1">
      <c r="A477" s="96">
        <v>46274</v>
      </c>
      <c r="B477" s="99"/>
      <c r="C477" s="98"/>
      <c r="D477" s="117"/>
      <c r="E477" s="117"/>
      <c r="F477" s="98"/>
      <c r="G477" s="117"/>
      <c r="H477" s="100"/>
      <c r="I477" s="158"/>
      <c r="L477" s="151"/>
    </row>
    <row r="478" spans="1:12" ht="15.75" customHeight="1">
      <c r="A478" s="96">
        <v>46275</v>
      </c>
      <c r="B478" s="99"/>
      <c r="C478" s="98"/>
      <c r="D478" s="117"/>
      <c r="E478" s="117"/>
      <c r="F478" s="98"/>
      <c r="G478" s="117"/>
      <c r="H478" s="100"/>
      <c r="I478" s="158"/>
      <c r="L478" s="151"/>
    </row>
    <row r="479" spans="1:12" ht="15.75" customHeight="1">
      <c r="A479" s="96">
        <v>46276</v>
      </c>
      <c r="B479" s="99"/>
      <c r="C479" s="98"/>
      <c r="D479" s="117"/>
      <c r="E479" s="117"/>
      <c r="F479" s="98"/>
      <c r="G479" s="117"/>
      <c r="H479" s="100"/>
      <c r="I479" s="158"/>
      <c r="L479" s="151"/>
    </row>
    <row r="480" spans="1:12" ht="15.75" customHeight="1">
      <c r="A480" s="96">
        <v>46277</v>
      </c>
      <c r="B480" s="99"/>
      <c r="C480" s="98"/>
      <c r="D480" s="117"/>
      <c r="E480" s="117"/>
      <c r="F480" s="98"/>
      <c r="G480" s="117"/>
      <c r="H480" s="100"/>
      <c r="I480" s="158"/>
      <c r="L480" s="151"/>
    </row>
    <row r="481" spans="1:12" ht="15.75" customHeight="1">
      <c r="A481" s="96">
        <v>46278</v>
      </c>
      <c r="B481" s="99"/>
      <c r="C481" s="98"/>
      <c r="D481" s="117"/>
      <c r="E481" s="117"/>
      <c r="F481" s="98"/>
      <c r="G481" s="117"/>
      <c r="H481" s="100"/>
      <c r="I481" s="158"/>
      <c r="L481" s="151"/>
    </row>
    <row r="482" spans="1:12" ht="15.75" customHeight="1">
      <c r="A482" s="96">
        <v>46279</v>
      </c>
      <c r="B482" s="99"/>
      <c r="C482" s="98"/>
      <c r="D482" s="117"/>
      <c r="E482" s="117"/>
      <c r="F482" s="98"/>
      <c r="G482" s="117"/>
      <c r="H482" s="100"/>
      <c r="I482" s="158"/>
      <c r="L482" s="151"/>
    </row>
    <row r="483" spans="1:12" ht="15.75" customHeight="1">
      <c r="A483" s="96">
        <v>46280</v>
      </c>
      <c r="B483" s="99"/>
      <c r="C483" s="98"/>
      <c r="D483" s="117"/>
      <c r="E483" s="117"/>
      <c r="F483" s="98"/>
      <c r="G483" s="117"/>
      <c r="H483" s="100"/>
      <c r="I483" s="158"/>
      <c r="L483" s="151"/>
    </row>
    <row r="484" spans="1:12" ht="15.75" customHeight="1">
      <c r="A484" s="96">
        <v>46281</v>
      </c>
      <c r="B484" s="99"/>
      <c r="C484" s="98"/>
      <c r="D484" s="117"/>
      <c r="E484" s="117"/>
      <c r="F484" s="98"/>
      <c r="G484" s="117"/>
      <c r="H484" s="100"/>
      <c r="I484" s="158"/>
      <c r="L484" s="151"/>
    </row>
    <row r="485" spans="1:12" ht="15.75" customHeight="1">
      <c r="A485" s="96">
        <v>46282</v>
      </c>
      <c r="B485" s="99"/>
      <c r="C485" s="98"/>
      <c r="D485" s="117"/>
      <c r="E485" s="117"/>
      <c r="F485" s="98"/>
      <c r="G485" s="117"/>
      <c r="H485" s="100"/>
      <c r="I485" s="158"/>
      <c r="L485" s="151"/>
    </row>
    <row r="486" spans="1:12" ht="15.75" customHeight="1">
      <c r="A486" s="96">
        <v>46283</v>
      </c>
      <c r="B486" s="99"/>
      <c r="C486" s="98"/>
      <c r="D486" s="117"/>
      <c r="E486" s="117"/>
      <c r="F486" s="98"/>
      <c r="G486" s="117"/>
      <c r="H486" s="100"/>
      <c r="I486" s="158"/>
      <c r="L486" s="151"/>
    </row>
    <row r="487" spans="1:12" ht="15.75" customHeight="1">
      <c r="A487" s="96">
        <v>46284</v>
      </c>
      <c r="B487" s="99"/>
      <c r="C487" s="98"/>
      <c r="D487" s="117"/>
      <c r="E487" s="117"/>
      <c r="F487" s="98"/>
      <c r="G487" s="117"/>
      <c r="H487" s="100"/>
      <c r="I487" s="158"/>
      <c r="L487" s="151"/>
    </row>
    <row r="488" spans="1:12" ht="15.75" customHeight="1">
      <c r="A488" s="96">
        <v>46285</v>
      </c>
      <c r="B488" s="99"/>
      <c r="C488" s="98"/>
      <c r="D488" s="117"/>
      <c r="E488" s="117"/>
      <c r="F488" s="98"/>
      <c r="G488" s="117"/>
      <c r="H488" s="100"/>
      <c r="I488" s="158"/>
      <c r="L488" s="151"/>
    </row>
    <row r="489" spans="1:12" ht="15.75" customHeight="1">
      <c r="A489" s="96">
        <v>46286</v>
      </c>
      <c r="B489" s="99"/>
      <c r="C489" s="98"/>
      <c r="D489" s="117"/>
      <c r="E489" s="117"/>
      <c r="F489" s="98"/>
      <c r="G489" s="117"/>
      <c r="H489" s="100"/>
      <c r="I489" s="158"/>
      <c r="L489" s="151"/>
    </row>
    <row r="490" spans="1:12" ht="15.75" customHeight="1">
      <c r="A490" s="96">
        <v>46287</v>
      </c>
      <c r="B490" s="99"/>
      <c r="C490" s="98"/>
      <c r="D490" s="117"/>
      <c r="E490" s="117"/>
      <c r="F490" s="98"/>
      <c r="G490" s="117"/>
      <c r="H490" s="100"/>
      <c r="I490" s="158"/>
      <c r="L490" s="151"/>
    </row>
    <row r="491" spans="1:12" ht="15.75" customHeight="1">
      <c r="A491" s="96">
        <v>46288</v>
      </c>
      <c r="B491" s="99"/>
      <c r="C491" s="98"/>
      <c r="D491" s="117"/>
      <c r="E491" s="117"/>
      <c r="F491" s="98"/>
      <c r="G491" s="117"/>
      <c r="H491" s="100"/>
      <c r="I491" s="158"/>
      <c r="L491" s="151"/>
    </row>
    <row r="492" spans="1:12" ht="15.75" customHeight="1">
      <c r="A492" s="96">
        <v>46289</v>
      </c>
      <c r="B492" s="99"/>
      <c r="C492" s="98"/>
      <c r="D492" s="117"/>
      <c r="E492" s="117"/>
      <c r="F492" s="98"/>
      <c r="G492" s="117"/>
      <c r="H492" s="100"/>
      <c r="I492" s="158"/>
      <c r="L492" s="151"/>
    </row>
    <row r="493" spans="1:12" ht="15.75" customHeight="1">
      <c r="A493" s="96">
        <v>46290</v>
      </c>
      <c r="B493" s="99"/>
      <c r="C493" s="98"/>
      <c r="D493" s="117"/>
      <c r="E493" s="117"/>
      <c r="F493" s="98"/>
      <c r="G493" s="117"/>
      <c r="H493" s="100"/>
      <c r="I493" s="158"/>
      <c r="L493" s="151"/>
    </row>
    <row r="494" spans="1:12" ht="15.75" customHeight="1">
      <c r="A494" s="96">
        <v>46291</v>
      </c>
      <c r="B494" s="99"/>
      <c r="C494" s="98"/>
      <c r="D494" s="117"/>
      <c r="E494" s="117"/>
      <c r="F494" s="98"/>
      <c r="G494" s="117"/>
      <c r="H494" s="100"/>
      <c r="I494" s="158"/>
      <c r="L494" s="151"/>
    </row>
    <row r="495" spans="1:12" ht="15.75" customHeight="1">
      <c r="A495" s="96">
        <v>46292</v>
      </c>
      <c r="B495" s="99"/>
      <c r="C495" s="98"/>
      <c r="D495" s="117"/>
      <c r="E495" s="117"/>
      <c r="F495" s="98"/>
      <c r="G495" s="117"/>
      <c r="H495" s="100"/>
      <c r="I495" s="158"/>
      <c r="L495" s="151"/>
    </row>
    <row r="496" spans="1:12" ht="15.75" customHeight="1">
      <c r="A496" s="96">
        <v>46293</v>
      </c>
      <c r="B496" s="99"/>
      <c r="C496" s="98"/>
      <c r="D496" s="117"/>
      <c r="E496" s="117"/>
      <c r="F496" s="98"/>
      <c r="G496" s="117"/>
      <c r="H496" s="100"/>
      <c r="I496" s="158"/>
      <c r="L496" s="151"/>
    </row>
    <row r="497" spans="1:12" ht="15.75" customHeight="1">
      <c r="A497" s="96">
        <v>46294</v>
      </c>
      <c r="B497" s="99"/>
      <c r="C497" s="98"/>
      <c r="D497" s="117"/>
      <c r="E497" s="117"/>
      <c r="F497" s="98"/>
      <c r="G497" s="117"/>
      <c r="H497" s="100"/>
      <c r="I497" s="158"/>
      <c r="L497" s="151"/>
    </row>
    <row r="498" spans="1:12" ht="15.75" customHeight="1">
      <c r="A498" s="96">
        <v>46295</v>
      </c>
      <c r="B498" s="99"/>
      <c r="C498" s="98"/>
      <c r="D498" s="117"/>
      <c r="E498" s="117"/>
      <c r="F498" s="98"/>
      <c r="G498" s="117"/>
      <c r="H498" s="100"/>
      <c r="I498" s="158"/>
      <c r="L498" s="151"/>
    </row>
    <row r="499" spans="1:12" ht="15.75" customHeight="1">
      <c r="A499" s="96">
        <v>46296</v>
      </c>
      <c r="B499" s="99"/>
      <c r="C499" s="98"/>
      <c r="D499" s="117"/>
      <c r="E499" s="117"/>
      <c r="F499" s="98"/>
      <c r="G499" s="117"/>
      <c r="H499" s="100"/>
      <c r="I499" s="158"/>
      <c r="L499" s="151"/>
    </row>
    <row r="500" spans="1:12" ht="15.75" customHeight="1">
      <c r="A500" s="96">
        <v>46297</v>
      </c>
      <c r="B500" s="99"/>
      <c r="C500" s="98"/>
      <c r="D500" s="117"/>
      <c r="E500" s="117"/>
      <c r="F500" s="98"/>
      <c r="G500" s="117"/>
      <c r="H500" s="100"/>
      <c r="I500" s="158"/>
      <c r="L500" s="151"/>
    </row>
    <row r="501" spans="1:12" ht="15.75" customHeight="1">
      <c r="A501" s="96">
        <v>46298</v>
      </c>
      <c r="B501" s="99"/>
      <c r="C501" s="98"/>
      <c r="D501" s="117"/>
      <c r="E501" s="117"/>
      <c r="F501" s="98"/>
      <c r="G501" s="117"/>
      <c r="H501" s="100"/>
      <c r="I501" s="158"/>
      <c r="L501" s="151"/>
    </row>
    <row r="502" spans="1:12" ht="15.75" customHeight="1">
      <c r="A502" s="96">
        <v>46299</v>
      </c>
      <c r="B502" s="99"/>
      <c r="C502" s="98"/>
      <c r="D502" s="117"/>
      <c r="E502" s="117"/>
      <c r="F502" s="98"/>
      <c r="G502" s="117"/>
      <c r="H502" s="100"/>
      <c r="I502" s="158"/>
      <c r="L502" s="151"/>
    </row>
    <row r="503" spans="1:12" ht="15.75" customHeight="1">
      <c r="A503" s="96">
        <v>46300</v>
      </c>
      <c r="B503" s="99"/>
      <c r="C503" s="98"/>
      <c r="D503" s="117"/>
      <c r="E503" s="117"/>
      <c r="F503" s="98"/>
      <c r="G503" s="117"/>
      <c r="H503" s="100"/>
      <c r="I503" s="158"/>
      <c r="L503" s="151"/>
    </row>
    <row r="504" spans="1:12" ht="15.75" customHeight="1">
      <c r="A504" s="96">
        <v>46301</v>
      </c>
      <c r="B504" s="99"/>
      <c r="C504" s="98"/>
      <c r="D504" s="117"/>
      <c r="E504" s="117"/>
      <c r="F504" s="98"/>
      <c r="G504" s="117"/>
      <c r="H504" s="100"/>
      <c r="I504" s="158"/>
      <c r="L504" s="151"/>
    </row>
    <row r="505" spans="1:12" ht="15.75" customHeight="1">
      <c r="A505" s="96">
        <v>46302</v>
      </c>
      <c r="B505" s="99"/>
      <c r="C505" s="98"/>
      <c r="D505" s="117"/>
      <c r="E505" s="117"/>
      <c r="F505" s="98"/>
      <c r="G505" s="117"/>
      <c r="H505" s="100"/>
      <c r="I505" s="158"/>
      <c r="L505" s="151"/>
    </row>
    <row r="506" spans="1:12" ht="15.75" customHeight="1">
      <c r="A506" s="96">
        <v>46303</v>
      </c>
      <c r="B506" s="99"/>
      <c r="C506" s="98"/>
      <c r="D506" s="117"/>
      <c r="E506" s="117"/>
      <c r="F506" s="98"/>
      <c r="G506" s="117"/>
      <c r="H506" s="100"/>
      <c r="I506" s="158"/>
      <c r="L506" s="151"/>
    </row>
    <row r="507" spans="1:12" ht="15.75" customHeight="1">
      <c r="A507" s="96">
        <v>46304</v>
      </c>
      <c r="B507" s="99"/>
      <c r="C507" s="98"/>
      <c r="D507" s="117"/>
      <c r="E507" s="117"/>
      <c r="F507" s="98"/>
      <c r="G507" s="117"/>
      <c r="H507" s="100"/>
      <c r="I507" s="158"/>
      <c r="L507" s="151"/>
    </row>
    <row r="508" spans="1:12" ht="15.75" customHeight="1">
      <c r="A508" s="96">
        <v>46305</v>
      </c>
      <c r="B508" s="99"/>
      <c r="C508" s="98"/>
      <c r="D508" s="117"/>
      <c r="E508" s="117"/>
      <c r="F508" s="98"/>
      <c r="G508" s="117"/>
      <c r="H508" s="100"/>
      <c r="I508" s="158"/>
      <c r="L508" s="151"/>
    </row>
    <row r="509" spans="1:12" ht="15.75" customHeight="1">
      <c r="A509" s="96">
        <v>46306</v>
      </c>
      <c r="B509" s="99"/>
      <c r="C509" s="98"/>
      <c r="D509" s="117"/>
      <c r="E509" s="117"/>
      <c r="F509" s="98"/>
      <c r="G509" s="117"/>
      <c r="H509" s="100"/>
      <c r="I509" s="158"/>
      <c r="L509" s="151"/>
    </row>
    <row r="510" spans="1:12" ht="15.75" customHeight="1">
      <c r="A510" s="96">
        <v>46307</v>
      </c>
      <c r="B510" s="99"/>
      <c r="C510" s="98"/>
      <c r="D510" s="117"/>
      <c r="E510" s="117"/>
      <c r="F510" s="98"/>
      <c r="G510" s="117"/>
      <c r="H510" s="100"/>
      <c r="I510" s="158"/>
      <c r="L510" s="151"/>
    </row>
    <row r="511" spans="1:12" ht="15.75" customHeight="1">
      <c r="A511" s="96">
        <v>46308</v>
      </c>
      <c r="B511" s="99"/>
      <c r="C511" s="98"/>
      <c r="D511" s="117"/>
      <c r="E511" s="117"/>
      <c r="F511" s="98"/>
      <c r="G511" s="117"/>
      <c r="H511" s="100"/>
      <c r="I511" s="158"/>
      <c r="L511" s="151"/>
    </row>
    <row r="512" spans="1:12" ht="15.75" customHeight="1">
      <c r="A512" s="96">
        <v>46309</v>
      </c>
      <c r="B512" s="99"/>
      <c r="C512" s="98"/>
      <c r="D512" s="117"/>
      <c r="E512" s="117"/>
      <c r="F512" s="98"/>
      <c r="G512" s="117"/>
      <c r="H512" s="100"/>
      <c r="I512" s="158"/>
      <c r="L512" s="151"/>
    </row>
    <row r="513" spans="1:12" ht="15.75" customHeight="1">
      <c r="A513" s="96">
        <v>46310</v>
      </c>
      <c r="B513" s="99"/>
      <c r="C513" s="98"/>
      <c r="D513" s="117"/>
      <c r="E513" s="117"/>
      <c r="F513" s="98"/>
      <c r="G513" s="117"/>
      <c r="H513" s="100"/>
      <c r="I513" s="158"/>
      <c r="L513" s="151"/>
    </row>
    <row r="514" spans="1:12" ht="15.75" customHeight="1">
      <c r="A514" s="96">
        <v>46311</v>
      </c>
      <c r="B514" s="99"/>
      <c r="C514" s="98"/>
      <c r="D514" s="117"/>
      <c r="E514" s="117"/>
      <c r="F514" s="98"/>
      <c r="G514" s="117"/>
      <c r="H514" s="100"/>
      <c r="I514" s="158"/>
      <c r="L514" s="151"/>
    </row>
    <row r="515" spans="1:12" ht="15.75" customHeight="1">
      <c r="A515" s="96">
        <v>46312</v>
      </c>
      <c r="B515" s="99"/>
      <c r="C515" s="98"/>
      <c r="D515" s="117"/>
      <c r="E515" s="117"/>
      <c r="F515" s="98"/>
      <c r="G515" s="117"/>
      <c r="H515" s="100"/>
      <c r="I515" s="158"/>
      <c r="L515" s="151"/>
    </row>
    <row r="516" spans="1:12" ht="15.75" customHeight="1">
      <c r="A516" s="96">
        <v>46313</v>
      </c>
      <c r="B516" s="99"/>
      <c r="C516" s="98"/>
      <c r="D516" s="117"/>
      <c r="E516" s="117"/>
      <c r="F516" s="98"/>
      <c r="G516" s="117"/>
      <c r="H516" s="100"/>
      <c r="I516" s="158"/>
      <c r="L516" s="151"/>
    </row>
    <row r="517" spans="1:12" ht="15.75" customHeight="1">
      <c r="A517" s="96">
        <v>46314</v>
      </c>
      <c r="B517" s="99"/>
      <c r="C517" s="98"/>
      <c r="D517" s="117"/>
      <c r="E517" s="117"/>
      <c r="F517" s="98"/>
      <c r="G517" s="117"/>
      <c r="H517" s="100"/>
      <c r="I517" s="158"/>
      <c r="L517" s="151"/>
    </row>
    <row r="518" spans="1:12" ht="15.75" customHeight="1">
      <c r="A518" s="96">
        <v>46315</v>
      </c>
      <c r="B518" s="99"/>
      <c r="C518" s="98"/>
      <c r="D518" s="117"/>
      <c r="E518" s="117"/>
      <c r="F518" s="98"/>
      <c r="G518" s="117"/>
      <c r="H518" s="100"/>
      <c r="I518" s="158"/>
      <c r="L518" s="151"/>
    </row>
    <row r="519" spans="1:12" ht="15.75" customHeight="1">
      <c r="A519" s="96">
        <v>46316</v>
      </c>
      <c r="B519" s="99"/>
      <c r="C519" s="98"/>
      <c r="D519" s="117"/>
      <c r="E519" s="117"/>
      <c r="F519" s="98"/>
      <c r="G519" s="117"/>
      <c r="H519" s="100"/>
      <c r="I519" s="158"/>
      <c r="L519" s="151"/>
    </row>
    <row r="520" spans="1:12" ht="15.75" customHeight="1">
      <c r="A520" s="96">
        <v>46317</v>
      </c>
      <c r="B520" s="99"/>
      <c r="C520" s="98"/>
      <c r="D520" s="117"/>
      <c r="E520" s="117"/>
      <c r="F520" s="98"/>
      <c r="G520" s="117"/>
      <c r="H520" s="100"/>
      <c r="I520" s="158"/>
      <c r="L520" s="151"/>
    </row>
    <row r="521" spans="1:12" ht="15.75" customHeight="1">
      <c r="A521" s="96">
        <v>46318</v>
      </c>
      <c r="B521" s="99"/>
      <c r="C521" s="98"/>
      <c r="D521" s="117"/>
      <c r="E521" s="117"/>
      <c r="F521" s="98"/>
      <c r="G521" s="117"/>
      <c r="H521" s="100"/>
      <c r="I521" s="158"/>
      <c r="L521" s="151"/>
    </row>
    <row r="522" spans="1:12" ht="15.75" customHeight="1">
      <c r="A522" s="96">
        <v>46319</v>
      </c>
      <c r="B522" s="99"/>
      <c r="C522" s="98"/>
      <c r="D522" s="117"/>
      <c r="E522" s="117"/>
      <c r="F522" s="98"/>
      <c r="G522" s="117"/>
      <c r="H522" s="100"/>
      <c r="I522" s="158"/>
      <c r="L522" s="151"/>
    </row>
    <row r="523" spans="1:12" ht="15.75" customHeight="1">
      <c r="A523" s="96">
        <v>46320</v>
      </c>
      <c r="B523" s="99"/>
      <c r="C523" s="98"/>
      <c r="D523" s="117"/>
      <c r="E523" s="117"/>
      <c r="F523" s="98"/>
      <c r="G523" s="117"/>
      <c r="H523" s="100"/>
      <c r="I523" s="158"/>
      <c r="L523" s="151"/>
    </row>
    <row r="524" spans="1:12" ht="15.75" customHeight="1">
      <c r="A524" s="96">
        <v>46321</v>
      </c>
      <c r="B524" s="99"/>
      <c r="C524" s="98"/>
      <c r="D524" s="117"/>
      <c r="E524" s="117"/>
      <c r="F524" s="98"/>
      <c r="G524" s="117"/>
      <c r="H524" s="100"/>
      <c r="I524" s="158"/>
      <c r="L524" s="151"/>
    </row>
    <row r="525" spans="1:12" ht="15.75" customHeight="1">
      <c r="A525" s="96">
        <v>46322</v>
      </c>
      <c r="B525" s="99"/>
      <c r="C525" s="98"/>
      <c r="D525" s="117"/>
      <c r="E525" s="117"/>
      <c r="F525" s="98"/>
      <c r="G525" s="117"/>
      <c r="H525" s="100"/>
      <c r="I525" s="158"/>
      <c r="L525" s="151"/>
    </row>
    <row r="526" spans="1:12" ht="15.75" customHeight="1">
      <c r="A526" s="96">
        <v>46323</v>
      </c>
      <c r="B526" s="99"/>
      <c r="C526" s="98"/>
      <c r="D526" s="117"/>
      <c r="E526" s="117"/>
      <c r="F526" s="98"/>
      <c r="G526" s="117"/>
      <c r="H526" s="100"/>
      <c r="I526" s="158"/>
      <c r="L526" s="151"/>
    </row>
    <row r="527" spans="1:12" ht="15.75" customHeight="1">
      <c r="A527" s="96">
        <v>46324</v>
      </c>
      <c r="B527" s="99"/>
      <c r="C527" s="98"/>
      <c r="D527" s="117"/>
      <c r="E527" s="117"/>
      <c r="F527" s="98"/>
      <c r="G527" s="117"/>
      <c r="H527" s="100"/>
      <c r="I527" s="158"/>
      <c r="L527" s="151"/>
    </row>
    <row r="528" spans="1:12" ht="15.75" customHeight="1">
      <c r="A528" s="96">
        <v>46325</v>
      </c>
      <c r="B528" s="99"/>
      <c r="C528" s="98"/>
      <c r="D528" s="117"/>
      <c r="E528" s="117"/>
      <c r="F528" s="98"/>
      <c r="G528" s="117"/>
      <c r="H528" s="100"/>
      <c r="I528" s="158"/>
      <c r="L528" s="151"/>
    </row>
    <row r="529" spans="1:12" ht="15.75" customHeight="1">
      <c r="A529" s="96">
        <v>46326</v>
      </c>
      <c r="B529" s="99"/>
      <c r="C529" s="98"/>
      <c r="D529" s="117"/>
      <c r="E529" s="117"/>
      <c r="F529" s="98"/>
      <c r="G529" s="117"/>
      <c r="H529" s="100"/>
      <c r="I529" s="158"/>
      <c r="L529" s="151"/>
    </row>
    <row r="530" spans="1:12" ht="15.75" customHeight="1">
      <c r="A530" s="96">
        <v>46327</v>
      </c>
      <c r="B530" s="99"/>
      <c r="C530" s="98"/>
      <c r="D530" s="117"/>
      <c r="E530" s="117"/>
      <c r="F530" s="98"/>
      <c r="G530" s="117"/>
      <c r="H530" s="100"/>
      <c r="I530" s="158"/>
      <c r="L530" s="151"/>
    </row>
    <row r="531" spans="1:12" ht="15.75" customHeight="1">
      <c r="A531" s="96">
        <v>46328</v>
      </c>
      <c r="B531" s="99"/>
      <c r="C531" s="98"/>
      <c r="D531" s="117"/>
      <c r="E531" s="117"/>
      <c r="F531" s="98"/>
      <c r="G531" s="117"/>
      <c r="H531" s="100"/>
      <c r="I531" s="158"/>
      <c r="L531" s="151"/>
    </row>
    <row r="532" spans="1:12" ht="15.75" customHeight="1">
      <c r="A532" s="96">
        <v>46329</v>
      </c>
      <c r="B532" s="99"/>
      <c r="C532" s="98"/>
      <c r="D532" s="117"/>
      <c r="E532" s="117"/>
      <c r="F532" s="98"/>
      <c r="G532" s="117"/>
      <c r="H532" s="100"/>
      <c r="I532" s="158"/>
      <c r="L532" s="151"/>
    </row>
    <row r="533" spans="1:12" ht="15.75" customHeight="1">
      <c r="A533" s="96">
        <v>46330</v>
      </c>
      <c r="B533" s="99"/>
      <c r="C533" s="98"/>
      <c r="D533" s="117"/>
      <c r="E533" s="117"/>
      <c r="F533" s="98"/>
      <c r="G533" s="117"/>
      <c r="H533" s="100"/>
      <c r="I533" s="158"/>
      <c r="L533" s="151"/>
    </row>
    <row r="534" spans="1:12" ht="15.75" customHeight="1">
      <c r="A534" s="96">
        <v>46331</v>
      </c>
      <c r="B534" s="99"/>
      <c r="C534" s="98"/>
      <c r="D534" s="117"/>
      <c r="E534" s="117"/>
      <c r="F534" s="98"/>
      <c r="G534" s="117"/>
      <c r="H534" s="100"/>
      <c r="I534" s="158"/>
      <c r="L534" s="151"/>
    </row>
    <row r="535" spans="1:12" ht="15.75" customHeight="1">
      <c r="A535" s="96">
        <v>46332</v>
      </c>
      <c r="B535" s="99"/>
      <c r="C535" s="98"/>
      <c r="D535" s="117"/>
      <c r="E535" s="117"/>
      <c r="F535" s="98"/>
      <c r="G535" s="117"/>
      <c r="H535" s="100"/>
      <c r="I535" s="158"/>
      <c r="L535" s="151"/>
    </row>
    <row r="536" spans="1:12" ht="15.75" customHeight="1">
      <c r="A536" s="96">
        <v>46333</v>
      </c>
      <c r="B536" s="99"/>
      <c r="C536" s="98"/>
      <c r="D536" s="117"/>
      <c r="E536" s="117"/>
      <c r="F536" s="98"/>
      <c r="G536" s="117"/>
      <c r="H536" s="100"/>
      <c r="I536" s="158"/>
      <c r="L536" s="151"/>
    </row>
    <row r="537" spans="1:12" ht="15.75" customHeight="1">
      <c r="A537" s="96">
        <v>46334</v>
      </c>
      <c r="B537" s="99"/>
      <c r="C537" s="98"/>
      <c r="D537" s="117"/>
      <c r="E537" s="117"/>
      <c r="F537" s="98"/>
      <c r="G537" s="117"/>
      <c r="H537" s="100"/>
      <c r="I537" s="158"/>
      <c r="L537" s="151"/>
    </row>
    <row r="538" spans="1:12" ht="15.75" customHeight="1">
      <c r="A538" s="96">
        <v>46335</v>
      </c>
      <c r="B538" s="99"/>
      <c r="C538" s="98"/>
      <c r="D538" s="117"/>
      <c r="E538" s="117"/>
      <c r="F538" s="98"/>
      <c r="G538" s="117"/>
      <c r="H538" s="100"/>
      <c r="I538" s="158"/>
      <c r="L538" s="151"/>
    </row>
    <row r="539" spans="1:12" ht="15.75" customHeight="1">
      <c r="A539" s="96">
        <v>46336</v>
      </c>
      <c r="B539" s="99"/>
      <c r="C539" s="98"/>
      <c r="D539" s="117"/>
      <c r="E539" s="117"/>
      <c r="F539" s="98"/>
      <c r="G539" s="117"/>
      <c r="H539" s="100"/>
      <c r="I539" s="158"/>
      <c r="L539" s="151"/>
    </row>
    <row r="540" spans="1:12" ht="15.75" customHeight="1">
      <c r="A540" s="96">
        <v>46337</v>
      </c>
      <c r="B540" s="99"/>
      <c r="C540" s="98"/>
      <c r="D540" s="117"/>
      <c r="E540" s="117"/>
      <c r="F540" s="98"/>
      <c r="G540" s="117"/>
      <c r="H540" s="100"/>
      <c r="I540" s="158"/>
      <c r="L540" s="151"/>
    </row>
    <row r="541" spans="1:12" ht="15.75" customHeight="1">
      <c r="A541" s="96">
        <v>46338</v>
      </c>
      <c r="B541" s="99"/>
      <c r="C541" s="98"/>
      <c r="D541" s="117"/>
      <c r="E541" s="117"/>
      <c r="F541" s="98"/>
      <c r="G541" s="117"/>
      <c r="H541" s="100"/>
      <c r="I541" s="158"/>
      <c r="L541" s="151"/>
    </row>
    <row r="542" spans="1:12" ht="15.75" customHeight="1">
      <c r="A542" s="96">
        <v>46339</v>
      </c>
      <c r="B542" s="99"/>
      <c r="C542" s="98"/>
      <c r="D542" s="117"/>
      <c r="E542" s="117"/>
      <c r="F542" s="98"/>
      <c r="G542" s="117"/>
      <c r="H542" s="100"/>
      <c r="I542" s="158"/>
      <c r="L542" s="151"/>
    </row>
    <row r="543" spans="1:12" ht="15.75" customHeight="1">
      <c r="A543" s="96">
        <v>46340</v>
      </c>
      <c r="B543" s="99"/>
      <c r="C543" s="98"/>
      <c r="D543" s="117"/>
      <c r="E543" s="117"/>
      <c r="F543" s="98"/>
      <c r="G543" s="117"/>
      <c r="H543" s="100"/>
      <c r="I543" s="158"/>
      <c r="L543" s="151"/>
    </row>
    <row r="544" spans="1:12" ht="15.75" customHeight="1">
      <c r="A544" s="96">
        <v>46341</v>
      </c>
      <c r="B544" s="99"/>
      <c r="C544" s="98"/>
      <c r="D544" s="117"/>
      <c r="E544" s="117"/>
      <c r="F544" s="98"/>
      <c r="G544" s="117"/>
      <c r="H544" s="100"/>
      <c r="I544" s="158"/>
      <c r="L544" s="151"/>
    </row>
    <row r="545" spans="1:12" ht="15.75" customHeight="1">
      <c r="A545" s="96">
        <v>46342</v>
      </c>
      <c r="B545" s="99"/>
      <c r="C545" s="98"/>
      <c r="D545" s="117"/>
      <c r="E545" s="117"/>
      <c r="F545" s="98"/>
      <c r="G545" s="117"/>
      <c r="H545" s="100"/>
      <c r="I545" s="158"/>
      <c r="L545" s="151"/>
    </row>
    <row r="546" spans="1:12" ht="15.75" customHeight="1">
      <c r="A546" s="96">
        <v>46343</v>
      </c>
      <c r="B546" s="99"/>
      <c r="C546" s="98"/>
      <c r="D546" s="117"/>
      <c r="E546" s="117"/>
      <c r="F546" s="98"/>
      <c r="G546" s="117"/>
      <c r="H546" s="100"/>
      <c r="I546" s="158"/>
      <c r="L546" s="151"/>
    </row>
    <row r="547" spans="1:12" ht="15.75" customHeight="1">
      <c r="A547" s="96">
        <v>46344</v>
      </c>
      <c r="B547" s="99"/>
      <c r="C547" s="98"/>
      <c r="D547" s="117"/>
      <c r="E547" s="117"/>
      <c r="F547" s="98"/>
      <c r="G547" s="117"/>
      <c r="H547" s="100"/>
      <c r="I547" s="158"/>
      <c r="L547" s="151"/>
    </row>
    <row r="548" spans="1:12" ht="15.75" customHeight="1">
      <c r="A548" s="96">
        <v>46345</v>
      </c>
      <c r="B548" s="99"/>
      <c r="C548" s="98"/>
      <c r="D548" s="117"/>
      <c r="E548" s="117"/>
      <c r="F548" s="98"/>
      <c r="G548" s="117"/>
      <c r="H548" s="100"/>
      <c r="I548" s="158"/>
      <c r="L548" s="151"/>
    </row>
    <row r="549" spans="1:12" ht="15.75" customHeight="1">
      <c r="A549" s="96">
        <v>46346</v>
      </c>
      <c r="B549" s="99"/>
      <c r="C549" s="98"/>
      <c r="D549" s="117"/>
      <c r="E549" s="117"/>
      <c r="F549" s="98"/>
      <c r="G549" s="117"/>
      <c r="H549" s="100"/>
      <c r="I549" s="158"/>
      <c r="L549" s="151"/>
    </row>
    <row r="550" spans="1:12" ht="15.75" customHeight="1">
      <c r="A550" s="96">
        <v>46347</v>
      </c>
      <c r="B550" s="99"/>
      <c r="C550" s="98"/>
      <c r="D550" s="117"/>
      <c r="E550" s="117"/>
      <c r="F550" s="98"/>
      <c r="G550" s="117"/>
      <c r="H550" s="100"/>
      <c r="I550" s="158"/>
      <c r="L550" s="151"/>
    </row>
    <row r="551" spans="1:12" ht="15.75" customHeight="1">
      <c r="A551" s="96">
        <v>46348</v>
      </c>
      <c r="B551" s="99"/>
      <c r="C551" s="98"/>
      <c r="D551" s="117"/>
      <c r="E551" s="117"/>
      <c r="F551" s="98"/>
      <c r="G551" s="117"/>
      <c r="H551" s="100"/>
      <c r="I551" s="158"/>
      <c r="L551" s="151"/>
    </row>
    <row r="552" spans="1:12" ht="15.75" customHeight="1">
      <c r="A552" s="96">
        <v>46349</v>
      </c>
      <c r="B552" s="99"/>
      <c r="C552" s="98"/>
      <c r="D552" s="117"/>
      <c r="E552" s="117"/>
      <c r="F552" s="98"/>
      <c r="G552" s="117"/>
      <c r="H552" s="100"/>
      <c r="I552" s="158"/>
      <c r="L552" s="151"/>
    </row>
    <row r="553" spans="1:12" ht="15.75" customHeight="1">
      <c r="A553" s="96">
        <v>46350</v>
      </c>
      <c r="B553" s="99"/>
      <c r="C553" s="98"/>
      <c r="D553" s="117"/>
      <c r="E553" s="117"/>
      <c r="F553" s="98"/>
      <c r="G553" s="117"/>
      <c r="H553" s="100"/>
      <c r="I553" s="158"/>
      <c r="L553" s="151"/>
    </row>
    <row r="554" spans="1:12" ht="15.75" customHeight="1">
      <c r="A554" s="96">
        <v>46351</v>
      </c>
      <c r="B554" s="99"/>
      <c r="C554" s="98"/>
      <c r="D554" s="117"/>
      <c r="E554" s="117"/>
      <c r="F554" s="98"/>
      <c r="G554" s="117"/>
      <c r="H554" s="100"/>
      <c r="I554" s="158"/>
      <c r="L554" s="151"/>
    </row>
    <row r="555" spans="1:12" ht="15.75" customHeight="1">
      <c r="A555" s="96">
        <v>46352</v>
      </c>
      <c r="B555" s="99"/>
      <c r="C555" s="98"/>
      <c r="D555" s="117"/>
      <c r="E555" s="117"/>
      <c r="F555" s="98"/>
      <c r="G555" s="117"/>
      <c r="H555" s="100"/>
      <c r="I555" s="158"/>
      <c r="L555" s="151"/>
    </row>
    <row r="556" spans="1:12" ht="15.75" customHeight="1">
      <c r="A556" s="96">
        <v>46353</v>
      </c>
      <c r="B556" s="99"/>
      <c r="C556" s="98"/>
      <c r="D556" s="117"/>
      <c r="E556" s="117"/>
      <c r="F556" s="98"/>
      <c r="G556" s="117"/>
      <c r="H556" s="100"/>
      <c r="I556" s="158"/>
      <c r="L556" s="151"/>
    </row>
    <row r="557" spans="1:12" ht="15.75" customHeight="1">
      <c r="A557" s="96">
        <v>46354</v>
      </c>
      <c r="B557" s="99"/>
      <c r="C557" s="98"/>
      <c r="D557" s="117"/>
      <c r="E557" s="117"/>
      <c r="F557" s="98"/>
      <c r="G557" s="117"/>
      <c r="H557" s="100"/>
      <c r="I557" s="158"/>
      <c r="L557" s="151"/>
    </row>
    <row r="558" spans="1:12" ht="15.75" customHeight="1">
      <c r="A558" s="96">
        <v>46355</v>
      </c>
      <c r="B558" s="99"/>
      <c r="C558" s="98"/>
      <c r="D558" s="117"/>
      <c r="E558" s="117"/>
      <c r="F558" s="98"/>
      <c r="G558" s="117"/>
      <c r="H558" s="100"/>
      <c r="I558" s="158"/>
      <c r="L558" s="151"/>
    </row>
    <row r="559" spans="1:12" ht="15.75" customHeight="1">
      <c r="A559" s="96">
        <v>46356</v>
      </c>
      <c r="B559" s="99"/>
      <c r="C559" s="98"/>
      <c r="D559" s="117"/>
      <c r="E559" s="117"/>
      <c r="F559" s="98"/>
      <c r="G559" s="117"/>
      <c r="H559" s="100"/>
      <c r="I559" s="158"/>
      <c r="L559" s="151"/>
    </row>
    <row r="560" spans="1:12" ht="15.75" customHeight="1">
      <c r="A560" s="96">
        <v>46357</v>
      </c>
      <c r="B560" s="99"/>
      <c r="C560" s="98"/>
      <c r="D560" s="117"/>
      <c r="E560" s="117"/>
      <c r="F560" s="98"/>
      <c r="G560" s="117"/>
      <c r="H560" s="100"/>
      <c r="I560" s="158"/>
      <c r="L560" s="151"/>
    </row>
    <row r="561" spans="1:12" ht="15.75" customHeight="1">
      <c r="A561" s="96">
        <v>46358</v>
      </c>
      <c r="B561" s="99"/>
      <c r="C561" s="98"/>
      <c r="D561" s="117"/>
      <c r="E561" s="117"/>
      <c r="F561" s="98"/>
      <c r="G561" s="117"/>
      <c r="H561" s="100"/>
      <c r="I561" s="158"/>
      <c r="L561" s="151"/>
    </row>
    <row r="562" spans="1:12" ht="15.75" customHeight="1">
      <c r="A562" s="96">
        <v>46359</v>
      </c>
      <c r="B562" s="99"/>
      <c r="C562" s="98"/>
      <c r="D562" s="117"/>
      <c r="E562" s="117"/>
      <c r="F562" s="98"/>
      <c r="G562" s="117"/>
      <c r="H562" s="100"/>
      <c r="I562" s="158"/>
      <c r="L562" s="151"/>
    </row>
    <row r="563" spans="1:12" ht="15.75" customHeight="1">
      <c r="A563" s="96">
        <v>46360</v>
      </c>
      <c r="B563" s="99"/>
      <c r="C563" s="98"/>
      <c r="D563" s="117"/>
      <c r="E563" s="117"/>
      <c r="F563" s="98"/>
      <c r="G563" s="117"/>
      <c r="H563" s="100"/>
      <c r="I563" s="158"/>
      <c r="L563" s="151"/>
    </row>
    <row r="564" spans="1:12" ht="15.75" customHeight="1">
      <c r="A564" s="96">
        <v>46361</v>
      </c>
      <c r="B564" s="99"/>
      <c r="C564" s="98"/>
      <c r="D564" s="117"/>
      <c r="E564" s="117"/>
      <c r="F564" s="98"/>
      <c r="G564" s="117"/>
      <c r="H564" s="100"/>
      <c r="I564" s="158"/>
      <c r="L564" s="151"/>
    </row>
    <row r="565" spans="1:12" ht="15.75" customHeight="1">
      <c r="A565" s="96">
        <v>46362</v>
      </c>
      <c r="B565" s="99"/>
      <c r="C565" s="98"/>
      <c r="D565" s="117"/>
      <c r="E565" s="117"/>
      <c r="F565" s="98"/>
      <c r="G565" s="117"/>
      <c r="H565" s="100"/>
      <c r="I565" s="158"/>
      <c r="L565" s="151"/>
    </row>
    <row r="566" spans="1:12" ht="15.75" customHeight="1">
      <c r="A566" s="96">
        <v>46363</v>
      </c>
      <c r="B566" s="99"/>
      <c r="C566" s="98"/>
      <c r="D566" s="117"/>
      <c r="E566" s="117"/>
      <c r="F566" s="98"/>
      <c r="G566" s="117"/>
      <c r="H566" s="100"/>
      <c r="I566" s="158"/>
      <c r="L566" s="151"/>
    </row>
    <row r="567" spans="1:12" ht="15.75" customHeight="1">
      <c r="A567" s="96">
        <v>46364</v>
      </c>
      <c r="B567" s="99"/>
      <c r="C567" s="98"/>
      <c r="D567" s="117"/>
      <c r="E567" s="117"/>
      <c r="F567" s="98"/>
      <c r="G567" s="117"/>
      <c r="H567" s="100"/>
      <c r="I567" s="158"/>
      <c r="L567" s="151"/>
    </row>
    <row r="568" spans="1:12" ht="15.75" customHeight="1">
      <c r="A568" s="96">
        <v>46365</v>
      </c>
      <c r="B568" s="99"/>
      <c r="C568" s="98"/>
      <c r="D568" s="117"/>
      <c r="E568" s="117"/>
      <c r="F568" s="98"/>
      <c r="G568" s="117"/>
      <c r="H568" s="100"/>
      <c r="I568" s="158"/>
      <c r="L568" s="151"/>
    </row>
    <row r="569" spans="1:12" ht="15.75" customHeight="1">
      <c r="A569" s="96">
        <v>46366</v>
      </c>
      <c r="B569" s="99"/>
      <c r="C569" s="98"/>
      <c r="D569" s="117"/>
      <c r="E569" s="117"/>
      <c r="F569" s="98"/>
      <c r="G569" s="117"/>
      <c r="H569" s="100"/>
      <c r="I569" s="158"/>
      <c r="L569" s="151"/>
    </row>
    <row r="570" spans="1:12" ht="15.75" customHeight="1">
      <c r="A570" s="96">
        <v>46367</v>
      </c>
      <c r="B570" s="99"/>
      <c r="C570" s="98"/>
      <c r="D570" s="117"/>
      <c r="E570" s="117"/>
      <c r="F570" s="98"/>
      <c r="G570" s="117"/>
      <c r="H570" s="100"/>
      <c r="I570" s="158"/>
      <c r="L570" s="151"/>
    </row>
    <row r="571" spans="1:12" ht="15.75" customHeight="1">
      <c r="A571" s="96">
        <v>46368</v>
      </c>
      <c r="B571" s="99"/>
      <c r="C571" s="98"/>
      <c r="D571" s="117"/>
      <c r="E571" s="117"/>
      <c r="F571" s="98"/>
      <c r="G571" s="117"/>
      <c r="H571" s="100"/>
      <c r="I571" s="158"/>
      <c r="L571" s="151"/>
    </row>
    <row r="572" spans="1:12" ht="15.75" customHeight="1">
      <c r="A572" s="96">
        <v>46369</v>
      </c>
      <c r="B572" s="99"/>
      <c r="C572" s="98"/>
      <c r="D572" s="117"/>
      <c r="E572" s="117"/>
      <c r="F572" s="98"/>
      <c r="G572" s="117"/>
      <c r="H572" s="100"/>
      <c r="I572" s="158"/>
      <c r="L572" s="151"/>
    </row>
    <row r="573" spans="1:12" ht="15.75" customHeight="1">
      <c r="A573" s="96">
        <v>46370</v>
      </c>
      <c r="B573" s="99"/>
      <c r="C573" s="98"/>
      <c r="D573" s="117"/>
      <c r="E573" s="117"/>
      <c r="F573" s="98"/>
      <c r="G573" s="117"/>
      <c r="H573" s="100"/>
      <c r="I573" s="158"/>
      <c r="L573" s="151"/>
    </row>
    <row r="574" spans="1:12" ht="15.75" customHeight="1">
      <c r="A574" s="96">
        <v>46371</v>
      </c>
      <c r="B574" s="99"/>
      <c r="C574" s="98"/>
      <c r="D574" s="117"/>
      <c r="E574" s="117"/>
      <c r="F574" s="98"/>
      <c r="G574" s="117"/>
      <c r="H574" s="100"/>
      <c r="I574" s="158"/>
      <c r="L574" s="151"/>
    </row>
    <row r="575" spans="1:12" ht="15.75" customHeight="1">
      <c r="A575" s="96">
        <v>46372</v>
      </c>
      <c r="B575" s="99"/>
      <c r="C575" s="98"/>
      <c r="D575" s="117"/>
      <c r="E575" s="117"/>
      <c r="F575" s="98"/>
      <c r="G575" s="117"/>
      <c r="H575" s="100"/>
      <c r="I575" s="158"/>
      <c r="L575" s="151"/>
    </row>
    <row r="576" spans="1:12" ht="15.75" customHeight="1">
      <c r="A576" s="96">
        <v>46373</v>
      </c>
      <c r="B576" s="99"/>
      <c r="C576" s="98"/>
      <c r="D576" s="117"/>
      <c r="E576" s="117"/>
      <c r="F576" s="98"/>
      <c r="G576" s="117"/>
      <c r="H576" s="100"/>
      <c r="I576" s="158"/>
      <c r="L576" s="151"/>
    </row>
    <row r="577" spans="1:12" ht="15.75" customHeight="1">
      <c r="A577" s="96">
        <v>46374</v>
      </c>
      <c r="B577" s="99"/>
      <c r="C577" s="98"/>
      <c r="D577" s="117"/>
      <c r="E577" s="117"/>
      <c r="F577" s="98"/>
      <c r="G577" s="117"/>
      <c r="H577" s="100"/>
      <c r="I577" s="158"/>
      <c r="L577" s="151"/>
    </row>
    <row r="578" spans="1:12" ht="15.75" customHeight="1">
      <c r="A578" s="96">
        <v>46375</v>
      </c>
      <c r="B578" s="99"/>
      <c r="C578" s="98"/>
      <c r="D578" s="117"/>
      <c r="E578" s="117"/>
      <c r="F578" s="98"/>
      <c r="G578" s="117"/>
      <c r="H578" s="100"/>
      <c r="I578" s="158"/>
      <c r="L578" s="151"/>
    </row>
    <row r="579" spans="1:12" ht="15.75" customHeight="1">
      <c r="A579" s="96">
        <v>46376</v>
      </c>
      <c r="B579" s="99"/>
      <c r="C579" s="98"/>
      <c r="D579" s="117"/>
      <c r="E579" s="117"/>
      <c r="F579" s="98"/>
      <c r="G579" s="117"/>
      <c r="H579" s="100"/>
      <c r="I579" s="158"/>
      <c r="L579" s="151"/>
    </row>
    <row r="580" spans="1:12" ht="15.75" customHeight="1">
      <c r="A580" s="96">
        <v>46377</v>
      </c>
      <c r="B580" s="99"/>
      <c r="C580" s="98"/>
      <c r="D580" s="117"/>
      <c r="E580" s="117"/>
      <c r="F580" s="98"/>
      <c r="G580" s="117"/>
      <c r="H580" s="100"/>
      <c r="I580" s="158"/>
      <c r="L580" s="151"/>
    </row>
    <row r="581" spans="1:12" ht="15.75" customHeight="1">
      <c r="A581" s="96">
        <v>46378</v>
      </c>
      <c r="B581" s="99"/>
      <c r="C581" s="98"/>
      <c r="D581" s="117"/>
      <c r="E581" s="117"/>
      <c r="F581" s="98"/>
      <c r="G581" s="117"/>
      <c r="H581" s="100"/>
      <c r="I581" s="158"/>
      <c r="L581" s="151"/>
    </row>
    <row r="582" spans="1:12" ht="15.75" customHeight="1">
      <c r="A582" s="96">
        <v>46379</v>
      </c>
      <c r="B582" s="99"/>
      <c r="C582" s="98"/>
      <c r="D582" s="117"/>
      <c r="E582" s="117"/>
      <c r="F582" s="98"/>
      <c r="G582" s="117"/>
      <c r="H582" s="100"/>
      <c r="I582" s="158"/>
      <c r="L582" s="151"/>
    </row>
    <row r="583" spans="1:12" ht="15.75" customHeight="1">
      <c r="A583" s="96">
        <v>46380</v>
      </c>
      <c r="B583" s="99"/>
      <c r="C583" s="98"/>
      <c r="D583" s="117"/>
      <c r="E583" s="117"/>
      <c r="F583" s="98"/>
      <c r="G583" s="117"/>
      <c r="H583" s="100"/>
      <c r="I583" s="158"/>
      <c r="L583" s="151"/>
    </row>
    <row r="584" spans="1:12" ht="15.75" customHeight="1">
      <c r="A584" s="96">
        <v>46381</v>
      </c>
      <c r="B584" s="99"/>
      <c r="C584" s="98"/>
      <c r="D584" s="117"/>
      <c r="E584" s="117"/>
      <c r="F584" s="98"/>
      <c r="G584" s="117"/>
      <c r="H584" s="100"/>
      <c r="I584" s="158"/>
      <c r="L584" s="151"/>
    </row>
    <row r="585" spans="1:12" ht="15.75" customHeight="1">
      <c r="A585" s="96">
        <v>46382</v>
      </c>
      <c r="B585" s="99"/>
      <c r="C585" s="98"/>
      <c r="D585" s="117"/>
      <c r="E585" s="117"/>
      <c r="F585" s="98"/>
      <c r="G585" s="117"/>
      <c r="H585" s="100"/>
      <c r="I585" s="158"/>
      <c r="L585" s="151"/>
    </row>
    <row r="586" spans="1:12" ht="15.75" customHeight="1">
      <c r="A586" s="96">
        <v>46383</v>
      </c>
      <c r="B586" s="99"/>
      <c r="C586" s="98"/>
      <c r="D586" s="117"/>
      <c r="E586" s="117"/>
      <c r="F586" s="98"/>
      <c r="G586" s="117"/>
      <c r="H586" s="100"/>
      <c r="I586" s="158"/>
      <c r="L586" s="151"/>
    </row>
    <row r="587" spans="1:12" ht="15.75" customHeight="1">
      <c r="A587" s="96">
        <v>46384</v>
      </c>
      <c r="B587" s="99"/>
      <c r="C587" s="98"/>
      <c r="D587" s="117"/>
      <c r="E587" s="117"/>
      <c r="F587" s="98"/>
      <c r="G587" s="117"/>
      <c r="H587" s="100"/>
      <c r="I587" s="158"/>
      <c r="L587" s="151"/>
    </row>
    <row r="588" spans="1:12" ht="15.75" customHeight="1">
      <c r="A588" s="96">
        <v>46385</v>
      </c>
      <c r="B588" s="99"/>
      <c r="C588" s="98"/>
      <c r="D588" s="117"/>
      <c r="E588" s="117"/>
      <c r="F588" s="98"/>
      <c r="G588" s="117"/>
      <c r="H588" s="100"/>
      <c r="I588" s="158"/>
      <c r="L588" s="151"/>
    </row>
    <row r="589" spans="1:12" ht="15.75" customHeight="1">
      <c r="A589" s="96">
        <v>46386</v>
      </c>
      <c r="B589" s="99"/>
      <c r="C589" s="98"/>
      <c r="D589" s="117"/>
      <c r="E589" s="117"/>
      <c r="F589" s="98"/>
      <c r="G589" s="117"/>
      <c r="H589" s="100"/>
      <c r="I589" s="158"/>
      <c r="L589" s="151"/>
    </row>
    <row r="590" spans="1:12" ht="15.75" customHeight="1">
      <c r="A590" s="96">
        <v>46387</v>
      </c>
      <c r="B590" s="99"/>
      <c r="C590" s="98"/>
      <c r="D590" s="117"/>
      <c r="E590" s="117"/>
      <c r="F590" s="98"/>
      <c r="G590" s="117"/>
      <c r="H590" s="100"/>
      <c r="I590" s="158"/>
      <c r="L590" s="151"/>
    </row>
    <row r="591" spans="1:12" ht="15.75" customHeight="1">
      <c r="A591" s="96">
        <v>46388</v>
      </c>
      <c r="B591" s="99"/>
      <c r="C591" s="98"/>
      <c r="D591" s="117"/>
      <c r="E591" s="117"/>
      <c r="F591" s="98"/>
      <c r="G591" s="117"/>
      <c r="H591" s="100"/>
      <c r="I591" s="158"/>
      <c r="L591" s="151"/>
    </row>
    <row r="592" spans="1:12" ht="15.75" customHeight="1">
      <c r="A592" s="96">
        <v>46389</v>
      </c>
      <c r="B592" s="99"/>
      <c r="C592" s="98"/>
      <c r="D592" s="117"/>
      <c r="E592" s="117"/>
      <c r="F592" s="98"/>
      <c r="G592" s="117"/>
      <c r="H592" s="100"/>
      <c r="I592" s="158"/>
      <c r="L592" s="151"/>
    </row>
    <row r="593" spans="1:12" ht="15.75" customHeight="1">
      <c r="A593" s="96">
        <v>46390</v>
      </c>
      <c r="B593" s="99"/>
      <c r="C593" s="98"/>
      <c r="D593" s="117"/>
      <c r="E593" s="117"/>
      <c r="F593" s="98"/>
      <c r="G593" s="117"/>
      <c r="H593" s="100"/>
      <c r="I593" s="158"/>
      <c r="L593" s="151"/>
    </row>
    <row r="594" spans="1:12" ht="15.75" customHeight="1">
      <c r="A594" s="96">
        <v>46391</v>
      </c>
      <c r="B594" s="99"/>
      <c r="C594" s="98"/>
      <c r="D594" s="117"/>
      <c r="E594" s="117"/>
      <c r="F594" s="98"/>
      <c r="G594" s="117"/>
      <c r="H594" s="100"/>
      <c r="I594" s="158"/>
      <c r="L594" s="151"/>
    </row>
    <row r="595" spans="1:12" ht="15.75" customHeight="1">
      <c r="A595" s="96">
        <v>46392</v>
      </c>
      <c r="B595" s="99"/>
      <c r="C595" s="98"/>
      <c r="D595" s="117"/>
      <c r="E595" s="117"/>
      <c r="F595" s="98"/>
      <c r="G595" s="117"/>
      <c r="H595" s="100"/>
      <c r="I595" s="158"/>
      <c r="L595" s="151"/>
    </row>
    <row r="596" spans="1:12" ht="15.75" customHeight="1">
      <c r="A596" s="96">
        <v>46393</v>
      </c>
      <c r="B596" s="99"/>
      <c r="C596" s="98"/>
      <c r="D596" s="117"/>
      <c r="E596" s="117"/>
      <c r="F596" s="98"/>
      <c r="G596" s="117"/>
      <c r="H596" s="100"/>
      <c r="I596" s="158"/>
      <c r="L596" s="151"/>
    </row>
    <row r="597" spans="1:12" ht="15.75" customHeight="1">
      <c r="A597" s="96">
        <v>46394</v>
      </c>
      <c r="B597" s="99"/>
      <c r="C597" s="98"/>
      <c r="D597" s="117"/>
      <c r="E597" s="117"/>
      <c r="F597" s="98"/>
      <c r="G597" s="117"/>
      <c r="H597" s="100"/>
      <c r="I597" s="158"/>
      <c r="L597" s="151"/>
    </row>
    <row r="598" spans="1:12" ht="15.75" customHeight="1">
      <c r="A598" s="96">
        <v>46395</v>
      </c>
      <c r="B598" s="99"/>
      <c r="C598" s="98"/>
      <c r="D598" s="117"/>
      <c r="E598" s="117"/>
      <c r="F598" s="98"/>
      <c r="G598" s="117"/>
      <c r="H598" s="100"/>
      <c r="I598" s="158"/>
      <c r="L598" s="151"/>
    </row>
    <row r="599" spans="1:12" ht="15.75" customHeight="1">
      <c r="A599" s="96">
        <v>46396</v>
      </c>
      <c r="B599" s="99"/>
      <c r="C599" s="98"/>
      <c r="D599" s="117"/>
      <c r="E599" s="117"/>
      <c r="F599" s="98"/>
      <c r="G599" s="117"/>
      <c r="H599" s="100"/>
      <c r="I599" s="158"/>
      <c r="L599" s="151"/>
    </row>
    <row r="600" spans="1:12" ht="15.75" customHeight="1">
      <c r="A600" s="96">
        <v>46397</v>
      </c>
      <c r="B600" s="99"/>
      <c r="C600" s="98"/>
      <c r="D600" s="117"/>
      <c r="E600" s="117"/>
      <c r="F600" s="98"/>
      <c r="G600" s="117"/>
      <c r="H600" s="100"/>
      <c r="I600" s="158"/>
      <c r="L600" s="151"/>
    </row>
    <row r="601" spans="1:12" ht="15.75" customHeight="1">
      <c r="A601" s="96">
        <v>46398</v>
      </c>
      <c r="B601" s="99"/>
      <c r="C601" s="98"/>
      <c r="D601" s="117"/>
      <c r="E601" s="117"/>
      <c r="F601" s="98"/>
      <c r="G601" s="117"/>
      <c r="H601" s="100"/>
      <c r="I601" s="158"/>
      <c r="L601" s="151"/>
    </row>
    <row r="602" spans="1:12" ht="15.75" customHeight="1">
      <c r="A602" s="96">
        <v>46399</v>
      </c>
      <c r="B602" s="99"/>
      <c r="C602" s="98"/>
      <c r="D602" s="117"/>
      <c r="E602" s="117"/>
      <c r="F602" s="98"/>
      <c r="G602" s="117"/>
      <c r="H602" s="100"/>
      <c r="I602" s="158"/>
      <c r="L602" s="151"/>
    </row>
    <row r="603" spans="1:12" ht="15.75" customHeight="1">
      <c r="A603" s="96">
        <v>46400</v>
      </c>
      <c r="B603" s="99"/>
      <c r="C603" s="98"/>
      <c r="D603" s="117"/>
      <c r="E603" s="117"/>
      <c r="F603" s="98"/>
      <c r="G603" s="117"/>
      <c r="H603" s="100"/>
      <c r="I603" s="158"/>
      <c r="L603" s="151"/>
    </row>
    <row r="604" spans="1:12" ht="15.75" customHeight="1">
      <c r="A604" s="96">
        <v>46401</v>
      </c>
      <c r="B604" s="99"/>
      <c r="C604" s="98"/>
      <c r="D604" s="117"/>
      <c r="E604" s="117"/>
      <c r="F604" s="98"/>
      <c r="G604" s="117"/>
      <c r="H604" s="100"/>
      <c r="I604" s="158"/>
      <c r="L604" s="151"/>
    </row>
    <row r="605" spans="1:12" ht="15.75" customHeight="1">
      <c r="A605" s="96">
        <v>46402</v>
      </c>
      <c r="B605" s="99"/>
      <c r="C605" s="98"/>
      <c r="D605" s="117"/>
      <c r="E605" s="117"/>
      <c r="F605" s="98"/>
      <c r="G605" s="117"/>
      <c r="H605" s="100"/>
      <c r="I605" s="158"/>
      <c r="L605" s="151"/>
    </row>
    <row r="606" spans="1:12" ht="15.75" customHeight="1">
      <c r="A606" s="96">
        <v>46403</v>
      </c>
      <c r="B606" s="99"/>
      <c r="C606" s="98"/>
      <c r="D606" s="117"/>
      <c r="E606" s="117"/>
      <c r="F606" s="98"/>
      <c r="G606" s="117"/>
      <c r="H606" s="100"/>
      <c r="I606" s="158"/>
      <c r="L606" s="151"/>
    </row>
    <row r="607" spans="1:12" ht="15.75" customHeight="1">
      <c r="A607" s="96">
        <v>46404</v>
      </c>
      <c r="B607" s="99"/>
      <c r="C607" s="98"/>
      <c r="D607" s="117"/>
      <c r="E607" s="117"/>
      <c r="F607" s="98"/>
      <c r="G607" s="117"/>
      <c r="H607" s="100"/>
      <c r="I607" s="158"/>
      <c r="L607" s="151"/>
    </row>
    <row r="608" spans="1:12" ht="15.75" customHeight="1">
      <c r="A608" s="96">
        <v>46405</v>
      </c>
      <c r="B608" s="99"/>
      <c r="C608" s="98"/>
      <c r="D608" s="117"/>
      <c r="E608" s="117"/>
      <c r="F608" s="98"/>
      <c r="G608" s="117"/>
      <c r="H608" s="100"/>
      <c r="I608" s="158"/>
      <c r="L608" s="151"/>
    </row>
    <row r="609" spans="1:12" ht="15.75" customHeight="1">
      <c r="A609" s="96">
        <v>46406</v>
      </c>
      <c r="B609" s="99"/>
      <c r="C609" s="98"/>
      <c r="D609" s="117"/>
      <c r="E609" s="117"/>
      <c r="F609" s="98"/>
      <c r="G609" s="117"/>
      <c r="H609" s="100"/>
      <c r="I609" s="158"/>
      <c r="L609" s="151"/>
    </row>
    <row r="610" spans="1:12" ht="15.75" customHeight="1">
      <c r="A610" s="96">
        <v>46407</v>
      </c>
      <c r="B610" s="99"/>
      <c r="C610" s="98"/>
      <c r="D610" s="117"/>
      <c r="E610" s="117"/>
      <c r="F610" s="98"/>
      <c r="G610" s="117"/>
      <c r="H610" s="100"/>
      <c r="I610" s="158"/>
      <c r="L610" s="151"/>
    </row>
    <row r="611" spans="1:12" ht="15.75" customHeight="1">
      <c r="A611" s="96">
        <v>46408</v>
      </c>
      <c r="B611" s="99"/>
      <c r="C611" s="98"/>
      <c r="D611" s="117"/>
      <c r="E611" s="117"/>
      <c r="F611" s="98"/>
      <c r="G611" s="117"/>
      <c r="H611" s="100"/>
      <c r="I611" s="158"/>
      <c r="L611" s="151"/>
    </row>
    <row r="612" spans="1:12" ht="15.75" customHeight="1">
      <c r="A612" s="96">
        <v>46409</v>
      </c>
      <c r="B612" s="99"/>
      <c r="C612" s="98"/>
      <c r="D612" s="117"/>
      <c r="E612" s="117"/>
      <c r="F612" s="98"/>
      <c r="G612" s="117"/>
      <c r="H612" s="100"/>
      <c r="I612" s="158"/>
      <c r="L612" s="151"/>
    </row>
    <row r="613" spans="1:12" ht="15.75" customHeight="1">
      <c r="A613" s="96">
        <v>46410</v>
      </c>
      <c r="B613" s="99"/>
      <c r="C613" s="98"/>
      <c r="D613" s="117"/>
      <c r="E613" s="117"/>
      <c r="F613" s="98"/>
      <c r="G613" s="117"/>
      <c r="H613" s="100"/>
      <c r="I613" s="158"/>
      <c r="L613" s="151"/>
    </row>
    <row r="614" spans="1:12" ht="15.75" customHeight="1">
      <c r="A614" s="96">
        <v>46411</v>
      </c>
      <c r="B614" s="99"/>
      <c r="C614" s="98"/>
      <c r="D614" s="117"/>
      <c r="E614" s="117"/>
      <c r="F614" s="98"/>
      <c r="G614" s="117"/>
      <c r="H614" s="100"/>
      <c r="I614" s="158"/>
      <c r="L614" s="151"/>
    </row>
    <row r="615" spans="1:12" ht="15.75" customHeight="1">
      <c r="A615" s="96">
        <v>46412</v>
      </c>
      <c r="B615" s="99"/>
      <c r="C615" s="98"/>
      <c r="D615" s="117"/>
      <c r="E615" s="117"/>
      <c r="F615" s="98"/>
      <c r="G615" s="117"/>
      <c r="H615" s="100"/>
      <c r="I615" s="158"/>
      <c r="L615" s="151"/>
    </row>
    <row r="616" spans="1:12" ht="15.75" customHeight="1">
      <c r="A616" s="96">
        <v>46413</v>
      </c>
      <c r="B616" s="99"/>
      <c r="C616" s="98"/>
      <c r="D616" s="117"/>
      <c r="E616" s="117"/>
      <c r="F616" s="98"/>
      <c r="G616" s="117"/>
      <c r="H616" s="100"/>
      <c r="I616" s="158"/>
      <c r="L616" s="151"/>
    </row>
    <row r="617" spans="1:12" ht="15.75" customHeight="1">
      <c r="A617" s="96">
        <v>46414</v>
      </c>
      <c r="B617" s="99"/>
      <c r="C617" s="98"/>
      <c r="D617" s="117"/>
      <c r="E617" s="117"/>
      <c r="F617" s="98"/>
      <c r="G617" s="117"/>
      <c r="H617" s="100"/>
      <c r="I617" s="158"/>
      <c r="L617" s="151"/>
    </row>
    <row r="618" spans="1:12" ht="15.75" customHeight="1">
      <c r="A618" s="96">
        <v>46415</v>
      </c>
      <c r="B618" s="99"/>
      <c r="C618" s="98"/>
      <c r="D618" s="117"/>
      <c r="E618" s="117"/>
      <c r="F618" s="98"/>
      <c r="G618" s="117"/>
      <c r="H618" s="100"/>
      <c r="I618" s="158"/>
      <c r="L618" s="151"/>
    </row>
    <row r="619" spans="1:12" ht="15.75" customHeight="1">
      <c r="A619" s="96">
        <v>46416</v>
      </c>
      <c r="B619" s="99"/>
      <c r="C619" s="98"/>
      <c r="D619" s="117"/>
      <c r="E619" s="117"/>
      <c r="F619" s="98"/>
      <c r="G619" s="117"/>
      <c r="H619" s="100"/>
      <c r="I619" s="158"/>
      <c r="L619" s="151"/>
    </row>
    <row r="620" spans="1:12" ht="15.75" customHeight="1">
      <c r="A620" s="96">
        <v>46417</v>
      </c>
      <c r="B620" s="99"/>
      <c r="C620" s="98"/>
      <c r="D620" s="117"/>
      <c r="E620" s="117"/>
      <c r="F620" s="98"/>
      <c r="G620" s="117"/>
      <c r="H620" s="100"/>
      <c r="I620" s="158"/>
      <c r="L620" s="151"/>
    </row>
    <row r="621" spans="1:12" ht="15.75" customHeight="1">
      <c r="A621" s="96">
        <v>46418</v>
      </c>
      <c r="B621" s="99"/>
      <c r="C621" s="98"/>
      <c r="D621" s="117"/>
      <c r="E621" s="117"/>
      <c r="F621" s="98"/>
      <c r="G621" s="117"/>
      <c r="H621" s="100"/>
      <c r="I621" s="158"/>
      <c r="L621" s="151"/>
    </row>
    <row r="622" spans="1:12" ht="15.75" customHeight="1">
      <c r="A622" s="96">
        <v>46419</v>
      </c>
      <c r="B622" s="99"/>
      <c r="C622" s="98"/>
      <c r="D622" s="117"/>
      <c r="E622" s="117"/>
      <c r="F622" s="98"/>
      <c r="G622" s="117"/>
      <c r="H622" s="100"/>
      <c r="I622" s="158"/>
      <c r="L622" s="151"/>
    </row>
    <row r="623" spans="1:12" ht="15.75" customHeight="1">
      <c r="A623" s="96">
        <v>46420</v>
      </c>
      <c r="B623" s="99"/>
      <c r="C623" s="98"/>
      <c r="D623" s="117"/>
      <c r="E623" s="117"/>
      <c r="F623" s="98"/>
      <c r="G623" s="117"/>
      <c r="H623" s="100"/>
      <c r="I623" s="158"/>
      <c r="L623" s="151"/>
    </row>
    <row r="624" spans="1:12" ht="15.75" customHeight="1">
      <c r="A624" s="96">
        <v>46421</v>
      </c>
      <c r="B624" s="99"/>
      <c r="C624" s="98"/>
      <c r="D624" s="117"/>
      <c r="E624" s="117"/>
      <c r="F624" s="98"/>
      <c r="G624" s="117"/>
      <c r="H624" s="100"/>
      <c r="I624" s="158"/>
      <c r="L624" s="151"/>
    </row>
    <row r="625" spans="1:12" ht="15.75" customHeight="1">
      <c r="A625" s="96">
        <v>46422</v>
      </c>
      <c r="B625" s="99"/>
      <c r="C625" s="98"/>
      <c r="D625" s="117"/>
      <c r="E625" s="117"/>
      <c r="F625" s="98"/>
      <c r="G625" s="117"/>
      <c r="H625" s="100"/>
      <c r="I625" s="158"/>
      <c r="L625" s="151"/>
    </row>
    <row r="626" spans="1:12" ht="15.75" customHeight="1">
      <c r="A626" s="96">
        <v>46423</v>
      </c>
      <c r="B626" s="99"/>
      <c r="C626" s="98"/>
      <c r="D626" s="117"/>
      <c r="E626" s="117"/>
      <c r="F626" s="98"/>
      <c r="G626" s="117"/>
      <c r="H626" s="100"/>
      <c r="I626" s="158"/>
      <c r="L626" s="151"/>
    </row>
    <row r="627" spans="1:12" ht="15.75" customHeight="1">
      <c r="A627" s="96">
        <v>46424</v>
      </c>
      <c r="B627" s="99"/>
      <c r="C627" s="98"/>
      <c r="D627" s="117"/>
      <c r="E627" s="117"/>
      <c r="F627" s="98"/>
      <c r="G627" s="117"/>
      <c r="H627" s="100"/>
      <c r="I627" s="158"/>
      <c r="L627" s="151"/>
    </row>
    <row r="628" spans="1:12" ht="15.75" customHeight="1">
      <c r="A628" s="96">
        <v>46425</v>
      </c>
      <c r="B628" s="99"/>
      <c r="C628" s="98"/>
      <c r="D628" s="117"/>
      <c r="E628" s="117"/>
      <c r="F628" s="98"/>
      <c r="G628" s="117"/>
      <c r="H628" s="100"/>
      <c r="I628" s="158"/>
      <c r="L628" s="151"/>
    </row>
    <row r="629" spans="1:12" ht="15.75" customHeight="1">
      <c r="A629" s="96">
        <v>46426</v>
      </c>
      <c r="B629" s="99"/>
      <c r="C629" s="98"/>
      <c r="D629" s="117"/>
      <c r="E629" s="117"/>
      <c r="F629" s="98"/>
      <c r="G629" s="117"/>
      <c r="H629" s="100"/>
      <c r="I629" s="158"/>
      <c r="L629" s="151"/>
    </row>
    <row r="630" spans="1:12" ht="15.75" customHeight="1">
      <c r="A630" s="96">
        <v>46427</v>
      </c>
      <c r="B630" s="99"/>
      <c r="C630" s="98"/>
      <c r="D630" s="117"/>
      <c r="E630" s="117"/>
      <c r="F630" s="98"/>
      <c r="G630" s="117"/>
      <c r="H630" s="100"/>
      <c r="I630" s="158"/>
      <c r="L630" s="151"/>
    </row>
    <row r="631" spans="1:12" ht="15.75" customHeight="1">
      <c r="A631" s="96">
        <v>46428</v>
      </c>
      <c r="B631" s="99"/>
      <c r="C631" s="98"/>
      <c r="D631" s="117"/>
      <c r="E631" s="117"/>
      <c r="F631" s="98"/>
      <c r="G631" s="117"/>
      <c r="H631" s="100"/>
      <c r="I631" s="158"/>
      <c r="L631" s="151"/>
    </row>
    <row r="632" spans="1:12" ht="15.75" customHeight="1">
      <c r="A632" s="96">
        <v>46429</v>
      </c>
      <c r="B632" s="99"/>
      <c r="C632" s="98"/>
      <c r="D632" s="117"/>
      <c r="E632" s="117"/>
      <c r="F632" s="98"/>
      <c r="G632" s="117"/>
      <c r="H632" s="100"/>
      <c r="I632" s="158"/>
      <c r="L632" s="151"/>
    </row>
    <row r="633" spans="1:12" ht="15.75" customHeight="1">
      <c r="A633" s="96">
        <v>46430</v>
      </c>
      <c r="B633" s="99"/>
      <c r="C633" s="98"/>
      <c r="D633" s="117"/>
      <c r="E633" s="117"/>
      <c r="F633" s="98"/>
      <c r="G633" s="117"/>
      <c r="H633" s="100"/>
      <c r="I633" s="158"/>
      <c r="L633" s="151"/>
    </row>
    <row r="634" spans="1:12" ht="15.75" customHeight="1">
      <c r="A634" s="96">
        <v>46431</v>
      </c>
      <c r="B634" s="99"/>
      <c r="C634" s="98"/>
      <c r="D634" s="117"/>
      <c r="E634" s="117"/>
      <c r="F634" s="98"/>
      <c r="G634" s="117"/>
      <c r="H634" s="100"/>
      <c r="I634" s="158"/>
      <c r="L634" s="151"/>
    </row>
    <row r="635" spans="1:12" ht="15.75" customHeight="1">
      <c r="A635" s="96">
        <v>46432</v>
      </c>
      <c r="B635" s="99"/>
      <c r="C635" s="98"/>
      <c r="D635" s="117"/>
      <c r="E635" s="117"/>
      <c r="F635" s="98"/>
      <c r="G635" s="117"/>
      <c r="H635" s="100"/>
      <c r="I635" s="158"/>
      <c r="L635" s="151"/>
    </row>
    <row r="636" spans="1:12" ht="15.75" customHeight="1">
      <c r="A636" s="96">
        <v>46433</v>
      </c>
      <c r="B636" s="99"/>
      <c r="C636" s="98"/>
      <c r="D636" s="117"/>
      <c r="E636" s="117"/>
      <c r="F636" s="98"/>
      <c r="G636" s="117"/>
      <c r="H636" s="100"/>
      <c r="I636" s="158"/>
      <c r="L636" s="151"/>
    </row>
    <row r="637" spans="1:12" ht="15.75" customHeight="1">
      <c r="A637" s="96">
        <v>46434</v>
      </c>
      <c r="B637" s="99"/>
      <c r="C637" s="98"/>
      <c r="D637" s="117"/>
      <c r="E637" s="117"/>
      <c r="F637" s="98"/>
      <c r="G637" s="117"/>
      <c r="H637" s="100"/>
      <c r="I637" s="158"/>
      <c r="L637" s="151"/>
    </row>
    <row r="638" spans="1:12" ht="15.75" customHeight="1">
      <c r="A638" s="96">
        <v>46435</v>
      </c>
      <c r="B638" s="99"/>
      <c r="C638" s="98"/>
      <c r="D638" s="117"/>
      <c r="E638" s="117"/>
      <c r="F638" s="98"/>
      <c r="G638" s="117"/>
      <c r="H638" s="100"/>
      <c r="I638" s="158"/>
      <c r="L638" s="151"/>
    </row>
    <row r="639" spans="1:12" ht="15.75" customHeight="1">
      <c r="A639" s="96">
        <v>46436</v>
      </c>
      <c r="B639" s="99"/>
      <c r="C639" s="98"/>
      <c r="D639" s="117"/>
      <c r="E639" s="117"/>
      <c r="F639" s="98"/>
      <c r="G639" s="117"/>
      <c r="H639" s="100"/>
      <c r="I639" s="158"/>
      <c r="L639" s="151"/>
    </row>
    <row r="640" spans="1:12" ht="15.75" customHeight="1">
      <c r="A640" s="96">
        <v>46437</v>
      </c>
      <c r="B640" s="99"/>
      <c r="C640" s="98"/>
      <c r="D640" s="117"/>
      <c r="E640" s="117"/>
      <c r="F640" s="98"/>
      <c r="G640" s="117"/>
      <c r="H640" s="100"/>
      <c r="I640" s="158"/>
      <c r="L640" s="151"/>
    </row>
    <row r="641" spans="1:12" ht="15.75" customHeight="1">
      <c r="A641" s="96">
        <v>46438</v>
      </c>
      <c r="B641" s="99"/>
      <c r="C641" s="98"/>
      <c r="D641" s="117"/>
      <c r="E641" s="117"/>
      <c r="F641" s="98"/>
      <c r="G641" s="117"/>
      <c r="H641" s="100"/>
      <c r="I641" s="158"/>
      <c r="L641" s="151"/>
    </row>
    <row r="642" spans="1:12" ht="15.75" customHeight="1">
      <c r="A642" s="96">
        <v>46439</v>
      </c>
      <c r="B642" s="99"/>
      <c r="C642" s="98"/>
      <c r="D642" s="117"/>
      <c r="E642" s="117"/>
      <c r="F642" s="98"/>
      <c r="G642" s="117"/>
      <c r="H642" s="100"/>
      <c r="I642" s="158"/>
      <c r="L642" s="151"/>
    </row>
    <row r="643" spans="1:12" ht="15.75" customHeight="1">
      <c r="A643" s="96">
        <v>46440</v>
      </c>
      <c r="B643" s="99"/>
      <c r="C643" s="98"/>
      <c r="D643" s="117"/>
      <c r="E643" s="117"/>
      <c r="F643" s="98"/>
      <c r="G643" s="117"/>
      <c r="H643" s="100"/>
      <c r="I643" s="158"/>
      <c r="L643" s="151"/>
    </row>
    <row r="644" spans="1:12" ht="15.75" customHeight="1">
      <c r="A644" s="96">
        <v>46441</v>
      </c>
      <c r="B644" s="99"/>
      <c r="C644" s="98"/>
      <c r="D644" s="117"/>
      <c r="E644" s="117"/>
      <c r="F644" s="98"/>
      <c r="G644" s="117"/>
      <c r="H644" s="100"/>
      <c r="I644" s="158"/>
      <c r="L644" s="151"/>
    </row>
    <row r="645" spans="1:12" ht="15.75" customHeight="1">
      <c r="A645" s="96">
        <v>46442</v>
      </c>
      <c r="B645" s="99"/>
      <c r="C645" s="98"/>
      <c r="D645" s="117"/>
      <c r="E645" s="117"/>
      <c r="F645" s="98"/>
      <c r="G645" s="117"/>
      <c r="H645" s="100"/>
      <c r="I645" s="158"/>
      <c r="L645" s="151"/>
    </row>
    <row r="646" spans="1:12" ht="15.75" customHeight="1">
      <c r="A646" s="96">
        <v>46443</v>
      </c>
      <c r="B646" s="99"/>
      <c r="C646" s="98"/>
      <c r="D646" s="117"/>
      <c r="E646" s="117"/>
      <c r="F646" s="98"/>
      <c r="G646" s="117"/>
      <c r="H646" s="100"/>
      <c r="I646" s="158"/>
      <c r="L646" s="151"/>
    </row>
    <row r="647" spans="1:12" ht="15.75" customHeight="1">
      <c r="A647" s="96">
        <v>46444</v>
      </c>
      <c r="B647" s="99"/>
      <c r="C647" s="98"/>
      <c r="D647" s="117"/>
      <c r="E647" s="117"/>
      <c r="F647" s="98"/>
      <c r="G647" s="117"/>
      <c r="H647" s="100"/>
      <c r="I647" s="158"/>
      <c r="L647" s="151"/>
    </row>
    <row r="648" spans="1:12" ht="15.75" customHeight="1">
      <c r="A648" s="96">
        <v>46445</v>
      </c>
      <c r="B648" s="99"/>
      <c r="C648" s="98"/>
      <c r="D648" s="117"/>
      <c r="E648" s="117"/>
      <c r="F648" s="98"/>
      <c r="G648" s="117"/>
      <c r="H648" s="100"/>
      <c r="I648" s="158"/>
      <c r="L648" s="151"/>
    </row>
    <row r="649" spans="1:12" ht="15.75" customHeight="1">
      <c r="A649" s="96">
        <v>46446</v>
      </c>
      <c r="B649" s="99"/>
      <c r="C649" s="98"/>
      <c r="D649" s="117"/>
      <c r="E649" s="117"/>
      <c r="F649" s="98"/>
      <c r="G649" s="117"/>
      <c r="H649" s="100"/>
      <c r="I649" s="158"/>
      <c r="L649" s="151"/>
    </row>
    <row r="650" spans="1:12" ht="15.75" customHeight="1">
      <c r="A650" s="96">
        <v>46447</v>
      </c>
      <c r="B650" s="99"/>
      <c r="C650" s="98"/>
      <c r="D650" s="117"/>
      <c r="E650" s="117"/>
      <c r="F650" s="98"/>
      <c r="G650" s="117"/>
      <c r="H650" s="100"/>
      <c r="I650" s="158"/>
      <c r="L650" s="151"/>
    </row>
    <row r="651" spans="1:12" ht="15.75" customHeight="1">
      <c r="A651" s="96">
        <v>46448</v>
      </c>
      <c r="B651" s="99"/>
      <c r="C651" s="98"/>
      <c r="D651" s="117"/>
      <c r="E651" s="117"/>
      <c r="F651" s="98"/>
      <c r="G651" s="117"/>
      <c r="H651" s="100"/>
      <c r="I651" s="158"/>
      <c r="L651" s="151"/>
    </row>
    <row r="652" spans="1:12" ht="15.75" customHeight="1">
      <c r="A652" s="96">
        <v>46449</v>
      </c>
      <c r="B652" s="99"/>
      <c r="C652" s="98"/>
      <c r="D652" s="117"/>
      <c r="E652" s="117"/>
      <c r="F652" s="98"/>
      <c r="G652" s="117"/>
      <c r="H652" s="100"/>
      <c r="I652" s="158"/>
      <c r="L652" s="151"/>
    </row>
    <row r="653" spans="1:12" ht="15.75" customHeight="1">
      <c r="A653" s="96">
        <v>46450</v>
      </c>
      <c r="B653" s="99"/>
      <c r="C653" s="98"/>
      <c r="D653" s="117"/>
      <c r="E653" s="117"/>
      <c r="F653" s="98"/>
      <c r="G653" s="117"/>
      <c r="H653" s="100"/>
      <c r="I653" s="158"/>
      <c r="L653" s="151"/>
    </row>
    <row r="654" spans="1:12" ht="15.75" customHeight="1">
      <c r="A654" s="96">
        <v>46451</v>
      </c>
      <c r="B654" s="99"/>
      <c r="C654" s="98"/>
      <c r="D654" s="117"/>
      <c r="E654" s="117"/>
      <c r="F654" s="98"/>
      <c r="G654" s="117"/>
      <c r="H654" s="100"/>
      <c r="I654" s="158"/>
      <c r="L654" s="151"/>
    </row>
    <row r="655" spans="1:12" ht="15.75" customHeight="1">
      <c r="A655" s="96">
        <v>46452</v>
      </c>
      <c r="B655" s="99"/>
      <c r="C655" s="98"/>
      <c r="D655" s="117"/>
      <c r="E655" s="117"/>
      <c r="F655" s="98"/>
      <c r="G655" s="117"/>
      <c r="H655" s="100"/>
      <c r="I655" s="158"/>
      <c r="L655" s="151"/>
    </row>
    <row r="656" spans="1:12" ht="15.75" customHeight="1">
      <c r="A656" s="96">
        <v>46453</v>
      </c>
      <c r="B656" s="99"/>
      <c r="C656" s="98"/>
      <c r="D656" s="117"/>
      <c r="E656" s="117"/>
      <c r="F656" s="98"/>
      <c r="G656" s="117"/>
      <c r="H656" s="100"/>
      <c r="I656" s="158"/>
      <c r="L656" s="151"/>
    </row>
    <row r="657" spans="1:12" ht="15.75" customHeight="1">
      <c r="A657" s="96">
        <v>46454</v>
      </c>
      <c r="B657" s="99"/>
      <c r="C657" s="98"/>
      <c r="D657" s="117"/>
      <c r="E657" s="117"/>
      <c r="F657" s="98"/>
      <c r="G657" s="117"/>
      <c r="H657" s="100"/>
      <c r="I657" s="158"/>
      <c r="L657" s="151"/>
    </row>
    <row r="658" spans="1:12" ht="15.75" customHeight="1">
      <c r="A658" s="96">
        <v>46455</v>
      </c>
      <c r="B658" s="99"/>
      <c r="C658" s="98"/>
      <c r="D658" s="117"/>
      <c r="E658" s="117"/>
      <c r="F658" s="98"/>
      <c r="G658" s="117"/>
      <c r="H658" s="100"/>
      <c r="I658" s="158"/>
      <c r="L658" s="151"/>
    </row>
    <row r="659" spans="1:12" ht="15.75" customHeight="1">
      <c r="A659" s="96">
        <v>46456</v>
      </c>
      <c r="B659" s="99"/>
      <c r="C659" s="98"/>
      <c r="D659" s="117"/>
      <c r="E659" s="117"/>
      <c r="F659" s="98"/>
      <c r="G659" s="117"/>
      <c r="H659" s="100"/>
      <c r="I659" s="158"/>
      <c r="L659" s="151"/>
    </row>
    <row r="660" spans="1:12" ht="15.75" customHeight="1">
      <c r="A660" s="96">
        <v>46457</v>
      </c>
      <c r="B660" s="99"/>
      <c r="C660" s="98"/>
      <c r="D660" s="117"/>
      <c r="E660" s="117"/>
      <c r="F660" s="98"/>
      <c r="G660" s="117"/>
      <c r="H660" s="100"/>
      <c r="I660" s="158"/>
      <c r="L660" s="151"/>
    </row>
    <row r="661" spans="1:12" ht="15.75" customHeight="1">
      <c r="A661" s="96">
        <v>46458</v>
      </c>
      <c r="B661" s="99"/>
      <c r="C661" s="98"/>
      <c r="D661" s="117"/>
      <c r="E661" s="117"/>
      <c r="F661" s="98"/>
      <c r="G661" s="117"/>
      <c r="H661" s="100"/>
      <c r="I661" s="158"/>
      <c r="L661" s="151"/>
    </row>
    <row r="662" spans="1:12" ht="15.75" customHeight="1">
      <c r="A662" s="96">
        <v>46459</v>
      </c>
      <c r="B662" s="99"/>
      <c r="C662" s="98"/>
      <c r="D662" s="117"/>
      <c r="E662" s="117"/>
      <c r="F662" s="98"/>
      <c r="G662" s="117"/>
      <c r="H662" s="100"/>
      <c r="I662" s="158"/>
      <c r="L662" s="151"/>
    </row>
    <row r="663" spans="1:12" ht="15.75" customHeight="1">
      <c r="A663" s="96">
        <v>46460</v>
      </c>
      <c r="B663" s="99"/>
      <c r="C663" s="98"/>
      <c r="D663" s="117"/>
      <c r="E663" s="117"/>
      <c r="F663" s="98"/>
      <c r="G663" s="117"/>
      <c r="H663" s="100"/>
      <c r="I663" s="158"/>
      <c r="L663" s="151"/>
    </row>
    <row r="664" spans="1:12" ht="15.75" customHeight="1">
      <c r="A664" s="96">
        <v>46461</v>
      </c>
      <c r="B664" s="99"/>
      <c r="C664" s="98"/>
      <c r="D664" s="117"/>
      <c r="E664" s="117"/>
      <c r="F664" s="98"/>
      <c r="G664" s="117"/>
      <c r="H664" s="100"/>
      <c r="I664" s="158"/>
      <c r="L664" s="151"/>
    </row>
    <row r="665" spans="1:12" ht="15.75" customHeight="1">
      <c r="A665" s="96">
        <v>46462</v>
      </c>
      <c r="B665" s="99"/>
      <c r="C665" s="98"/>
      <c r="D665" s="117"/>
      <c r="E665" s="117"/>
      <c r="F665" s="98"/>
      <c r="G665" s="117"/>
      <c r="H665" s="100"/>
      <c r="I665" s="158"/>
      <c r="L665" s="151"/>
    </row>
    <row r="666" spans="1:12" ht="15.75" customHeight="1">
      <c r="A666" s="96">
        <v>46463</v>
      </c>
      <c r="B666" s="99"/>
      <c r="C666" s="98"/>
      <c r="D666" s="117"/>
      <c r="E666" s="117"/>
      <c r="F666" s="98"/>
      <c r="G666" s="117"/>
      <c r="H666" s="100"/>
      <c r="I666" s="158"/>
      <c r="L666" s="151"/>
    </row>
    <row r="667" spans="1:12" ht="15.75" customHeight="1">
      <c r="A667" s="96">
        <v>46464</v>
      </c>
      <c r="B667" s="99"/>
      <c r="C667" s="98"/>
      <c r="D667" s="117"/>
      <c r="E667" s="117"/>
      <c r="F667" s="98"/>
      <c r="G667" s="117"/>
      <c r="H667" s="100"/>
      <c r="I667" s="158"/>
      <c r="L667" s="151"/>
    </row>
    <row r="668" spans="1:12" ht="15.75" customHeight="1">
      <c r="A668" s="96">
        <v>46465</v>
      </c>
      <c r="B668" s="99"/>
      <c r="C668" s="98"/>
      <c r="D668" s="117"/>
      <c r="E668" s="117"/>
      <c r="F668" s="98"/>
      <c r="G668" s="117"/>
      <c r="H668" s="100"/>
      <c r="I668" s="158"/>
      <c r="L668" s="151"/>
    </row>
    <row r="669" spans="1:12" ht="15.75" customHeight="1">
      <c r="A669" s="96">
        <v>46466</v>
      </c>
      <c r="B669" s="99"/>
      <c r="C669" s="98"/>
      <c r="D669" s="117"/>
      <c r="E669" s="117"/>
      <c r="F669" s="98"/>
      <c r="G669" s="117"/>
      <c r="H669" s="100"/>
      <c r="I669" s="158"/>
      <c r="L669" s="151"/>
    </row>
    <row r="670" spans="1:12" ht="15.75" customHeight="1">
      <c r="A670" s="96">
        <v>46467</v>
      </c>
      <c r="B670" s="99"/>
      <c r="C670" s="98"/>
      <c r="D670" s="117"/>
      <c r="E670" s="117"/>
      <c r="F670" s="98"/>
      <c r="G670" s="117"/>
      <c r="H670" s="100"/>
      <c r="I670" s="158"/>
      <c r="L670" s="151"/>
    </row>
    <row r="671" spans="1:12" ht="15.75" customHeight="1">
      <c r="A671" s="96">
        <v>46468</v>
      </c>
      <c r="B671" s="99"/>
      <c r="C671" s="98"/>
      <c r="D671" s="117"/>
      <c r="E671" s="117"/>
      <c r="F671" s="98"/>
      <c r="G671" s="117"/>
      <c r="H671" s="100"/>
      <c r="I671" s="158"/>
      <c r="L671" s="151"/>
    </row>
    <row r="672" spans="1:12" ht="15.75" customHeight="1">
      <c r="A672" s="96">
        <v>46469</v>
      </c>
      <c r="B672" s="99"/>
      <c r="C672" s="98"/>
      <c r="D672" s="117"/>
      <c r="E672" s="117"/>
      <c r="F672" s="98"/>
      <c r="G672" s="117"/>
      <c r="H672" s="100"/>
      <c r="I672" s="158"/>
      <c r="L672" s="151"/>
    </row>
    <row r="673" spans="1:12" ht="15.75" customHeight="1">
      <c r="A673" s="96">
        <v>46470</v>
      </c>
      <c r="B673" s="99"/>
      <c r="C673" s="98"/>
      <c r="D673" s="117"/>
      <c r="E673" s="117"/>
      <c r="F673" s="98"/>
      <c r="G673" s="117"/>
      <c r="H673" s="100"/>
      <c r="I673" s="158"/>
      <c r="L673" s="151"/>
    </row>
    <row r="674" spans="1:12" ht="15.75" customHeight="1">
      <c r="A674" s="96">
        <v>46471</v>
      </c>
      <c r="B674" s="99"/>
      <c r="C674" s="98"/>
      <c r="D674" s="117"/>
      <c r="E674" s="117"/>
      <c r="F674" s="98"/>
      <c r="G674" s="117"/>
      <c r="H674" s="100"/>
      <c r="I674" s="158"/>
      <c r="L674" s="151"/>
    </row>
    <row r="675" spans="1:12" ht="15.75" customHeight="1">
      <c r="A675" s="96">
        <v>46472</v>
      </c>
      <c r="B675" s="99"/>
      <c r="C675" s="98"/>
      <c r="D675" s="117"/>
      <c r="E675" s="117"/>
      <c r="F675" s="98"/>
      <c r="G675" s="117"/>
      <c r="H675" s="100"/>
      <c r="I675" s="158"/>
      <c r="L675" s="151"/>
    </row>
    <row r="676" spans="1:12" ht="15.75" customHeight="1">
      <c r="A676" s="96">
        <v>46473</v>
      </c>
      <c r="B676" s="99"/>
      <c r="C676" s="98"/>
      <c r="D676" s="117"/>
      <c r="E676" s="117"/>
      <c r="F676" s="98"/>
      <c r="G676" s="117"/>
      <c r="H676" s="100"/>
      <c r="I676" s="158"/>
      <c r="L676" s="151"/>
    </row>
    <row r="677" spans="1:12" ht="15.75" customHeight="1">
      <c r="A677" s="96">
        <v>46474</v>
      </c>
      <c r="B677" s="99"/>
      <c r="C677" s="98"/>
      <c r="D677" s="117"/>
      <c r="E677" s="117"/>
      <c r="F677" s="98"/>
      <c r="G677" s="117"/>
      <c r="H677" s="100"/>
      <c r="I677" s="158"/>
      <c r="L677" s="151"/>
    </row>
    <row r="678" spans="1:12" ht="15.75" customHeight="1">
      <c r="A678" s="96">
        <v>46475</v>
      </c>
      <c r="B678" s="99"/>
      <c r="C678" s="98"/>
      <c r="D678" s="117"/>
      <c r="E678" s="117"/>
      <c r="F678" s="98"/>
      <c r="G678" s="117"/>
      <c r="H678" s="100"/>
      <c r="I678" s="158"/>
      <c r="L678" s="151"/>
    </row>
    <row r="679" spans="1:12" ht="15.75" customHeight="1">
      <c r="A679" s="96">
        <v>46476</v>
      </c>
      <c r="B679" s="99"/>
      <c r="C679" s="98"/>
      <c r="D679" s="117"/>
      <c r="E679" s="117"/>
      <c r="F679" s="98"/>
      <c r="G679" s="117"/>
      <c r="H679" s="100"/>
      <c r="I679" s="158"/>
      <c r="L679" s="151"/>
    </row>
    <row r="680" spans="1:12" ht="15.75" customHeight="1">
      <c r="A680" s="96">
        <v>46477</v>
      </c>
      <c r="B680" s="99"/>
      <c r="C680" s="98"/>
      <c r="D680" s="117"/>
      <c r="E680" s="117"/>
      <c r="F680" s="98"/>
      <c r="G680" s="117"/>
      <c r="H680" s="100"/>
      <c r="I680" s="158"/>
      <c r="L680" s="151"/>
    </row>
    <row r="681" spans="1:12" ht="15.75" customHeight="1">
      <c r="A681" s="96">
        <v>46478</v>
      </c>
      <c r="B681" s="99"/>
      <c r="C681" s="98"/>
      <c r="D681" s="117"/>
      <c r="E681" s="117"/>
      <c r="F681" s="98"/>
      <c r="G681" s="117"/>
      <c r="H681" s="100"/>
      <c r="I681" s="158"/>
      <c r="L681" s="151"/>
    </row>
    <row r="682" spans="1:12" ht="15.75" customHeight="1">
      <c r="A682" s="96">
        <v>46479</v>
      </c>
      <c r="B682" s="99"/>
      <c r="C682" s="98"/>
      <c r="D682" s="117"/>
      <c r="E682" s="117"/>
      <c r="F682" s="98"/>
      <c r="G682" s="117"/>
      <c r="H682" s="100"/>
      <c r="I682" s="158"/>
      <c r="L682" s="151"/>
    </row>
    <row r="683" spans="1:12" ht="15.75" customHeight="1">
      <c r="A683" s="96">
        <v>46480</v>
      </c>
      <c r="B683" s="99"/>
      <c r="C683" s="98"/>
      <c r="D683" s="117"/>
      <c r="E683" s="117"/>
      <c r="F683" s="98"/>
      <c r="G683" s="117"/>
      <c r="H683" s="100"/>
      <c r="I683" s="158"/>
      <c r="L683" s="151"/>
    </row>
    <row r="684" spans="1:12" ht="15.75" customHeight="1">
      <c r="A684" s="96">
        <v>46481</v>
      </c>
      <c r="B684" s="99"/>
      <c r="C684" s="98"/>
      <c r="D684" s="117"/>
      <c r="E684" s="117"/>
      <c r="F684" s="98"/>
      <c r="G684" s="117"/>
      <c r="H684" s="100"/>
      <c r="I684" s="158"/>
      <c r="L684" s="151"/>
    </row>
    <row r="685" spans="1:12" ht="15.75" customHeight="1">
      <c r="A685" s="96">
        <v>46482</v>
      </c>
      <c r="B685" s="99"/>
      <c r="C685" s="98"/>
      <c r="D685" s="117"/>
      <c r="E685" s="117"/>
      <c r="F685" s="98"/>
      <c r="G685" s="117"/>
      <c r="H685" s="100"/>
      <c r="I685" s="158"/>
      <c r="L685" s="151"/>
    </row>
    <row r="686" spans="1:12" ht="15.75" customHeight="1">
      <c r="A686" s="96">
        <v>46483</v>
      </c>
      <c r="B686" s="99"/>
      <c r="C686" s="98"/>
      <c r="D686" s="117"/>
      <c r="E686" s="117"/>
      <c r="F686" s="98"/>
      <c r="G686" s="117"/>
      <c r="H686" s="100"/>
      <c r="I686" s="158"/>
      <c r="L686" s="151"/>
    </row>
    <row r="687" spans="1:12" ht="15.75" customHeight="1">
      <c r="A687" s="96">
        <v>46484</v>
      </c>
      <c r="B687" s="99"/>
      <c r="C687" s="98"/>
      <c r="D687" s="117"/>
      <c r="E687" s="117"/>
      <c r="F687" s="98"/>
      <c r="G687" s="117"/>
      <c r="H687" s="100"/>
      <c r="I687" s="158"/>
      <c r="L687" s="151"/>
    </row>
    <row r="688" spans="1:12" ht="15.75" customHeight="1">
      <c r="A688" s="96">
        <v>46485</v>
      </c>
      <c r="B688" s="99"/>
      <c r="C688" s="98"/>
      <c r="D688" s="117"/>
      <c r="E688" s="117"/>
      <c r="F688" s="98"/>
      <c r="G688" s="117"/>
      <c r="H688" s="100"/>
      <c r="I688" s="158"/>
      <c r="L688" s="151"/>
    </row>
    <row r="689" spans="1:12" ht="15.75" customHeight="1">
      <c r="A689" s="96">
        <v>46486</v>
      </c>
      <c r="B689" s="99"/>
      <c r="C689" s="98"/>
      <c r="D689" s="117"/>
      <c r="E689" s="117"/>
      <c r="F689" s="98"/>
      <c r="G689" s="117"/>
      <c r="H689" s="100"/>
      <c r="I689" s="158"/>
      <c r="L689" s="151"/>
    </row>
    <row r="690" spans="1:12" ht="15.75" customHeight="1">
      <c r="A690" s="96">
        <v>46487</v>
      </c>
      <c r="B690" s="99"/>
      <c r="C690" s="98"/>
      <c r="D690" s="117"/>
      <c r="E690" s="117"/>
      <c r="F690" s="98"/>
      <c r="G690" s="117"/>
      <c r="H690" s="100"/>
      <c r="I690" s="158"/>
      <c r="L690" s="151"/>
    </row>
    <row r="691" spans="1:12" ht="15.75" customHeight="1">
      <c r="A691" s="96">
        <v>46488</v>
      </c>
      <c r="B691" s="99"/>
      <c r="C691" s="98"/>
      <c r="D691" s="117"/>
      <c r="E691" s="117"/>
      <c r="F691" s="98"/>
      <c r="G691" s="117"/>
      <c r="H691" s="100"/>
      <c r="I691" s="158"/>
      <c r="L691" s="151"/>
    </row>
    <row r="692" spans="1:12" ht="15.75" customHeight="1">
      <c r="A692" s="96">
        <v>46489</v>
      </c>
      <c r="B692" s="99"/>
      <c r="C692" s="98"/>
      <c r="D692" s="117"/>
      <c r="E692" s="117"/>
      <c r="F692" s="98"/>
      <c r="G692" s="117"/>
      <c r="H692" s="100"/>
      <c r="I692" s="158"/>
      <c r="L692" s="151"/>
    </row>
    <row r="693" spans="1:12" ht="15.75" customHeight="1">
      <c r="A693" s="96">
        <v>46490</v>
      </c>
      <c r="B693" s="99"/>
      <c r="C693" s="98"/>
      <c r="D693" s="117"/>
      <c r="E693" s="117"/>
      <c r="F693" s="98"/>
      <c r="G693" s="117"/>
      <c r="H693" s="100"/>
      <c r="I693" s="158"/>
      <c r="L693" s="151"/>
    </row>
    <row r="694" spans="1:12" ht="15.75" customHeight="1">
      <c r="A694" s="96">
        <v>46491</v>
      </c>
      <c r="B694" s="99"/>
      <c r="C694" s="98"/>
      <c r="D694" s="117"/>
      <c r="E694" s="117"/>
      <c r="F694" s="98"/>
      <c r="G694" s="117"/>
      <c r="H694" s="100"/>
      <c r="I694" s="158"/>
      <c r="L694" s="151"/>
    </row>
    <row r="695" spans="1:12" ht="15.75" customHeight="1">
      <c r="A695" s="96">
        <v>46492</v>
      </c>
      <c r="B695" s="99"/>
      <c r="C695" s="98"/>
      <c r="D695" s="117"/>
      <c r="E695" s="117"/>
      <c r="F695" s="98"/>
      <c r="G695" s="117"/>
      <c r="H695" s="100"/>
      <c r="I695" s="158"/>
      <c r="L695" s="151"/>
    </row>
    <row r="696" spans="1:12" ht="15.75" customHeight="1">
      <c r="A696" s="96">
        <v>46493</v>
      </c>
      <c r="B696" s="99"/>
      <c r="C696" s="98"/>
      <c r="D696" s="117"/>
      <c r="E696" s="117"/>
      <c r="F696" s="98"/>
      <c r="G696" s="117"/>
      <c r="H696" s="100"/>
      <c r="I696" s="158"/>
      <c r="L696" s="151"/>
    </row>
    <row r="697" spans="1:12" ht="15.75" customHeight="1">
      <c r="A697" s="96">
        <v>46494</v>
      </c>
      <c r="B697" s="99"/>
      <c r="C697" s="98"/>
      <c r="D697" s="117"/>
      <c r="E697" s="117"/>
      <c r="F697" s="98"/>
      <c r="G697" s="117"/>
      <c r="H697" s="100"/>
      <c r="I697" s="158"/>
      <c r="L697" s="151"/>
    </row>
    <row r="698" spans="1:12" ht="15.75" customHeight="1">
      <c r="A698" s="96">
        <v>46495</v>
      </c>
      <c r="B698" s="99"/>
      <c r="C698" s="98"/>
      <c r="D698" s="117"/>
      <c r="E698" s="117"/>
      <c r="F698" s="98"/>
      <c r="G698" s="117"/>
      <c r="H698" s="100"/>
      <c r="I698" s="158"/>
      <c r="L698" s="151"/>
    </row>
    <row r="699" spans="1:12" ht="15.75" customHeight="1">
      <c r="A699" s="96">
        <v>46496</v>
      </c>
      <c r="B699" s="99"/>
      <c r="C699" s="98"/>
      <c r="D699" s="117"/>
      <c r="E699" s="117"/>
      <c r="F699" s="98"/>
      <c r="G699" s="117"/>
      <c r="H699" s="100"/>
      <c r="I699" s="158"/>
      <c r="L699" s="151"/>
    </row>
    <row r="700" spans="1:12" ht="15.75" customHeight="1">
      <c r="A700" s="96">
        <v>46497</v>
      </c>
      <c r="B700" s="99"/>
      <c r="C700" s="98"/>
      <c r="D700" s="117"/>
      <c r="E700" s="117"/>
      <c r="F700" s="98"/>
      <c r="G700" s="117"/>
      <c r="H700" s="100"/>
      <c r="I700" s="158"/>
      <c r="L700" s="151"/>
    </row>
    <row r="701" spans="1:12" ht="15.75" customHeight="1">
      <c r="A701" s="96">
        <v>46498</v>
      </c>
      <c r="B701" s="99"/>
      <c r="C701" s="98"/>
      <c r="D701" s="117"/>
      <c r="E701" s="117"/>
      <c r="F701" s="98"/>
      <c r="G701" s="117"/>
      <c r="H701" s="100"/>
      <c r="I701" s="158"/>
      <c r="L701" s="151"/>
    </row>
    <row r="702" spans="1:12" ht="15.75" customHeight="1">
      <c r="A702" s="96">
        <v>46499</v>
      </c>
      <c r="B702" s="99"/>
      <c r="C702" s="98"/>
      <c r="D702" s="117"/>
      <c r="E702" s="117"/>
      <c r="F702" s="98"/>
      <c r="G702" s="117"/>
      <c r="H702" s="100"/>
      <c r="I702" s="158"/>
      <c r="L702" s="151"/>
    </row>
    <row r="703" spans="1:12" ht="15.75" customHeight="1">
      <c r="A703" s="96">
        <v>46500</v>
      </c>
      <c r="B703" s="99"/>
      <c r="C703" s="98"/>
      <c r="D703" s="117"/>
      <c r="E703" s="117"/>
      <c r="F703" s="98"/>
      <c r="G703" s="117"/>
      <c r="H703" s="100"/>
      <c r="I703" s="158"/>
      <c r="L703" s="151"/>
    </row>
    <row r="704" spans="1:12" ht="15.75" customHeight="1">
      <c r="A704" s="96">
        <v>46501</v>
      </c>
      <c r="B704" s="99"/>
      <c r="C704" s="98"/>
      <c r="D704" s="117"/>
      <c r="E704" s="117"/>
      <c r="F704" s="98"/>
      <c r="G704" s="117"/>
      <c r="H704" s="100"/>
      <c r="I704" s="158"/>
      <c r="L704" s="151"/>
    </row>
    <row r="705" spans="1:12" ht="15.75" customHeight="1">
      <c r="A705" s="96">
        <v>46502</v>
      </c>
      <c r="B705" s="99"/>
      <c r="C705" s="98"/>
      <c r="D705" s="117"/>
      <c r="E705" s="117"/>
      <c r="F705" s="98"/>
      <c r="G705" s="117"/>
      <c r="H705" s="100"/>
      <c r="I705" s="158"/>
      <c r="L705" s="151"/>
    </row>
    <row r="706" spans="1:12" ht="15.75" customHeight="1">
      <c r="A706" s="96">
        <v>46503</v>
      </c>
      <c r="B706" s="99"/>
      <c r="C706" s="98"/>
      <c r="D706" s="117"/>
      <c r="E706" s="117"/>
      <c r="F706" s="98"/>
      <c r="G706" s="117"/>
      <c r="H706" s="100"/>
      <c r="I706" s="158"/>
      <c r="L706" s="151"/>
    </row>
    <row r="707" spans="1:12" ht="15.75" customHeight="1">
      <c r="A707" s="96">
        <v>46504</v>
      </c>
      <c r="B707" s="99"/>
      <c r="C707" s="98"/>
      <c r="D707" s="117"/>
      <c r="E707" s="117"/>
      <c r="F707" s="98"/>
      <c r="G707" s="117"/>
      <c r="H707" s="100"/>
      <c r="I707" s="158"/>
      <c r="L707" s="151"/>
    </row>
    <row r="708" spans="1:12" ht="15.75" customHeight="1">
      <c r="A708" s="96">
        <v>46505</v>
      </c>
      <c r="B708" s="99"/>
      <c r="C708" s="98"/>
      <c r="D708" s="117"/>
      <c r="E708" s="117"/>
      <c r="F708" s="98"/>
      <c r="G708" s="117"/>
      <c r="H708" s="100"/>
      <c r="I708" s="158"/>
      <c r="L708" s="151"/>
    </row>
    <row r="709" spans="1:12" ht="15.75" customHeight="1">
      <c r="A709" s="96">
        <v>46506</v>
      </c>
      <c r="B709" s="99"/>
      <c r="C709" s="98"/>
      <c r="D709" s="117"/>
      <c r="E709" s="117"/>
      <c r="F709" s="98"/>
      <c r="G709" s="117"/>
      <c r="H709" s="100"/>
      <c r="I709" s="158"/>
      <c r="L709" s="151"/>
    </row>
    <row r="710" spans="1:12" ht="15.75" customHeight="1">
      <c r="A710" s="96">
        <v>46507</v>
      </c>
      <c r="B710" s="99"/>
      <c r="C710" s="98"/>
      <c r="D710" s="117"/>
      <c r="E710" s="117"/>
      <c r="F710" s="98"/>
      <c r="G710" s="117"/>
      <c r="H710" s="100"/>
      <c r="I710" s="158"/>
      <c r="L710" s="151"/>
    </row>
    <row r="711" spans="1:12" ht="15.75" customHeight="1">
      <c r="A711" s="96">
        <v>46508</v>
      </c>
      <c r="B711" s="99"/>
      <c r="C711" s="98"/>
      <c r="D711" s="117"/>
      <c r="E711" s="117"/>
      <c r="F711" s="98"/>
      <c r="G711" s="117"/>
      <c r="H711" s="100"/>
      <c r="I711" s="158"/>
      <c r="L711" s="151"/>
    </row>
    <row r="712" spans="1:12" ht="15.75" customHeight="1">
      <c r="A712" s="96">
        <v>46509</v>
      </c>
      <c r="B712" s="99"/>
      <c r="C712" s="98"/>
      <c r="D712" s="117"/>
      <c r="E712" s="117"/>
      <c r="F712" s="98"/>
      <c r="G712" s="117"/>
      <c r="H712" s="100"/>
      <c r="I712" s="158"/>
      <c r="L712" s="151"/>
    </row>
    <row r="713" spans="1:12" ht="15.75" customHeight="1">
      <c r="A713" s="96">
        <v>46510</v>
      </c>
      <c r="B713" s="99"/>
      <c r="C713" s="98"/>
      <c r="D713" s="117"/>
      <c r="E713" s="117"/>
      <c r="F713" s="98"/>
      <c r="G713" s="117"/>
      <c r="H713" s="100"/>
      <c r="I713" s="158"/>
      <c r="L713" s="151"/>
    </row>
    <row r="714" spans="1:12" ht="15.75" customHeight="1">
      <c r="A714" s="96">
        <v>46511</v>
      </c>
      <c r="B714" s="99"/>
      <c r="C714" s="98"/>
      <c r="D714" s="117"/>
      <c r="E714" s="117"/>
      <c r="F714" s="98"/>
      <c r="G714" s="117"/>
      <c r="H714" s="100"/>
      <c r="I714" s="158"/>
      <c r="L714" s="151"/>
    </row>
    <row r="715" spans="1:12" ht="15.75" customHeight="1">
      <c r="A715" s="96">
        <v>46512</v>
      </c>
      <c r="B715" s="99"/>
      <c r="C715" s="98"/>
      <c r="D715" s="117"/>
      <c r="E715" s="117"/>
      <c r="F715" s="98"/>
      <c r="G715" s="117"/>
      <c r="H715" s="100"/>
      <c r="I715" s="158"/>
      <c r="L715" s="151"/>
    </row>
    <row r="716" spans="1:12" ht="15.75" customHeight="1">
      <c r="A716" s="96">
        <v>46513</v>
      </c>
      <c r="B716" s="99"/>
      <c r="C716" s="98"/>
      <c r="D716" s="117"/>
      <c r="E716" s="117"/>
      <c r="F716" s="98"/>
      <c r="G716" s="117"/>
      <c r="H716" s="100"/>
      <c r="I716" s="158"/>
      <c r="L716" s="151"/>
    </row>
    <row r="717" spans="1:12" ht="15.75" customHeight="1">
      <c r="A717" s="96">
        <v>46514</v>
      </c>
      <c r="B717" s="99"/>
      <c r="C717" s="98"/>
      <c r="D717" s="117"/>
      <c r="E717" s="117"/>
      <c r="F717" s="98"/>
      <c r="G717" s="117"/>
      <c r="H717" s="100"/>
      <c r="I717" s="158"/>
      <c r="L717" s="151"/>
    </row>
    <row r="718" spans="1:12" ht="15.75" customHeight="1">
      <c r="A718" s="96">
        <v>46515</v>
      </c>
      <c r="B718" s="99"/>
      <c r="C718" s="98"/>
      <c r="D718" s="117"/>
      <c r="E718" s="117"/>
      <c r="F718" s="98"/>
      <c r="G718" s="117"/>
      <c r="H718" s="100"/>
      <c r="I718" s="158"/>
      <c r="L718" s="151"/>
    </row>
    <row r="719" spans="1:12" ht="15.75" customHeight="1">
      <c r="A719" s="96">
        <v>46516</v>
      </c>
      <c r="B719" s="99"/>
      <c r="C719" s="98"/>
      <c r="D719" s="117"/>
      <c r="E719" s="117"/>
      <c r="F719" s="98"/>
      <c r="G719" s="117"/>
      <c r="H719" s="100"/>
      <c r="I719" s="158"/>
      <c r="L719" s="151"/>
    </row>
    <row r="720" spans="1:12" ht="15.75" customHeight="1">
      <c r="A720" s="96">
        <v>46517</v>
      </c>
      <c r="B720" s="99"/>
      <c r="C720" s="98"/>
      <c r="D720" s="117"/>
      <c r="E720" s="117"/>
      <c r="F720" s="98"/>
      <c r="G720" s="117"/>
      <c r="H720" s="100"/>
      <c r="I720" s="158"/>
      <c r="L720" s="151"/>
    </row>
    <row r="721" spans="1:12" ht="15.75" customHeight="1">
      <c r="A721" s="96">
        <v>46518</v>
      </c>
      <c r="B721" s="99"/>
      <c r="C721" s="98"/>
      <c r="D721" s="117"/>
      <c r="E721" s="117"/>
      <c r="F721" s="98"/>
      <c r="G721" s="117"/>
      <c r="H721" s="100"/>
      <c r="I721" s="158"/>
      <c r="L721" s="151"/>
    </row>
    <row r="722" spans="1:12" ht="15.75" customHeight="1">
      <c r="A722" s="96">
        <v>46519</v>
      </c>
      <c r="B722" s="99"/>
      <c r="C722" s="98"/>
      <c r="D722" s="117"/>
      <c r="E722" s="117"/>
      <c r="F722" s="98"/>
      <c r="G722" s="117"/>
      <c r="H722" s="100"/>
      <c r="I722" s="158"/>
      <c r="L722" s="151"/>
    </row>
    <row r="723" spans="1:12" ht="15.75" customHeight="1">
      <c r="A723" s="96">
        <v>46520</v>
      </c>
      <c r="B723" s="99"/>
      <c r="C723" s="98"/>
      <c r="D723" s="117"/>
      <c r="E723" s="117"/>
      <c r="F723" s="98"/>
      <c r="G723" s="117"/>
      <c r="H723" s="100"/>
      <c r="I723" s="158"/>
      <c r="L723" s="151"/>
    </row>
    <row r="724" spans="1:12" ht="15.75" customHeight="1">
      <c r="A724" s="96">
        <v>46521</v>
      </c>
      <c r="B724" s="99"/>
      <c r="C724" s="98"/>
      <c r="D724" s="117"/>
      <c r="E724" s="117"/>
      <c r="F724" s="98"/>
      <c r="G724" s="117"/>
      <c r="H724" s="100"/>
      <c r="I724" s="158"/>
      <c r="L724" s="151"/>
    </row>
    <row r="725" spans="1:12" ht="15.75" customHeight="1">
      <c r="A725" s="96">
        <v>46522</v>
      </c>
      <c r="B725" s="99"/>
      <c r="C725" s="98"/>
      <c r="D725" s="117"/>
      <c r="E725" s="117"/>
      <c r="F725" s="98"/>
      <c r="G725" s="117"/>
      <c r="H725" s="100"/>
      <c r="I725" s="158"/>
      <c r="L725" s="151"/>
    </row>
    <row r="726" spans="1:12" ht="15.75" customHeight="1">
      <c r="A726" s="96">
        <v>46523</v>
      </c>
      <c r="B726" s="99"/>
      <c r="C726" s="98"/>
      <c r="D726" s="117"/>
      <c r="E726" s="117"/>
      <c r="F726" s="98"/>
      <c r="G726" s="117"/>
      <c r="H726" s="100"/>
      <c r="I726" s="158"/>
      <c r="L726" s="151"/>
    </row>
    <row r="727" spans="1:12" ht="15.75" customHeight="1">
      <c r="A727" s="96">
        <v>46524</v>
      </c>
      <c r="B727" s="99"/>
      <c r="C727" s="98"/>
      <c r="D727" s="117"/>
      <c r="E727" s="117"/>
      <c r="F727" s="98"/>
      <c r="G727" s="117"/>
      <c r="H727" s="100"/>
      <c r="I727" s="158"/>
      <c r="L727" s="151"/>
    </row>
    <row r="728" spans="1:12" ht="15.75" customHeight="1">
      <c r="A728" s="96">
        <v>46525</v>
      </c>
      <c r="B728" s="99"/>
      <c r="C728" s="98"/>
      <c r="D728" s="117"/>
      <c r="E728" s="117"/>
      <c r="F728" s="98"/>
      <c r="G728" s="117"/>
      <c r="H728" s="100"/>
      <c r="I728" s="158"/>
      <c r="L728" s="151"/>
    </row>
    <row r="729" spans="1:12" ht="15.75" customHeight="1">
      <c r="A729" s="96">
        <v>46526</v>
      </c>
      <c r="B729" s="99"/>
      <c r="C729" s="98"/>
      <c r="D729" s="117"/>
      <c r="E729" s="117"/>
      <c r="F729" s="98"/>
      <c r="G729" s="117"/>
      <c r="H729" s="100"/>
      <c r="I729" s="158"/>
      <c r="L729" s="151"/>
    </row>
    <row r="730" spans="1:12" ht="15.75" customHeight="1">
      <c r="A730" s="96">
        <v>46527</v>
      </c>
      <c r="B730" s="99"/>
      <c r="C730" s="98"/>
      <c r="D730" s="117"/>
      <c r="E730" s="117"/>
      <c r="F730" s="98"/>
      <c r="G730" s="117"/>
      <c r="H730" s="100"/>
      <c r="I730" s="158"/>
      <c r="L730" s="151"/>
    </row>
    <row r="731" spans="1:12" ht="15.75" customHeight="1">
      <c r="A731" s="96">
        <v>46528</v>
      </c>
      <c r="B731" s="99"/>
      <c r="C731" s="98"/>
      <c r="D731" s="117"/>
      <c r="E731" s="117"/>
      <c r="F731" s="98"/>
      <c r="G731" s="117"/>
      <c r="H731" s="100"/>
      <c r="I731" s="158"/>
      <c r="L731" s="151"/>
    </row>
    <row r="732" spans="1:12" ht="15.75" customHeight="1">
      <c r="A732" s="96">
        <v>46529</v>
      </c>
      <c r="B732" s="99"/>
      <c r="C732" s="98"/>
      <c r="D732" s="117"/>
      <c r="E732" s="117"/>
      <c r="F732" s="98"/>
      <c r="G732" s="117"/>
      <c r="H732" s="100"/>
      <c r="I732" s="158"/>
      <c r="L732" s="151"/>
    </row>
    <row r="733" spans="1:12" ht="15.75" customHeight="1">
      <c r="A733" s="96">
        <v>46530</v>
      </c>
      <c r="B733" s="99"/>
      <c r="C733" s="98"/>
      <c r="D733" s="117"/>
      <c r="E733" s="117"/>
      <c r="F733" s="98"/>
      <c r="G733" s="117"/>
      <c r="H733" s="100"/>
      <c r="I733" s="158"/>
      <c r="L733" s="151"/>
    </row>
    <row r="734" spans="1:12" ht="15.75" customHeight="1">
      <c r="A734" s="96">
        <v>46531</v>
      </c>
      <c r="B734" s="99"/>
      <c r="C734" s="98"/>
      <c r="D734" s="117"/>
      <c r="E734" s="117"/>
      <c r="F734" s="98"/>
      <c r="G734" s="117"/>
      <c r="H734" s="100"/>
      <c r="I734" s="158"/>
      <c r="L734" s="151"/>
    </row>
    <row r="735" spans="1:12" ht="15.75" customHeight="1">
      <c r="A735" s="96">
        <v>46532</v>
      </c>
      <c r="B735" s="99"/>
      <c r="C735" s="98"/>
      <c r="D735" s="117"/>
      <c r="E735" s="117"/>
      <c r="F735" s="98"/>
      <c r="G735" s="117"/>
      <c r="H735" s="100"/>
      <c r="I735" s="158"/>
      <c r="L735" s="151"/>
    </row>
    <row r="736" spans="1:12" ht="15.75" customHeight="1">
      <c r="A736" s="96">
        <v>46533</v>
      </c>
      <c r="B736" s="99"/>
      <c r="C736" s="98"/>
      <c r="D736" s="117"/>
      <c r="E736" s="117"/>
      <c r="F736" s="98"/>
      <c r="G736" s="117"/>
      <c r="H736" s="100"/>
      <c r="I736" s="158"/>
      <c r="L736" s="151"/>
    </row>
    <row r="737" spans="1:12" ht="15.75" customHeight="1">
      <c r="A737" s="96">
        <v>46534</v>
      </c>
      <c r="B737" s="99"/>
      <c r="C737" s="98"/>
      <c r="D737" s="117"/>
      <c r="E737" s="117"/>
      <c r="F737" s="98"/>
      <c r="G737" s="117"/>
      <c r="H737" s="100"/>
      <c r="I737" s="158"/>
      <c r="L737" s="151"/>
    </row>
    <row r="738" spans="1:12" ht="15.75" customHeight="1">
      <c r="A738" s="96">
        <v>46535</v>
      </c>
      <c r="B738" s="99"/>
      <c r="C738" s="98"/>
      <c r="D738" s="117"/>
      <c r="E738" s="117"/>
      <c r="F738" s="98"/>
      <c r="G738" s="117"/>
      <c r="H738" s="100"/>
      <c r="I738" s="158"/>
      <c r="L738" s="151"/>
    </row>
    <row r="739" spans="1:12" ht="15.75" customHeight="1">
      <c r="A739" s="96">
        <v>46536</v>
      </c>
      <c r="B739" s="99"/>
      <c r="C739" s="98"/>
      <c r="D739" s="117"/>
      <c r="E739" s="117"/>
      <c r="F739" s="98"/>
      <c r="G739" s="117"/>
      <c r="H739" s="100"/>
      <c r="I739" s="158"/>
      <c r="L739" s="151"/>
    </row>
    <row r="740" spans="1:12" ht="15.75" customHeight="1">
      <c r="A740" s="96">
        <v>46537</v>
      </c>
      <c r="B740" s="99"/>
      <c r="C740" s="98"/>
      <c r="D740" s="117"/>
      <c r="E740" s="117"/>
      <c r="F740" s="98"/>
      <c r="G740" s="117"/>
      <c r="H740" s="100"/>
      <c r="I740" s="158"/>
      <c r="L740" s="151"/>
    </row>
    <row r="741" spans="1:12" ht="15.75" customHeight="1">
      <c r="A741" s="96">
        <v>46538</v>
      </c>
      <c r="B741" s="99"/>
      <c r="C741" s="98"/>
      <c r="D741" s="117"/>
      <c r="E741" s="117"/>
      <c r="F741" s="98"/>
      <c r="G741" s="117"/>
      <c r="H741" s="100"/>
      <c r="I741" s="158"/>
      <c r="L741" s="151"/>
    </row>
    <row r="742" spans="1:12" ht="15.75" customHeight="1">
      <c r="A742" s="96">
        <v>46539</v>
      </c>
      <c r="B742" s="99"/>
      <c r="C742" s="98"/>
      <c r="D742" s="117"/>
      <c r="E742" s="117"/>
      <c r="F742" s="98"/>
      <c r="G742" s="117"/>
      <c r="H742" s="100"/>
      <c r="I742" s="158"/>
      <c r="L742" s="151"/>
    </row>
    <row r="743" spans="1:12" ht="15.75" customHeight="1">
      <c r="A743" s="96">
        <v>46540</v>
      </c>
      <c r="B743" s="99"/>
      <c r="C743" s="98"/>
      <c r="D743" s="117"/>
      <c r="E743" s="117"/>
      <c r="F743" s="98"/>
      <c r="G743" s="117"/>
      <c r="H743" s="100"/>
      <c r="I743" s="158"/>
      <c r="L743" s="151"/>
    </row>
    <row r="744" spans="1:12" ht="15.75" customHeight="1">
      <c r="A744" s="96">
        <v>46541</v>
      </c>
      <c r="B744" s="99"/>
      <c r="C744" s="98"/>
      <c r="D744" s="117"/>
      <c r="E744" s="117"/>
      <c r="F744" s="98"/>
      <c r="G744" s="117"/>
      <c r="H744" s="100"/>
      <c r="I744" s="158"/>
      <c r="L744" s="151"/>
    </row>
    <row r="745" spans="1:12" ht="15.75" customHeight="1">
      <c r="A745" s="96">
        <v>46542</v>
      </c>
      <c r="B745" s="99"/>
      <c r="C745" s="98"/>
      <c r="D745" s="117"/>
      <c r="E745" s="117"/>
      <c r="F745" s="98"/>
      <c r="G745" s="117"/>
      <c r="H745" s="100"/>
      <c r="I745" s="158"/>
      <c r="L745" s="151"/>
    </row>
    <row r="746" spans="1:12" ht="15.75" customHeight="1">
      <c r="A746" s="96">
        <v>46543</v>
      </c>
      <c r="B746" s="99"/>
      <c r="C746" s="98"/>
      <c r="D746" s="117"/>
      <c r="E746" s="117"/>
      <c r="F746" s="98"/>
      <c r="G746" s="117"/>
      <c r="H746" s="100"/>
      <c r="I746" s="158"/>
      <c r="L746" s="151"/>
    </row>
    <row r="747" spans="1:12" ht="15.75" customHeight="1">
      <c r="A747" s="96">
        <v>46544</v>
      </c>
      <c r="B747" s="99"/>
      <c r="C747" s="98"/>
      <c r="D747" s="117"/>
      <c r="E747" s="117"/>
      <c r="F747" s="98"/>
      <c r="G747" s="117"/>
      <c r="H747" s="100"/>
      <c r="I747" s="158"/>
      <c r="L747" s="151"/>
    </row>
    <row r="748" spans="1:12" ht="15.75" customHeight="1">
      <c r="A748" s="96">
        <v>46545</v>
      </c>
      <c r="B748" s="99"/>
      <c r="C748" s="98"/>
      <c r="D748" s="117"/>
      <c r="E748" s="117"/>
      <c r="F748" s="98"/>
      <c r="G748" s="117"/>
      <c r="H748" s="100"/>
      <c r="I748" s="158"/>
      <c r="L748" s="151"/>
    </row>
    <row r="749" spans="1:12" ht="15.75" customHeight="1">
      <c r="A749" s="96">
        <v>46546</v>
      </c>
      <c r="B749" s="99"/>
      <c r="C749" s="98"/>
      <c r="D749" s="117"/>
      <c r="E749" s="117"/>
      <c r="F749" s="98"/>
      <c r="G749" s="117"/>
      <c r="H749" s="100"/>
      <c r="I749" s="158"/>
      <c r="L749" s="151"/>
    </row>
    <row r="750" spans="1:12" ht="15.75" customHeight="1">
      <c r="A750" s="96">
        <v>46547</v>
      </c>
      <c r="B750" s="99"/>
      <c r="C750" s="98"/>
      <c r="D750" s="117"/>
      <c r="E750" s="117"/>
      <c r="F750" s="98"/>
      <c r="G750" s="117"/>
      <c r="H750" s="100"/>
      <c r="I750" s="158"/>
      <c r="L750" s="151"/>
    </row>
    <row r="751" spans="1:12" ht="15.75" customHeight="1">
      <c r="A751" s="96">
        <v>46548</v>
      </c>
      <c r="B751" s="99"/>
      <c r="C751" s="98"/>
      <c r="D751" s="117"/>
      <c r="E751" s="117"/>
      <c r="F751" s="98"/>
      <c r="G751" s="117"/>
      <c r="H751" s="100"/>
      <c r="I751" s="158"/>
      <c r="L751" s="151"/>
    </row>
    <row r="752" spans="1:12" ht="15.75" customHeight="1">
      <c r="A752" s="96">
        <v>46549</v>
      </c>
      <c r="B752" s="99"/>
      <c r="C752" s="98"/>
      <c r="D752" s="117"/>
      <c r="E752" s="117"/>
      <c r="F752" s="98"/>
      <c r="G752" s="117"/>
      <c r="H752" s="100"/>
      <c r="I752" s="158"/>
      <c r="L752" s="151"/>
    </row>
    <row r="753" spans="1:12" ht="15.75" customHeight="1">
      <c r="A753" s="96">
        <v>46550</v>
      </c>
      <c r="B753" s="99"/>
      <c r="C753" s="98"/>
      <c r="D753" s="117"/>
      <c r="E753" s="117"/>
      <c r="F753" s="98"/>
      <c r="G753" s="117"/>
      <c r="H753" s="100"/>
      <c r="I753" s="158"/>
      <c r="L753" s="151"/>
    </row>
    <row r="754" spans="1:12" ht="15.75" customHeight="1">
      <c r="A754" s="96">
        <v>46551</v>
      </c>
      <c r="B754" s="99"/>
      <c r="C754" s="98"/>
      <c r="D754" s="117"/>
      <c r="E754" s="117"/>
      <c r="F754" s="98"/>
      <c r="G754" s="117"/>
      <c r="H754" s="100"/>
      <c r="I754" s="158"/>
      <c r="L754" s="151"/>
    </row>
    <row r="755" spans="1:12" ht="15.75" customHeight="1">
      <c r="A755" s="96">
        <v>46552</v>
      </c>
      <c r="B755" s="99"/>
      <c r="C755" s="98"/>
      <c r="D755" s="117"/>
      <c r="E755" s="117"/>
      <c r="F755" s="98"/>
      <c r="G755" s="117"/>
      <c r="H755" s="100"/>
      <c r="I755" s="158"/>
      <c r="L755" s="151"/>
    </row>
    <row r="756" spans="1:12" ht="15.75" customHeight="1">
      <c r="A756" s="96">
        <v>46553</v>
      </c>
      <c r="B756" s="99"/>
      <c r="C756" s="98"/>
      <c r="D756" s="117"/>
      <c r="E756" s="117"/>
      <c r="F756" s="98"/>
      <c r="G756" s="117"/>
      <c r="H756" s="100"/>
      <c r="I756" s="158"/>
      <c r="L756" s="151"/>
    </row>
    <row r="757" spans="1:12" ht="15.75" customHeight="1">
      <c r="A757" s="96">
        <v>46554</v>
      </c>
      <c r="B757" s="99"/>
      <c r="C757" s="98"/>
      <c r="D757" s="117"/>
      <c r="E757" s="117"/>
      <c r="F757" s="98"/>
      <c r="G757" s="117"/>
      <c r="H757" s="100"/>
      <c r="I757" s="158"/>
      <c r="L757" s="151"/>
    </row>
    <row r="758" spans="1:12" ht="15.75" customHeight="1">
      <c r="A758" s="96">
        <v>46555</v>
      </c>
      <c r="B758" s="99"/>
      <c r="C758" s="98"/>
      <c r="D758" s="117"/>
      <c r="E758" s="117"/>
      <c r="F758" s="98"/>
      <c r="G758" s="117"/>
      <c r="H758" s="100"/>
      <c r="I758" s="158"/>
      <c r="L758" s="151"/>
    </row>
    <row r="759" spans="1:12" ht="15.75" customHeight="1">
      <c r="A759" s="96">
        <v>46556</v>
      </c>
      <c r="B759" s="99"/>
      <c r="C759" s="98"/>
      <c r="D759" s="117"/>
      <c r="E759" s="117"/>
      <c r="F759" s="98"/>
      <c r="G759" s="117"/>
      <c r="H759" s="100"/>
      <c r="I759" s="158"/>
      <c r="L759" s="151"/>
    </row>
    <row r="760" spans="1:12" ht="15.75" customHeight="1">
      <c r="A760" s="96">
        <v>46557</v>
      </c>
      <c r="B760" s="99"/>
      <c r="C760" s="98"/>
      <c r="D760" s="117"/>
      <c r="E760" s="117"/>
      <c r="F760" s="98"/>
      <c r="G760" s="117"/>
      <c r="H760" s="100"/>
      <c r="I760" s="158"/>
      <c r="L760" s="151"/>
    </row>
    <row r="761" spans="1:12" ht="15.75" customHeight="1">
      <c r="A761" s="96">
        <v>46558</v>
      </c>
      <c r="B761" s="99"/>
      <c r="C761" s="98"/>
      <c r="D761" s="117"/>
      <c r="E761" s="117"/>
      <c r="F761" s="98"/>
      <c r="G761" s="117"/>
      <c r="H761" s="100"/>
      <c r="I761" s="158"/>
      <c r="L761" s="151"/>
    </row>
    <row r="762" spans="1:12" ht="15.75" customHeight="1">
      <c r="A762" s="96">
        <v>46559</v>
      </c>
      <c r="B762" s="99"/>
      <c r="C762" s="98"/>
      <c r="D762" s="117"/>
      <c r="E762" s="117"/>
      <c r="F762" s="98"/>
      <c r="G762" s="117"/>
      <c r="H762" s="100"/>
      <c r="I762" s="158"/>
      <c r="L762" s="151"/>
    </row>
    <row r="763" spans="1:12" ht="15.75" customHeight="1">
      <c r="A763" s="96">
        <v>46560</v>
      </c>
      <c r="B763" s="99"/>
      <c r="C763" s="98"/>
      <c r="D763" s="117"/>
      <c r="E763" s="117"/>
      <c r="F763" s="98"/>
      <c r="G763" s="117"/>
      <c r="H763" s="100"/>
      <c r="I763" s="158"/>
      <c r="L763" s="151"/>
    </row>
    <row r="764" spans="1:12" ht="15.75" customHeight="1">
      <c r="A764" s="96">
        <v>46561</v>
      </c>
      <c r="B764" s="99"/>
      <c r="C764" s="98"/>
      <c r="D764" s="117"/>
      <c r="E764" s="117"/>
      <c r="F764" s="98"/>
      <c r="G764" s="117"/>
      <c r="H764" s="100"/>
      <c r="I764" s="158"/>
      <c r="L764" s="151"/>
    </row>
    <row r="765" spans="1:12" ht="15.75" customHeight="1">
      <c r="A765" s="96">
        <v>46562</v>
      </c>
      <c r="B765" s="99"/>
      <c r="C765" s="98"/>
      <c r="D765" s="117"/>
      <c r="E765" s="117"/>
      <c r="F765" s="98"/>
      <c r="G765" s="117"/>
      <c r="H765" s="100"/>
      <c r="I765" s="158"/>
      <c r="L765" s="151"/>
    </row>
    <row r="766" spans="1:12" ht="15.75" customHeight="1">
      <c r="A766" s="96">
        <v>46563</v>
      </c>
      <c r="B766" s="99"/>
      <c r="C766" s="98"/>
      <c r="D766" s="117"/>
      <c r="E766" s="117"/>
      <c r="F766" s="98"/>
      <c r="G766" s="117"/>
      <c r="H766" s="100"/>
      <c r="I766" s="158"/>
      <c r="L766" s="151"/>
    </row>
    <row r="767" spans="1:12" ht="15.75" customHeight="1">
      <c r="A767" s="96">
        <v>46564</v>
      </c>
      <c r="B767" s="99"/>
      <c r="C767" s="98"/>
      <c r="D767" s="117"/>
      <c r="E767" s="117"/>
      <c r="F767" s="98"/>
      <c r="G767" s="117"/>
      <c r="H767" s="100"/>
      <c r="I767" s="158"/>
      <c r="L767" s="151"/>
    </row>
    <row r="768" spans="1:12" ht="15.75" customHeight="1">
      <c r="A768" s="96">
        <v>46565</v>
      </c>
      <c r="B768" s="99"/>
      <c r="C768" s="98"/>
      <c r="D768" s="117"/>
      <c r="E768" s="117"/>
      <c r="F768" s="98"/>
      <c r="G768" s="117"/>
      <c r="H768" s="100"/>
      <c r="I768" s="158"/>
      <c r="L768" s="151"/>
    </row>
    <row r="769" spans="1:12" ht="15.75" customHeight="1">
      <c r="A769" s="96">
        <v>46566</v>
      </c>
      <c r="B769" s="99"/>
      <c r="C769" s="98"/>
      <c r="D769" s="117"/>
      <c r="E769" s="117"/>
      <c r="F769" s="98"/>
      <c r="G769" s="117"/>
      <c r="H769" s="100"/>
      <c r="I769" s="158"/>
      <c r="L769" s="151"/>
    </row>
    <row r="770" spans="1:12" ht="15.75" customHeight="1">
      <c r="A770" s="96">
        <v>46567</v>
      </c>
      <c r="B770" s="99"/>
      <c r="C770" s="98"/>
      <c r="D770" s="117"/>
      <c r="E770" s="117"/>
      <c r="F770" s="98"/>
      <c r="G770" s="117"/>
      <c r="H770" s="100"/>
      <c r="I770" s="158"/>
      <c r="L770" s="151"/>
    </row>
    <row r="771" spans="1:12" ht="15.75" customHeight="1">
      <c r="A771" s="96">
        <v>46568</v>
      </c>
      <c r="B771" s="99"/>
      <c r="C771" s="98"/>
      <c r="D771" s="117"/>
      <c r="E771" s="117"/>
      <c r="F771" s="98"/>
      <c r="G771" s="117"/>
      <c r="H771" s="100"/>
      <c r="I771" s="158"/>
      <c r="L771" s="151"/>
    </row>
    <row r="772" spans="1:12" ht="15.75" customHeight="1">
      <c r="A772" s="96">
        <v>46569</v>
      </c>
      <c r="B772" s="99"/>
      <c r="C772" s="98"/>
      <c r="D772" s="117"/>
      <c r="E772" s="117"/>
      <c r="F772" s="98"/>
      <c r="G772" s="117"/>
      <c r="H772" s="100"/>
      <c r="I772" s="158"/>
      <c r="L772" s="151"/>
    </row>
    <row r="773" spans="1:12" ht="15.75" customHeight="1">
      <c r="A773" s="96">
        <v>46570</v>
      </c>
      <c r="B773" s="99"/>
      <c r="C773" s="98"/>
      <c r="D773" s="117"/>
      <c r="E773" s="117"/>
      <c r="F773" s="98"/>
      <c r="G773" s="117"/>
      <c r="H773" s="100"/>
      <c r="I773" s="158"/>
      <c r="L773" s="151"/>
    </row>
    <row r="774" spans="1:12" ht="15.75" customHeight="1">
      <c r="A774" s="96">
        <v>46571</v>
      </c>
      <c r="B774" s="99"/>
      <c r="C774" s="98"/>
      <c r="D774" s="117"/>
      <c r="E774" s="117"/>
      <c r="F774" s="98"/>
      <c r="G774" s="117"/>
      <c r="H774" s="100"/>
      <c r="I774" s="158"/>
      <c r="L774" s="151"/>
    </row>
    <row r="775" spans="1:12" ht="15.75" customHeight="1">
      <c r="A775" s="96">
        <v>46572</v>
      </c>
      <c r="B775" s="99"/>
      <c r="C775" s="98"/>
      <c r="D775" s="117"/>
      <c r="E775" s="117"/>
      <c r="F775" s="98"/>
      <c r="G775" s="117"/>
      <c r="H775" s="100"/>
      <c r="I775" s="158"/>
      <c r="L775" s="151"/>
    </row>
    <row r="776" spans="1:12" ht="15.75" customHeight="1">
      <c r="A776" s="96">
        <v>46573</v>
      </c>
      <c r="B776" s="99"/>
      <c r="C776" s="98"/>
      <c r="D776" s="117"/>
      <c r="E776" s="117"/>
      <c r="F776" s="98"/>
      <c r="G776" s="117"/>
      <c r="H776" s="100"/>
      <c r="I776" s="158"/>
      <c r="L776" s="151"/>
    </row>
    <row r="777" spans="1:12" ht="15.75" customHeight="1">
      <c r="A777" s="96">
        <v>46574</v>
      </c>
      <c r="B777" s="99"/>
      <c r="C777" s="98"/>
      <c r="D777" s="117"/>
      <c r="E777" s="117"/>
      <c r="F777" s="98"/>
      <c r="G777" s="117"/>
      <c r="H777" s="100"/>
      <c r="I777" s="158"/>
      <c r="L777" s="151"/>
    </row>
    <row r="778" spans="1:12" ht="15.75" customHeight="1">
      <c r="A778" s="96">
        <v>46575</v>
      </c>
      <c r="B778" s="99"/>
      <c r="C778" s="98"/>
      <c r="D778" s="117"/>
      <c r="E778" s="117"/>
      <c r="F778" s="98"/>
      <c r="G778" s="117"/>
      <c r="H778" s="100"/>
      <c r="I778" s="158"/>
      <c r="L778" s="151"/>
    </row>
    <row r="779" spans="1:12" ht="15.75" customHeight="1">
      <c r="A779" s="96">
        <v>46576</v>
      </c>
      <c r="B779" s="99"/>
      <c r="C779" s="98"/>
      <c r="D779" s="117"/>
      <c r="E779" s="117"/>
      <c r="F779" s="98"/>
      <c r="G779" s="117"/>
      <c r="H779" s="100"/>
      <c r="I779" s="158"/>
      <c r="L779" s="151"/>
    </row>
    <row r="780" spans="1:12" ht="15.75" customHeight="1">
      <c r="A780" s="96">
        <v>46577</v>
      </c>
      <c r="B780" s="99"/>
      <c r="C780" s="98"/>
      <c r="D780" s="117"/>
      <c r="E780" s="117"/>
      <c r="F780" s="98"/>
      <c r="G780" s="117"/>
      <c r="H780" s="100"/>
      <c r="I780" s="158"/>
      <c r="L780" s="151"/>
    </row>
    <row r="781" spans="1:12" ht="15.75" customHeight="1">
      <c r="A781" s="96">
        <v>46578</v>
      </c>
      <c r="B781" s="99"/>
      <c r="C781" s="98"/>
      <c r="D781" s="117"/>
      <c r="E781" s="117"/>
      <c r="F781" s="98"/>
      <c r="G781" s="117"/>
      <c r="H781" s="100"/>
      <c r="I781" s="158"/>
      <c r="L781" s="151"/>
    </row>
    <row r="782" spans="1:12" ht="15.75" customHeight="1">
      <c r="A782" s="96">
        <v>46579</v>
      </c>
      <c r="B782" s="99"/>
      <c r="C782" s="98"/>
      <c r="D782" s="117"/>
      <c r="E782" s="117"/>
      <c r="F782" s="98"/>
      <c r="G782" s="117"/>
      <c r="H782" s="100"/>
      <c r="I782" s="158"/>
      <c r="L782" s="151"/>
    </row>
    <row r="783" spans="1:12" ht="15.75" customHeight="1">
      <c r="A783" s="96">
        <v>46580</v>
      </c>
      <c r="B783" s="99"/>
      <c r="C783" s="98"/>
      <c r="D783" s="117"/>
      <c r="E783" s="117"/>
      <c r="F783" s="98"/>
      <c r="G783" s="117"/>
      <c r="H783" s="100"/>
      <c r="I783" s="158"/>
      <c r="L783" s="151"/>
    </row>
    <row r="784" spans="1:12" ht="15.75" customHeight="1">
      <c r="A784" s="96">
        <v>46581</v>
      </c>
      <c r="B784" s="99"/>
      <c r="C784" s="98"/>
      <c r="D784" s="117"/>
      <c r="E784" s="117"/>
      <c r="F784" s="98"/>
      <c r="G784" s="117"/>
      <c r="H784" s="100"/>
      <c r="I784" s="158"/>
      <c r="L784" s="151"/>
    </row>
    <row r="785" spans="1:12" ht="15.75" customHeight="1">
      <c r="A785" s="96">
        <v>46582</v>
      </c>
      <c r="B785" s="99"/>
      <c r="C785" s="98"/>
      <c r="D785" s="117"/>
      <c r="E785" s="117"/>
      <c r="F785" s="98"/>
      <c r="G785" s="117"/>
      <c r="H785" s="100"/>
      <c r="I785" s="158"/>
      <c r="L785" s="151"/>
    </row>
    <row r="786" spans="1:12" ht="15.75" customHeight="1">
      <c r="A786" s="96">
        <v>46583</v>
      </c>
      <c r="B786" s="99"/>
      <c r="C786" s="98"/>
      <c r="D786" s="117"/>
      <c r="E786" s="117"/>
      <c r="F786" s="98"/>
      <c r="G786" s="117"/>
      <c r="H786" s="100"/>
      <c r="I786" s="158"/>
      <c r="L786" s="151"/>
    </row>
    <row r="787" spans="1:12" ht="15.75" customHeight="1">
      <c r="A787" s="96">
        <v>46584</v>
      </c>
      <c r="B787" s="99"/>
      <c r="C787" s="98"/>
      <c r="D787" s="117"/>
      <c r="E787" s="117"/>
      <c r="F787" s="98"/>
      <c r="G787" s="117"/>
      <c r="H787" s="100"/>
      <c r="I787" s="158"/>
      <c r="L787" s="151"/>
    </row>
    <row r="788" spans="1:12" ht="15.75" customHeight="1">
      <c r="A788" s="96">
        <v>46585</v>
      </c>
      <c r="B788" s="99"/>
      <c r="C788" s="98"/>
      <c r="D788" s="117"/>
      <c r="E788" s="117"/>
      <c r="F788" s="98"/>
      <c r="G788" s="117"/>
      <c r="H788" s="100"/>
      <c r="I788" s="158"/>
      <c r="L788" s="151"/>
    </row>
    <row r="789" spans="1:12" ht="15.75" customHeight="1">
      <c r="A789" s="96">
        <v>46586</v>
      </c>
      <c r="B789" s="99"/>
      <c r="C789" s="98"/>
      <c r="D789" s="117"/>
      <c r="E789" s="117"/>
      <c r="F789" s="98"/>
      <c r="G789" s="117"/>
      <c r="H789" s="100"/>
      <c r="I789" s="158"/>
      <c r="L789" s="151"/>
    </row>
    <row r="790" spans="1:12" ht="15.75" customHeight="1">
      <c r="A790" s="96">
        <v>46587</v>
      </c>
      <c r="B790" s="99"/>
      <c r="C790" s="98"/>
      <c r="D790" s="117"/>
      <c r="E790" s="117"/>
      <c r="F790" s="98"/>
      <c r="G790" s="117"/>
      <c r="H790" s="100"/>
      <c r="I790" s="158"/>
      <c r="L790" s="151"/>
    </row>
    <row r="791" spans="1:12" ht="15.75" customHeight="1">
      <c r="A791" s="96">
        <v>46588</v>
      </c>
      <c r="B791" s="99"/>
      <c r="C791" s="98"/>
      <c r="D791" s="117"/>
      <c r="E791" s="117"/>
      <c r="F791" s="98"/>
      <c r="G791" s="117"/>
      <c r="H791" s="100"/>
      <c r="I791" s="158"/>
      <c r="L791" s="151"/>
    </row>
    <row r="792" spans="1:12" ht="15.75" customHeight="1">
      <c r="A792" s="96">
        <v>46589</v>
      </c>
      <c r="B792" s="99"/>
      <c r="C792" s="98"/>
      <c r="D792" s="117"/>
      <c r="E792" s="117"/>
      <c r="F792" s="98"/>
      <c r="G792" s="117"/>
      <c r="H792" s="100"/>
      <c r="I792" s="158"/>
      <c r="L792" s="151"/>
    </row>
    <row r="793" spans="1:12" ht="15.75" customHeight="1">
      <c r="A793" s="96">
        <v>46590</v>
      </c>
      <c r="B793" s="99"/>
      <c r="C793" s="98"/>
      <c r="D793" s="117"/>
      <c r="E793" s="117"/>
      <c r="F793" s="98"/>
      <c r="G793" s="117"/>
      <c r="H793" s="100"/>
      <c r="I793" s="158"/>
      <c r="L793" s="151"/>
    </row>
    <row r="794" spans="1:12" ht="15.75" customHeight="1">
      <c r="A794" s="96">
        <v>46591</v>
      </c>
      <c r="B794" s="99"/>
      <c r="C794" s="98"/>
      <c r="D794" s="117"/>
      <c r="E794" s="117"/>
      <c r="F794" s="98"/>
      <c r="G794" s="117"/>
      <c r="H794" s="100"/>
      <c r="I794" s="158"/>
      <c r="L794" s="151"/>
    </row>
    <row r="795" spans="1:12" ht="15.75" customHeight="1">
      <c r="A795" s="96">
        <v>46592</v>
      </c>
      <c r="B795" s="99"/>
      <c r="C795" s="98"/>
      <c r="D795" s="117"/>
      <c r="E795" s="117"/>
      <c r="F795" s="98"/>
      <c r="G795" s="117"/>
      <c r="H795" s="100"/>
      <c r="I795" s="158"/>
      <c r="L795" s="151"/>
    </row>
    <row r="796" spans="1:12" ht="15.75" customHeight="1">
      <c r="A796" s="96">
        <v>46593</v>
      </c>
      <c r="B796" s="99"/>
      <c r="C796" s="98"/>
      <c r="D796" s="117"/>
      <c r="E796" s="117"/>
      <c r="F796" s="98"/>
      <c r="G796" s="117"/>
      <c r="H796" s="100"/>
      <c r="I796" s="158"/>
      <c r="L796" s="151"/>
    </row>
    <row r="797" spans="1:12" ht="15.75" customHeight="1">
      <c r="A797" s="96">
        <v>46594</v>
      </c>
      <c r="B797" s="99"/>
      <c r="C797" s="98"/>
      <c r="D797" s="117"/>
      <c r="E797" s="117"/>
      <c r="F797" s="98"/>
      <c r="G797" s="117"/>
      <c r="H797" s="100"/>
      <c r="I797" s="158"/>
      <c r="L797" s="151"/>
    </row>
    <row r="798" spans="1:12" ht="15.75" customHeight="1">
      <c r="A798" s="96">
        <v>46595</v>
      </c>
      <c r="B798" s="99"/>
      <c r="C798" s="98"/>
      <c r="D798" s="117"/>
      <c r="E798" s="117"/>
      <c r="F798" s="98"/>
      <c r="G798" s="117"/>
      <c r="H798" s="100"/>
      <c r="I798" s="158"/>
      <c r="L798" s="151"/>
    </row>
    <row r="799" spans="1:12" ht="15.75" customHeight="1">
      <c r="A799" s="96">
        <v>46596</v>
      </c>
      <c r="B799" s="99"/>
      <c r="C799" s="98"/>
      <c r="D799" s="117"/>
      <c r="E799" s="117"/>
      <c r="F799" s="98"/>
      <c r="G799" s="117"/>
      <c r="H799" s="100"/>
      <c r="I799" s="158"/>
      <c r="L799" s="151"/>
    </row>
    <row r="800" spans="1:12" ht="15.75" customHeight="1">
      <c r="A800" s="96">
        <v>46597</v>
      </c>
      <c r="B800" s="99"/>
      <c r="C800" s="98"/>
      <c r="D800" s="117"/>
      <c r="E800" s="117"/>
      <c r="F800" s="98"/>
      <c r="G800" s="117"/>
      <c r="H800" s="100"/>
      <c r="I800" s="158"/>
      <c r="L800" s="151"/>
    </row>
    <row r="801" spans="1:12" ht="15.75" customHeight="1">
      <c r="A801" s="96">
        <v>46598</v>
      </c>
      <c r="B801" s="99"/>
      <c r="C801" s="98"/>
      <c r="D801" s="117"/>
      <c r="E801" s="117"/>
      <c r="F801" s="98"/>
      <c r="G801" s="117"/>
      <c r="H801" s="100"/>
      <c r="I801" s="158"/>
      <c r="L801" s="151"/>
    </row>
    <row r="802" spans="1:12" ht="15.75" customHeight="1">
      <c r="A802" s="96">
        <v>46599</v>
      </c>
      <c r="B802" s="99"/>
      <c r="C802" s="98"/>
      <c r="D802" s="117"/>
      <c r="E802" s="117"/>
      <c r="F802" s="98"/>
      <c r="G802" s="117"/>
      <c r="H802" s="100"/>
      <c r="I802" s="158"/>
      <c r="L802" s="151"/>
    </row>
    <row r="803" spans="1:12" ht="15.75" customHeight="1">
      <c r="A803" s="96">
        <v>46600</v>
      </c>
      <c r="B803" s="99"/>
      <c r="C803" s="98"/>
      <c r="D803" s="117"/>
      <c r="E803" s="117"/>
      <c r="F803" s="98"/>
      <c r="G803" s="117"/>
      <c r="H803" s="100"/>
      <c r="I803" s="158"/>
      <c r="L803" s="151"/>
    </row>
    <row r="804" spans="1:12" ht="15.75" customHeight="1">
      <c r="A804" s="96">
        <v>46601</v>
      </c>
      <c r="B804" s="99"/>
      <c r="C804" s="98"/>
      <c r="D804" s="117"/>
      <c r="E804" s="117"/>
      <c r="F804" s="98"/>
      <c r="G804" s="117"/>
      <c r="H804" s="100"/>
      <c r="I804" s="158"/>
      <c r="L804" s="151"/>
    </row>
    <row r="805" spans="1:12" ht="15.75" customHeight="1">
      <c r="A805" s="96">
        <v>46602</v>
      </c>
      <c r="B805" s="99"/>
      <c r="C805" s="98"/>
      <c r="D805" s="117"/>
      <c r="E805" s="117"/>
      <c r="F805" s="98"/>
      <c r="G805" s="117"/>
      <c r="H805" s="100"/>
      <c r="I805" s="158"/>
      <c r="L805" s="151"/>
    </row>
    <row r="806" spans="1:12" ht="15.75" customHeight="1">
      <c r="A806" s="96">
        <v>46603</v>
      </c>
      <c r="B806" s="99"/>
      <c r="C806" s="98"/>
      <c r="D806" s="117"/>
      <c r="E806" s="117"/>
      <c r="F806" s="98"/>
      <c r="G806" s="117"/>
      <c r="H806" s="100"/>
      <c r="I806" s="158"/>
      <c r="L806" s="151"/>
    </row>
    <row r="807" spans="1:12" ht="15.75" customHeight="1">
      <c r="A807" s="96">
        <v>46604</v>
      </c>
      <c r="B807" s="99"/>
      <c r="C807" s="98"/>
      <c r="D807" s="117"/>
      <c r="E807" s="117"/>
      <c r="F807" s="98"/>
      <c r="G807" s="117"/>
      <c r="H807" s="100"/>
      <c r="I807" s="158"/>
      <c r="L807" s="151"/>
    </row>
    <row r="808" spans="1:12" ht="15.75" customHeight="1">
      <c r="A808" s="96">
        <v>46605</v>
      </c>
      <c r="B808" s="99"/>
      <c r="C808" s="98"/>
      <c r="D808" s="117"/>
      <c r="E808" s="117"/>
      <c r="F808" s="98"/>
      <c r="G808" s="117"/>
      <c r="H808" s="100"/>
      <c r="I808" s="158"/>
      <c r="L808" s="151"/>
    </row>
    <row r="809" spans="1:12" ht="15.75" customHeight="1">
      <c r="A809" s="96">
        <v>46606</v>
      </c>
      <c r="B809" s="99"/>
      <c r="C809" s="98"/>
      <c r="D809" s="117"/>
      <c r="E809" s="117"/>
      <c r="F809" s="98"/>
      <c r="G809" s="117"/>
      <c r="H809" s="100"/>
      <c r="I809" s="158"/>
      <c r="L809" s="151"/>
    </row>
    <row r="810" spans="1:12" ht="15.75" customHeight="1">
      <c r="A810" s="96">
        <v>46607</v>
      </c>
      <c r="B810" s="99"/>
      <c r="C810" s="98"/>
      <c r="D810" s="117"/>
      <c r="E810" s="117"/>
      <c r="F810" s="98"/>
      <c r="G810" s="117"/>
      <c r="H810" s="100"/>
      <c r="I810" s="158"/>
      <c r="L810" s="151"/>
    </row>
    <row r="811" spans="1:12" ht="15.75" customHeight="1">
      <c r="A811" s="96">
        <v>46608</v>
      </c>
      <c r="B811" s="99"/>
      <c r="C811" s="98"/>
      <c r="D811" s="117"/>
      <c r="E811" s="117"/>
      <c r="F811" s="98"/>
      <c r="G811" s="117"/>
      <c r="H811" s="100"/>
      <c r="I811" s="158"/>
      <c r="L811" s="151"/>
    </row>
    <row r="812" spans="1:12" ht="15.75" customHeight="1">
      <c r="A812" s="96">
        <v>46609</v>
      </c>
      <c r="B812" s="99"/>
      <c r="C812" s="98"/>
      <c r="D812" s="117"/>
      <c r="E812" s="117"/>
      <c r="F812" s="98"/>
      <c r="G812" s="117"/>
      <c r="H812" s="100"/>
      <c r="I812" s="158"/>
      <c r="L812" s="151"/>
    </row>
    <row r="813" spans="1:12" ht="15.75" customHeight="1">
      <c r="A813" s="96">
        <v>46610</v>
      </c>
      <c r="B813" s="99"/>
      <c r="C813" s="98"/>
      <c r="D813" s="117"/>
      <c r="E813" s="117"/>
      <c r="F813" s="98"/>
      <c r="G813" s="117"/>
      <c r="H813" s="100"/>
      <c r="I813" s="158"/>
      <c r="L813" s="151"/>
    </row>
    <row r="814" spans="1:12" ht="15.75" customHeight="1">
      <c r="A814" s="96">
        <v>46611</v>
      </c>
      <c r="B814" s="99"/>
      <c r="C814" s="98"/>
      <c r="D814" s="117"/>
      <c r="E814" s="117"/>
      <c r="F814" s="98"/>
      <c r="G814" s="117"/>
      <c r="H814" s="100"/>
      <c r="I814" s="158"/>
      <c r="L814" s="151"/>
    </row>
    <row r="815" spans="1:12" ht="15.75" customHeight="1">
      <c r="A815" s="96">
        <v>46612</v>
      </c>
      <c r="B815" s="99"/>
      <c r="C815" s="98"/>
      <c r="D815" s="117"/>
      <c r="E815" s="117"/>
      <c r="F815" s="98"/>
      <c r="G815" s="117"/>
      <c r="H815" s="100"/>
      <c r="I815" s="158"/>
      <c r="L815" s="151"/>
    </row>
    <row r="816" spans="1:12" ht="15.75" customHeight="1">
      <c r="A816" s="96">
        <v>46613</v>
      </c>
      <c r="B816" s="99"/>
      <c r="C816" s="98"/>
      <c r="D816" s="117"/>
      <c r="E816" s="117"/>
      <c r="F816" s="98"/>
      <c r="G816" s="117"/>
      <c r="H816" s="100"/>
      <c r="I816" s="158"/>
      <c r="L816" s="151"/>
    </row>
    <row r="817" spans="1:12" ht="15.75" customHeight="1">
      <c r="A817" s="96">
        <v>46614</v>
      </c>
      <c r="B817" s="99"/>
      <c r="C817" s="98"/>
      <c r="D817" s="117"/>
      <c r="E817" s="117"/>
      <c r="F817" s="98"/>
      <c r="G817" s="117"/>
      <c r="H817" s="100"/>
      <c r="I817" s="158"/>
      <c r="L817" s="151"/>
    </row>
    <row r="818" spans="1:12" ht="15.75" customHeight="1">
      <c r="A818" s="96">
        <v>46615</v>
      </c>
      <c r="B818" s="99"/>
      <c r="C818" s="98"/>
      <c r="D818" s="117"/>
      <c r="E818" s="117"/>
      <c r="F818" s="98"/>
      <c r="G818" s="117"/>
      <c r="H818" s="100"/>
      <c r="I818" s="158"/>
      <c r="L818" s="151"/>
    </row>
    <row r="819" spans="1:12" ht="15.75" customHeight="1">
      <c r="A819" s="96">
        <v>46616</v>
      </c>
      <c r="B819" s="99"/>
      <c r="C819" s="98"/>
      <c r="D819" s="117"/>
      <c r="E819" s="117"/>
      <c r="F819" s="98"/>
      <c r="G819" s="117"/>
      <c r="H819" s="100"/>
      <c r="I819" s="158"/>
      <c r="L819" s="151"/>
    </row>
    <row r="820" spans="1:12" ht="15.75" customHeight="1">
      <c r="A820" s="96">
        <v>46617</v>
      </c>
      <c r="B820" s="99"/>
      <c r="C820" s="98"/>
      <c r="D820" s="117"/>
      <c r="E820" s="117"/>
      <c r="F820" s="98"/>
      <c r="G820" s="117"/>
      <c r="H820" s="100"/>
      <c r="I820" s="158"/>
      <c r="L820" s="151"/>
    </row>
    <row r="821" spans="1:12" ht="15.75" customHeight="1">
      <c r="A821" s="96">
        <v>46618</v>
      </c>
      <c r="B821" s="99"/>
      <c r="C821" s="98"/>
      <c r="D821" s="117"/>
      <c r="E821" s="117"/>
      <c r="F821" s="98"/>
      <c r="G821" s="117"/>
      <c r="H821" s="100"/>
      <c r="I821" s="158"/>
      <c r="L821" s="151"/>
    </row>
    <row r="822" spans="1:12" ht="15.75" customHeight="1">
      <c r="A822" s="96">
        <v>46619</v>
      </c>
      <c r="B822" s="99"/>
      <c r="C822" s="98"/>
      <c r="D822" s="117"/>
      <c r="E822" s="117"/>
      <c r="F822" s="98"/>
      <c r="G822" s="117"/>
      <c r="H822" s="100"/>
      <c r="I822" s="158"/>
      <c r="L822" s="151"/>
    </row>
    <row r="823" spans="1:12" ht="15.75" customHeight="1">
      <c r="A823" s="96">
        <v>46620</v>
      </c>
      <c r="B823" s="99"/>
      <c r="C823" s="98"/>
      <c r="D823" s="117"/>
      <c r="E823" s="117"/>
      <c r="F823" s="98"/>
      <c r="G823" s="117"/>
      <c r="H823" s="100"/>
      <c r="I823" s="158"/>
      <c r="L823" s="151"/>
    </row>
    <row r="824" spans="1:12" ht="15.75" customHeight="1">
      <c r="A824" s="96">
        <v>46621</v>
      </c>
      <c r="B824" s="99"/>
      <c r="C824" s="98"/>
      <c r="D824" s="117"/>
      <c r="E824" s="117"/>
      <c r="F824" s="98"/>
      <c r="G824" s="117"/>
      <c r="H824" s="100"/>
      <c r="I824" s="158"/>
      <c r="L824" s="151"/>
    </row>
    <row r="825" spans="1:12" ht="15.75" customHeight="1">
      <c r="A825" s="96">
        <v>46622</v>
      </c>
      <c r="B825" s="99"/>
      <c r="C825" s="98"/>
      <c r="D825" s="117"/>
      <c r="E825" s="117"/>
      <c r="F825" s="98"/>
      <c r="G825" s="117"/>
      <c r="H825" s="100"/>
      <c r="I825" s="158"/>
      <c r="L825" s="151"/>
    </row>
    <row r="826" spans="1:12" ht="15.75" customHeight="1">
      <c r="A826" s="96">
        <v>46623</v>
      </c>
      <c r="B826" s="99"/>
      <c r="C826" s="98"/>
      <c r="D826" s="117"/>
      <c r="E826" s="117"/>
      <c r="F826" s="98"/>
      <c r="G826" s="117"/>
      <c r="H826" s="100"/>
      <c r="I826" s="158"/>
      <c r="L826" s="151"/>
    </row>
    <row r="827" spans="1:12" ht="15.75" customHeight="1">
      <c r="A827" s="96">
        <v>46624</v>
      </c>
      <c r="B827" s="99"/>
      <c r="C827" s="98"/>
      <c r="D827" s="117"/>
      <c r="E827" s="117"/>
      <c r="F827" s="98"/>
      <c r="G827" s="117"/>
      <c r="H827" s="100"/>
      <c r="I827" s="158"/>
      <c r="L827" s="151"/>
    </row>
    <row r="828" spans="1:12" ht="15.75" customHeight="1">
      <c r="A828" s="96">
        <v>46625</v>
      </c>
      <c r="B828" s="99"/>
      <c r="C828" s="98"/>
      <c r="D828" s="117"/>
      <c r="E828" s="117"/>
      <c r="F828" s="98"/>
      <c r="G828" s="117"/>
      <c r="H828" s="100"/>
      <c r="I828" s="158"/>
      <c r="L828" s="151"/>
    </row>
    <row r="829" spans="1:12" ht="15.75" customHeight="1">
      <c r="A829" s="96">
        <v>46626</v>
      </c>
      <c r="B829" s="99"/>
      <c r="C829" s="98"/>
      <c r="D829" s="117"/>
      <c r="E829" s="117"/>
      <c r="F829" s="98"/>
      <c r="G829" s="117"/>
      <c r="H829" s="100"/>
      <c r="I829" s="158"/>
      <c r="L829" s="151"/>
    </row>
    <row r="830" spans="1:12" ht="15.75" customHeight="1">
      <c r="A830" s="96">
        <v>46627</v>
      </c>
      <c r="B830" s="99"/>
      <c r="C830" s="98"/>
      <c r="D830" s="117"/>
      <c r="E830" s="117"/>
      <c r="F830" s="98"/>
      <c r="G830" s="117"/>
      <c r="H830" s="100"/>
      <c r="I830" s="158"/>
      <c r="L830" s="151"/>
    </row>
    <row r="831" spans="1:12" ht="15.75" customHeight="1">
      <c r="A831" s="96">
        <v>46628</v>
      </c>
      <c r="B831" s="99"/>
      <c r="C831" s="98"/>
      <c r="D831" s="117"/>
      <c r="E831" s="117"/>
      <c r="F831" s="98"/>
      <c r="G831" s="117"/>
      <c r="H831" s="100"/>
      <c r="I831" s="158"/>
      <c r="L831" s="151"/>
    </row>
    <row r="832" spans="1:12" ht="15.75" customHeight="1">
      <c r="A832" s="96">
        <v>46629</v>
      </c>
      <c r="B832" s="99"/>
      <c r="C832" s="98"/>
      <c r="D832" s="117"/>
      <c r="E832" s="117"/>
      <c r="F832" s="98"/>
      <c r="G832" s="117"/>
      <c r="H832" s="100"/>
      <c r="I832" s="158"/>
      <c r="L832" s="151"/>
    </row>
    <row r="833" spans="1:12" ht="15.75" customHeight="1">
      <c r="A833" s="96">
        <v>46630</v>
      </c>
      <c r="B833" s="99"/>
      <c r="C833" s="98"/>
      <c r="D833" s="117"/>
      <c r="E833" s="117"/>
      <c r="F833" s="98"/>
      <c r="G833" s="117"/>
      <c r="H833" s="100"/>
      <c r="I833" s="158"/>
      <c r="L833" s="151"/>
    </row>
    <row r="834" spans="1:12" ht="15.75" customHeight="1">
      <c r="A834" s="96">
        <v>46631</v>
      </c>
      <c r="B834" s="99"/>
      <c r="C834" s="98"/>
      <c r="D834" s="117"/>
      <c r="E834" s="117"/>
      <c r="F834" s="98"/>
      <c r="G834" s="117"/>
      <c r="H834" s="100"/>
      <c r="I834" s="158"/>
      <c r="L834" s="151"/>
    </row>
    <row r="835" spans="1:12" ht="15.75" customHeight="1">
      <c r="A835" s="96">
        <v>46632</v>
      </c>
      <c r="B835" s="99"/>
      <c r="C835" s="98"/>
      <c r="D835" s="117"/>
      <c r="E835" s="117"/>
      <c r="F835" s="98"/>
      <c r="G835" s="117"/>
      <c r="H835" s="100"/>
      <c r="I835" s="158"/>
      <c r="L835" s="151"/>
    </row>
    <row r="836" spans="1:12" ht="15.75" customHeight="1">
      <c r="A836" s="96">
        <v>46633</v>
      </c>
      <c r="B836" s="99"/>
      <c r="C836" s="98"/>
      <c r="D836" s="117"/>
      <c r="E836" s="117"/>
      <c r="F836" s="98"/>
      <c r="G836" s="117"/>
      <c r="H836" s="100"/>
      <c r="I836" s="158"/>
      <c r="L836" s="151"/>
    </row>
    <row r="837" spans="1:12" ht="15.75" customHeight="1">
      <c r="A837" s="96">
        <v>46634</v>
      </c>
      <c r="B837" s="99"/>
      <c r="C837" s="98"/>
      <c r="D837" s="117"/>
      <c r="E837" s="117"/>
      <c r="F837" s="98"/>
      <c r="G837" s="117"/>
      <c r="H837" s="100"/>
      <c r="I837" s="158"/>
      <c r="L837" s="151"/>
    </row>
    <row r="838" spans="1:12" ht="15.75" customHeight="1">
      <c r="A838" s="96">
        <v>46635</v>
      </c>
      <c r="B838" s="99"/>
      <c r="C838" s="98"/>
      <c r="D838" s="117"/>
      <c r="E838" s="117"/>
      <c r="F838" s="98"/>
      <c r="G838" s="117"/>
      <c r="H838" s="100"/>
      <c r="I838" s="158"/>
      <c r="L838" s="151"/>
    </row>
    <row r="839" spans="1:12" ht="15.75" customHeight="1">
      <c r="A839" s="96">
        <v>46636</v>
      </c>
      <c r="B839" s="99"/>
      <c r="C839" s="98"/>
      <c r="D839" s="117"/>
      <c r="E839" s="117"/>
      <c r="F839" s="98"/>
      <c r="G839" s="117"/>
      <c r="H839" s="100"/>
      <c r="I839" s="158"/>
      <c r="L839" s="151"/>
    </row>
    <row r="840" spans="1:12" ht="15.75" customHeight="1">
      <c r="A840" s="96">
        <v>46637</v>
      </c>
      <c r="B840" s="99"/>
      <c r="C840" s="98"/>
      <c r="D840" s="117"/>
      <c r="E840" s="117"/>
      <c r="F840" s="98"/>
      <c r="G840" s="117"/>
      <c r="H840" s="100"/>
      <c r="I840" s="158"/>
      <c r="L840" s="151"/>
    </row>
    <row r="841" spans="1:12" ht="15.75" customHeight="1">
      <c r="A841" s="96">
        <v>46638</v>
      </c>
      <c r="B841" s="99"/>
      <c r="C841" s="98"/>
      <c r="D841" s="117"/>
      <c r="E841" s="117"/>
      <c r="F841" s="98"/>
      <c r="G841" s="117"/>
      <c r="H841" s="100"/>
      <c r="I841" s="158"/>
      <c r="L841" s="151"/>
    </row>
    <row r="842" spans="1:12" ht="15.75" customHeight="1">
      <c r="A842" s="96">
        <v>46639</v>
      </c>
      <c r="B842" s="99"/>
      <c r="C842" s="98"/>
      <c r="D842" s="117"/>
      <c r="E842" s="117"/>
      <c r="F842" s="98"/>
      <c r="G842" s="117"/>
      <c r="H842" s="100"/>
      <c r="I842" s="158"/>
      <c r="L842" s="151"/>
    </row>
    <row r="843" spans="1:12" ht="15.75" customHeight="1">
      <c r="A843" s="96">
        <v>46640</v>
      </c>
      <c r="B843" s="99"/>
      <c r="C843" s="98"/>
      <c r="D843" s="117"/>
      <c r="E843" s="117"/>
      <c r="F843" s="98"/>
      <c r="G843" s="117"/>
      <c r="H843" s="100"/>
      <c r="I843" s="158"/>
      <c r="L843" s="151"/>
    </row>
    <row r="844" spans="1:12" ht="15.75" customHeight="1">
      <c r="A844" s="96">
        <v>46641</v>
      </c>
      <c r="B844" s="99"/>
      <c r="C844" s="98"/>
      <c r="D844" s="117"/>
      <c r="E844" s="117"/>
      <c r="F844" s="98"/>
      <c r="G844" s="117"/>
      <c r="H844" s="100"/>
      <c r="I844" s="158"/>
      <c r="L844" s="151"/>
    </row>
    <row r="845" spans="1:12" ht="15.75" customHeight="1">
      <c r="A845" s="96">
        <v>46642</v>
      </c>
      <c r="B845" s="99"/>
      <c r="C845" s="98"/>
      <c r="D845" s="117"/>
      <c r="E845" s="117"/>
      <c r="F845" s="98"/>
      <c r="G845" s="117"/>
      <c r="H845" s="100"/>
      <c r="I845" s="158"/>
      <c r="L845" s="151"/>
    </row>
    <row r="846" spans="1:12" ht="15.75" customHeight="1">
      <c r="A846" s="96">
        <v>46643</v>
      </c>
      <c r="B846" s="99"/>
      <c r="C846" s="98"/>
      <c r="D846" s="117"/>
      <c r="E846" s="117"/>
      <c r="F846" s="98"/>
      <c r="G846" s="117"/>
      <c r="H846" s="100"/>
      <c r="I846" s="158"/>
      <c r="L846" s="151"/>
    </row>
    <row r="847" spans="1:12" ht="15.75" customHeight="1">
      <c r="A847" s="96">
        <v>46644</v>
      </c>
      <c r="B847" s="99"/>
      <c r="C847" s="98"/>
      <c r="D847" s="117"/>
      <c r="E847" s="117"/>
      <c r="F847" s="98"/>
      <c r="G847" s="117"/>
      <c r="H847" s="100"/>
      <c r="I847" s="158"/>
      <c r="L847" s="151"/>
    </row>
    <row r="848" spans="1:12" ht="15.75" customHeight="1">
      <c r="A848" s="96">
        <v>46645</v>
      </c>
      <c r="B848" s="99"/>
      <c r="C848" s="98"/>
      <c r="D848" s="117"/>
      <c r="E848" s="117"/>
      <c r="F848" s="98"/>
      <c r="G848" s="117"/>
      <c r="H848" s="100"/>
      <c r="I848" s="158"/>
      <c r="L848" s="151"/>
    </row>
    <row r="849" spans="1:12" ht="15.75" customHeight="1">
      <c r="A849" s="96">
        <v>46646</v>
      </c>
      <c r="B849" s="99"/>
      <c r="C849" s="98"/>
      <c r="D849" s="117"/>
      <c r="E849" s="117"/>
      <c r="F849" s="98"/>
      <c r="G849" s="117"/>
      <c r="H849" s="100"/>
      <c r="I849" s="158"/>
      <c r="L849" s="151"/>
    </row>
    <row r="850" spans="1:12" ht="15.75" customHeight="1">
      <c r="A850" s="96">
        <v>46647</v>
      </c>
      <c r="B850" s="99"/>
      <c r="C850" s="98"/>
      <c r="D850" s="117"/>
      <c r="E850" s="117"/>
      <c r="F850" s="98"/>
      <c r="G850" s="117"/>
      <c r="H850" s="100"/>
      <c r="I850" s="158"/>
      <c r="L850" s="151"/>
    </row>
    <row r="851" spans="1:12" ht="15.75" customHeight="1">
      <c r="A851" s="96">
        <v>46648</v>
      </c>
      <c r="B851" s="99"/>
      <c r="C851" s="98"/>
      <c r="D851" s="117"/>
      <c r="E851" s="117"/>
      <c r="F851" s="98"/>
      <c r="G851" s="117"/>
      <c r="H851" s="100"/>
      <c r="I851" s="158"/>
      <c r="L851" s="151"/>
    </row>
    <row r="852" spans="1:12" ht="15.75" customHeight="1">
      <c r="A852" s="96">
        <v>46649</v>
      </c>
      <c r="B852" s="99"/>
      <c r="C852" s="98"/>
      <c r="D852" s="117"/>
      <c r="E852" s="117"/>
      <c r="F852" s="98"/>
      <c r="G852" s="117"/>
      <c r="H852" s="100"/>
      <c r="I852" s="158"/>
      <c r="L852" s="151"/>
    </row>
    <row r="853" spans="1:12" ht="15.75" customHeight="1">
      <c r="A853" s="96">
        <v>46650</v>
      </c>
      <c r="B853" s="99"/>
      <c r="C853" s="98"/>
      <c r="D853" s="117"/>
      <c r="E853" s="117"/>
      <c r="F853" s="98"/>
      <c r="G853" s="117"/>
      <c r="H853" s="100"/>
      <c r="I853" s="158"/>
      <c r="L853" s="151"/>
    </row>
    <row r="854" spans="1:12" ht="15.75" customHeight="1">
      <c r="A854" s="96">
        <v>46651</v>
      </c>
      <c r="B854" s="99"/>
      <c r="C854" s="98"/>
      <c r="D854" s="117"/>
      <c r="E854" s="117"/>
      <c r="F854" s="98"/>
      <c r="G854" s="117"/>
      <c r="H854" s="100"/>
      <c r="I854" s="158"/>
      <c r="L854" s="151"/>
    </row>
    <row r="855" spans="1:12" ht="15.75" customHeight="1">
      <c r="A855" s="96">
        <v>46652</v>
      </c>
      <c r="B855" s="99"/>
      <c r="C855" s="98"/>
      <c r="D855" s="117"/>
      <c r="E855" s="117"/>
      <c r="F855" s="98"/>
      <c r="G855" s="117"/>
      <c r="H855" s="100"/>
      <c r="I855" s="158"/>
      <c r="L855" s="151"/>
    </row>
    <row r="856" spans="1:12" ht="15.75" customHeight="1">
      <c r="A856" s="96">
        <v>46653</v>
      </c>
      <c r="B856" s="99"/>
      <c r="C856" s="98"/>
      <c r="D856" s="117"/>
      <c r="E856" s="117"/>
      <c r="F856" s="98"/>
      <c r="G856" s="117"/>
      <c r="H856" s="100"/>
      <c r="I856" s="158"/>
      <c r="L856" s="151"/>
    </row>
    <row r="857" spans="1:12" ht="15.75" customHeight="1">
      <c r="A857" s="96">
        <v>46654</v>
      </c>
      <c r="B857" s="99"/>
      <c r="C857" s="98"/>
      <c r="D857" s="117"/>
      <c r="E857" s="117"/>
      <c r="F857" s="98"/>
      <c r="G857" s="117"/>
      <c r="H857" s="100"/>
      <c r="I857" s="158"/>
      <c r="L857" s="151"/>
    </row>
    <row r="858" spans="1:12" ht="15.75" customHeight="1">
      <c r="A858" s="96">
        <v>46655</v>
      </c>
      <c r="B858" s="99"/>
      <c r="C858" s="98"/>
      <c r="D858" s="117"/>
      <c r="E858" s="117"/>
      <c r="F858" s="98"/>
      <c r="G858" s="117"/>
      <c r="H858" s="100"/>
      <c r="I858" s="158"/>
      <c r="L858" s="151"/>
    </row>
    <row r="859" spans="1:12" ht="15.75" customHeight="1">
      <c r="A859" s="96">
        <v>46656</v>
      </c>
      <c r="B859" s="99"/>
      <c r="C859" s="98"/>
      <c r="D859" s="117"/>
      <c r="E859" s="117"/>
      <c r="F859" s="98"/>
      <c r="G859" s="117"/>
      <c r="H859" s="100"/>
      <c r="I859" s="158"/>
      <c r="L859" s="151"/>
    </row>
    <row r="860" spans="1:12" ht="15.75" customHeight="1">
      <c r="A860" s="96">
        <v>46657</v>
      </c>
      <c r="B860" s="99"/>
      <c r="C860" s="98"/>
      <c r="D860" s="117"/>
      <c r="E860" s="117"/>
      <c r="F860" s="98"/>
      <c r="G860" s="117"/>
      <c r="H860" s="100"/>
      <c r="I860" s="158"/>
      <c r="L860" s="151"/>
    </row>
    <row r="861" spans="1:12" ht="15.75" customHeight="1">
      <c r="A861" s="96">
        <v>46658</v>
      </c>
      <c r="B861" s="99"/>
      <c r="C861" s="98"/>
      <c r="D861" s="117"/>
      <c r="E861" s="117"/>
      <c r="F861" s="98"/>
      <c r="G861" s="117"/>
      <c r="H861" s="100"/>
      <c r="I861" s="158"/>
      <c r="L861" s="151"/>
    </row>
    <row r="862" spans="1:12" ht="15.75" customHeight="1">
      <c r="A862" s="96">
        <v>46659</v>
      </c>
      <c r="B862" s="99"/>
      <c r="C862" s="98"/>
      <c r="D862" s="117"/>
      <c r="E862" s="117"/>
      <c r="F862" s="98"/>
      <c r="G862" s="117"/>
      <c r="H862" s="100"/>
      <c r="I862" s="158"/>
      <c r="L862" s="151"/>
    </row>
    <row r="863" spans="1:12" ht="15.75" customHeight="1">
      <c r="A863" s="96">
        <v>46660</v>
      </c>
      <c r="B863" s="99"/>
      <c r="C863" s="98"/>
      <c r="D863" s="117"/>
      <c r="E863" s="117"/>
      <c r="F863" s="98"/>
      <c r="G863" s="117"/>
      <c r="H863" s="100"/>
      <c r="I863" s="158"/>
      <c r="L863" s="151"/>
    </row>
    <row r="864" spans="1:12" ht="15.75" customHeight="1">
      <c r="A864" s="96">
        <v>46661</v>
      </c>
      <c r="B864" s="99"/>
      <c r="C864" s="98"/>
      <c r="D864" s="117"/>
      <c r="E864" s="117"/>
      <c r="F864" s="98"/>
      <c r="G864" s="117"/>
      <c r="H864" s="100"/>
      <c r="I864" s="158"/>
      <c r="L864" s="151"/>
    </row>
    <row r="865" spans="1:12" ht="15.75" customHeight="1">
      <c r="A865" s="96">
        <v>46662</v>
      </c>
      <c r="B865" s="99"/>
      <c r="C865" s="98"/>
      <c r="D865" s="117"/>
      <c r="E865" s="117"/>
      <c r="F865" s="98"/>
      <c r="G865" s="117"/>
      <c r="H865" s="100"/>
      <c r="I865" s="158"/>
      <c r="L865" s="151"/>
    </row>
    <row r="866" spans="1:12" ht="15.75" customHeight="1">
      <c r="A866" s="96">
        <v>46663</v>
      </c>
      <c r="B866" s="99"/>
      <c r="C866" s="98"/>
      <c r="D866" s="117"/>
      <c r="E866" s="117"/>
      <c r="F866" s="98"/>
      <c r="G866" s="117"/>
      <c r="H866" s="100"/>
      <c r="I866" s="158"/>
      <c r="L866" s="151"/>
    </row>
    <row r="867" spans="1:12" ht="15.75" customHeight="1">
      <c r="A867" s="96">
        <v>46664</v>
      </c>
      <c r="B867" s="99"/>
      <c r="C867" s="98"/>
      <c r="D867" s="117"/>
      <c r="E867" s="117"/>
      <c r="F867" s="98"/>
      <c r="G867" s="117"/>
      <c r="H867" s="100"/>
      <c r="I867" s="158"/>
      <c r="L867" s="151"/>
    </row>
    <row r="868" spans="1:12" ht="15.75" customHeight="1">
      <c r="A868" s="96">
        <v>46665</v>
      </c>
      <c r="B868" s="99"/>
      <c r="C868" s="98"/>
      <c r="D868" s="117"/>
      <c r="E868" s="117"/>
      <c r="F868" s="98"/>
      <c r="G868" s="117"/>
      <c r="H868" s="100"/>
      <c r="I868" s="158"/>
      <c r="L868" s="151"/>
    </row>
    <row r="869" spans="1:12" ht="15.75" customHeight="1">
      <c r="A869" s="96">
        <v>46666</v>
      </c>
      <c r="B869" s="99"/>
      <c r="C869" s="98"/>
      <c r="D869" s="117"/>
      <c r="E869" s="117"/>
      <c r="F869" s="98"/>
      <c r="G869" s="117"/>
      <c r="H869" s="100"/>
      <c r="I869" s="158"/>
      <c r="L869" s="151"/>
    </row>
    <row r="870" spans="1:12" ht="15.75" customHeight="1">
      <c r="A870" s="96">
        <v>46667</v>
      </c>
      <c r="B870" s="99"/>
      <c r="C870" s="98"/>
      <c r="D870" s="117"/>
      <c r="E870" s="117"/>
      <c r="F870" s="98"/>
      <c r="G870" s="117"/>
      <c r="H870" s="100"/>
      <c r="I870" s="158"/>
      <c r="L870" s="151"/>
    </row>
    <row r="871" spans="1:12" ht="15.75" customHeight="1">
      <c r="A871" s="96">
        <v>46668</v>
      </c>
      <c r="B871" s="99"/>
      <c r="C871" s="98"/>
      <c r="D871" s="117"/>
      <c r="E871" s="117"/>
      <c r="F871" s="98"/>
      <c r="G871" s="117"/>
      <c r="H871" s="100"/>
      <c r="I871" s="158"/>
      <c r="L871" s="151"/>
    </row>
    <row r="872" spans="1:12" ht="15.75" customHeight="1">
      <c r="A872" s="96">
        <v>46669</v>
      </c>
      <c r="B872" s="99"/>
      <c r="C872" s="98"/>
      <c r="D872" s="117"/>
      <c r="E872" s="117"/>
      <c r="F872" s="98"/>
      <c r="G872" s="117"/>
      <c r="H872" s="100"/>
      <c r="I872" s="158"/>
      <c r="L872" s="151"/>
    </row>
    <row r="873" spans="1:12" ht="15.75" customHeight="1">
      <c r="A873" s="96">
        <v>46670</v>
      </c>
      <c r="B873" s="99"/>
      <c r="C873" s="98"/>
      <c r="D873" s="117"/>
      <c r="E873" s="117"/>
      <c r="F873" s="98"/>
      <c r="G873" s="117"/>
      <c r="H873" s="100"/>
      <c r="I873" s="158"/>
      <c r="L873" s="151"/>
    </row>
    <row r="874" spans="1:12" ht="15.75" customHeight="1">
      <c r="A874" s="96">
        <v>46671</v>
      </c>
      <c r="B874" s="99"/>
      <c r="C874" s="98"/>
      <c r="D874" s="117"/>
      <c r="E874" s="117"/>
      <c r="F874" s="98"/>
      <c r="G874" s="117"/>
      <c r="H874" s="100"/>
      <c r="I874" s="158"/>
      <c r="L874" s="151"/>
    </row>
    <row r="875" spans="1:12" ht="15.75" customHeight="1">
      <c r="A875" s="96">
        <v>46672</v>
      </c>
      <c r="B875" s="99"/>
      <c r="C875" s="98"/>
      <c r="D875" s="117"/>
      <c r="E875" s="117"/>
      <c r="F875" s="98"/>
      <c r="G875" s="117"/>
      <c r="H875" s="100"/>
      <c r="I875" s="158"/>
      <c r="L875" s="151"/>
    </row>
    <row r="876" spans="1:12" ht="15.75" customHeight="1">
      <c r="A876" s="96">
        <v>46673</v>
      </c>
      <c r="B876" s="99"/>
      <c r="C876" s="98"/>
      <c r="D876" s="117"/>
      <c r="E876" s="117"/>
      <c r="F876" s="98"/>
      <c r="G876" s="117"/>
      <c r="H876" s="100"/>
      <c r="I876" s="158"/>
      <c r="L876" s="151"/>
    </row>
    <row r="877" spans="1:12" ht="15.75" customHeight="1">
      <c r="A877" s="96">
        <v>46674</v>
      </c>
      <c r="B877" s="99"/>
      <c r="C877" s="98"/>
      <c r="D877" s="117"/>
      <c r="E877" s="117"/>
      <c r="F877" s="98"/>
      <c r="G877" s="117"/>
      <c r="H877" s="100"/>
      <c r="I877" s="158"/>
      <c r="L877" s="151"/>
    </row>
    <row r="878" spans="1:12" ht="15.75" customHeight="1">
      <c r="A878" s="96">
        <v>46675</v>
      </c>
      <c r="B878" s="99"/>
      <c r="C878" s="98"/>
      <c r="D878" s="117"/>
      <c r="E878" s="117"/>
      <c r="F878" s="98"/>
      <c r="G878" s="117"/>
      <c r="H878" s="100"/>
      <c r="I878" s="158"/>
      <c r="L878" s="151"/>
    </row>
    <row r="879" spans="1:12" ht="15.75" customHeight="1">
      <c r="A879" s="96">
        <v>46676</v>
      </c>
      <c r="B879" s="99"/>
      <c r="C879" s="98"/>
      <c r="D879" s="117"/>
      <c r="E879" s="117"/>
      <c r="F879" s="98"/>
      <c r="G879" s="117"/>
      <c r="H879" s="100"/>
      <c r="I879" s="158"/>
      <c r="L879" s="151"/>
    </row>
    <row r="880" spans="1:12" ht="15.75" customHeight="1">
      <c r="A880" s="96">
        <v>46677</v>
      </c>
      <c r="B880" s="99"/>
      <c r="C880" s="98"/>
      <c r="D880" s="117"/>
      <c r="E880" s="117"/>
      <c r="F880" s="98"/>
      <c r="G880" s="117"/>
      <c r="H880" s="100"/>
      <c r="I880" s="158"/>
      <c r="L880" s="151"/>
    </row>
    <row r="881" spans="1:12" ht="15.75" customHeight="1">
      <c r="A881" s="96">
        <v>46678</v>
      </c>
      <c r="B881" s="99"/>
      <c r="C881" s="98"/>
      <c r="D881" s="117"/>
      <c r="E881" s="117"/>
      <c r="F881" s="98"/>
      <c r="G881" s="117"/>
      <c r="H881" s="100"/>
      <c r="I881" s="158"/>
      <c r="L881" s="151"/>
    </row>
    <row r="882" spans="1:12" ht="15.75" customHeight="1">
      <c r="A882" s="96">
        <v>46679</v>
      </c>
      <c r="B882" s="99"/>
      <c r="C882" s="98"/>
      <c r="D882" s="117"/>
      <c r="E882" s="117"/>
      <c r="F882" s="98"/>
      <c r="G882" s="117"/>
      <c r="H882" s="100"/>
      <c r="I882" s="158"/>
      <c r="L882" s="151"/>
    </row>
    <row r="883" spans="1:12" ht="15.75" customHeight="1">
      <c r="A883" s="96">
        <v>46680</v>
      </c>
      <c r="B883" s="99"/>
      <c r="C883" s="98"/>
      <c r="D883" s="117"/>
      <c r="E883" s="117"/>
      <c r="F883" s="98"/>
      <c r="G883" s="117"/>
      <c r="H883" s="100"/>
      <c r="I883" s="158"/>
      <c r="L883" s="151"/>
    </row>
    <row r="884" spans="1:12" ht="15.75" customHeight="1">
      <c r="A884" s="96">
        <v>46681</v>
      </c>
      <c r="B884" s="99"/>
      <c r="C884" s="98"/>
      <c r="D884" s="117"/>
      <c r="E884" s="117"/>
      <c r="F884" s="98"/>
      <c r="G884" s="117"/>
      <c r="H884" s="100"/>
      <c r="I884" s="158"/>
      <c r="L884" s="151"/>
    </row>
    <row r="885" spans="1:12" ht="15.75" customHeight="1">
      <c r="A885" s="96">
        <v>46682</v>
      </c>
      <c r="B885" s="99"/>
      <c r="C885" s="98"/>
      <c r="D885" s="117"/>
      <c r="E885" s="117"/>
      <c r="F885" s="98"/>
      <c r="G885" s="117"/>
      <c r="H885" s="100"/>
      <c r="I885" s="158"/>
      <c r="L885" s="151"/>
    </row>
    <row r="886" spans="1:12" ht="15.75" customHeight="1">
      <c r="A886" s="96">
        <v>46683</v>
      </c>
      <c r="B886" s="99"/>
      <c r="C886" s="98"/>
      <c r="D886" s="117"/>
      <c r="E886" s="117"/>
      <c r="F886" s="98"/>
      <c r="G886" s="117"/>
      <c r="H886" s="100"/>
      <c r="I886" s="158"/>
      <c r="L886" s="151"/>
    </row>
    <row r="887" spans="1:12" ht="15.75" customHeight="1">
      <c r="A887" s="96">
        <v>46684</v>
      </c>
      <c r="B887" s="99"/>
      <c r="C887" s="98"/>
      <c r="D887" s="117"/>
      <c r="E887" s="117"/>
      <c r="F887" s="98"/>
      <c r="G887" s="117"/>
      <c r="H887" s="100"/>
      <c r="I887" s="158"/>
      <c r="L887" s="151"/>
    </row>
    <row r="888" spans="1:12" ht="15.75" customHeight="1">
      <c r="A888" s="96">
        <v>46685</v>
      </c>
      <c r="B888" s="99"/>
      <c r="C888" s="98"/>
      <c r="D888" s="117"/>
      <c r="E888" s="117"/>
      <c r="F888" s="98"/>
      <c r="G888" s="117"/>
      <c r="H888" s="100"/>
      <c r="I888" s="158"/>
      <c r="L888" s="151"/>
    </row>
    <row r="889" spans="1:12" ht="15.75" customHeight="1">
      <c r="A889" s="96">
        <v>46686</v>
      </c>
      <c r="B889" s="99"/>
      <c r="C889" s="98"/>
      <c r="D889" s="117"/>
      <c r="E889" s="117"/>
      <c r="F889" s="98"/>
      <c r="G889" s="117"/>
      <c r="H889" s="100"/>
      <c r="I889" s="158"/>
      <c r="L889" s="151"/>
    </row>
    <row r="890" spans="1:12" ht="15.75" customHeight="1">
      <c r="A890" s="96">
        <v>46687</v>
      </c>
      <c r="B890" s="99"/>
      <c r="C890" s="98"/>
      <c r="D890" s="117"/>
      <c r="E890" s="117"/>
      <c r="F890" s="98"/>
      <c r="G890" s="117"/>
      <c r="H890" s="100"/>
      <c r="I890" s="158"/>
      <c r="L890" s="151"/>
    </row>
    <row r="891" spans="1:12" ht="15.75" customHeight="1">
      <c r="A891" s="96">
        <v>46688</v>
      </c>
      <c r="B891" s="99"/>
      <c r="C891" s="98"/>
      <c r="D891" s="117"/>
      <c r="E891" s="117"/>
      <c r="F891" s="98"/>
      <c r="G891" s="117"/>
      <c r="H891" s="100"/>
      <c r="I891" s="158"/>
      <c r="L891" s="151"/>
    </row>
    <row r="892" spans="1:12" ht="15.75" customHeight="1">
      <c r="A892" s="96">
        <v>46689</v>
      </c>
      <c r="B892" s="99"/>
      <c r="C892" s="98"/>
      <c r="D892" s="117"/>
      <c r="E892" s="117"/>
      <c r="F892" s="98"/>
      <c r="G892" s="117"/>
      <c r="H892" s="100"/>
      <c r="I892" s="158"/>
      <c r="L892" s="151"/>
    </row>
    <row r="893" spans="1:12" ht="15.75" customHeight="1">
      <c r="A893" s="96">
        <v>46690</v>
      </c>
      <c r="B893" s="99"/>
      <c r="C893" s="98"/>
      <c r="D893" s="117"/>
      <c r="E893" s="117"/>
      <c r="F893" s="98"/>
      <c r="G893" s="117"/>
      <c r="H893" s="100"/>
      <c r="I893" s="158"/>
      <c r="L893" s="151"/>
    </row>
    <row r="894" spans="1:12" ht="15.75" customHeight="1">
      <c r="A894" s="96">
        <v>46691</v>
      </c>
      <c r="B894" s="99"/>
      <c r="C894" s="98"/>
      <c r="D894" s="117"/>
      <c r="E894" s="117"/>
      <c r="F894" s="98"/>
      <c r="G894" s="117"/>
      <c r="H894" s="100"/>
      <c r="I894" s="158"/>
      <c r="L894" s="151"/>
    </row>
    <row r="895" spans="1:12" ht="15.75" customHeight="1">
      <c r="A895" s="96">
        <v>46692</v>
      </c>
      <c r="B895" s="99"/>
      <c r="C895" s="98"/>
      <c r="D895" s="117"/>
      <c r="E895" s="117"/>
      <c r="F895" s="98"/>
      <c r="G895" s="117"/>
      <c r="H895" s="100"/>
      <c r="I895" s="158"/>
      <c r="L895" s="151"/>
    </row>
    <row r="896" spans="1:12" ht="15.75" customHeight="1">
      <c r="A896" s="96">
        <v>46693</v>
      </c>
      <c r="B896" s="99"/>
      <c r="C896" s="98"/>
      <c r="D896" s="117"/>
      <c r="E896" s="117"/>
      <c r="F896" s="98"/>
      <c r="G896" s="117"/>
      <c r="H896" s="100"/>
      <c r="I896" s="158"/>
      <c r="L896" s="151"/>
    </row>
    <row r="897" spans="1:12" ht="15.75" customHeight="1">
      <c r="A897" s="96">
        <v>46694</v>
      </c>
      <c r="B897" s="99"/>
      <c r="C897" s="98"/>
      <c r="D897" s="117"/>
      <c r="E897" s="117"/>
      <c r="F897" s="98"/>
      <c r="G897" s="117"/>
      <c r="H897" s="100"/>
      <c r="I897" s="158"/>
      <c r="L897" s="151"/>
    </row>
    <row r="898" spans="1:12" ht="15.75" customHeight="1">
      <c r="A898" s="96">
        <v>46695</v>
      </c>
      <c r="B898" s="99"/>
      <c r="C898" s="98"/>
      <c r="D898" s="117"/>
      <c r="E898" s="117"/>
      <c r="F898" s="98"/>
      <c r="G898" s="117"/>
      <c r="H898" s="100"/>
      <c r="I898" s="158"/>
      <c r="L898" s="151"/>
    </row>
    <row r="899" spans="1:12" ht="15.75" customHeight="1">
      <c r="A899" s="96">
        <v>46696</v>
      </c>
      <c r="B899" s="99"/>
      <c r="C899" s="98"/>
      <c r="D899" s="117"/>
      <c r="E899" s="117"/>
      <c r="F899" s="98"/>
      <c r="G899" s="117"/>
      <c r="H899" s="100"/>
      <c r="I899" s="158"/>
      <c r="L899" s="151"/>
    </row>
    <row r="900" spans="1:12" ht="15.75" customHeight="1">
      <c r="A900" s="96">
        <v>46697</v>
      </c>
      <c r="B900" s="99"/>
      <c r="C900" s="98"/>
      <c r="D900" s="117"/>
      <c r="E900" s="117"/>
      <c r="F900" s="98"/>
      <c r="G900" s="117"/>
      <c r="H900" s="100"/>
      <c r="I900" s="158"/>
      <c r="L900" s="151"/>
    </row>
    <row r="901" spans="1:12" ht="15.75" customHeight="1">
      <c r="A901" s="96">
        <v>46698</v>
      </c>
      <c r="B901" s="99"/>
      <c r="C901" s="98"/>
      <c r="D901" s="117"/>
      <c r="E901" s="117"/>
      <c r="F901" s="98"/>
      <c r="G901" s="117"/>
      <c r="H901" s="100"/>
      <c r="I901" s="158"/>
      <c r="L901" s="151"/>
    </row>
    <row r="902" spans="1:12" ht="15.75" customHeight="1">
      <c r="A902" s="96">
        <v>46699</v>
      </c>
      <c r="B902" s="99"/>
      <c r="C902" s="98"/>
      <c r="D902" s="117"/>
      <c r="E902" s="117"/>
      <c r="F902" s="98"/>
      <c r="G902" s="117"/>
      <c r="H902" s="100"/>
      <c r="I902" s="158"/>
      <c r="L902" s="151"/>
    </row>
    <row r="903" spans="1:12" ht="15.75" customHeight="1">
      <c r="A903" s="96">
        <v>46700</v>
      </c>
      <c r="B903" s="99"/>
      <c r="C903" s="98"/>
      <c r="D903" s="117"/>
      <c r="E903" s="117"/>
      <c r="F903" s="98"/>
      <c r="G903" s="117"/>
      <c r="H903" s="100"/>
      <c r="I903" s="158"/>
      <c r="L903" s="151"/>
    </row>
    <row r="904" spans="1:12" ht="15.75" customHeight="1">
      <c r="A904" s="96">
        <v>46701</v>
      </c>
      <c r="B904" s="99"/>
      <c r="C904" s="98"/>
      <c r="D904" s="117"/>
      <c r="E904" s="117"/>
      <c r="F904" s="98"/>
      <c r="G904" s="117"/>
      <c r="H904" s="100"/>
      <c r="I904" s="158"/>
      <c r="L904" s="151"/>
    </row>
    <row r="905" spans="1:12" ht="15.75" customHeight="1">
      <c r="A905" s="96">
        <v>46702</v>
      </c>
      <c r="B905" s="99"/>
      <c r="C905" s="98"/>
      <c r="D905" s="117"/>
      <c r="E905" s="117"/>
      <c r="F905" s="98"/>
      <c r="G905" s="117"/>
      <c r="H905" s="100"/>
      <c r="I905" s="158"/>
      <c r="L905" s="151"/>
    </row>
    <row r="906" spans="1:12" ht="15.75" customHeight="1">
      <c r="A906" s="96">
        <v>46703</v>
      </c>
      <c r="B906" s="99"/>
      <c r="C906" s="98"/>
      <c r="D906" s="117"/>
      <c r="E906" s="117"/>
      <c r="F906" s="98"/>
      <c r="G906" s="117"/>
      <c r="H906" s="100"/>
      <c r="I906" s="158"/>
      <c r="L906" s="151"/>
    </row>
    <row r="907" spans="1:12" ht="15.75" customHeight="1">
      <c r="A907" s="96">
        <v>46704</v>
      </c>
      <c r="B907" s="99"/>
      <c r="C907" s="98"/>
      <c r="D907" s="117"/>
      <c r="E907" s="117"/>
      <c r="F907" s="98"/>
      <c r="G907" s="117"/>
      <c r="H907" s="100"/>
      <c r="I907" s="158"/>
      <c r="L907" s="151"/>
    </row>
    <row r="908" spans="1:12" ht="15.75" customHeight="1">
      <c r="A908" s="96">
        <v>46705</v>
      </c>
      <c r="B908" s="99"/>
      <c r="C908" s="98"/>
      <c r="D908" s="117"/>
      <c r="E908" s="117"/>
      <c r="F908" s="98"/>
      <c r="G908" s="117"/>
      <c r="H908" s="100"/>
      <c r="I908" s="158"/>
      <c r="L908" s="151"/>
    </row>
    <row r="909" spans="1:12" ht="15.75" customHeight="1">
      <c r="A909" s="96">
        <v>46706</v>
      </c>
      <c r="B909" s="99"/>
      <c r="C909" s="98"/>
      <c r="D909" s="117"/>
      <c r="E909" s="117"/>
      <c r="F909" s="98"/>
      <c r="G909" s="117"/>
      <c r="H909" s="100"/>
      <c r="I909" s="158"/>
      <c r="L909" s="151"/>
    </row>
    <row r="910" spans="1:12" ht="15.75" customHeight="1">
      <c r="A910" s="96">
        <v>46707</v>
      </c>
      <c r="B910" s="99"/>
      <c r="C910" s="98"/>
      <c r="D910" s="117"/>
      <c r="E910" s="117"/>
      <c r="F910" s="98"/>
      <c r="G910" s="117"/>
      <c r="H910" s="100"/>
      <c r="I910" s="158"/>
      <c r="L910" s="151"/>
    </row>
    <row r="911" spans="1:12" ht="15.75" customHeight="1">
      <c r="A911" s="96">
        <v>46708</v>
      </c>
      <c r="B911" s="99"/>
      <c r="C911" s="98"/>
      <c r="D911" s="117"/>
      <c r="E911" s="117"/>
      <c r="F911" s="98"/>
      <c r="G911" s="117"/>
      <c r="H911" s="100"/>
      <c r="I911" s="158"/>
      <c r="L911" s="151"/>
    </row>
    <row r="912" spans="1:12" ht="15.75" customHeight="1">
      <c r="A912" s="96">
        <v>46709</v>
      </c>
      <c r="B912" s="99"/>
      <c r="C912" s="98"/>
      <c r="D912" s="117"/>
      <c r="E912" s="117"/>
      <c r="F912" s="98"/>
      <c r="G912" s="117"/>
      <c r="H912" s="100"/>
      <c r="I912" s="158"/>
      <c r="L912" s="151"/>
    </row>
    <row r="913" spans="1:12" ht="15.75" customHeight="1">
      <c r="A913" s="96">
        <v>46710</v>
      </c>
      <c r="B913" s="99"/>
      <c r="C913" s="98"/>
      <c r="D913" s="117"/>
      <c r="E913" s="117"/>
      <c r="F913" s="98"/>
      <c r="G913" s="117"/>
      <c r="H913" s="100"/>
      <c r="I913" s="158"/>
      <c r="L913" s="151"/>
    </row>
    <row r="914" spans="1:12" ht="15.75" customHeight="1">
      <c r="A914" s="96">
        <v>46711</v>
      </c>
      <c r="B914" s="99"/>
      <c r="C914" s="98"/>
      <c r="D914" s="117"/>
      <c r="E914" s="117"/>
      <c r="F914" s="98"/>
      <c r="G914" s="117"/>
      <c r="H914" s="100"/>
      <c r="I914" s="158"/>
      <c r="L914" s="151"/>
    </row>
    <row r="915" spans="1:12" ht="15.75" customHeight="1">
      <c r="A915" s="96">
        <v>46712</v>
      </c>
      <c r="B915" s="99"/>
      <c r="C915" s="98"/>
      <c r="D915" s="117"/>
      <c r="E915" s="117"/>
      <c r="F915" s="98"/>
      <c r="G915" s="117"/>
      <c r="H915" s="100"/>
      <c r="I915" s="158"/>
      <c r="L915" s="151"/>
    </row>
    <row r="916" spans="1:12" ht="15.75" customHeight="1">
      <c r="A916" s="96">
        <v>46713</v>
      </c>
      <c r="B916" s="99"/>
      <c r="C916" s="98"/>
      <c r="D916" s="117"/>
      <c r="E916" s="117"/>
      <c r="F916" s="98"/>
      <c r="G916" s="117"/>
      <c r="H916" s="100"/>
      <c r="I916" s="158"/>
      <c r="L916" s="151"/>
    </row>
    <row r="917" spans="1:12" ht="15.75" customHeight="1">
      <c r="A917" s="96">
        <v>46714</v>
      </c>
      <c r="B917" s="99"/>
      <c r="C917" s="98"/>
      <c r="D917" s="117"/>
      <c r="E917" s="117"/>
      <c r="F917" s="98"/>
      <c r="G917" s="117"/>
      <c r="H917" s="100"/>
      <c r="I917" s="158"/>
      <c r="L917" s="151"/>
    </row>
    <row r="918" spans="1:12" ht="15.75" customHeight="1">
      <c r="A918" s="96">
        <v>46715</v>
      </c>
      <c r="B918" s="99"/>
      <c r="C918" s="98"/>
      <c r="D918" s="117"/>
      <c r="E918" s="117"/>
      <c r="F918" s="98"/>
      <c r="G918" s="117"/>
      <c r="H918" s="100"/>
      <c r="I918" s="158"/>
      <c r="L918" s="151"/>
    </row>
    <row r="919" spans="1:12" ht="15.75" customHeight="1">
      <c r="A919" s="96">
        <v>46716</v>
      </c>
      <c r="B919" s="99"/>
      <c r="C919" s="98"/>
      <c r="D919" s="117"/>
      <c r="E919" s="117"/>
      <c r="F919" s="98"/>
      <c r="G919" s="117"/>
      <c r="H919" s="100"/>
      <c r="I919" s="158"/>
      <c r="L919" s="151"/>
    </row>
    <row r="920" spans="1:12" ht="15.75" customHeight="1">
      <c r="A920" s="96">
        <v>46717</v>
      </c>
      <c r="B920" s="99"/>
      <c r="C920" s="98"/>
      <c r="D920" s="117"/>
      <c r="E920" s="117"/>
      <c r="F920" s="98"/>
      <c r="G920" s="117"/>
      <c r="H920" s="100"/>
      <c r="I920" s="158"/>
      <c r="L920" s="151"/>
    </row>
    <row r="921" spans="1:12" ht="15.75" customHeight="1">
      <c r="A921" s="96">
        <v>46718</v>
      </c>
      <c r="B921" s="99"/>
      <c r="C921" s="98"/>
      <c r="D921" s="117"/>
      <c r="E921" s="117"/>
      <c r="F921" s="98"/>
      <c r="G921" s="117"/>
      <c r="H921" s="100"/>
      <c r="I921" s="158"/>
      <c r="L921" s="151"/>
    </row>
    <row r="922" spans="1:12" ht="15.75" customHeight="1">
      <c r="A922" s="96">
        <v>46719</v>
      </c>
      <c r="B922" s="99"/>
      <c r="C922" s="98"/>
      <c r="D922" s="117"/>
      <c r="E922" s="117"/>
      <c r="F922" s="98"/>
      <c r="G922" s="117"/>
      <c r="H922" s="100"/>
      <c r="I922" s="158"/>
      <c r="L922" s="151"/>
    </row>
    <row r="923" spans="1:12" ht="15.75" customHeight="1">
      <c r="A923" s="96">
        <v>46720</v>
      </c>
      <c r="B923" s="99"/>
      <c r="C923" s="98"/>
      <c r="D923" s="117"/>
      <c r="E923" s="117"/>
      <c r="F923" s="98"/>
      <c r="G923" s="117"/>
      <c r="H923" s="100"/>
      <c r="I923" s="158"/>
      <c r="L923" s="151"/>
    </row>
    <row r="924" spans="1:12" ht="15.75" customHeight="1">
      <c r="A924" s="96">
        <v>46721</v>
      </c>
      <c r="B924" s="99"/>
      <c r="C924" s="98"/>
      <c r="D924" s="117"/>
      <c r="E924" s="117"/>
      <c r="F924" s="98"/>
      <c r="G924" s="117"/>
      <c r="H924" s="100"/>
      <c r="I924" s="158"/>
      <c r="L924" s="151"/>
    </row>
    <row r="925" spans="1:12" ht="15.75" customHeight="1">
      <c r="A925" s="96">
        <v>46722</v>
      </c>
      <c r="B925" s="99"/>
      <c r="C925" s="98"/>
      <c r="D925" s="117"/>
      <c r="E925" s="117"/>
      <c r="F925" s="98"/>
      <c r="G925" s="117"/>
      <c r="H925" s="100"/>
      <c r="I925" s="158"/>
      <c r="L925" s="151"/>
    </row>
    <row r="926" spans="1:12" ht="15.75" customHeight="1">
      <c r="A926" s="96">
        <v>46723</v>
      </c>
      <c r="B926" s="99"/>
      <c r="C926" s="98"/>
      <c r="D926" s="117"/>
      <c r="E926" s="117"/>
      <c r="F926" s="98"/>
      <c r="G926" s="117"/>
      <c r="H926" s="100"/>
      <c r="I926" s="158"/>
      <c r="L926" s="151"/>
    </row>
    <row r="927" spans="1:12" ht="15.75" customHeight="1">
      <c r="A927" s="96">
        <v>46724</v>
      </c>
      <c r="B927" s="99"/>
      <c r="C927" s="98"/>
      <c r="D927" s="117"/>
      <c r="E927" s="117"/>
      <c r="F927" s="98"/>
      <c r="G927" s="117"/>
      <c r="H927" s="100"/>
      <c r="I927" s="158"/>
      <c r="L927" s="151"/>
    </row>
    <row r="928" spans="1:12" ht="15.75" customHeight="1">
      <c r="A928" s="96">
        <v>46725</v>
      </c>
      <c r="B928" s="99"/>
      <c r="C928" s="98"/>
      <c r="D928" s="117"/>
      <c r="E928" s="117"/>
      <c r="F928" s="98"/>
      <c r="G928" s="117"/>
      <c r="H928" s="100"/>
      <c r="I928" s="158"/>
      <c r="L928" s="151"/>
    </row>
    <row r="929" spans="1:12" ht="15.75" customHeight="1">
      <c r="A929" s="96">
        <v>46726</v>
      </c>
      <c r="B929" s="99"/>
      <c r="C929" s="98"/>
      <c r="D929" s="117"/>
      <c r="E929" s="117"/>
      <c r="F929" s="98"/>
      <c r="G929" s="117"/>
      <c r="H929" s="100"/>
      <c r="I929" s="158"/>
      <c r="L929" s="151"/>
    </row>
    <row r="930" spans="1:12" ht="15.75" customHeight="1">
      <c r="A930" s="96">
        <v>46727</v>
      </c>
      <c r="B930" s="99"/>
      <c r="C930" s="98"/>
      <c r="D930" s="117"/>
      <c r="E930" s="117"/>
      <c r="F930" s="98"/>
      <c r="G930" s="117"/>
      <c r="H930" s="100"/>
      <c r="I930" s="158"/>
      <c r="L930" s="151"/>
    </row>
    <row r="931" spans="1:12" ht="15.75" customHeight="1">
      <c r="A931" s="96">
        <v>46728</v>
      </c>
      <c r="B931" s="99"/>
      <c r="C931" s="98"/>
      <c r="D931" s="117"/>
      <c r="E931" s="117"/>
      <c r="F931" s="98"/>
      <c r="G931" s="117"/>
      <c r="H931" s="100"/>
      <c r="I931" s="158"/>
      <c r="L931" s="151"/>
    </row>
    <row r="932" spans="1:12" ht="15.75" customHeight="1">
      <c r="A932" s="96">
        <v>46729</v>
      </c>
      <c r="B932" s="99"/>
      <c r="C932" s="98"/>
      <c r="D932" s="117"/>
      <c r="E932" s="117"/>
      <c r="F932" s="98"/>
      <c r="G932" s="117"/>
      <c r="H932" s="100"/>
      <c r="I932" s="158"/>
      <c r="L932" s="151"/>
    </row>
    <row r="933" spans="1:12" ht="15.75" customHeight="1">
      <c r="A933" s="96">
        <v>46730</v>
      </c>
      <c r="B933" s="99"/>
      <c r="C933" s="98"/>
      <c r="D933" s="117"/>
      <c r="E933" s="117"/>
      <c r="F933" s="98"/>
      <c r="G933" s="117"/>
      <c r="H933" s="100"/>
      <c r="I933" s="158"/>
      <c r="L933" s="151"/>
    </row>
    <row r="934" spans="1:12" ht="15.75" customHeight="1">
      <c r="A934" s="96">
        <v>46731</v>
      </c>
      <c r="B934" s="99"/>
      <c r="C934" s="98"/>
      <c r="D934" s="117"/>
      <c r="E934" s="117"/>
      <c r="F934" s="98"/>
      <c r="G934" s="117"/>
      <c r="H934" s="100"/>
      <c r="I934" s="158"/>
      <c r="L934" s="151"/>
    </row>
    <row r="935" spans="1:12" ht="15.75" customHeight="1">
      <c r="A935" s="96">
        <v>46732</v>
      </c>
      <c r="B935" s="99"/>
      <c r="C935" s="98"/>
      <c r="D935" s="117"/>
      <c r="E935" s="117"/>
      <c r="F935" s="98"/>
      <c r="G935" s="117"/>
      <c r="H935" s="100"/>
      <c r="I935" s="158"/>
      <c r="L935" s="151"/>
    </row>
    <row r="936" spans="1:12" ht="15.75" customHeight="1">
      <c r="A936" s="96">
        <v>46733</v>
      </c>
      <c r="B936" s="99"/>
      <c r="C936" s="98"/>
      <c r="D936" s="117"/>
      <c r="E936" s="117"/>
      <c r="F936" s="98"/>
      <c r="G936" s="117"/>
      <c r="H936" s="100"/>
      <c r="I936" s="158"/>
      <c r="L936" s="151"/>
    </row>
    <row r="937" spans="1:12" ht="15.75" customHeight="1">
      <c r="A937" s="96">
        <v>46734</v>
      </c>
      <c r="B937" s="99"/>
      <c r="C937" s="98"/>
      <c r="D937" s="117"/>
      <c r="E937" s="117"/>
      <c r="F937" s="98"/>
      <c r="G937" s="117"/>
      <c r="H937" s="100"/>
      <c r="I937" s="158"/>
      <c r="L937" s="151"/>
    </row>
    <row r="938" spans="1:12" ht="15.75" customHeight="1">
      <c r="A938" s="96">
        <v>46735</v>
      </c>
      <c r="B938" s="99"/>
      <c r="C938" s="98"/>
      <c r="D938" s="117"/>
      <c r="E938" s="117"/>
      <c r="F938" s="98"/>
      <c r="G938" s="117"/>
      <c r="H938" s="100"/>
      <c r="I938" s="158"/>
      <c r="L938" s="151"/>
    </row>
    <row r="939" spans="1:12" ht="15.75" customHeight="1">
      <c r="A939" s="96">
        <v>46736</v>
      </c>
      <c r="B939" s="99"/>
      <c r="C939" s="98"/>
      <c r="D939" s="117"/>
      <c r="E939" s="117"/>
      <c r="F939" s="98"/>
      <c r="G939" s="117"/>
      <c r="H939" s="100"/>
      <c r="I939" s="158"/>
      <c r="L939" s="151"/>
    </row>
    <row r="940" spans="1:12" ht="15.75" customHeight="1">
      <c r="A940" s="96">
        <v>46737</v>
      </c>
      <c r="B940" s="99"/>
      <c r="C940" s="98"/>
      <c r="D940" s="117"/>
      <c r="E940" s="117"/>
      <c r="F940" s="98"/>
      <c r="G940" s="117"/>
      <c r="H940" s="100"/>
      <c r="I940" s="158"/>
      <c r="L940" s="151"/>
    </row>
    <row r="941" spans="1:12" ht="15.75" customHeight="1">
      <c r="A941" s="96">
        <v>46738</v>
      </c>
      <c r="B941" s="99"/>
      <c r="C941" s="98"/>
      <c r="D941" s="117"/>
      <c r="E941" s="117"/>
      <c r="F941" s="98"/>
      <c r="G941" s="117"/>
      <c r="H941" s="100"/>
      <c r="I941" s="158"/>
      <c r="L941" s="151"/>
    </row>
    <row r="942" spans="1:12" ht="15.75" customHeight="1">
      <c r="A942" s="96">
        <v>46739</v>
      </c>
      <c r="B942" s="99"/>
      <c r="C942" s="98"/>
      <c r="D942" s="117"/>
      <c r="E942" s="117"/>
      <c r="F942" s="98"/>
      <c r="G942" s="117"/>
      <c r="H942" s="100"/>
      <c r="I942" s="158"/>
      <c r="L942" s="151"/>
    </row>
    <row r="943" spans="1:12" ht="15.75" customHeight="1">
      <c r="A943" s="96">
        <v>46740</v>
      </c>
      <c r="B943" s="99"/>
      <c r="C943" s="98"/>
      <c r="D943" s="117"/>
      <c r="E943" s="117"/>
      <c r="F943" s="98"/>
      <c r="G943" s="117"/>
      <c r="H943" s="100"/>
      <c r="I943" s="158"/>
      <c r="L943" s="151"/>
    </row>
    <row r="944" spans="1:12" ht="15.75" customHeight="1">
      <c r="A944" s="96">
        <v>46741</v>
      </c>
      <c r="B944" s="99"/>
      <c r="C944" s="98"/>
      <c r="D944" s="117"/>
      <c r="E944" s="117"/>
      <c r="F944" s="98"/>
      <c r="G944" s="117"/>
      <c r="H944" s="100"/>
      <c r="I944" s="158"/>
      <c r="L944" s="151"/>
    </row>
    <row r="945" spans="1:12" ht="15.75" customHeight="1">
      <c r="A945" s="96">
        <v>46742</v>
      </c>
      <c r="B945" s="99"/>
      <c r="C945" s="98"/>
      <c r="D945" s="117"/>
      <c r="E945" s="117"/>
      <c r="F945" s="98"/>
      <c r="G945" s="117"/>
      <c r="H945" s="100"/>
      <c r="I945" s="158"/>
      <c r="L945" s="151"/>
    </row>
    <row r="946" spans="1:12" ht="15.75" customHeight="1">
      <c r="A946" s="96">
        <v>46743</v>
      </c>
      <c r="B946" s="99"/>
      <c r="C946" s="98"/>
      <c r="D946" s="117"/>
      <c r="E946" s="117"/>
      <c r="F946" s="98"/>
      <c r="G946" s="117"/>
      <c r="H946" s="100"/>
      <c r="I946" s="158"/>
      <c r="L946" s="151"/>
    </row>
    <row r="947" spans="1:12" ht="15.75" customHeight="1">
      <c r="A947" s="96">
        <v>46744</v>
      </c>
      <c r="B947" s="99"/>
      <c r="C947" s="98"/>
      <c r="D947" s="117"/>
      <c r="E947" s="117"/>
      <c r="F947" s="98"/>
      <c r="G947" s="117"/>
      <c r="H947" s="100"/>
      <c r="I947" s="158"/>
      <c r="L947" s="151"/>
    </row>
    <row r="948" spans="1:12" ht="15.75" customHeight="1">
      <c r="A948" s="96">
        <v>46745</v>
      </c>
      <c r="B948" s="99"/>
      <c r="C948" s="98"/>
      <c r="D948" s="117"/>
      <c r="E948" s="117"/>
      <c r="F948" s="98"/>
      <c r="G948" s="117"/>
      <c r="H948" s="100"/>
      <c r="I948" s="158"/>
      <c r="L948" s="151"/>
    </row>
    <row r="949" spans="1:12" ht="15.75" customHeight="1">
      <c r="A949" s="96">
        <v>46746</v>
      </c>
      <c r="B949" s="99"/>
      <c r="C949" s="98"/>
      <c r="D949" s="117"/>
      <c r="E949" s="117"/>
      <c r="F949" s="98"/>
      <c r="G949" s="117"/>
      <c r="H949" s="100"/>
      <c r="I949" s="158"/>
      <c r="L949" s="151"/>
    </row>
    <row r="950" spans="1:12" ht="15.75" customHeight="1">
      <c r="A950" s="96">
        <v>46747</v>
      </c>
      <c r="B950" s="99"/>
      <c r="C950" s="98"/>
      <c r="D950" s="117"/>
      <c r="E950" s="117"/>
      <c r="F950" s="98"/>
      <c r="G950" s="117"/>
      <c r="H950" s="100"/>
      <c r="I950" s="158"/>
      <c r="L950" s="151"/>
    </row>
    <row r="951" spans="1:12" ht="15.75" customHeight="1">
      <c r="A951" s="96">
        <v>46748</v>
      </c>
      <c r="B951" s="99"/>
      <c r="C951" s="98"/>
      <c r="D951" s="117"/>
      <c r="E951" s="117"/>
      <c r="F951" s="98"/>
      <c r="G951" s="117"/>
      <c r="H951" s="100"/>
      <c r="I951" s="158"/>
      <c r="L951" s="151"/>
    </row>
    <row r="952" spans="1:12" ht="15.75" customHeight="1">
      <c r="A952" s="96">
        <v>46749</v>
      </c>
      <c r="B952" s="99"/>
      <c r="C952" s="98"/>
      <c r="D952" s="117"/>
      <c r="E952" s="117"/>
      <c r="F952" s="98"/>
      <c r="G952" s="117"/>
      <c r="H952" s="100"/>
      <c r="I952" s="158"/>
      <c r="L952" s="151"/>
    </row>
    <row r="953" spans="1:12" ht="15.75" customHeight="1">
      <c r="A953" s="96">
        <v>46750</v>
      </c>
      <c r="B953" s="99"/>
      <c r="C953" s="98"/>
      <c r="D953" s="117"/>
      <c r="E953" s="117"/>
      <c r="F953" s="98"/>
      <c r="G953" s="117"/>
      <c r="H953" s="100"/>
      <c r="I953" s="158"/>
      <c r="L953" s="151"/>
    </row>
    <row r="954" spans="1:12" ht="15.75" customHeight="1">
      <c r="A954" s="96">
        <v>46751</v>
      </c>
      <c r="B954" s="99"/>
      <c r="C954" s="98"/>
      <c r="D954" s="117"/>
      <c r="E954" s="117"/>
      <c r="F954" s="98"/>
      <c r="G954" s="117"/>
      <c r="H954" s="100"/>
      <c r="I954" s="158"/>
      <c r="L954" s="151"/>
    </row>
    <row r="955" spans="1:12" ht="15.75" customHeight="1">
      <c r="A955" s="96">
        <v>46752</v>
      </c>
      <c r="B955" s="99"/>
      <c r="C955" s="98"/>
      <c r="D955" s="117"/>
      <c r="E955" s="117"/>
      <c r="F955" s="98"/>
      <c r="G955" s="117"/>
      <c r="H955" s="100"/>
      <c r="I955" s="158"/>
      <c r="L955" s="151"/>
    </row>
    <row r="956" spans="1:12" ht="15.75" customHeight="1">
      <c r="A956" s="96">
        <v>46753</v>
      </c>
      <c r="B956" s="99"/>
      <c r="C956" s="98"/>
      <c r="D956" s="117"/>
      <c r="E956" s="117"/>
      <c r="F956" s="98"/>
      <c r="G956" s="117"/>
      <c r="H956" s="100"/>
      <c r="I956" s="158"/>
      <c r="L956" s="151"/>
    </row>
    <row r="957" spans="1:12" ht="15.75" customHeight="1">
      <c r="A957" s="96">
        <v>46754</v>
      </c>
      <c r="B957" s="99"/>
      <c r="C957" s="98"/>
      <c r="D957" s="117"/>
      <c r="E957" s="117"/>
      <c r="F957" s="98"/>
      <c r="G957" s="117"/>
      <c r="H957" s="100"/>
      <c r="I957" s="158"/>
      <c r="L957" s="151"/>
    </row>
    <row r="958" spans="1:12" ht="15.75" customHeight="1">
      <c r="A958" s="96">
        <v>46755</v>
      </c>
      <c r="B958" s="99"/>
      <c r="C958" s="98"/>
      <c r="D958" s="117"/>
      <c r="E958" s="117"/>
      <c r="F958" s="98"/>
      <c r="G958" s="117"/>
      <c r="H958" s="100"/>
      <c r="I958" s="158"/>
      <c r="L958" s="151"/>
    </row>
    <row r="959" spans="1:12" ht="15.75" customHeight="1">
      <c r="A959" s="96">
        <v>46756</v>
      </c>
      <c r="B959" s="99"/>
      <c r="C959" s="98"/>
      <c r="D959" s="117"/>
      <c r="E959" s="117"/>
      <c r="F959" s="98"/>
      <c r="G959" s="117"/>
      <c r="H959" s="100"/>
      <c r="I959" s="158"/>
      <c r="L959" s="151"/>
    </row>
    <row r="960" spans="1:12" ht="15.75" customHeight="1">
      <c r="A960" s="96">
        <v>46757</v>
      </c>
      <c r="B960" s="99"/>
      <c r="C960" s="98"/>
      <c r="D960" s="117"/>
      <c r="E960" s="117"/>
      <c r="F960" s="98"/>
      <c r="G960" s="117"/>
      <c r="H960" s="100"/>
      <c r="I960" s="158"/>
      <c r="L960" s="151"/>
    </row>
    <row r="961" spans="1:12" ht="15.75" customHeight="1">
      <c r="A961" s="96">
        <v>46758</v>
      </c>
      <c r="B961" s="99"/>
      <c r="C961" s="98"/>
      <c r="D961" s="117"/>
      <c r="E961" s="117"/>
      <c r="F961" s="98"/>
      <c r="G961" s="117"/>
      <c r="H961" s="100"/>
      <c r="I961" s="158"/>
      <c r="L961" s="151"/>
    </row>
    <row r="962" spans="1:12" ht="15.75" customHeight="1">
      <c r="A962" s="96">
        <v>46759</v>
      </c>
      <c r="B962" s="99"/>
      <c r="C962" s="98"/>
      <c r="D962" s="117"/>
      <c r="E962" s="117"/>
      <c r="F962" s="98"/>
      <c r="G962" s="117"/>
      <c r="H962" s="100"/>
      <c r="I962" s="158"/>
      <c r="L962" s="151"/>
    </row>
    <row r="963" spans="1:12" ht="15.75" customHeight="1">
      <c r="A963" s="96">
        <v>46760</v>
      </c>
      <c r="B963" s="99"/>
      <c r="C963" s="98"/>
      <c r="D963" s="117"/>
      <c r="E963" s="117"/>
      <c r="F963" s="98"/>
      <c r="G963" s="117"/>
      <c r="H963" s="100"/>
      <c r="I963" s="158"/>
      <c r="L963" s="151"/>
    </row>
    <row r="964" spans="1:12" ht="15.75" customHeight="1">
      <c r="A964" s="96">
        <v>46761</v>
      </c>
      <c r="B964" s="99"/>
      <c r="C964" s="98"/>
      <c r="D964" s="117"/>
      <c r="E964" s="117"/>
      <c r="F964" s="98"/>
      <c r="G964" s="117"/>
      <c r="H964" s="100"/>
      <c r="I964" s="158"/>
      <c r="L964" s="151"/>
    </row>
    <row r="965" spans="1:12" ht="15.75" customHeight="1">
      <c r="A965" s="96">
        <v>46762</v>
      </c>
      <c r="B965" s="99"/>
      <c r="C965" s="98"/>
      <c r="D965" s="117"/>
      <c r="E965" s="117"/>
      <c r="F965" s="98"/>
      <c r="G965" s="117"/>
      <c r="H965" s="100"/>
      <c r="I965" s="158"/>
      <c r="L965" s="151"/>
    </row>
    <row r="966" spans="1:12" ht="15.75" customHeight="1">
      <c r="A966" s="96">
        <v>46763</v>
      </c>
      <c r="B966" s="99"/>
      <c r="C966" s="98"/>
      <c r="D966" s="117"/>
      <c r="E966" s="117"/>
      <c r="F966" s="98"/>
      <c r="G966" s="117"/>
      <c r="H966" s="100"/>
      <c r="I966" s="158"/>
      <c r="L966" s="151"/>
    </row>
    <row r="967" spans="1:12" ht="15.75" customHeight="1">
      <c r="A967" s="96">
        <v>46764</v>
      </c>
      <c r="B967" s="99"/>
      <c r="C967" s="98"/>
      <c r="D967" s="117"/>
      <c r="E967" s="117"/>
      <c r="F967" s="98"/>
      <c r="G967" s="117"/>
      <c r="H967" s="100"/>
      <c r="I967" s="158"/>
      <c r="L967" s="151"/>
    </row>
    <row r="968" spans="1:12" ht="15.75" customHeight="1">
      <c r="A968" s="96">
        <v>46765</v>
      </c>
      <c r="B968" s="99"/>
      <c r="C968" s="98"/>
      <c r="D968" s="117"/>
      <c r="E968" s="117"/>
      <c r="F968" s="98"/>
      <c r="G968" s="117"/>
      <c r="H968" s="100"/>
      <c r="I968" s="158"/>
      <c r="L968" s="151"/>
    </row>
    <row r="969" spans="1:12" ht="15.75" customHeight="1">
      <c r="A969" s="96">
        <v>46766</v>
      </c>
      <c r="B969" s="99"/>
      <c r="C969" s="98"/>
      <c r="D969" s="117"/>
      <c r="E969" s="117"/>
      <c r="F969" s="98"/>
      <c r="G969" s="117"/>
      <c r="H969" s="100"/>
      <c r="I969" s="158"/>
      <c r="L969" s="151"/>
    </row>
    <row r="970" spans="1:12" ht="15.75" customHeight="1">
      <c r="A970" s="96">
        <v>46767</v>
      </c>
      <c r="B970" s="99"/>
      <c r="C970" s="98"/>
      <c r="D970" s="117"/>
      <c r="E970" s="117"/>
      <c r="F970" s="98"/>
      <c r="G970" s="117"/>
      <c r="H970" s="100"/>
      <c r="I970" s="158"/>
      <c r="L970" s="151"/>
    </row>
    <row r="971" spans="1:12" ht="15.75" customHeight="1">
      <c r="A971" s="96">
        <v>46768</v>
      </c>
      <c r="B971" s="99"/>
      <c r="C971" s="98"/>
      <c r="D971" s="117"/>
      <c r="E971" s="117"/>
      <c r="F971" s="98"/>
      <c r="G971" s="117"/>
      <c r="H971" s="100"/>
      <c r="I971" s="158"/>
      <c r="L971" s="151"/>
    </row>
    <row r="972" spans="1:12" ht="15.75" customHeight="1">
      <c r="A972" s="96">
        <v>46769</v>
      </c>
      <c r="B972" s="99"/>
      <c r="C972" s="98"/>
      <c r="D972" s="117"/>
      <c r="E972" s="117"/>
      <c r="F972" s="98"/>
      <c r="G972" s="117"/>
      <c r="H972" s="100"/>
      <c r="I972" s="158"/>
      <c r="L972" s="151"/>
    </row>
    <row r="973" spans="1:12" ht="15.75" customHeight="1">
      <c r="A973" s="96">
        <v>46770</v>
      </c>
      <c r="B973" s="99"/>
      <c r="C973" s="98"/>
      <c r="D973" s="117"/>
      <c r="E973" s="117"/>
      <c r="F973" s="98"/>
      <c r="G973" s="117"/>
      <c r="H973" s="100"/>
      <c r="I973" s="158"/>
      <c r="L973" s="151"/>
    </row>
    <row r="974" spans="1:12" ht="15.75" customHeight="1">
      <c r="A974" s="96">
        <v>46771</v>
      </c>
      <c r="B974" s="99"/>
      <c r="C974" s="98"/>
      <c r="D974" s="117"/>
      <c r="E974" s="117"/>
      <c r="F974" s="98"/>
      <c r="G974" s="117"/>
      <c r="H974" s="100"/>
      <c r="I974" s="158"/>
      <c r="L974" s="151"/>
    </row>
    <row r="975" spans="1:12" ht="15.75" customHeight="1">
      <c r="A975" s="96">
        <v>46772</v>
      </c>
      <c r="B975" s="99"/>
      <c r="C975" s="98"/>
      <c r="D975" s="117"/>
      <c r="E975" s="117"/>
      <c r="F975" s="98"/>
      <c r="G975" s="117"/>
      <c r="H975" s="100"/>
      <c r="I975" s="158"/>
      <c r="L975" s="151"/>
    </row>
    <row r="976" spans="1:12" ht="15.75" customHeight="1">
      <c r="A976" s="96">
        <v>46773</v>
      </c>
      <c r="B976" s="99"/>
      <c r="C976" s="98"/>
      <c r="D976" s="117"/>
      <c r="E976" s="117"/>
      <c r="F976" s="98"/>
      <c r="G976" s="117"/>
      <c r="H976" s="100"/>
      <c r="I976" s="158"/>
      <c r="L976" s="151"/>
    </row>
    <row r="977" spans="1:12" ht="15.75" customHeight="1">
      <c r="A977" s="96">
        <v>46774</v>
      </c>
      <c r="B977" s="99"/>
      <c r="C977" s="98"/>
      <c r="D977" s="117"/>
      <c r="E977" s="117"/>
      <c r="F977" s="98"/>
      <c r="G977" s="117"/>
      <c r="H977" s="100"/>
      <c r="I977" s="158"/>
      <c r="L977" s="151"/>
    </row>
    <row r="978" spans="1:12" ht="15.75" customHeight="1">
      <c r="A978" s="96">
        <v>46775</v>
      </c>
      <c r="B978" s="99"/>
      <c r="C978" s="98"/>
      <c r="D978" s="117"/>
      <c r="E978" s="117"/>
      <c r="F978" s="98"/>
      <c r="G978" s="117"/>
      <c r="H978" s="100"/>
      <c r="I978" s="158"/>
      <c r="L978" s="151"/>
    </row>
    <row r="979" spans="1:12" ht="15.75" customHeight="1">
      <c r="A979" s="96">
        <v>46776</v>
      </c>
      <c r="B979" s="99"/>
      <c r="C979" s="98"/>
      <c r="D979" s="117"/>
      <c r="E979" s="117"/>
      <c r="F979" s="98"/>
      <c r="G979" s="117"/>
      <c r="H979" s="100"/>
      <c r="I979" s="158"/>
      <c r="L979" s="151"/>
    </row>
    <row r="980" spans="1:12" ht="15.75" customHeight="1">
      <c r="A980" s="96">
        <v>46777</v>
      </c>
      <c r="B980" s="99"/>
      <c r="C980" s="98"/>
      <c r="D980" s="117"/>
      <c r="E980" s="117"/>
      <c r="F980" s="98"/>
      <c r="G980" s="117"/>
      <c r="H980" s="100"/>
      <c r="I980" s="158"/>
      <c r="L980" s="151"/>
    </row>
    <row r="981" spans="1:12" ht="15.75" customHeight="1">
      <c r="A981" s="96">
        <v>46778</v>
      </c>
      <c r="B981" s="99"/>
      <c r="C981" s="98"/>
      <c r="D981" s="117"/>
      <c r="E981" s="117"/>
      <c r="F981" s="98"/>
      <c r="G981" s="117"/>
      <c r="H981" s="100"/>
      <c r="I981" s="158"/>
      <c r="L981" s="151"/>
    </row>
    <row r="982" spans="1:12" ht="15.75" customHeight="1">
      <c r="A982" s="96">
        <v>46779</v>
      </c>
      <c r="B982" s="99"/>
      <c r="C982" s="98"/>
      <c r="D982" s="117"/>
      <c r="E982" s="117"/>
      <c r="F982" s="98"/>
      <c r="G982" s="117"/>
      <c r="H982" s="100"/>
      <c r="I982" s="158"/>
      <c r="L982" s="151"/>
    </row>
    <row r="983" spans="1:12" ht="15.75" customHeight="1">
      <c r="A983" s="96">
        <v>46780</v>
      </c>
      <c r="B983" s="99"/>
      <c r="C983" s="98"/>
      <c r="D983" s="117"/>
      <c r="E983" s="117"/>
      <c r="F983" s="98"/>
      <c r="G983" s="117"/>
      <c r="H983" s="100"/>
      <c r="I983" s="158"/>
      <c r="L983" s="151"/>
    </row>
    <row r="984" spans="1:12" ht="15.75" customHeight="1">
      <c r="A984" s="96">
        <v>46781</v>
      </c>
      <c r="B984" s="99"/>
      <c r="C984" s="98"/>
      <c r="D984" s="117"/>
      <c r="E984" s="117"/>
      <c r="F984" s="98"/>
      <c r="G984" s="117"/>
      <c r="H984" s="100"/>
      <c r="I984" s="158"/>
      <c r="L984" s="151"/>
    </row>
    <row r="985" spans="1:12" ht="15.75" customHeight="1">
      <c r="A985" s="96">
        <v>46782</v>
      </c>
      <c r="B985" s="99"/>
      <c r="C985" s="98"/>
      <c r="D985" s="117"/>
      <c r="E985" s="117"/>
      <c r="F985" s="98"/>
      <c r="G985" s="117"/>
      <c r="H985" s="100"/>
      <c r="I985" s="158"/>
      <c r="L985" s="151"/>
    </row>
    <row r="986" spans="1:12" ht="15.75" customHeight="1">
      <c r="A986" s="96">
        <v>46783</v>
      </c>
      <c r="B986" s="99"/>
      <c r="C986" s="98"/>
      <c r="D986" s="117"/>
      <c r="E986" s="117"/>
      <c r="F986" s="98"/>
      <c r="G986" s="117"/>
      <c r="H986" s="100"/>
      <c r="I986" s="158"/>
      <c r="L986" s="151"/>
    </row>
    <row r="987" spans="1:12" ht="15.75" customHeight="1">
      <c r="A987" s="96">
        <v>46784</v>
      </c>
      <c r="B987" s="99"/>
      <c r="C987" s="98"/>
      <c r="D987" s="117"/>
      <c r="E987" s="117"/>
      <c r="F987" s="98"/>
      <c r="G987" s="117"/>
      <c r="H987" s="100"/>
      <c r="I987" s="158"/>
      <c r="L987" s="151"/>
    </row>
    <row r="988" spans="1:12" ht="15.75" customHeight="1">
      <c r="A988" s="96">
        <v>46785</v>
      </c>
      <c r="B988" s="99"/>
      <c r="C988" s="98"/>
      <c r="D988" s="117"/>
      <c r="E988" s="117"/>
      <c r="F988" s="98"/>
      <c r="G988" s="117"/>
      <c r="H988" s="100"/>
      <c r="I988" s="158"/>
      <c r="L988" s="151"/>
    </row>
    <row r="989" spans="1:12" ht="15.75" customHeight="1">
      <c r="A989" s="96">
        <v>46786</v>
      </c>
      <c r="B989" s="99"/>
      <c r="C989" s="98"/>
      <c r="D989" s="117"/>
      <c r="E989" s="117"/>
      <c r="F989" s="98"/>
      <c r="G989" s="117"/>
      <c r="H989" s="100"/>
      <c r="I989" s="158"/>
      <c r="L989" s="151"/>
    </row>
    <row r="990" spans="1:12" ht="15.75" customHeight="1">
      <c r="A990" s="96">
        <v>46787</v>
      </c>
      <c r="B990" s="99"/>
      <c r="C990" s="98"/>
      <c r="D990" s="117"/>
      <c r="E990" s="117"/>
      <c r="F990" s="98"/>
      <c r="G990" s="117"/>
      <c r="H990" s="100"/>
      <c r="I990" s="158"/>
      <c r="L990" s="151"/>
    </row>
    <row r="991" spans="1:12" ht="15.75" customHeight="1">
      <c r="A991" s="96">
        <v>46788</v>
      </c>
      <c r="B991" s="99"/>
      <c r="C991" s="98"/>
      <c r="D991" s="117"/>
      <c r="E991" s="117"/>
      <c r="F991" s="98"/>
      <c r="G991" s="117"/>
      <c r="H991" s="100"/>
      <c r="I991" s="158"/>
      <c r="L991" s="151"/>
    </row>
    <row r="992" spans="1:12" ht="15.75" customHeight="1">
      <c r="A992" s="96">
        <v>46789</v>
      </c>
      <c r="B992" s="99"/>
      <c r="C992" s="98"/>
      <c r="D992" s="117"/>
      <c r="E992" s="117"/>
      <c r="F992" s="98"/>
      <c r="G992" s="117"/>
      <c r="H992" s="100"/>
      <c r="I992" s="158"/>
      <c r="L992" s="151"/>
    </row>
    <row r="993" spans="1:12" ht="15.75" customHeight="1">
      <c r="A993" s="96">
        <v>46790</v>
      </c>
      <c r="B993" s="99"/>
      <c r="C993" s="98"/>
      <c r="D993" s="117"/>
      <c r="E993" s="117"/>
      <c r="F993" s="98"/>
      <c r="G993" s="117"/>
      <c r="H993" s="100"/>
      <c r="I993" s="158"/>
      <c r="L993" s="151"/>
    </row>
    <row r="994" spans="1:12" ht="15.75" customHeight="1">
      <c r="A994" s="96">
        <v>46791</v>
      </c>
      <c r="B994" s="99"/>
      <c r="C994" s="98"/>
      <c r="D994" s="117"/>
      <c r="E994" s="117"/>
      <c r="F994" s="98"/>
      <c r="G994" s="117"/>
      <c r="H994" s="100"/>
      <c r="I994" s="158"/>
      <c r="L994" s="151"/>
    </row>
    <row r="995" spans="1:12" ht="15.75" customHeight="1">
      <c r="A995" s="96">
        <v>46792</v>
      </c>
      <c r="B995" s="99"/>
      <c r="C995" s="98"/>
      <c r="D995" s="117"/>
      <c r="E995" s="117"/>
      <c r="F995" s="98"/>
      <c r="G995" s="117"/>
      <c r="H995" s="100"/>
      <c r="I995" s="158"/>
      <c r="L995" s="151"/>
    </row>
    <row r="996" spans="1:12" ht="15.75" customHeight="1">
      <c r="A996" s="96">
        <v>46793</v>
      </c>
      <c r="B996" s="99"/>
      <c r="C996" s="98"/>
      <c r="D996" s="117"/>
      <c r="E996" s="117"/>
      <c r="F996" s="98"/>
      <c r="G996" s="117"/>
      <c r="H996" s="100"/>
      <c r="I996" s="158"/>
      <c r="L996" s="151"/>
    </row>
    <row r="997" spans="1:12" ht="15.75" customHeight="1">
      <c r="A997" s="96">
        <v>46794</v>
      </c>
      <c r="B997" s="99"/>
      <c r="C997" s="98"/>
      <c r="D997" s="117"/>
      <c r="E997" s="117"/>
      <c r="F997" s="98"/>
      <c r="G997" s="117"/>
      <c r="H997" s="100"/>
      <c r="I997" s="158"/>
      <c r="L997" s="151"/>
    </row>
    <row r="998" spans="1:12" ht="15.75" customHeight="1">
      <c r="A998" s="96">
        <v>46795</v>
      </c>
      <c r="B998" s="99"/>
      <c r="C998" s="98"/>
      <c r="D998" s="117"/>
      <c r="E998" s="117"/>
      <c r="F998" s="98"/>
      <c r="G998" s="117"/>
      <c r="H998" s="100"/>
      <c r="I998" s="158"/>
      <c r="L998" s="151"/>
    </row>
    <row r="999" spans="1:12" ht="15.75" customHeight="1">
      <c r="A999" s="96">
        <v>46796</v>
      </c>
      <c r="B999" s="99"/>
      <c r="C999" s="98"/>
      <c r="D999" s="117"/>
      <c r="E999" s="117"/>
      <c r="F999" s="98"/>
      <c r="G999" s="117"/>
      <c r="H999" s="100"/>
      <c r="I999" s="158"/>
      <c r="L999" s="151"/>
    </row>
    <row r="1000" spans="1:12" ht="15.75" customHeight="1">
      <c r="A1000" s="96">
        <v>46797</v>
      </c>
      <c r="B1000" s="99"/>
      <c r="C1000" s="98"/>
      <c r="D1000" s="117"/>
      <c r="E1000" s="117"/>
      <c r="F1000" s="98"/>
      <c r="G1000" s="117"/>
      <c r="H1000" s="100"/>
      <c r="I1000" s="158"/>
      <c r="L1000" s="151"/>
    </row>
    <row r="1001" spans="1:12" ht="15.75" customHeight="1">
      <c r="A1001" s="96">
        <v>46798</v>
      </c>
      <c r="B1001" s="99"/>
      <c r="C1001" s="98"/>
      <c r="D1001" s="117"/>
      <c r="E1001" s="117"/>
      <c r="F1001" s="98"/>
      <c r="G1001" s="117"/>
      <c r="H1001" s="100"/>
      <c r="I1001" s="158"/>
      <c r="L1001" s="151"/>
    </row>
    <row r="1002" spans="1:12" ht="15.75" customHeight="1">
      <c r="A1002" s="96">
        <v>46799</v>
      </c>
      <c r="B1002" s="99"/>
      <c r="C1002" s="98"/>
      <c r="D1002" s="117"/>
      <c r="E1002" s="117"/>
      <c r="F1002" s="98"/>
      <c r="G1002" s="117"/>
      <c r="H1002" s="100"/>
      <c r="I1002" s="158"/>
      <c r="L1002" s="151"/>
    </row>
    <row r="1003" spans="1:12" ht="15.75" customHeight="1">
      <c r="A1003" s="96">
        <v>46800</v>
      </c>
      <c r="B1003" s="99"/>
      <c r="C1003" s="98"/>
      <c r="D1003" s="117"/>
      <c r="E1003" s="117"/>
      <c r="F1003" s="98"/>
      <c r="G1003" s="117"/>
      <c r="H1003" s="100"/>
      <c r="I1003" s="158"/>
      <c r="L1003" s="151"/>
    </row>
    <row r="1004" spans="1:12" ht="15.75" customHeight="1">
      <c r="A1004" s="96">
        <v>46801</v>
      </c>
      <c r="B1004" s="99"/>
      <c r="C1004" s="98"/>
      <c r="D1004" s="117"/>
      <c r="E1004" s="117"/>
      <c r="F1004" s="98"/>
      <c r="G1004" s="117"/>
      <c r="H1004" s="100"/>
      <c r="I1004" s="158"/>
      <c r="L1004" s="151"/>
    </row>
    <row r="1005" spans="1:12" ht="15.75" customHeight="1">
      <c r="A1005" s="96">
        <v>46802</v>
      </c>
      <c r="B1005" s="99"/>
      <c r="C1005" s="98"/>
      <c r="D1005" s="117"/>
      <c r="E1005" s="117"/>
      <c r="F1005" s="98"/>
      <c r="G1005" s="117"/>
      <c r="H1005" s="100"/>
      <c r="I1005" s="158"/>
      <c r="L1005" s="151"/>
    </row>
    <row r="1006" spans="1:12" ht="15.75" customHeight="1">
      <c r="A1006" s="96">
        <v>46803</v>
      </c>
      <c r="B1006" s="99"/>
      <c r="C1006" s="98"/>
      <c r="D1006" s="117"/>
      <c r="E1006" s="117"/>
      <c r="F1006" s="98"/>
      <c r="G1006" s="117"/>
      <c r="H1006" s="100"/>
      <c r="I1006" s="158"/>
      <c r="L1006" s="151"/>
    </row>
    <row r="1007" spans="1:12" ht="15.75" customHeight="1">
      <c r="A1007" s="96">
        <v>46804</v>
      </c>
      <c r="B1007" s="99"/>
      <c r="C1007" s="98"/>
      <c r="D1007" s="117"/>
      <c r="E1007" s="117"/>
      <c r="F1007" s="98"/>
      <c r="G1007" s="117"/>
      <c r="H1007" s="100"/>
      <c r="I1007" s="158"/>
      <c r="L1007" s="151"/>
    </row>
    <row r="1008" spans="1:12" ht="15.75" customHeight="1">
      <c r="A1008" s="96">
        <v>46805</v>
      </c>
      <c r="B1008" s="99"/>
      <c r="C1008" s="98"/>
      <c r="D1008" s="117"/>
      <c r="E1008" s="117"/>
      <c r="F1008" s="98"/>
      <c r="G1008" s="117"/>
      <c r="H1008" s="100"/>
      <c r="I1008" s="158"/>
      <c r="L1008" s="151"/>
    </row>
    <row r="1009" spans="1:12" ht="15.75" customHeight="1">
      <c r="A1009" s="96">
        <v>46806</v>
      </c>
      <c r="B1009" s="99"/>
      <c r="C1009" s="98"/>
      <c r="D1009" s="117"/>
      <c r="E1009" s="117"/>
      <c r="F1009" s="98"/>
      <c r="G1009" s="117"/>
      <c r="H1009" s="100"/>
      <c r="I1009" s="158"/>
      <c r="L1009" s="151"/>
    </row>
    <row r="1010" spans="1:12" ht="15.75" customHeight="1">
      <c r="A1010" s="96">
        <v>46807</v>
      </c>
      <c r="B1010" s="99"/>
      <c r="C1010" s="98"/>
      <c r="D1010" s="117"/>
      <c r="E1010" s="117"/>
      <c r="F1010" s="98"/>
      <c r="G1010" s="117"/>
      <c r="H1010" s="100"/>
      <c r="I1010" s="158"/>
      <c r="L1010" s="151"/>
    </row>
    <row r="1011" spans="1:12" ht="15.75" customHeight="1">
      <c r="A1011" s="96">
        <v>46808</v>
      </c>
      <c r="B1011" s="99"/>
      <c r="C1011" s="98"/>
      <c r="D1011" s="117"/>
      <c r="E1011" s="117"/>
      <c r="F1011" s="98"/>
      <c r="G1011" s="117"/>
      <c r="H1011" s="100"/>
      <c r="I1011" s="158"/>
      <c r="L1011" s="151"/>
    </row>
    <row r="1012" spans="1:12" ht="15.75" customHeight="1">
      <c r="A1012" s="96">
        <v>46809</v>
      </c>
      <c r="B1012" s="99"/>
      <c r="C1012" s="98"/>
      <c r="D1012" s="117"/>
      <c r="E1012" s="117"/>
      <c r="F1012" s="98"/>
      <c r="G1012" s="117"/>
      <c r="H1012" s="100"/>
      <c r="I1012" s="158"/>
      <c r="L1012" s="151"/>
    </row>
    <row r="1013" spans="1:12" ht="15.75" customHeight="1">
      <c r="A1013" s="96">
        <v>46810</v>
      </c>
      <c r="B1013" s="99"/>
      <c r="C1013" s="98"/>
      <c r="D1013" s="117"/>
      <c r="E1013" s="117"/>
      <c r="F1013" s="98"/>
      <c r="G1013" s="117"/>
      <c r="H1013" s="100"/>
      <c r="I1013" s="158"/>
      <c r="L1013" s="151"/>
    </row>
    <row r="1014" spans="1:12" ht="15.75" customHeight="1">
      <c r="A1014" s="96">
        <v>46811</v>
      </c>
      <c r="B1014" s="99"/>
      <c r="C1014" s="98"/>
      <c r="D1014" s="117"/>
      <c r="E1014" s="117"/>
      <c r="F1014" s="98"/>
      <c r="G1014" s="117"/>
      <c r="H1014" s="100"/>
      <c r="I1014" s="158"/>
      <c r="L1014" s="151"/>
    </row>
    <row r="1015" spans="1:12" ht="15.75" customHeight="1">
      <c r="A1015" s="96">
        <v>46812</v>
      </c>
      <c r="B1015" s="99"/>
      <c r="C1015" s="98"/>
      <c r="D1015" s="117"/>
      <c r="E1015" s="117"/>
      <c r="F1015" s="98"/>
      <c r="G1015" s="117"/>
      <c r="H1015" s="100"/>
      <c r="I1015" s="158"/>
      <c r="L1015" s="151"/>
    </row>
    <row r="1016" spans="1:12" ht="15.75" customHeight="1">
      <c r="A1016" s="96">
        <v>46813</v>
      </c>
      <c r="B1016" s="99"/>
      <c r="C1016" s="98"/>
      <c r="D1016" s="117"/>
      <c r="E1016" s="117"/>
      <c r="F1016" s="98"/>
      <c r="G1016" s="117"/>
      <c r="H1016" s="100"/>
      <c r="I1016" s="158"/>
      <c r="L1016" s="151"/>
    </row>
    <row r="1017" spans="1:12" ht="15.75" customHeight="1">
      <c r="A1017" s="96">
        <v>46814</v>
      </c>
      <c r="B1017" s="99"/>
      <c r="C1017" s="98"/>
      <c r="D1017" s="117"/>
      <c r="E1017" s="117"/>
      <c r="F1017" s="98"/>
      <c r="G1017" s="117"/>
      <c r="H1017" s="100"/>
      <c r="I1017" s="158"/>
      <c r="L1017" s="151"/>
    </row>
    <row r="1018" spans="1:12" ht="15.75" customHeight="1">
      <c r="A1018" s="96">
        <v>46815</v>
      </c>
      <c r="B1018" s="99"/>
      <c r="C1018" s="98"/>
      <c r="D1018" s="117"/>
      <c r="E1018" s="117"/>
      <c r="F1018" s="98"/>
      <c r="G1018" s="117"/>
      <c r="H1018" s="100"/>
      <c r="I1018" s="158"/>
      <c r="L1018" s="151"/>
    </row>
    <row r="1019" spans="1:12" ht="15.75" customHeight="1">
      <c r="A1019" s="96">
        <v>46816</v>
      </c>
      <c r="B1019" s="99"/>
      <c r="C1019" s="98"/>
      <c r="D1019" s="117"/>
      <c r="E1019" s="117"/>
      <c r="F1019" s="98"/>
      <c r="G1019" s="117"/>
      <c r="H1019" s="100"/>
      <c r="I1019" s="158"/>
      <c r="L1019" s="151"/>
    </row>
    <row r="1020" spans="1:12" ht="15.75" customHeight="1">
      <c r="A1020" s="96">
        <v>46817</v>
      </c>
      <c r="B1020" s="99"/>
      <c r="C1020" s="98"/>
      <c r="D1020" s="117"/>
      <c r="E1020" s="117"/>
      <c r="F1020" s="98"/>
      <c r="G1020" s="117"/>
      <c r="H1020" s="100"/>
      <c r="I1020" s="158"/>
      <c r="L1020" s="151"/>
    </row>
    <row r="1021" spans="1:12" ht="15.75" customHeight="1">
      <c r="A1021" s="96">
        <v>46818</v>
      </c>
      <c r="B1021" s="99"/>
      <c r="C1021" s="98"/>
      <c r="D1021" s="117"/>
      <c r="E1021" s="117"/>
      <c r="F1021" s="98"/>
      <c r="G1021" s="117"/>
      <c r="H1021" s="100"/>
      <c r="I1021" s="158"/>
      <c r="L1021" s="151"/>
    </row>
    <row r="1022" spans="1:12" ht="15.75" customHeight="1">
      <c r="A1022" s="96">
        <v>46819</v>
      </c>
      <c r="B1022" s="99"/>
      <c r="C1022" s="98"/>
      <c r="D1022" s="117"/>
      <c r="E1022" s="117"/>
      <c r="F1022" s="98"/>
      <c r="G1022" s="117"/>
      <c r="H1022" s="100"/>
      <c r="I1022" s="158"/>
      <c r="L1022" s="151"/>
    </row>
    <row r="1023" spans="1:12" ht="15.75" customHeight="1">
      <c r="A1023" s="96">
        <v>46820</v>
      </c>
      <c r="B1023" s="99"/>
      <c r="C1023" s="98"/>
      <c r="D1023" s="117"/>
      <c r="E1023" s="117"/>
      <c r="F1023" s="98"/>
      <c r="G1023" s="117"/>
      <c r="H1023" s="100"/>
      <c r="I1023" s="158"/>
      <c r="L1023" s="151"/>
    </row>
    <row r="1024" spans="1:12" ht="15.75" customHeight="1">
      <c r="A1024" s="96">
        <v>46821</v>
      </c>
      <c r="B1024" s="99"/>
      <c r="C1024" s="98"/>
      <c r="D1024" s="117"/>
      <c r="E1024" s="117"/>
      <c r="F1024" s="98"/>
      <c r="G1024" s="117"/>
      <c r="H1024" s="100"/>
      <c r="I1024" s="158"/>
      <c r="L1024" s="151"/>
    </row>
    <row r="1025" spans="1:12" ht="15.75" customHeight="1">
      <c r="A1025" s="96">
        <v>46822</v>
      </c>
      <c r="B1025" s="99"/>
      <c r="C1025" s="98"/>
      <c r="D1025" s="117"/>
      <c r="E1025" s="117"/>
      <c r="F1025" s="98"/>
      <c r="G1025" s="117"/>
      <c r="H1025" s="100"/>
      <c r="I1025" s="158"/>
      <c r="L1025" s="151"/>
    </row>
    <row r="1026" spans="1:12" ht="15.75" customHeight="1">
      <c r="A1026" s="96">
        <v>46823</v>
      </c>
      <c r="B1026" s="99"/>
      <c r="C1026" s="98"/>
      <c r="D1026" s="117"/>
      <c r="E1026" s="117"/>
      <c r="F1026" s="98"/>
      <c r="G1026" s="117"/>
      <c r="H1026" s="100"/>
      <c r="I1026" s="158"/>
      <c r="L1026" s="151"/>
    </row>
    <row r="1027" spans="1:12" ht="15.75" customHeight="1">
      <c r="A1027" s="96">
        <v>46824</v>
      </c>
      <c r="B1027" s="99"/>
      <c r="C1027" s="98"/>
      <c r="D1027" s="117"/>
      <c r="E1027" s="117"/>
      <c r="F1027" s="98"/>
      <c r="G1027" s="117"/>
      <c r="H1027" s="100"/>
      <c r="I1027" s="158"/>
      <c r="L1027" s="151"/>
    </row>
    <row r="1028" spans="1:12" ht="15.75" customHeight="1">
      <c r="A1028" s="96">
        <v>46825</v>
      </c>
      <c r="B1028" s="99"/>
      <c r="C1028" s="98"/>
      <c r="D1028" s="117"/>
      <c r="E1028" s="117"/>
      <c r="F1028" s="98"/>
      <c r="G1028" s="117"/>
      <c r="H1028" s="100"/>
      <c r="I1028" s="158"/>
      <c r="L1028" s="151"/>
    </row>
    <row r="1029" spans="1:12" ht="15.75" customHeight="1">
      <c r="A1029" s="96">
        <v>46826</v>
      </c>
      <c r="B1029" s="99"/>
      <c r="C1029" s="98"/>
      <c r="D1029" s="117"/>
      <c r="E1029" s="117"/>
      <c r="F1029" s="98"/>
      <c r="G1029" s="117"/>
      <c r="H1029" s="100"/>
      <c r="I1029" s="158"/>
      <c r="L1029" s="151"/>
    </row>
    <row r="1030" spans="1:12" ht="15.75" customHeight="1">
      <c r="A1030" s="96">
        <v>46827</v>
      </c>
      <c r="B1030" s="99"/>
      <c r="C1030" s="98"/>
      <c r="D1030" s="117"/>
      <c r="E1030" s="117"/>
      <c r="F1030" s="98"/>
      <c r="G1030" s="117"/>
      <c r="H1030" s="100"/>
      <c r="I1030" s="158"/>
      <c r="L1030" s="151"/>
    </row>
    <row r="1031" spans="1:12" ht="15.75" customHeight="1">
      <c r="A1031" s="96">
        <v>46828</v>
      </c>
      <c r="B1031" s="99"/>
      <c r="C1031" s="98"/>
      <c r="D1031" s="117"/>
      <c r="E1031" s="117"/>
      <c r="F1031" s="98"/>
      <c r="G1031" s="117"/>
      <c r="H1031" s="100"/>
      <c r="I1031" s="158"/>
      <c r="L1031" s="151"/>
    </row>
    <row r="1032" spans="1:12" ht="15.75" customHeight="1">
      <c r="A1032" s="96">
        <v>46829</v>
      </c>
      <c r="B1032" s="99"/>
      <c r="C1032" s="98"/>
      <c r="D1032" s="117"/>
      <c r="E1032" s="117"/>
      <c r="F1032" s="98"/>
      <c r="G1032" s="117"/>
      <c r="H1032" s="100"/>
      <c r="I1032" s="158"/>
      <c r="L1032" s="151"/>
    </row>
    <row r="1033" spans="1:12" ht="15.75" customHeight="1">
      <c r="A1033" s="96">
        <v>46830</v>
      </c>
      <c r="B1033" s="99"/>
      <c r="C1033" s="98"/>
      <c r="D1033" s="117"/>
      <c r="E1033" s="117"/>
      <c r="F1033" s="98"/>
      <c r="G1033" s="117"/>
      <c r="H1033" s="100"/>
      <c r="I1033" s="158"/>
      <c r="L1033" s="151"/>
    </row>
    <row r="1034" spans="1:12" ht="15.75" customHeight="1">
      <c r="A1034" s="96">
        <v>46831</v>
      </c>
      <c r="B1034" s="99"/>
      <c r="C1034" s="98"/>
      <c r="D1034" s="117"/>
      <c r="E1034" s="117"/>
      <c r="F1034" s="98"/>
      <c r="G1034" s="117"/>
      <c r="H1034" s="100"/>
      <c r="I1034" s="158"/>
      <c r="L1034" s="151"/>
    </row>
    <row r="1035" spans="1:12" ht="15.75" customHeight="1">
      <c r="A1035" s="96">
        <v>46832</v>
      </c>
      <c r="B1035" s="99"/>
      <c r="C1035" s="98"/>
      <c r="D1035" s="117"/>
      <c r="E1035" s="117"/>
      <c r="F1035" s="98"/>
      <c r="G1035" s="117"/>
      <c r="H1035" s="100"/>
      <c r="I1035" s="158"/>
      <c r="L1035" s="151"/>
    </row>
    <row r="1036" spans="1:12" ht="15.75" customHeight="1">
      <c r="A1036" s="96">
        <v>46833</v>
      </c>
      <c r="B1036" s="99"/>
      <c r="C1036" s="98"/>
      <c r="D1036" s="117"/>
      <c r="E1036" s="117"/>
      <c r="F1036" s="98"/>
      <c r="G1036" s="117"/>
      <c r="H1036" s="100"/>
      <c r="I1036" s="158"/>
      <c r="L1036" s="151"/>
    </row>
    <row r="1037" spans="1:12" ht="15.75" customHeight="1">
      <c r="A1037" s="96">
        <v>46834</v>
      </c>
      <c r="B1037" s="99"/>
      <c r="C1037" s="98"/>
      <c r="D1037" s="117"/>
      <c r="E1037" s="117"/>
      <c r="F1037" s="98"/>
      <c r="G1037" s="117"/>
      <c r="H1037" s="100"/>
      <c r="I1037" s="158"/>
      <c r="L1037" s="151"/>
    </row>
    <row r="1038" spans="1:12" ht="15.75" customHeight="1">
      <c r="A1038" s="96">
        <v>46835</v>
      </c>
      <c r="B1038" s="99"/>
      <c r="C1038" s="98"/>
      <c r="D1038" s="117"/>
      <c r="E1038" s="117"/>
      <c r="F1038" s="98"/>
      <c r="G1038" s="117"/>
      <c r="H1038" s="100"/>
      <c r="I1038" s="158"/>
      <c r="L1038" s="151"/>
    </row>
    <row r="1039" spans="1:12" ht="15.75" customHeight="1">
      <c r="A1039" s="96">
        <v>46836</v>
      </c>
      <c r="B1039" s="99"/>
      <c r="C1039" s="98"/>
      <c r="D1039" s="117"/>
      <c r="E1039" s="117"/>
      <c r="F1039" s="98"/>
      <c r="G1039" s="117"/>
      <c r="H1039" s="100"/>
      <c r="I1039" s="158"/>
      <c r="L1039" s="151"/>
    </row>
    <row r="1040" spans="1:12" ht="15.75" customHeight="1">
      <c r="A1040" s="96">
        <v>46837</v>
      </c>
      <c r="B1040" s="99"/>
      <c r="C1040" s="98"/>
      <c r="D1040" s="117"/>
      <c r="E1040" s="117"/>
      <c r="F1040" s="98"/>
      <c r="G1040" s="117"/>
      <c r="H1040" s="100"/>
      <c r="I1040" s="158"/>
      <c r="L1040" s="151"/>
    </row>
    <row r="1041" spans="1:12" ht="15.75" customHeight="1">
      <c r="A1041" s="96">
        <v>46838</v>
      </c>
      <c r="B1041" s="99"/>
      <c r="C1041" s="98"/>
      <c r="D1041" s="117"/>
      <c r="E1041" s="117"/>
      <c r="F1041" s="98"/>
      <c r="G1041" s="117"/>
      <c r="H1041" s="100"/>
      <c r="I1041" s="158"/>
      <c r="L1041" s="151"/>
    </row>
    <row r="1042" spans="1:12" ht="15.75" customHeight="1">
      <c r="A1042" s="96">
        <v>46839</v>
      </c>
      <c r="B1042" s="99"/>
      <c r="C1042" s="98"/>
      <c r="D1042" s="117"/>
      <c r="E1042" s="117"/>
      <c r="F1042" s="98"/>
      <c r="G1042" s="117"/>
      <c r="H1042" s="100"/>
      <c r="I1042" s="158"/>
      <c r="L1042" s="151"/>
    </row>
    <row r="1043" spans="1:12" ht="15.75" customHeight="1">
      <c r="A1043" s="96">
        <v>46840</v>
      </c>
      <c r="B1043" s="99"/>
      <c r="C1043" s="98"/>
      <c r="D1043" s="117"/>
      <c r="E1043" s="117"/>
      <c r="F1043" s="98"/>
      <c r="G1043" s="117"/>
      <c r="H1043" s="100"/>
      <c r="I1043" s="158"/>
      <c r="L1043" s="151"/>
    </row>
    <row r="1044" spans="1:12" ht="15.75" customHeight="1">
      <c r="A1044" s="96">
        <v>46841</v>
      </c>
      <c r="B1044" s="99"/>
      <c r="C1044" s="98"/>
      <c r="D1044" s="117"/>
      <c r="E1044" s="117"/>
      <c r="F1044" s="98"/>
      <c r="G1044" s="117"/>
      <c r="H1044" s="100"/>
      <c r="I1044" s="158"/>
      <c r="L1044" s="151"/>
    </row>
    <row r="1045" spans="1:12" ht="15.75" customHeight="1">
      <c r="A1045" s="96">
        <v>46842</v>
      </c>
      <c r="B1045" s="99"/>
      <c r="C1045" s="98"/>
      <c r="D1045" s="117"/>
      <c r="E1045" s="117"/>
      <c r="F1045" s="98"/>
      <c r="G1045" s="117"/>
      <c r="H1045" s="100"/>
      <c r="I1045" s="158"/>
      <c r="L1045" s="151"/>
    </row>
    <row r="1046" spans="1:12" ht="15.75" customHeight="1">
      <c r="A1046" s="96">
        <v>46843</v>
      </c>
      <c r="B1046" s="99"/>
      <c r="C1046" s="98"/>
      <c r="D1046" s="117"/>
      <c r="E1046" s="117"/>
      <c r="F1046" s="98"/>
      <c r="G1046" s="117"/>
      <c r="H1046" s="100"/>
      <c r="I1046" s="158"/>
      <c r="L1046" s="151"/>
    </row>
    <row r="1047" spans="1:12" ht="15.75" customHeight="1">
      <c r="A1047" s="96">
        <v>46844</v>
      </c>
      <c r="B1047" s="99"/>
      <c r="C1047" s="98"/>
      <c r="D1047" s="117"/>
      <c r="E1047" s="117"/>
      <c r="F1047" s="98"/>
      <c r="G1047" s="117"/>
      <c r="H1047" s="100"/>
      <c r="I1047" s="158"/>
      <c r="L1047" s="151"/>
    </row>
    <row r="1048" spans="1:12" ht="15.75" customHeight="1">
      <c r="A1048" s="96">
        <v>46845</v>
      </c>
      <c r="B1048" s="99"/>
      <c r="C1048" s="98"/>
      <c r="D1048" s="117"/>
      <c r="E1048" s="117"/>
      <c r="F1048" s="98"/>
      <c r="G1048" s="117"/>
      <c r="H1048" s="100"/>
      <c r="I1048" s="158"/>
      <c r="L1048" s="151"/>
    </row>
    <row r="1049" spans="1:12" ht="15.75" customHeight="1">
      <c r="A1049" s="96">
        <v>46846</v>
      </c>
      <c r="B1049" s="99"/>
      <c r="C1049" s="98"/>
      <c r="D1049" s="117"/>
      <c r="E1049" s="117"/>
      <c r="F1049" s="98"/>
      <c r="G1049" s="117"/>
      <c r="H1049" s="100"/>
      <c r="I1049" s="158"/>
      <c r="L1049" s="151"/>
    </row>
    <row r="1050" spans="1:12" ht="15.75" customHeight="1">
      <c r="A1050" s="96">
        <v>46847</v>
      </c>
      <c r="B1050" s="99"/>
      <c r="C1050" s="98"/>
      <c r="D1050" s="117"/>
      <c r="E1050" s="117"/>
      <c r="F1050" s="98"/>
      <c r="G1050" s="117"/>
      <c r="H1050" s="100"/>
      <c r="I1050" s="158"/>
      <c r="L1050" s="151"/>
    </row>
    <row r="1051" spans="1:12" ht="15.75" customHeight="1">
      <c r="A1051" s="96">
        <v>46848</v>
      </c>
      <c r="B1051" s="99"/>
      <c r="C1051" s="98"/>
      <c r="D1051" s="117"/>
      <c r="E1051" s="117"/>
      <c r="F1051" s="98"/>
      <c r="G1051" s="117"/>
      <c r="H1051" s="100"/>
      <c r="I1051" s="158"/>
      <c r="L1051" s="151"/>
    </row>
    <row r="1052" spans="1:12" ht="15.75" customHeight="1">
      <c r="A1052" s="96">
        <v>46849</v>
      </c>
      <c r="B1052" s="99"/>
      <c r="C1052" s="98"/>
      <c r="D1052" s="117"/>
      <c r="E1052" s="117"/>
      <c r="F1052" s="98"/>
      <c r="G1052" s="117"/>
      <c r="H1052" s="100"/>
      <c r="I1052" s="158"/>
      <c r="L1052" s="151"/>
    </row>
    <row r="1053" spans="1:12" ht="15.75" customHeight="1">
      <c r="A1053" s="96">
        <v>46850</v>
      </c>
      <c r="B1053" s="99"/>
      <c r="C1053" s="98"/>
      <c r="D1053" s="117"/>
      <c r="E1053" s="117"/>
      <c r="F1053" s="98"/>
      <c r="G1053" s="117"/>
      <c r="H1053" s="100"/>
      <c r="I1053" s="158"/>
      <c r="L1053" s="151"/>
    </row>
    <row r="1054" spans="1:12" ht="15.75" customHeight="1">
      <c r="A1054" s="96">
        <v>46851</v>
      </c>
      <c r="B1054" s="99"/>
      <c r="C1054" s="98"/>
      <c r="D1054" s="117"/>
      <c r="E1054" s="117"/>
      <c r="F1054" s="98"/>
      <c r="G1054" s="117"/>
      <c r="H1054" s="100"/>
      <c r="I1054" s="158"/>
      <c r="L1054" s="151"/>
    </row>
    <row r="1055" spans="1:12" ht="15.75" customHeight="1">
      <c r="A1055" s="96">
        <v>46852</v>
      </c>
      <c r="B1055" s="99"/>
      <c r="C1055" s="98"/>
      <c r="D1055" s="117"/>
      <c r="E1055" s="117"/>
      <c r="F1055" s="98"/>
      <c r="G1055" s="117"/>
      <c r="H1055" s="100"/>
      <c r="I1055" s="158"/>
      <c r="L1055" s="151"/>
    </row>
    <row r="1056" spans="1:12" ht="15.75" customHeight="1">
      <c r="A1056" s="96">
        <v>46853</v>
      </c>
      <c r="B1056" s="99"/>
      <c r="C1056" s="98"/>
      <c r="D1056" s="117"/>
      <c r="E1056" s="117"/>
      <c r="F1056" s="98"/>
      <c r="G1056" s="117"/>
      <c r="H1056" s="100"/>
      <c r="I1056" s="158"/>
      <c r="L1056" s="151"/>
    </row>
    <row r="1057" spans="1:12" ht="15.75" customHeight="1">
      <c r="A1057" s="96">
        <v>46854</v>
      </c>
      <c r="B1057" s="99"/>
      <c r="C1057" s="98"/>
      <c r="D1057" s="117"/>
      <c r="E1057" s="117"/>
      <c r="F1057" s="98"/>
      <c r="G1057" s="117"/>
      <c r="H1057" s="100"/>
      <c r="I1057" s="158"/>
      <c r="L1057" s="151"/>
    </row>
    <row r="1058" spans="1:12" ht="15.75" customHeight="1">
      <c r="A1058" s="96">
        <v>46855</v>
      </c>
      <c r="B1058" s="99"/>
      <c r="C1058" s="98"/>
      <c r="D1058" s="117"/>
      <c r="E1058" s="117"/>
      <c r="F1058" s="98"/>
      <c r="G1058" s="117"/>
      <c r="H1058" s="100"/>
      <c r="I1058" s="158"/>
      <c r="L1058" s="151"/>
    </row>
    <row r="1059" spans="1:12" ht="15.75" customHeight="1">
      <c r="A1059" s="96">
        <v>46856</v>
      </c>
      <c r="B1059" s="99"/>
      <c r="C1059" s="98"/>
      <c r="D1059" s="117"/>
      <c r="E1059" s="117"/>
      <c r="F1059" s="98"/>
      <c r="G1059" s="117"/>
      <c r="H1059" s="100"/>
      <c r="I1059" s="158"/>
      <c r="L1059" s="151"/>
    </row>
    <row r="1060" spans="1:12" ht="15.75" customHeight="1">
      <c r="A1060" s="96">
        <v>46857</v>
      </c>
      <c r="B1060" s="99"/>
      <c r="C1060" s="98"/>
      <c r="D1060" s="117"/>
      <c r="E1060" s="117"/>
      <c r="F1060" s="98"/>
      <c r="G1060" s="117"/>
      <c r="H1060" s="100"/>
      <c r="I1060" s="158"/>
      <c r="L1060" s="151"/>
    </row>
    <row r="1061" spans="1:12" ht="15.75" customHeight="1">
      <c r="A1061" s="96">
        <v>46858</v>
      </c>
      <c r="B1061" s="99"/>
      <c r="C1061" s="98"/>
      <c r="D1061" s="117"/>
      <c r="E1061" s="117"/>
      <c r="F1061" s="98"/>
      <c r="G1061" s="117"/>
      <c r="H1061" s="100"/>
      <c r="I1061" s="158"/>
      <c r="L1061" s="151"/>
    </row>
    <row r="1062" spans="1:12" ht="15.75" customHeight="1">
      <c r="A1062" s="96">
        <v>46859</v>
      </c>
      <c r="B1062" s="99"/>
      <c r="C1062" s="98"/>
      <c r="D1062" s="117"/>
      <c r="E1062" s="117"/>
      <c r="F1062" s="98"/>
      <c r="G1062" s="117"/>
      <c r="H1062" s="100"/>
      <c r="I1062" s="158"/>
      <c r="L1062" s="151"/>
    </row>
    <row r="1063" spans="1:12" ht="15.75" customHeight="1">
      <c r="A1063" s="96">
        <v>46860</v>
      </c>
      <c r="B1063" s="99"/>
      <c r="C1063" s="98"/>
      <c r="D1063" s="117"/>
      <c r="E1063" s="117"/>
      <c r="F1063" s="98"/>
      <c r="G1063" s="117"/>
      <c r="H1063" s="100"/>
      <c r="I1063" s="158"/>
      <c r="L1063" s="151"/>
    </row>
    <row r="1064" spans="1:12" ht="15.75" customHeight="1">
      <c r="A1064" s="96">
        <v>46861</v>
      </c>
      <c r="B1064" s="99"/>
      <c r="C1064" s="98"/>
      <c r="D1064" s="117"/>
      <c r="E1064" s="117"/>
      <c r="F1064" s="98"/>
      <c r="G1064" s="117"/>
      <c r="H1064" s="100"/>
      <c r="I1064" s="158"/>
      <c r="L1064" s="151"/>
    </row>
    <row r="1065" spans="1:12" ht="15.75" customHeight="1">
      <c r="A1065" s="96">
        <v>46862</v>
      </c>
      <c r="B1065" s="99"/>
      <c r="C1065" s="98"/>
      <c r="D1065" s="117"/>
      <c r="E1065" s="117"/>
      <c r="F1065" s="98"/>
      <c r="G1065" s="117"/>
      <c r="H1065" s="100"/>
      <c r="I1065" s="158"/>
      <c r="L1065" s="151"/>
    </row>
    <row r="1066" spans="1:12" ht="15.75" customHeight="1">
      <c r="A1066" s="96">
        <v>46863</v>
      </c>
      <c r="B1066" s="99"/>
      <c r="C1066" s="98"/>
      <c r="D1066" s="117"/>
      <c r="E1066" s="117"/>
      <c r="F1066" s="98"/>
      <c r="G1066" s="117"/>
      <c r="H1066" s="100"/>
      <c r="I1066" s="158"/>
      <c r="L1066" s="151"/>
    </row>
    <row r="1067" spans="1:12" ht="15.75" customHeight="1">
      <c r="A1067" s="96">
        <v>46864</v>
      </c>
      <c r="B1067" s="99"/>
      <c r="C1067" s="98"/>
      <c r="D1067" s="117"/>
      <c r="E1067" s="117"/>
      <c r="F1067" s="98"/>
      <c r="G1067" s="117"/>
      <c r="H1067" s="100"/>
      <c r="I1067" s="158"/>
      <c r="L1067" s="151"/>
    </row>
    <row r="1068" spans="1:12" ht="15.75" customHeight="1">
      <c r="A1068" s="96">
        <v>46865</v>
      </c>
      <c r="B1068" s="99"/>
      <c r="C1068" s="98"/>
      <c r="D1068" s="117"/>
      <c r="E1068" s="117"/>
      <c r="F1068" s="98"/>
      <c r="G1068" s="117"/>
      <c r="H1068" s="100"/>
      <c r="I1068" s="158"/>
      <c r="L1068" s="151"/>
    </row>
    <row r="1069" spans="1:12" ht="15.75" customHeight="1">
      <c r="A1069" s="96">
        <v>46866</v>
      </c>
      <c r="B1069" s="99"/>
      <c r="C1069" s="98"/>
      <c r="D1069" s="117"/>
      <c r="E1069" s="117"/>
      <c r="F1069" s="98"/>
      <c r="G1069" s="117"/>
      <c r="H1069" s="100"/>
      <c r="I1069" s="158"/>
      <c r="L1069" s="151"/>
    </row>
    <row r="1070" spans="1:12" ht="15.75" customHeight="1">
      <c r="A1070" s="96">
        <v>46867</v>
      </c>
      <c r="B1070" s="99"/>
      <c r="C1070" s="98"/>
      <c r="D1070" s="117"/>
      <c r="E1070" s="117"/>
      <c r="F1070" s="98"/>
      <c r="G1070" s="117"/>
      <c r="H1070" s="100"/>
      <c r="I1070" s="158"/>
      <c r="L1070" s="151"/>
    </row>
    <row r="1071" spans="1:12" ht="15.75" customHeight="1">
      <c r="A1071" s="96">
        <v>46868</v>
      </c>
      <c r="B1071" s="99"/>
      <c r="C1071" s="98"/>
      <c r="D1071" s="117"/>
      <c r="E1071" s="117"/>
      <c r="F1071" s="98"/>
      <c r="G1071" s="117"/>
      <c r="H1071" s="100"/>
      <c r="I1071" s="158"/>
      <c r="L1071" s="151"/>
    </row>
    <row r="1072" spans="1:12" ht="15.75" customHeight="1">
      <c r="A1072" s="96">
        <v>46869</v>
      </c>
      <c r="B1072" s="99"/>
      <c r="C1072" s="98"/>
      <c r="D1072" s="117"/>
      <c r="E1072" s="117"/>
      <c r="F1072" s="98"/>
      <c r="G1072" s="117"/>
      <c r="H1072" s="100"/>
      <c r="I1072" s="158"/>
      <c r="L1072" s="151"/>
    </row>
    <row r="1073" spans="1:12" ht="15.75" customHeight="1">
      <c r="A1073" s="96">
        <v>46870</v>
      </c>
      <c r="B1073" s="99"/>
      <c r="C1073" s="98"/>
      <c r="D1073" s="117"/>
      <c r="E1073" s="117"/>
      <c r="F1073" s="98"/>
      <c r="G1073" s="117"/>
      <c r="H1073" s="100"/>
      <c r="I1073" s="158"/>
      <c r="L1073" s="151"/>
    </row>
    <row r="1074" spans="1:12" ht="15.75" customHeight="1">
      <c r="A1074" s="96">
        <v>46871</v>
      </c>
      <c r="B1074" s="99"/>
      <c r="C1074" s="98"/>
      <c r="D1074" s="117"/>
      <c r="E1074" s="117"/>
      <c r="F1074" s="98"/>
      <c r="G1074" s="117"/>
      <c r="H1074" s="100"/>
      <c r="I1074" s="158"/>
      <c r="L1074" s="151"/>
    </row>
    <row r="1075" spans="1:12" ht="15.75" customHeight="1">
      <c r="A1075" s="96">
        <v>46872</v>
      </c>
      <c r="B1075" s="99"/>
      <c r="C1075" s="98"/>
      <c r="D1075" s="117"/>
      <c r="E1075" s="117"/>
      <c r="F1075" s="98"/>
      <c r="G1075" s="117"/>
      <c r="H1075" s="100"/>
      <c r="I1075" s="158"/>
      <c r="L1075" s="151"/>
    </row>
    <row r="1076" spans="1:12" ht="15.75" customHeight="1">
      <c r="A1076" s="96">
        <v>46873</v>
      </c>
      <c r="B1076" s="99"/>
      <c r="C1076" s="98"/>
      <c r="D1076" s="117"/>
      <c r="E1076" s="117"/>
      <c r="F1076" s="98"/>
      <c r="G1076" s="117"/>
      <c r="H1076" s="100"/>
      <c r="I1076" s="158"/>
      <c r="L1076" s="151"/>
    </row>
    <row r="1077" spans="1:12" ht="15.75" customHeight="1">
      <c r="A1077" s="96">
        <v>46874</v>
      </c>
      <c r="B1077" s="99"/>
      <c r="C1077" s="98"/>
      <c r="D1077" s="117"/>
      <c r="E1077" s="117"/>
      <c r="F1077" s="98"/>
      <c r="G1077" s="117"/>
      <c r="H1077" s="100"/>
      <c r="I1077" s="158"/>
      <c r="L1077" s="151"/>
    </row>
    <row r="1078" spans="1:12" ht="15.75" customHeight="1">
      <c r="A1078" s="96">
        <v>46875</v>
      </c>
      <c r="B1078" s="99"/>
      <c r="C1078" s="98"/>
      <c r="D1078" s="117"/>
      <c r="E1078" s="117"/>
      <c r="F1078" s="98"/>
      <c r="G1078" s="117"/>
      <c r="H1078" s="100"/>
      <c r="I1078" s="158"/>
      <c r="L1078" s="151"/>
    </row>
    <row r="1079" spans="1:12" ht="15.75" customHeight="1">
      <c r="A1079" s="96">
        <v>46876</v>
      </c>
      <c r="B1079" s="99"/>
      <c r="C1079" s="98"/>
      <c r="D1079" s="117"/>
      <c r="E1079" s="117"/>
      <c r="F1079" s="98"/>
      <c r="G1079" s="117"/>
      <c r="H1079" s="100"/>
      <c r="I1079" s="158"/>
      <c r="L1079" s="151"/>
    </row>
    <row r="1080" spans="1:12" ht="15.75" customHeight="1">
      <c r="A1080" s="96">
        <v>46877</v>
      </c>
      <c r="B1080" s="99"/>
      <c r="C1080" s="98"/>
      <c r="D1080" s="117"/>
      <c r="E1080" s="117"/>
      <c r="F1080" s="98"/>
      <c r="G1080" s="117"/>
      <c r="H1080" s="100"/>
      <c r="I1080" s="158"/>
      <c r="L1080" s="151"/>
    </row>
    <row r="1081" spans="1:12" ht="15.75" customHeight="1">
      <c r="A1081" s="96">
        <v>46878</v>
      </c>
      <c r="B1081" s="99"/>
      <c r="C1081" s="98"/>
      <c r="D1081" s="117"/>
      <c r="E1081" s="117"/>
      <c r="F1081" s="98"/>
      <c r="G1081" s="117"/>
      <c r="H1081" s="100"/>
      <c r="I1081" s="158"/>
      <c r="L1081" s="151"/>
    </row>
    <row r="1082" spans="1:12" ht="15.75" customHeight="1">
      <c r="A1082" s="96">
        <v>46879</v>
      </c>
      <c r="B1082" s="99"/>
      <c r="C1082" s="98"/>
      <c r="D1082" s="117"/>
      <c r="E1082" s="117"/>
      <c r="F1082" s="98"/>
      <c r="G1082" s="117"/>
      <c r="H1082" s="100"/>
      <c r="I1082" s="158"/>
      <c r="L1082" s="151"/>
    </row>
    <row r="1083" spans="1:12" ht="15.75" customHeight="1">
      <c r="A1083" s="96">
        <v>46880</v>
      </c>
      <c r="B1083" s="99"/>
      <c r="C1083" s="98"/>
      <c r="D1083" s="117"/>
      <c r="E1083" s="117"/>
      <c r="F1083" s="98"/>
      <c r="G1083" s="117"/>
      <c r="H1083" s="100"/>
      <c r="I1083" s="158"/>
      <c r="L1083" s="151"/>
    </row>
    <row r="1084" spans="1:12" ht="15.75" customHeight="1">
      <c r="A1084" s="96">
        <v>46881</v>
      </c>
      <c r="B1084" s="99"/>
      <c r="C1084" s="98"/>
      <c r="D1084" s="117"/>
      <c r="E1084" s="117"/>
      <c r="F1084" s="98"/>
      <c r="G1084" s="117"/>
      <c r="H1084" s="100"/>
      <c r="I1084" s="158"/>
      <c r="L1084" s="151"/>
    </row>
    <row r="1085" spans="1:12" ht="15.75" customHeight="1">
      <c r="A1085" s="96">
        <v>46882</v>
      </c>
      <c r="B1085" s="99"/>
      <c r="C1085" s="98"/>
      <c r="D1085" s="117"/>
      <c r="E1085" s="117"/>
      <c r="F1085" s="98"/>
      <c r="G1085" s="117"/>
      <c r="H1085" s="100"/>
      <c r="I1085" s="158"/>
      <c r="L1085" s="151"/>
    </row>
    <row r="1086" spans="1:12" ht="15.75" customHeight="1">
      <c r="A1086" s="96">
        <v>46883</v>
      </c>
      <c r="B1086" s="99"/>
      <c r="C1086" s="98"/>
      <c r="D1086" s="117"/>
      <c r="E1086" s="117"/>
      <c r="F1086" s="98"/>
      <c r="G1086" s="117"/>
      <c r="H1086" s="100"/>
      <c r="I1086" s="158"/>
      <c r="L1086" s="151"/>
    </row>
    <row r="1087" spans="1:12" ht="15.75" customHeight="1">
      <c r="A1087" s="96">
        <v>46884</v>
      </c>
      <c r="B1087" s="99"/>
      <c r="C1087" s="98"/>
      <c r="D1087" s="117"/>
      <c r="E1087" s="117"/>
      <c r="F1087" s="98"/>
      <c r="G1087" s="117"/>
      <c r="H1087" s="100"/>
      <c r="I1087" s="158"/>
      <c r="L1087" s="151"/>
    </row>
    <row r="1088" spans="1:12" ht="15.75" customHeight="1">
      <c r="A1088" s="96">
        <v>46885</v>
      </c>
      <c r="B1088" s="99"/>
      <c r="C1088" s="98"/>
      <c r="D1088" s="117"/>
      <c r="E1088" s="117"/>
      <c r="F1088" s="98"/>
      <c r="G1088" s="117"/>
      <c r="H1088" s="100"/>
      <c r="I1088" s="158"/>
      <c r="L1088" s="151"/>
    </row>
    <row r="1089" spans="1:12" ht="15.75" customHeight="1">
      <c r="A1089" s="96">
        <v>46886</v>
      </c>
      <c r="B1089" s="99"/>
      <c r="C1089" s="98"/>
      <c r="D1089" s="117"/>
      <c r="E1089" s="117"/>
      <c r="F1089" s="98"/>
      <c r="G1089" s="117"/>
      <c r="H1089" s="100"/>
      <c r="I1089" s="158"/>
      <c r="L1089" s="151"/>
    </row>
    <row r="1090" spans="1:12" ht="15.75" customHeight="1">
      <c r="A1090" s="96">
        <v>46887</v>
      </c>
      <c r="B1090" s="99"/>
      <c r="C1090" s="98"/>
      <c r="D1090" s="117"/>
      <c r="E1090" s="117"/>
      <c r="F1090" s="98"/>
      <c r="G1090" s="117"/>
      <c r="H1090" s="100"/>
      <c r="I1090" s="158"/>
      <c r="L1090" s="151"/>
    </row>
    <row r="1091" spans="1:12" ht="15.75" customHeight="1">
      <c r="A1091" s="96">
        <v>46888</v>
      </c>
      <c r="B1091" s="99"/>
      <c r="C1091" s="98"/>
      <c r="D1091" s="117"/>
      <c r="E1091" s="117"/>
      <c r="F1091" s="98"/>
      <c r="G1091" s="117"/>
      <c r="H1091" s="100"/>
      <c r="I1091" s="158"/>
      <c r="L1091" s="151"/>
    </row>
    <row r="1092" spans="1:12" ht="15.75" customHeight="1">
      <c r="A1092" s="96">
        <v>46889</v>
      </c>
      <c r="B1092" s="99"/>
      <c r="C1092" s="98"/>
      <c r="D1092" s="117"/>
      <c r="E1092" s="117"/>
      <c r="F1092" s="98"/>
      <c r="G1092" s="117"/>
      <c r="H1092" s="100"/>
      <c r="I1092" s="158"/>
      <c r="L1092" s="151"/>
    </row>
    <row r="1093" spans="1:12" ht="15.75" customHeight="1">
      <c r="A1093" s="96">
        <v>46890</v>
      </c>
      <c r="B1093" s="99"/>
      <c r="C1093" s="98"/>
      <c r="D1093" s="117"/>
      <c r="E1093" s="117"/>
      <c r="F1093" s="98"/>
      <c r="G1093" s="117"/>
      <c r="H1093" s="100"/>
      <c r="I1093" s="158"/>
      <c r="L1093" s="151"/>
    </row>
    <row r="1094" spans="1:12" ht="15.75" customHeight="1">
      <c r="A1094" s="96">
        <v>46891</v>
      </c>
      <c r="B1094" s="99"/>
      <c r="C1094" s="98"/>
      <c r="D1094" s="117"/>
      <c r="E1094" s="117"/>
      <c r="F1094" s="98"/>
      <c r="G1094" s="117"/>
      <c r="H1094" s="100"/>
      <c r="I1094" s="158"/>
      <c r="L1094" s="151"/>
    </row>
    <row r="1095" spans="1:12" ht="15.75" customHeight="1">
      <c r="A1095" s="96">
        <v>46892</v>
      </c>
      <c r="B1095" s="99"/>
      <c r="C1095" s="98"/>
      <c r="D1095" s="117"/>
      <c r="E1095" s="117"/>
      <c r="F1095" s="98"/>
      <c r="G1095" s="117"/>
      <c r="H1095" s="100"/>
      <c r="I1095" s="158"/>
      <c r="L1095" s="151"/>
    </row>
    <row r="1096" spans="1:12" ht="15.75" customHeight="1">
      <c r="A1096" s="96">
        <v>46893</v>
      </c>
      <c r="B1096" s="99"/>
      <c r="C1096" s="98"/>
      <c r="D1096" s="117"/>
      <c r="E1096" s="117"/>
      <c r="F1096" s="98"/>
      <c r="G1096" s="117"/>
      <c r="H1096" s="100"/>
      <c r="I1096" s="158"/>
      <c r="L1096" s="151"/>
    </row>
    <row r="1097" spans="1:12" ht="15.75" customHeight="1">
      <c r="A1097" s="96">
        <v>46894</v>
      </c>
      <c r="B1097" s="99"/>
      <c r="C1097" s="98"/>
      <c r="D1097" s="117"/>
      <c r="E1097" s="117"/>
      <c r="F1097" s="98"/>
      <c r="G1097" s="117"/>
      <c r="H1097" s="100"/>
      <c r="I1097" s="158"/>
      <c r="L1097" s="151"/>
    </row>
    <row r="1098" spans="1:12" ht="15.75" customHeight="1">
      <c r="A1098" s="96">
        <v>46895</v>
      </c>
      <c r="B1098" s="99"/>
      <c r="C1098" s="98"/>
      <c r="D1098" s="117"/>
      <c r="E1098" s="117"/>
      <c r="F1098" s="98"/>
      <c r="G1098" s="117"/>
      <c r="H1098" s="100"/>
      <c r="I1098" s="158"/>
      <c r="L1098" s="151"/>
    </row>
    <row r="1099" spans="1:12" ht="15.75" customHeight="1">
      <c r="A1099" s="96">
        <v>46896</v>
      </c>
      <c r="B1099" s="99"/>
      <c r="C1099" s="98"/>
      <c r="D1099" s="117"/>
      <c r="E1099" s="117"/>
      <c r="F1099" s="98"/>
      <c r="G1099" s="117"/>
      <c r="H1099" s="100"/>
      <c r="I1099" s="158"/>
      <c r="L1099" s="151"/>
    </row>
    <row r="1100" spans="1:12" ht="15.75" customHeight="1">
      <c r="A1100" s="96">
        <v>46897</v>
      </c>
      <c r="B1100" s="99"/>
      <c r="C1100" s="98"/>
      <c r="D1100" s="117"/>
      <c r="E1100" s="117"/>
      <c r="F1100" s="98"/>
      <c r="G1100" s="117"/>
      <c r="H1100" s="100"/>
      <c r="I1100" s="158"/>
      <c r="L1100" s="151"/>
    </row>
    <row r="1101" spans="1:12" ht="15.75" customHeight="1">
      <c r="A1101" s="96">
        <v>46898</v>
      </c>
      <c r="B1101" s="99"/>
      <c r="C1101" s="98"/>
      <c r="D1101" s="117"/>
      <c r="E1101" s="117"/>
      <c r="F1101" s="98"/>
      <c r="G1101" s="117"/>
      <c r="H1101" s="100"/>
      <c r="I1101" s="158"/>
      <c r="L1101" s="151"/>
    </row>
    <row r="1102" spans="1:12" ht="15.75" customHeight="1">
      <c r="A1102" s="96">
        <v>46899</v>
      </c>
      <c r="B1102" s="99"/>
      <c r="C1102" s="98"/>
      <c r="D1102" s="117"/>
      <c r="E1102" s="117"/>
      <c r="F1102" s="98"/>
      <c r="G1102" s="117"/>
      <c r="H1102" s="100"/>
      <c r="I1102" s="158"/>
      <c r="L1102" s="151"/>
    </row>
    <row r="1103" spans="1:12" ht="15.75" customHeight="1">
      <c r="A1103" s="96">
        <v>46900</v>
      </c>
      <c r="B1103" s="99"/>
      <c r="C1103" s="98"/>
      <c r="D1103" s="117"/>
      <c r="E1103" s="117"/>
      <c r="F1103" s="98"/>
      <c r="G1103" s="117"/>
      <c r="H1103" s="100"/>
      <c r="I1103" s="158"/>
      <c r="L1103" s="151"/>
    </row>
    <row r="1104" spans="1:12" ht="15.75" customHeight="1">
      <c r="A1104" s="96">
        <v>46901</v>
      </c>
      <c r="B1104" s="99"/>
      <c r="C1104" s="98"/>
      <c r="D1104" s="117"/>
      <c r="E1104" s="117"/>
      <c r="F1104" s="98"/>
      <c r="G1104" s="117"/>
      <c r="H1104" s="100"/>
      <c r="I1104" s="158"/>
      <c r="L1104" s="151"/>
    </row>
    <row r="1105" spans="1:12" ht="15.75" customHeight="1">
      <c r="A1105" s="96">
        <v>46902</v>
      </c>
      <c r="B1105" s="99"/>
      <c r="C1105" s="98"/>
      <c r="D1105" s="117"/>
      <c r="E1105" s="117"/>
      <c r="F1105" s="98"/>
      <c r="G1105" s="117"/>
      <c r="H1105" s="100"/>
      <c r="I1105" s="158"/>
      <c r="L1105" s="151"/>
    </row>
    <row r="1106" spans="1:12" ht="15.75" customHeight="1">
      <c r="A1106" s="96">
        <v>46903</v>
      </c>
      <c r="B1106" s="99"/>
      <c r="C1106" s="98"/>
      <c r="D1106" s="117"/>
      <c r="E1106" s="117"/>
      <c r="F1106" s="98"/>
      <c r="G1106" s="117"/>
      <c r="H1106" s="100"/>
      <c r="I1106" s="158"/>
      <c r="L1106" s="151"/>
    </row>
    <row r="1107" spans="1:12" ht="15.75" customHeight="1">
      <c r="A1107" s="96">
        <v>46904</v>
      </c>
      <c r="B1107" s="99"/>
      <c r="C1107" s="98"/>
      <c r="D1107" s="117"/>
      <c r="E1107" s="117"/>
      <c r="F1107" s="98"/>
      <c r="G1107" s="117"/>
      <c r="H1107" s="100"/>
      <c r="I1107" s="158"/>
      <c r="L1107" s="151"/>
    </row>
    <row r="1108" spans="1:12" ht="15.75" customHeight="1">
      <c r="A1108" s="96">
        <v>46905</v>
      </c>
      <c r="B1108" s="99"/>
      <c r="C1108" s="98"/>
      <c r="D1108" s="117"/>
      <c r="E1108" s="117"/>
      <c r="F1108" s="98"/>
      <c r="G1108" s="117"/>
      <c r="H1108" s="100"/>
      <c r="I1108" s="158"/>
      <c r="L1108" s="151"/>
    </row>
    <row r="1109" spans="1:12" ht="15.75" customHeight="1">
      <c r="A1109" s="96">
        <v>46906</v>
      </c>
      <c r="B1109" s="99"/>
      <c r="C1109" s="98"/>
      <c r="D1109" s="117"/>
      <c r="E1109" s="117"/>
      <c r="F1109" s="98"/>
      <c r="G1109" s="117"/>
      <c r="H1109" s="100"/>
      <c r="I1109" s="158"/>
      <c r="L1109" s="151"/>
    </row>
    <row r="1110" spans="1:12" ht="15.75" customHeight="1">
      <c r="A1110" s="96">
        <v>46907</v>
      </c>
      <c r="B1110" s="99"/>
      <c r="C1110" s="98"/>
      <c r="D1110" s="117"/>
      <c r="E1110" s="117"/>
      <c r="F1110" s="98"/>
      <c r="G1110" s="117"/>
      <c r="H1110" s="100"/>
      <c r="I1110" s="158"/>
      <c r="L1110" s="151"/>
    </row>
    <row r="1111" spans="1:12" ht="15.75" customHeight="1">
      <c r="A1111" s="96">
        <v>46908</v>
      </c>
      <c r="B1111" s="99"/>
      <c r="C1111" s="98"/>
      <c r="D1111" s="117"/>
      <c r="E1111" s="117"/>
      <c r="F1111" s="98"/>
      <c r="G1111" s="117"/>
      <c r="H1111" s="100"/>
      <c r="I1111" s="158"/>
      <c r="L1111" s="151"/>
    </row>
    <row r="1112" spans="1:12" ht="15.75" customHeight="1">
      <c r="A1112" s="96">
        <v>46909</v>
      </c>
      <c r="B1112" s="99"/>
      <c r="C1112" s="98"/>
      <c r="D1112" s="117"/>
      <c r="E1112" s="117"/>
      <c r="F1112" s="98"/>
      <c r="G1112" s="117"/>
      <c r="H1112" s="100"/>
      <c r="I1112" s="158"/>
      <c r="L1112" s="151"/>
    </row>
    <row r="1113" spans="1:12" ht="15.75" customHeight="1">
      <c r="A1113" s="96">
        <v>46910</v>
      </c>
      <c r="B1113" s="99"/>
      <c r="C1113" s="98"/>
      <c r="D1113" s="117"/>
      <c r="E1113" s="117"/>
      <c r="F1113" s="98"/>
      <c r="G1113" s="117"/>
      <c r="H1113" s="100"/>
      <c r="I1113" s="158"/>
      <c r="L1113" s="151"/>
    </row>
    <row r="1114" spans="1:12" ht="15.75" customHeight="1">
      <c r="A1114" s="96">
        <v>46911</v>
      </c>
      <c r="B1114" s="99"/>
      <c r="C1114" s="98"/>
      <c r="D1114" s="117"/>
      <c r="E1114" s="117"/>
      <c r="F1114" s="98"/>
      <c r="G1114" s="117"/>
      <c r="H1114" s="100"/>
      <c r="I1114" s="158"/>
      <c r="L1114" s="151"/>
    </row>
    <row r="1115" spans="1:12" ht="15.75" customHeight="1">
      <c r="A1115" s="96">
        <v>46912</v>
      </c>
      <c r="B1115" s="99"/>
      <c r="C1115" s="98"/>
      <c r="D1115" s="117"/>
      <c r="E1115" s="117"/>
      <c r="F1115" s="98"/>
      <c r="G1115" s="117"/>
      <c r="H1115" s="100"/>
      <c r="I1115" s="158"/>
      <c r="L1115" s="151"/>
    </row>
    <row r="1116" spans="1:12" ht="15.75" customHeight="1">
      <c r="A1116" s="96">
        <v>46913</v>
      </c>
      <c r="B1116" s="99"/>
      <c r="C1116" s="98"/>
      <c r="D1116" s="117"/>
      <c r="E1116" s="117"/>
      <c r="F1116" s="98"/>
      <c r="G1116" s="117"/>
      <c r="H1116" s="100"/>
      <c r="I1116" s="158"/>
      <c r="L1116" s="151"/>
    </row>
    <row r="1117" spans="1:12" ht="15.75" customHeight="1">
      <c r="A1117" s="96">
        <v>46914</v>
      </c>
      <c r="B1117" s="99"/>
      <c r="C1117" s="98"/>
      <c r="D1117" s="117"/>
      <c r="E1117" s="117"/>
      <c r="F1117" s="98"/>
      <c r="G1117" s="117"/>
      <c r="H1117" s="100"/>
      <c r="I1117" s="158"/>
      <c r="L1117" s="151"/>
    </row>
    <row r="1118" spans="1:12" ht="15.75" customHeight="1">
      <c r="A1118" s="96">
        <v>46915</v>
      </c>
      <c r="B1118" s="99"/>
      <c r="C1118" s="98"/>
      <c r="D1118" s="117"/>
      <c r="E1118" s="117"/>
      <c r="F1118" s="98"/>
      <c r="G1118" s="117"/>
      <c r="H1118" s="100"/>
      <c r="I1118" s="158"/>
      <c r="L1118" s="151"/>
    </row>
    <row r="1119" spans="1:12" ht="15.75" customHeight="1">
      <c r="A1119" s="96">
        <v>46916</v>
      </c>
      <c r="B1119" s="99"/>
      <c r="C1119" s="98"/>
      <c r="D1119" s="117"/>
      <c r="E1119" s="117"/>
      <c r="F1119" s="98"/>
      <c r="G1119" s="117"/>
      <c r="H1119" s="100"/>
      <c r="I1119" s="158"/>
      <c r="L1119" s="151"/>
    </row>
    <row r="1120" spans="1:12" ht="15.75" customHeight="1">
      <c r="A1120" s="96">
        <v>46917</v>
      </c>
      <c r="B1120" s="99"/>
      <c r="C1120" s="98"/>
      <c r="D1120" s="117"/>
      <c r="E1120" s="117"/>
      <c r="F1120" s="98"/>
      <c r="G1120" s="117"/>
      <c r="H1120" s="100"/>
      <c r="I1120" s="158"/>
      <c r="L1120" s="151"/>
    </row>
    <row r="1121" spans="1:12" ht="15.75" customHeight="1">
      <c r="A1121" s="96">
        <v>46918</v>
      </c>
      <c r="B1121" s="99"/>
      <c r="C1121" s="98"/>
      <c r="D1121" s="117"/>
      <c r="E1121" s="117"/>
      <c r="F1121" s="98"/>
      <c r="G1121" s="117"/>
      <c r="H1121" s="100"/>
      <c r="I1121" s="158"/>
      <c r="L1121" s="151"/>
    </row>
    <row r="1122" spans="1:12" ht="15.75" customHeight="1">
      <c r="A1122" s="96">
        <v>46919</v>
      </c>
      <c r="B1122" s="99"/>
      <c r="C1122" s="98"/>
      <c r="D1122" s="117"/>
      <c r="E1122" s="117"/>
      <c r="F1122" s="98"/>
      <c r="G1122" s="117"/>
      <c r="H1122" s="100"/>
      <c r="I1122" s="158"/>
      <c r="L1122" s="151"/>
    </row>
    <row r="1123" spans="1:12" ht="15.75" customHeight="1">
      <c r="A1123" s="96">
        <v>46920</v>
      </c>
      <c r="B1123" s="99"/>
      <c r="C1123" s="98"/>
      <c r="D1123" s="117"/>
      <c r="E1123" s="117"/>
      <c r="F1123" s="98"/>
      <c r="G1123" s="117"/>
      <c r="H1123" s="100"/>
      <c r="I1123" s="158"/>
      <c r="L1123" s="151"/>
    </row>
    <row r="1124" spans="1:12" ht="15.75" customHeight="1">
      <c r="A1124" s="96">
        <v>46921</v>
      </c>
      <c r="B1124" s="99"/>
      <c r="C1124" s="98"/>
      <c r="D1124" s="117"/>
      <c r="E1124" s="117"/>
      <c r="F1124" s="98"/>
      <c r="G1124" s="117"/>
      <c r="H1124" s="100"/>
      <c r="I1124" s="158"/>
      <c r="L1124" s="151"/>
    </row>
    <row r="1125" spans="1:12" ht="15.75" customHeight="1">
      <c r="A1125" s="96">
        <v>46922</v>
      </c>
      <c r="B1125" s="99"/>
      <c r="C1125" s="98"/>
      <c r="D1125" s="117"/>
      <c r="E1125" s="117"/>
      <c r="F1125" s="98"/>
      <c r="G1125" s="117"/>
      <c r="H1125" s="100"/>
      <c r="I1125" s="158"/>
      <c r="L1125" s="151"/>
    </row>
    <row r="1126" spans="1:12" ht="15.75" customHeight="1">
      <c r="A1126" s="96">
        <v>46923</v>
      </c>
      <c r="B1126" s="99"/>
      <c r="C1126" s="98"/>
      <c r="D1126" s="117"/>
      <c r="E1126" s="117"/>
      <c r="F1126" s="98"/>
      <c r="G1126" s="117"/>
      <c r="H1126" s="100"/>
      <c r="I1126" s="158"/>
      <c r="L1126" s="151"/>
    </row>
    <row r="1127" spans="1:12" ht="15.75" customHeight="1">
      <c r="A1127" s="96">
        <v>46924</v>
      </c>
      <c r="B1127" s="99"/>
      <c r="C1127" s="98"/>
      <c r="D1127" s="117"/>
      <c r="E1127" s="117"/>
      <c r="F1127" s="98"/>
      <c r="G1127" s="117"/>
      <c r="H1127" s="100"/>
      <c r="I1127" s="158"/>
      <c r="L1127" s="151"/>
    </row>
    <row r="1128" spans="1:12" ht="15.75" customHeight="1">
      <c r="A1128" s="96">
        <v>46925</v>
      </c>
      <c r="B1128" s="99"/>
      <c r="C1128" s="98"/>
      <c r="D1128" s="117"/>
      <c r="E1128" s="117"/>
      <c r="F1128" s="98"/>
      <c r="G1128" s="117"/>
      <c r="H1128" s="100"/>
      <c r="I1128" s="158"/>
      <c r="L1128" s="151"/>
    </row>
    <row r="1129" spans="1:12" ht="15.75" customHeight="1">
      <c r="A1129" s="96">
        <v>46926</v>
      </c>
      <c r="B1129" s="99"/>
      <c r="C1129" s="98"/>
      <c r="D1129" s="117"/>
      <c r="E1129" s="117"/>
      <c r="F1129" s="98"/>
      <c r="G1129" s="117"/>
      <c r="H1129" s="100"/>
      <c r="I1129" s="158"/>
      <c r="L1129" s="151"/>
    </row>
    <row r="1130" spans="1:12" ht="15.75" customHeight="1">
      <c r="A1130" s="96">
        <v>46927</v>
      </c>
      <c r="B1130" s="99"/>
      <c r="C1130" s="98"/>
      <c r="D1130" s="117"/>
      <c r="E1130" s="117"/>
      <c r="F1130" s="98"/>
      <c r="G1130" s="117"/>
      <c r="H1130" s="100"/>
      <c r="I1130" s="158"/>
      <c r="L1130" s="151"/>
    </row>
    <row r="1131" spans="1:12" ht="15.75" customHeight="1">
      <c r="A1131" s="96">
        <v>46928</v>
      </c>
      <c r="B1131" s="99"/>
      <c r="C1131" s="98"/>
      <c r="D1131" s="117"/>
      <c r="E1131" s="117"/>
      <c r="F1131" s="98"/>
      <c r="G1131" s="117"/>
      <c r="H1131" s="100"/>
      <c r="I1131" s="158"/>
      <c r="L1131" s="151"/>
    </row>
    <row r="1132" spans="1:12" ht="15.75" customHeight="1">
      <c r="A1132" s="96">
        <v>46929</v>
      </c>
      <c r="B1132" s="99"/>
      <c r="C1132" s="98"/>
      <c r="D1132" s="117"/>
      <c r="E1132" s="117"/>
      <c r="F1132" s="98"/>
      <c r="G1132" s="117"/>
      <c r="H1132" s="100"/>
      <c r="I1132" s="158"/>
      <c r="L1132" s="151"/>
    </row>
    <row r="1133" spans="1:12" ht="15.75" customHeight="1">
      <c r="A1133" s="96">
        <v>46930</v>
      </c>
      <c r="B1133" s="99"/>
      <c r="C1133" s="98"/>
      <c r="D1133" s="117"/>
      <c r="E1133" s="117"/>
      <c r="F1133" s="98"/>
      <c r="G1133" s="117"/>
      <c r="H1133" s="100"/>
      <c r="I1133" s="158"/>
      <c r="L1133" s="151"/>
    </row>
    <row r="1134" spans="1:12" ht="15.75" customHeight="1">
      <c r="A1134" s="96">
        <v>46931</v>
      </c>
      <c r="B1134" s="99"/>
      <c r="C1134" s="98"/>
      <c r="D1134" s="117"/>
      <c r="E1134" s="117"/>
      <c r="F1134" s="98"/>
      <c r="G1134" s="117"/>
      <c r="H1134" s="100"/>
      <c r="I1134" s="158"/>
      <c r="L1134" s="151"/>
    </row>
    <row r="1135" spans="1:12" ht="15.75" customHeight="1">
      <c r="A1135" s="96">
        <v>46932</v>
      </c>
      <c r="B1135" s="99"/>
      <c r="C1135" s="98"/>
      <c r="D1135" s="117"/>
      <c r="E1135" s="117"/>
      <c r="F1135" s="98"/>
      <c r="G1135" s="117"/>
      <c r="H1135" s="100"/>
      <c r="I1135" s="158"/>
      <c r="L1135" s="151"/>
    </row>
    <row r="1136" spans="1:12" ht="15.75" customHeight="1">
      <c r="A1136" s="96">
        <v>46933</v>
      </c>
      <c r="B1136" s="99"/>
      <c r="C1136" s="98"/>
      <c r="D1136" s="117"/>
      <c r="E1136" s="117"/>
      <c r="F1136" s="98"/>
      <c r="G1136" s="117"/>
      <c r="H1136" s="100"/>
      <c r="I1136" s="158"/>
      <c r="L1136" s="151"/>
    </row>
    <row r="1137" spans="1:12" ht="15.75" customHeight="1">
      <c r="A1137" s="96">
        <v>46934</v>
      </c>
      <c r="B1137" s="99"/>
      <c r="C1137" s="98"/>
      <c r="D1137" s="117"/>
      <c r="E1137" s="117"/>
      <c r="F1137" s="98"/>
      <c r="G1137" s="117"/>
      <c r="H1137" s="100"/>
      <c r="I1137" s="158"/>
      <c r="L1137" s="151"/>
    </row>
    <row r="1138" spans="1:12" ht="15.75" customHeight="1">
      <c r="A1138" s="96">
        <v>46935</v>
      </c>
      <c r="B1138" s="99"/>
      <c r="C1138" s="98"/>
      <c r="D1138" s="117"/>
      <c r="E1138" s="117"/>
      <c r="F1138" s="98"/>
      <c r="G1138" s="117"/>
      <c r="H1138" s="100"/>
      <c r="I1138" s="158"/>
      <c r="L1138" s="151"/>
    </row>
    <row r="1139" spans="1:12" ht="15.75" customHeight="1">
      <c r="A1139" s="96">
        <v>46936</v>
      </c>
      <c r="B1139" s="99"/>
      <c r="C1139" s="98"/>
      <c r="D1139" s="117"/>
      <c r="E1139" s="117"/>
      <c r="F1139" s="98"/>
      <c r="G1139" s="117"/>
      <c r="H1139" s="100"/>
      <c r="I1139" s="158"/>
      <c r="L1139" s="151"/>
    </row>
    <row r="1140" spans="1:12" ht="15.75" customHeight="1">
      <c r="A1140" s="96">
        <v>46937</v>
      </c>
      <c r="B1140" s="99"/>
      <c r="C1140" s="98"/>
      <c r="D1140" s="117"/>
      <c r="E1140" s="117"/>
      <c r="F1140" s="98"/>
      <c r="G1140" s="117"/>
      <c r="H1140" s="100"/>
      <c r="I1140" s="158"/>
      <c r="L1140" s="151"/>
    </row>
    <row r="1141" spans="1:12" ht="15.75" customHeight="1">
      <c r="A1141" s="96">
        <v>46938</v>
      </c>
      <c r="B1141" s="99"/>
      <c r="C1141" s="98"/>
      <c r="D1141" s="117"/>
      <c r="E1141" s="117"/>
      <c r="F1141" s="98"/>
      <c r="G1141" s="117"/>
      <c r="H1141" s="100"/>
      <c r="I1141" s="158"/>
      <c r="L1141" s="151"/>
    </row>
    <row r="1142" spans="1:12" ht="15.75" customHeight="1">
      <c r="A1142" s="96">
        <v>46939</v>
      </c>
      <c r="B1142" s="99"/>
      <c r="C1142" s="98"/>
      <c r="D1142" s="117"/>
      <c r="E1142" s="117"/>
      <c r="F1142" s="98"/>
      <c r="G1142" s="117"/>
      <c r="H1142" s="100"/>
      <c r="I1142" s="158"/>
      <c r="L1142" s="151"/>
    </row>
    <row r="1143" spans="1:12" ht="15.75" customHeight="1">
      <c r="A1143" s="96">
        <v>46940</v>
      </c>
      <c r="B1143" s="99"/>
      <c r="C1143" s="98"/>
      <c r="D1143" s="117"/>
      <c r="E1143" s="117"/>
      <c r="F1143" s="98"/>
      <c r="G1143" s="117"/>
      <c r="H1143" s="100"/>
      <c r="I1143" s="158"/>
      <c r="L1143" s="151"/>
    </row>
    <row r="1144" spans="1:12" ht="15.75" customHeight="1">
      <c r="A1144" s="96">
        <v>46941</v>
      </c>
      <c r="B1144" s="99"/>
      <c r="C1144" s="98"/>
      <c r="D1144" s="117"/>
      <c r="E1144" s="117"/>
      <c r="F1144" s="98"/>
      <c r="G1144" s="117"/>
      <c r="H1144" s="100"/>
      <c r="I1144" s="158"/>
      <c r="L1144" s="151"/>
    </row>
    <row r="1145" spans="1:12" ht="15.75" customHeight="1">
      <c r="A1145" s="96">
        <v>46942</v>
      </c>
      <c r="B1145" s="99"/>
      <c r="C1145" s="98"/>
      <c r="D1145" s="117"/>
      <c r="E1145" s="117"/>
      <c r="F1145" s="98"/>
      <c r="G1145" s="117"/>
      <c r="H1145" s="100"/>
      <c r="I1145" s="158"/>
      <c r="L1145" s="151"/>
    </row>
    <row r="1146" spans="1:12" ht="15.75" customHeight="1">
      <c r="A1146" s="96">
        <v>46943</v>
      </c>
      <c r="B1146" s="99"/>
      <c r="C1146" s="98"/>
      <c r="D1146" s="117"/>
      <c r="E1146" s="117"/>
      <c r="F1146" s="98"/>
      <c r="G1146" s="117"/>
      <c r="H1146" s="100"/>
      <c r="I1146" s="158"/>
      <c r="L1146" s="151"/>
    </row>
    <row r="1147" spans="1:12" ht="15.75" customHeight="1">
      <c r="A1147" s="96">
        <v>46944</v>
      </c>
      <c r="B1147" s="99"/>
      <c r="C1147" s="98"/>
      <c r="D1147" s="117"/>
      <c r="E1147" s="117"/>
      <c r="F1147" s="98"/>
      <c r="G1147" s="117"/>
      <c r="H1147" s="100"/>
      <c r="I1147" s="158"/>
      <c r="L1147" s="151"/>
    </row>
    <row r="1148" spans="1:12" ht="15.75" customHeight="1">
      <c r="A1148" s="96">
        <v>46945</v>
      </c>
      <c r="B1148" s="99"/>
      <c r="C1148" s="98"/>
      <c r="D1148" s="117"/>
      <c r="E1148" s="117"/>
      <c r="F1148" s="98"/>
      <c r="G1148" s="117"/>
      <c r="H1148" s="100"/>
      <c r="I1148" s="158"/>
      <c r="L1148" s="151"/>
    </row>
    <row r="1149" spans="1:12" ht="15.75" customHeight="1">
      <c r="A1149" s="96">
        <v>46946</v>
      </c>
      <c r="B1149" s="99"/>
      <c r="C1149" s="98"/>
      <c r="D1149" s="117"/>
      <c r="E1149" s="117"/>
      <c r="F1149" s="98"/>
      <c r="G1149" s="117"/>
      <c r="H1149" s="100"/>
      <c r="I1149" s="158"/>
      <c r="L1149" s="151"/>
    </row>
    <row r="1150" spans="1:12" ht="15.75" customHeight="1">
      <c r="A1150" s="96">
        <v>46947</v>
      </c>
      <c r="B1150" s="99"/>
      <c r="C1150" s="98"/>
      <c r="D1150" s="117"/>
      <c r="E1150" s="117"/>
      <c r="F1150" s="98"/>
      <c r="G1150" s="117"/>
      <c r="H1150" s="100"/>
      <c r="I1150" s="158"/>
      <c r="L1150" s="151"/>
    </row>
    <row r="1151" spans="1:12" ht="15.75" customHeight="1">
      <c r="A1151" s="96">
        <v>46948</v>
      </c>
      <c r="B1151" s="99"/>
      <c r="C1151" s="98"/>
      <c r="D1151" s="117"/>
      <c r="E1151" s="117"/>
      <c r="F1151" s="98"/>
      <c r="G1151" s="117"/>
      <c r="H1151" s="100"/>
      <c r="I1151" s="158"/>
      <c r="L1151" s="151"/>
    </row>
    <row r="1152" spans="1:12" ht="15.75" customHeight="1">
      <c r="A1152" s="96">
        <v>46949</v>
      </c>
      <c r="B1152" s="99"/>
      <c r="C1152" s="98"/>
      <c r="D1152" s="117"/>
      <c r="E1152" s="117"/>
      <c r="F1152" s="98"/>
      <c r="G1152" s="117"/>
      <c r="H1152" s="100"/>
      <c r="I1152" s="158"/>
      <c r="L1152" s="151"/>
    </row>
    <row r="1153" spans="1:12" ht="15.75" customHeight="1">
      <c r="A1153" s="96">
        <v>46950</v>
      </c>
      <c r="B1153" s="99"/>
      <c r="C1153" s="98"/>
      <c r="D1153" s="117"/>
      <c r="E1153" s="117"/>
      <c r="F1153" s="98"/>
      <c r="G1153" s="117"/>
      <c r="H1153" s="100"/>
      <c r="I1153" s="158"/>
      <c r="L1153" s="151"/>
    </row>
    <row r="1154" spans="1:12" ht="15.75" customHeight="1">
      <c r="A1154" s="96">
        <v>46951</v>
      </c>
      <c r="B1154" s="99"/>
      <c r="C1154" s="98"/>
      <c r="D1154" s="117"/>
      <c r="E1154" s="117"/>
      <c r="F1154" s="98"/>
      <c r="G1154" s="117"/>
      <c r="H1154" s="100"/>
      <c r="I1154" s="158"/>
      <c r="L1154" s="151"/>
    </row>
    <row r="1155" spans="1:12" ht="15.75" customHeight="1">
      <c r="A1155" s="96">
        <v>46952</v>
      </c>
      <c r="B1155" s="99"/>
      <c r="C1155" s="98"/>
      <c r="D1155" s="117"/>
      <c r="E1155" s="117"/>
      <c r="F1155" s="98"/>
      <c r="G1155" s="117"/>
      <c r="H1155" s="100"/>
      <c r="I1155" s="158"/>
      <c r="L1155" s="151"/>
    </row>
    <row r="1156" spans="1:12" ht="15.75" customHeight="1">
      <c r="A1156" s="96">
        <v>46953</v>
      </c>
      <c r="B1156" s="99"/>
      <c r="C1156" s="98"/>
      <c r="D1156" s="117"/>
      <c r="E1156" s="117"/>
      <c r="F1156" s="98"/>
      <c r="G1156" s="117"/>
      <c r="H1156" s="100"/>
      <c r="I1156" s="158"/>
      <c r="L1156" s="151"/>
    </row>
    <row r="1157" spans="1:12" ht="15.75" customHeight="1">
      <c r="A1157" s="96">
        <v>46954</v>
      </c>
      <c r="B1157" s="99"/>
      <c r="C1157" s="98"/>
      <c r="D1157" s="117"/>
      <c r="E1157" s="117"/>
      <c r="F1157" s="98"/>
      <c r="G1157" s="117"/>
      <c r="H1157" s="100"/>
      <c r="I1157" s="158"/>
      <c r="L1157" s="151"/>
    </row>
    <row r="1158" spans="1:12" ht="15.75" customHeight="1">
      <c r="A1158" s="96">
        <v>46955</v>
      </c>
      <c r="B1158" s="99"/>
      <c r="C1158" s="98"/>
      <c r="D1158" s="117"/>
      <c r="E1158" s="117"/>
      <c r="F1158" s="98"/>
      <c r="G1158" s="117"/>
      <c r="H1158" s="100"/>
      <c r="I1158" s="158"/>
      <c r="L1158" s="151"/>
    </row>
    <row r="1159" spans="1:12" ht="15.75" customHeight="1">
      <c r="A1159" s="96">
        <v>46956</v>
      </c>
      <c r="B1159" s="99"/>
      <c r="C1159" s="98"/>
      <c r="D1159" s="117"/>
      <c r="E1159" s="117"/>
      <c r="F1159" s="98"/>
      <c r="G1159" s="117"/>
      <c r="H1159" s="100"/>
      <c r="I1159" s="158"/>
      <c r="L1159" s="151"/>
    </row>
    <row r="1160" spans="1:12" ht="15.75" customHeight="1">
      <c r="A1160" s="96">
        <v>46957</v>
      </c>
      <c r="B1160" s="99"/>
      <c r="C1160" s="98"/>
      <c r="D1160" s="117"/>
      <c r="E1160" s="117"/>
      <c r="F1160" s="98"/>
      <c r="G1160" s="117"/>
      <c r="H1160" s="100"/>
      <c r="I1160" s="158"/>
      <c r="L1160" s="151"/>
    </row>
    <row r="1161" spans="1:12" ht="15.75" customHeight="1">
      <c r="A1161" s="96">
        <v>46958</v>
      </c>
      <c r="B1161" s="99"/>
      <c r="C1161" s="98"/>
      <c r="D1161" s="117"/>
      <c r="E1161" s="117"/>
      <c r="F1161" s="98"/>
      <c r="G1161" s="117"/>
      <c r="H1161" s="100"/>
      <c r="I1161" s="158"/>
      <c r="L1161" s="151"/>
    </row>
    <row r="1162" spans="1:12" ht="15.75" customHeight="1">
      <c r="A1162" s="96">
        <v>46959</v>
      </c>
      <c r="B1162" s="99"/>
      <c r="C1162" s="98"/>
      <c r="D1162" s="117"/>
      <c r="E1162" s="117"/>
      <c r="F1162" s="98"/>
      <c r="G1162" s="117"/>
      <c r="H1162" s="100"/>
      <c r="I1162" s="158"/>
      <c r="L1162" s="151"/>
    </row>
    <row r="1163" spans="1:12" ht="15.75" customHeight="1">
      <c r="A1163" s="96">
        <v>46960</v>
      </c>
      <c r="B1163" s="99"/>
      <c r="C1163" s="98"/>
      <c r="D1163" s="117"/>
      <c r="E1163" s="117"/>
      <c r="F1163" s="98"/>
      <c r="G1163" s="117"/>
      <c r="H1163" s="100"/>
      <c r="I1163" s="158"/>
      <c r="L1163" s="151"/>
    </row>
    <row r="1164" spans="1:12" ht="15.75" customHeight="1">
      <c r="A1164" s="96">
        <v>46961</v>
      </c>
      <c r="B1164" s="99"/>
      <c r="C1164" s="98"/>
      <c r="D1164" s="117"/>
      <c r="E1164" s="117"/>
      <c r="F1164" s="98"/>
      <c r="G1164" s="117"/>
      <c r="H1164" s="100"/>
      <c r="I1164" s="158"/>
      <c r="L1164" s="151"/>
    </row>
    <row r="1165" spans="1:12" ht="15.75" customHeight="1">
      <c r="A1165" s="96">
        <v>46962</v>
      </c>
      <c r="B1165" s="99"/>
      <c r="C1165" s="98"/>
      <c r="D1165" s="117"/>
      <c r="E1165" s="117"/>
      <c r="F1165" s="98"/>
      <c r="G1165" s="117"/>
      <c r="H1165" s="100"/>
      <c r="I1165" s="158"/>
      <c r="L1165" s="151"/>
    </row>
    <row r="1166" spans="1:12" ht="15.75" customHeight="1">
      <c r="A1166" s="96">
        <v>46963</v>
      </c>
      <c r="B1166" s="99"/>
      <c r="C1166" s="98"/>
      <c r="D1166" s="117"/>
      <c r="E1166" s="117"/>
      <c r="F1166" s="98"/>
      <c r="G1166" s="117"/>
      <c r="H1166" s="100"/>
      <c r="I1166" s="158"/>
      <c r="L1166" s="151"/>
    </row>
  </sheetData>
  <mergeCells count="22">
    <mergeCell ref="M58:V58"/>
    <mergeCell ref="M59:V59"/>
    <mergeCell ref="M60:V60"/>
    <mergeCell ref="L62:L67"/>
    <mergeCell ref="M52:V52"/>
    <mergeCell ref="M53:V53"/>
    <mergeCell ref="M54:V54"/>
    <mergeCell ref="M55:V55"/>
    <mergeCell ref="M56:V56"/>
    <mergeCell ref="M57:V57"/>
    <mergeCell ref="M51:V51"/>
    <mergeCell ref="A1:V1"/>
    <mergeCell ref="M41:V41"/>
    <mergeCell ref="M42:V42"/>
    <mergeCell ref="M43:V43"/>
    <mergeCell ref="M44:V44"/>
    <mergeCell ref="M45:V45"/>
    <mergeCell ref="M46:V46"/>
    <mergeCell ref="M47:V47"/>
    <mergeCell ref="M48:V48"/>
    <mergeCell ref="M49:V49"/>
    <mergeCell ref="M50:V50"/>
  </mergeCells>
  <conditionalFormatting sqref="E147:G153 E157:G159 G160:G161 E160:E161 D3:D1166">
    <cfRule type="top10" dxfId="0" priority="3" rank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3C4C-C891-46D0-9058-B8FDCA7BFD5A}">
  <sheetPr>
    <tabColor theme="1" tint="0.249977111117893"/>
  </sheetPr>
  <dimension ref="A1:R808"/>
  <sheetViews>
    <sheetView zoomScaleNormal="140" workbookViewId="0">
      <pane xSplit="1" ySplit="3" topLeftCell="B4" activePane="bottomRight" state="frozen"/>
      <selection pane="bottomRight" activeCell="H4" sqref="H4"/>
      <selection pane="bottomLeft" activeCell="A4" sqref="A4"/>
      <selection pane="topRight" activeCell="B1" sqref="B1"/>
    </sheetView>
  </sheetViews>
  <sheetFormatPr defaultColWidth="10.625" defaultRowHeight="15.75" customHeight="1"/>
  <cols>
    <col min="1" max="2" width="10.625" style="17"/>
    <col min="3" max="4" width="10.625" style="119"/>
    <col min="5" max="5" width="10.625" style="17"/>
    <col min="6" max="6" width="10.625" style="119"/>
    <col min="7" max="7" width="13.125" style="119" customWidth="1"/>
    <col min="8" max="8" width="10.625" style="17"/>
    <col min="9" max="9" width="10.625" style="121"/>
    <col min="10" max="10" width="10.625" style="51"/>
    <col min="11" max="11" width="10.625" style="17"/>
    <col min="12" max="12" width="11.875" style="17" customWidth="1"/>
    <col min="13" max="13" width="10.625" style="119"/>
    <col min="14" max="14" width="10.625" style="51"/>
    <col min="15" max="15" width="51.125" style="51" customWidth="1"/>
    <col min="16" max="16" width="10.625" style="17"/>
    <col min="17" max="17" width="13.125" customWidth="1"/>
  </cols>
  <sheetData>
    <row r="1" spans="1:18" ht="27.95" customHeight="1">
      <c r="A1" s="297" t="s">
        <v>251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175"/>
    </row>
    <row r="2" spans="1:18" s="113" customFormat="1" ht="48">
      <c r="A2" s="208" t="s">
        <v>12</v>
      </c>
      <c r="B2" s="208" t="s">
        <v>252</v>
      </c>
      <c r="C2" s="209" t="s">
        <v>13</v>
      </c>
      <c r="D2" s="209" t="s">
        <v>253</v>
      </c>
      <c r="E2" s="208" t="s">
        <v>254</v>
      </c>
      <c r="F2" s="209" t="s">
        <v>255</v>
      </c>
      <c r="G2" s="209" t="s">
        <v>256</v>
      </c>
      <c r="H2" s="208" t="s">
        <v>257</v>
      </c>
      <c r="I2" s="210" t="s">
        <v>258</v>
      </c>
      <c r="J2" s="211" t="s">
        <v>259</v>
      </c>
      <c r="K2" s="208" t="s">
        <v>260</v>
      </c>
      <c r="L2" s="208" t="s">
        <v>261</v>
      </c>
      <c r="M2" s="209" t="s">
        <v>262</v>
      </c>
      <c r="N2" s="211" t="s">
        <v>263</v>
      </c>
      <c r="O2" s="212" t="s">
        <v>55</v>
      </c>
      <c r="P2" s="213"/>
      <c r="Q2" s="213"/>
      <c r="R2" s="213"/>
    </row>
    <row r="3" spans="1:18" ht="24" customHeight="1">
      <c r="A3" s="114"/>
      <c r="B3" s="208" t="s">
        <v>264</v>
      </c>
      <c r="C3" s="209" t="s">
        <v>265</v>
      </c>
      <c r="D3" s="209" t="s">
        <v>266</v>
      </c>
      <c r="E3" s="208" t="s">
        <v>267</v>
      </c>
      <c r="F3" s="209" t="s">
        <v>268</v>
      </c>
      <c r="G3" s="209" t="s">
        <v>268</v>
      </c>
      <c r="H3" s="208" t="s">
        <v>269</v>
      </c>
      <c r="I3" s="210" t="s">
        <v>268</v>
      </c>
      <c r="J3" s="211" t="s">
        <v>268</v>
      </c>
      <c r="K3" s="208" t="s">
        <v>268</v>
      </c>
      <c r="L3" s="208" t="s">
        <v>268</v>
      </c>
      <c r="M3" s="209" t="s">
        <v>268</v>
      </c>
      <c r="N3" s="211" t="s">
        <v>268</v>
      </c>
      <c r="O3" s="212"/>
      <c r="P3" s="213"/>
      <c r="Q3" s="214"/>
      <c r="R3" s="214"/>
    </row>
    <row r="4" spans="1:18" ht="15.95">
      <c r="A4" s="115">
        <v>45839</v>
      </c>
      <c r="B4" s="100">
        <v>1151</v>
      </c>
      <c r="C4" s="118">
        <v>1.1000000000000001</v>
      </c>
      <c r="D4" s="118">
        <v>34</v>
      </c>
      <c r="E4" s="100">
        <v>28.91</v>
      </c>
      <c r="F4" s="98"/>
      <c r="G4" s="98"/>
      <c r="H4" s="100"/>
      <c r="I4" s="120"/>
      <c r="J4" s="117"/>
      <c r="K4" s="116">
        <f>G4+I4+J4</f>
        <v>0</v>
      </c>
      <c r="L4" s="116">
        <f>F4-K4</f>
        <v>0</v>
      </c>
      <c r="M4" s="98"/>
      <c r="N4" s="117"/>
    </row>
    <row r="5" spans="1:18" ht="15.95">
      <c r="A5" s="115">
        <v>45840</v>
      </c>
      <c r="B5" s="100"/>
      <c r="C5" s="118"/>
      <c r="D5" s="118"/>
      <c r="E5" s="100"/>
      <c r="F5" s="98"/>
      <c r="G5" s="98"/>
      <c r="H5" s="100"/>
      <c r="I5" s="120"/>
      <c r="J5" s="117"/>
      <c r="K5" s="116">
        <f t="shared" ref="K5:K68" si="0">G5+I5+J5</f>
        <v>0</v>
      </c>
      <c r="L5" s="116">
        <f t="shared" ref="L5:L68" si="1">F5-K5</f>
        <v>0</v>
      </c>
      <c r="M5" s="98"/>
      <c r="N5" s="117"/>
    </row>
    <row r="6" spans="1:18" ht="15.95">
      <c r="A6" s="115">
        <v>45841</v>
      </c>
      <c r="B6" s="100"/>
      <c r="C6" s="118"/>
      <c r="D6" s="118"/>
      <c r="E6" s="100"/>
      <c r="F6" s="98"/>
      <c r="G6" s="98"/>
      <c r="H6" s="100"/>
      <c r="I6" s="120"/>
      <c r="J6" s="117"/>
      <c r="K6" s="116">
        <f t="shared" si="0"/>
        <v>0</v>
      </c>
      <c r="L6" s="116">
        <f t="shared" si="1"/>
        <v>0</v>
      </c>
      <c r="M6" s="98"/>
      <c r="N6" s="117"/>
    </row>
    <row r="7" spans="1:18" ht="15.95">
      <c r="A7" s="115">
        <v>45842</v>
      </c>
      <c r="B7" s="100"/>
      <c r="C7" s="118"/>
      <c r="D7" s="118"/>
      <c r="E7" s="100"/>
      <c r="F7" s="98"/>
      <c r="G7" s="98"/>
      <c r="H7" s="100"/>
      <c r="I7" s="120"/>
      <c r="J7" s="117"/>
      <c r="K7" s="116">
        <f t="shared" si="0"/>
        <v>0</v>
      </c>
      <c r="L7" s="116">
        <f t="shared" si="1"/>
        <v>0</v>
      </c>
      <c r="M7" s="98"/>
      <c r="N7" s="117"/>
    </row>
    <row r="8" spans="1:18" ht="15.95">
      <c r="A8" s="115">
        <v>45843</v>
      </c>
      <c r="B8" s="100"/>
      <c r="C8" s="118"/>
      <c r="D8" s="118"/>
      <c r="E8" s="100"/>
      <c r="F8" s="98"/>
      <c r="G8" s="98"/>
      <c r="H8" s="100"/>
      <c r="I8" s="120"/>
      <c r="J8" s="117"/>
      <c r="K8" s="116">
        <f t="shared" si="0"/>
        <v>0</v>
      </c>
      <c r="L8" s="116">
        <f t="shared" si="1"/>
        <v>0</v>
      </c>
      <c r="M8" s="98"/>
      <c r="N8" s="117"/>
    </row>
    <row r="9" spans="1:18" ht="15.95">
      <c r="A9" s="115">
        <v>45844</v>
      </c>
      <c r="B9" s="100"/>
      <c r="C9" s="118"/>
      <c r="D9" s="118"/>
      <c r="E9" s="100"/>
      <c r="F9" s="98"/>
      <c r="G9" s="98"/>
      <c r="H9" s="100"/>
      <c r="I9" s="120"/>
      <c r="J9" s="117"/>
      <c r="K9" s="116">
        <f t="shared" si="0"/>
        <v>0</v>
      </c>
      <c r="L9" s="116">
        <f t="shared" si="1"/>
        <v>0</v>
      </c>
      <c r="M9" s="98"/>
      <c r="N9" s="117"/>
    </row>
    <row r="10" spans="1:18" ht="15.95">
      <c r="A10" s="115">
        <v>45845</v>
      </c>
      <c r="B10" s="100"/>
      <c r="C10" s="118"/>
      <c r="D10" s="118"/>
      <c r="E10" s="100"/>
      <c r="F10" s="98"/>
      <c r="G10" s="98"/>
      <c r="H10" s="100"/>
      <c r="I10" s="120"/>
      <c r="J10" s="117"/>
      <c r="K10" s="116">
        <f t="shared" si="0"/>
        <v>0</v>
      </c>
      <c r="L10" s="116">
        <f t="shared" si="1"/>
        <v>0</v>
      </c>
      <c r="M10" s="98"/>
      <c r="N10" s="117"/>
    </row>
    <row r="11" spans="1:18" ht="15.95">
      <c r="A11" s="115">
        <v>45846</v>
      </c>
      <c r="B11" s="100"/>
      <c r="C11" s="118"/>
      <c r="D11" s="118"/>
      <c r="E11" s="100"/>
      <c r="F11" s="98"/>
      <c r="G11" s="98"/>
      <c r="H11" s="100"/>
      <c r="I11" s="120"/>
      <c r="J11" s="117"/>
      <c r="K11" s="116">
        <f t="shared" si="0"/>
        <v>0</v>
      </c>
      <c r="L11" s="116">
        <f t="shared" si="1"/>
        <v>0</v>
      </c>
      <c r="M11" s="98"/>
      <c r="N11" s="117"/>
    </row>
    <row r="12" spans="1:18" ht="15.95">
      <c r="A12" s="115">
        <v>45847</v>
      </c>
      <c r="B12" s="100"/>
      <c r="C12" s="118"/>
      <c r="D12" s="118"/>
      <c r="E12" s="100"/>
      <c r="F12" s="98"/>
      <c r="G12" s="98"/>
      <c r="H12" s="100"/>
      <c r="I12" s="120"/>
      <c r="J12" s="117"/>
      <c r="K12" s="116">
        <f t="shared" si="0"/>
        <v>0</v>
      </c>
      <c r="L12" s="116">
        <f t="shared" si="1"/>
        <v>0</v>
      </c>
      <c r="M12" s="98"/>
      <c r="N12" s="117"/>
    </row>
    <row r="13" spans="1:18" ht="15.95">
      <c r="A13" s="115">
        <v>45848</v>
      </c>
      <c r="B13" s="100"/>
      <c r="C13" s="118"/>
      <c r="D13" s="118"/>
      <c r="E13" s="100"/>
      <c r="F13" s="98"/>
      <c r="G13" s="98"/>
      <c r="H13" s="100"/>
      <c r="I13" s="120"/>
      <c r="J13" s="117"/>
      <c r="K13" s="116">
        <f t="shared" si="0"/>
        <v>0</v>
      </c>
      <c r="L13" s="116">
        <f t="shared" si="1"/>
        <v>0</v>
      </c>
      <c r="M13" s="98"/>
      <c r="N13" s="117"/>
    </row>
    <row r="14" spans="1:18" ht="15.95">
      <c r="A14" s="115">
        <v>45849</v>
      </c>
      <c r="B14" s="100"/>
      <c r="C14" s="98"/>
      <c r="D14" s="98"/>
      <c r="E14" s="100"/>
      <c r="F14" s="98"/>
      <c r="G14" s="98"/>
      <c r="H14" s="100"/>
      <c r="I14" s="120"/>
      <c r="J14" s="117"/>
      <c r="K14" s="116">
        <f t="shared" si="0"/>
        <v>0</v>
      </c>
      <c r="L14" s="116">
        <f t="shared" si="1"/>
        <v>0</v>
      </c>
      <c r="M14" s="98"/>
      <c r="N14" s="117"/>
    </row>
    <row r="15" spans="1:18" ht="15.95">
      <c r="A15" s="115">
        <v>45850</v>
      </c>
      <c r="B15" s="100"/>
      <c r="C15" s="98"/>
      <c r="D15" s="98"/>
      <c r="E15" s="100"/>
      <c r="F15" s="98"/>
      <c r="G15" s="98"/>
      <c r="H15" s="100"/>
      <c r="I15" s="120"/>
      <c r="J15" s="117"/>
      <c r="K15" s="116">
        <f t="shared" si="0"/>
        <v>0</v>
      </c>
      <c r="L15" s="116">
        <f t="shared" si="1"/>
        <v>0</v>
      </c>
      <c r="M15" s="98"/>
      <c r="N15" s="117"/>
    </row>
    <row r="16" spans="1:18" ht="15.95">
      <c r="A16" s="115">
        <v>45851</v>
      </c>
      <c r="B16" s="100"/>
      <c r="C16" s="98"/>
      <c r="D16" s="98"/>
      <c r="E16" s="100"/>
      <c r="F16" s="98"/>
      <c r="G16" s="98"/>
      <c r="H16" s="100"/>
      <c r="I16" s="120"/>
      <c r="J16" s="117"/>
      <c r="K16" s="116">
        <f t="shared" si="0"/>
        <v>0</v>
      </c>
      <c r="L16" s="116">
        <f t="shared" si="1"/>
        <v>0</v>
      </c>
      <c r="M16" s="98"/>
      <c r="N16" s="117"/>
    </row>
    <row r="17" spans="1:14" ht="15.95">
      <c r="A17" s="115">
        <v>45852</v>
      </c>
      <c r="B17" s="100"/>
      <c r="C17" s="98"/>
      <c r="D17" s="98"/>
      <c r="E17" s="100"/>
      <c r="F17" s="98"/>
      <c r="G17" s="98"/>
      <c r="H17" s="100"/>
      <c r="I17" s="120"/>
      <c r="J17" s="117"/>
      <c r="K17" s="116">
        <f t="shared" si="0"/>
        <v>0</v>
      </c>
      <c r="L17" s="116">
        <f t="shared" si="1"/>
        <v>0</v>
      </c>
      <c r="M17" s="98"/>
      <c r="N17" s="117"/>
    </row>
    <row r="18" spans="1:14" ht="15.95">
      <c r="A18" s="115">
        <v>45853</v>
      </c>
      <c r="B18" s="100">
        <v>1119</v>
      </c>
      <c r="C18" s="98">
        <v>110.9</v>
      </c>
      <c r="D18" s="98">
        <v>30.8</v>
      </c>
      <c r="E18" s="100">
        <v>30.41</v>
      </c>
      <c r="F18" s="98">
        <v>58.4</v>
      </c>
      <c r="G18" s="98">
        <v>33.200000000000003</v>
      </c>
      <c r="H18" s="100" t="s">
        <v>270</v>
      </c>
      <c r="I18" s="120">
        <v>2.1850000000000001</v>
      </c>
      <c r="J18" s="117">
        <v>1.22</v>
      </c>
      <c r="K18" s="116">
        <f t="shared" si="0"/>
        <v>36.605000000000004</v>
      </c>
      <c r="L18" s="116">
        <f t="shared" si="1"/>
        <v>21.794999999999995</v>
      </c>
      <c r="M18" s="98">
        <v>41.4</v>
      </c>
      <c r="N18" s="117"/>
    </row>
    <row r="19" spans="1:14" ht="15.95">
      <c r="A19" s="115">
        <v>45854</v>
      </c>
      <c r="B19" s="100">
        <v>1130</v>
      </c>
      <c r="C19" s="98">
        <v>107</v>
      </c>
      <c r="D19" s="98">
        <v>30.5</v>
      </c>
      <c r="E19" s="100">
        <v>30.25</v>
      </c>
      <c r="F19" s="98">
        <v>60.8</v>
      </c>
      <c r="G19" s="98">
        <v>34.9</v>
      </c>
      <c r="H19" s="100" t="s">
        <v>270</v>
      </c>
      <c r="I19" s="120">
        <v>2.1629999999999998</v>
      </c>
      <c r="J19" s="117">
        <v>1.26</v>
      </c>
      <c r="K19" s="116">
        <f t="shared" si="0"/>
        <v>38.322999999999993</v>
      </c>
      <c r="L19" s="116">
        <f t="shared" si="1"/>
        <v>22.477000000000004</v>
      </c>
      <c r="M19" s="98">
        <v>42.3</v>
      </c>
      <c r="N19" s="117"/>
    </row>
    <row r="20" spans="1:14" ht="15.95">
      <c r="A20" s="115">
        <v>45855</v>
      </c>
      <c r="B20" s="100">
        <v>1139</v>
      </c>
      <c r="C20" s="98">
        <v>107.4</v>
      </c>
      <c r="D20" s="98">
        <v>31.3</v>
      </c>
      <c r="E20" s="100">
        <v>30.34</v>
      </c>
      <c r="F20" s="98">
        <v>61.5</v>
      </c>
      <c r="G20" s="98">
        <v>35</v>
      </c>
      <c r="H20" s="100" t="s">
        <v>270</v>
      </c>
      <c r="I20" s="120">
        <v>3.0569999999999999</v>
      </c>
      <c r="J20" s="117">
        <v>1.17</v>
      </c>
      <c r="K20" s="116">
        <f t="shared" si="0"/>
        <v>39.227000000000004</v>
      </c>
      <c r="L20" s="116">
        <f t="shared" si="1"/>
        <v>22.272999999999996</v>
      </c>
      <c r="M20" s="98">
        <v>43</v>
      </c>
      <c r="N20" s="117"/>
    </row>
    <row r="21" spans="1:14" ht="15.95">
      <c r="A21" s="115">
        <v>45856</v>
      </c>
      <c r="B21" s="100"/>
      <c r="C21" s="98">
        <v>108.3</v>
      </c>
      <c r="D21" s="98">
        <v>31.4</v>
      </c>
      <c r="E21" s="100"/>
      <c r="F21" s="98">
        <v>62.1</v>
      </c>
      <c r="G21" s="98">
        <v>35.799999999999997</v>
      </c>
      <c r="H21" s="100"/>
      <c r="I21" s="120">
        <v>2.4910000000000001</v>
      </c>
      <c r="J21" s="117">
        <v>1.59</v>
      </c>
      <c r="K21" s="116">
        <f t="shared" si="0"/>
        <v>39.881</v>
      </c>
      <c r="L21" s="116">
        <f t="shared" si="1"/>
        <v>22.219000000000001</v>
      </c>
      <c r="M21" s="98">
        <v>42.2</v>
      </c>
      <c r="N21" s="117"/>
    </row>
    <row r="22" spans="1:14" ht="15.95">
      <c r="A22" s="115">
        <v>45857</v>
      </c>
      <c r="B22" s="100"/>
      <c r="C22" s="98">
        <v>109</v>
      </c>
      <c r="D22" s="98">
        <v>32</v>
      </c>
      <c r="E22" s="100"/>
      <c r="F22" s="98">
        <v>62.8</v>
      </c>
      <c r="G22" s="98">
        <v>37</v>
      </c>
      <c r="H22" s="100"/>
      <c r="I22" s="120">
        <v>1.179</v>
      </c>
      <c r="J22" s="117">
        <v>1.63</v>
      </c>
      <c r="K22" s="116">
        <f t="shared" si="0"/>
        <v>39.809000000000005</v>
      </c>
      <c r="L22" s="116">
        <f t="shared" si="1"/>
        <v>22.990999999999993</v>
      </c>
      <c r="M22" s="98">
        <v>41.5</v>
      </c>
      <c r="N22" s="117"/>
    </row>
    <row r="23" spans="1:14" ht="15.95">
      <c r="A23" s="115">
        <v>45858</v>
      </c>
      <c r="B23" s="100"/>
      <c r="C23" s="98">
        <v>108.1</v>
      </c>
      <c r="D23" s="98">
        <v>33</v>
      </c>
      <c r="E23" s="100"/>
      <c r="F23" s="98">
        <v>62.3</v>
      </c>
      <c r="G23" s="98">
        <v>37.4</v>
      </c>
      <c r="H23" s="100"/>
      <c r="I23" s="120">
        <v>0.158</v>
      </c>
      <c r="J23" s="117">
        <v>1.69</v>
      </c>
      <c r="K23" s="116">
        <f t="shared" si="0"/>
        <v>39.247999999999998</v>
      </c>
      <c r="L23" s="116">
        <f t="shared" si="1"/>
        <v>23.052</v>
      </c>
      <c r="M23" s="98">
        <v>42.2</v>
      </c>
      <c r="N23" s="117"/>
    </row>
    <row r="24" spans="1:14" ht="15.95">
      <c r="A24" s="115">
        <v>45859</v>
      </c>
      <c r="B24" s="100"/>
      <c r="C24" s="98">
        <v>107.5</v>
      </c>
      <c r="D24" s="98">
        <v>33.200000000000003</v>
      </c>
      <c r="E24" s="100"/>
      <c r="F24" s="98">
        <v>62.1</v>
      </c>
      <c r="G24" s="98">
        <v>37.299999999999997</v>
      </c>
      <c r="H24" s="100"/>
      <c r="I24" s="120">
        <v>0.34899999999999998</v>
      </c>
      <c r="J24" s="117">
        <v>1.36</v>
      </c>
      <c r="K24" s="116">
        <f t="shared" si="0"/>
        <v>39.008999999999993</v>
      </c>
      <c r="L24" s="116">
        <f t="shared" si="1"/>
        <v>23.091000000000008</v>
      </c>
      <c r="M24" s="98">
        <v>42.6</v>
      </c>
      <c r="N24" s="117"/>
    </row>
    <row r="25" spans="1:14" ht="15.95">
      <c r="A25" s="115">
        <v>45860</v>
      </c>
      <c r="B25" s="100"/>
      <c r="C25" s="98">
        <v>73.3</v>
      </c>
      <c r="D25" s="98">
        <v>32.299999999999997</v>
      </c>
      <c r="E25" s="100"/>
      <c r="F25" s="98">
        <v>45.3</v>
      </c>
      <c r="G25" s="98">
        <v>24.8</v>
      </c>
      <c r="H25" s="100"/>
      <c r="I25" s="120">
        <v>2.7080000000000002</v>
      </c>
      <c r="J25" s="117">
        <v>1.17</v>
      </c>
      <c r="K25" s="116">
        <f t="shared" si="0"/>
        <v>28.678000000000004</v>
      </c>
      <c r="L25" s="116">
        <f t="shared" si="1"/>
        <v>16.621999999999993</v>
      </c>
      <c r="M25" s="98">
        <v>26.8</v>
      </c>
      <c r="N25" s="117"/>
    </row>
    <row r="26" spans="1:14" ht="15.95">
      <c r="A26" s="115">
        <v>45861</v>
      </c>
      <c r="B26" s="100"/>
      <c r="C26" s="98">
        <v>0.6</v>
      </c>
      <c r="D26" s="98">
        <v>31.8</v>
      </c>
      <c r="E26" s="100"/>
      <c r="F26" s="98">
        <v>1.1000000000000001</v>
      </c>
      <c r="G26" s="98">
        <v>1.8</v>
      </c>
      <c r="H26" s="100"/>
      <c r="I26" s="120">
        <v>0.871</v>
      </c>
      <c r="J26" s="117">
        <v>0.21</v>
      </c>
      <c r="K26" s="116">
        <f t="shared" si="0"/>
        <v>2.8810000000000002</v>
      </c>
      <c r="L26" s="116">
        <f t="shared" si="1"/>
        <v>-1.7810000000000001</v>
      </c>
      <c r="M26" s="98">
        <v>0.3</v>
      </c>
      <c r="N26" s="117"/>
    </row>
    <row r="27" spans="1:14" ht="15.95">
      <c r="A27" s="115">
        <v>45862</v>
      </c>
      <c r="B27" s="100"/>
      <c r="C27" s="98">
        <v>0.8</v>
      </c>
      <c r="D27" s="98">
        <v>28</v>
      </c>
      <c r="E27" s="100"/>
      <c r="F27" s="98">
        <v>0</v>
      </c>
      <c r="G27" s="98">
        <v>1.8</v>
      </c>
      <c r="H27" s="100"/>
      <c r="I27" s="120">
        <v>0</v>
      </c>
      <c r="J27" s="117">
        <v>9.7999999999999997E-4</v>
      </c>
      <c r="K27" s="116">
        <f t="shared" si="0"/>
        <v>1.80098</v>
      </c>
      <c r="L27" s="116">
        <f t="shared" si="1"/>
        <v>-1.80098</v>
      </c>
      <c r="M27" s="98">
        <v>0</v>
      </c>
      <c r="N27" s="117"/>
    </row>
    <row r="28" spans="1:14" ht="15.95">
      <c r="A28" s="115">
        <v>45863</v>
      </c>
      <c r="B28" s="100"/>
      <c r="C28" s="98">
        <v>0.6</v>
      </c>
      <c r="D28" s="98">
        <v>28.2</v>
      </c>
      <c r="E28" s="100"/>
      <c r="F28" s="98">
        <v>0</v>
      </c>
      <c r="G28" s="98">
        <v>1.6</v>
      </c>
      <c r="H28" s="100"/>
      <c r="I28" s="120">
        <v>0</v>
      </c>
      <c r="J28" s="117">
        <v>0.01</v>
      </c>
      <c r="K28" s="116">
        <f t="shared" si="0"/>
        <v>1.61</v>
      </c>
      <c r="L28" s="116">
        <f t="shared" si="1"/>
        <v>-1.61</v>
      </c>
      <c r="M28" s="98">
        <v>0</v>
      </c>
      <c r="N28" s="117"/>
    </row>
    <row r="29" spans="1:14" ht="15.95">
      <c r="A29" s="115">
        <v>45864</v>
      </c>
      <c r="B29" s="100"/>
      <c r="C29" s="98">
        <v>8.8000000000000007</v>
      </c>
      <c r="D29" s="98">
        <v>32</v>
      </c>
      <c r="E29" s="100"/>
      <c r="F29" s="98">
        <v>2.2000000000000002</v>
      </c>
      <c r="G29" s="98">
        <v>1.3</v>
      </c>
      <c r="H29" s="100"/>
      <c r="I29" s="120">
        <v>0</v>
      </c>
      <c r="J29" s="117">
        <v>0.05</v>
      </c>
      <c r="K29" s="116">
        <f t="shared" si="0"/>
        <v>1.35</v>
      </c>
      <c r="L29" s="116">
        <f t="shared" si="1"/>
        <v>0.85000000000000009</v>
      </c>
      <c r="M29" s="98">
        <v>0</v>
      </c>
      <c r="N29" s="117"/>
    </row>
    <row r="30" spans="1:14" ht="15.95">
      <c r="A30" s="115">
        <v>45865</v>
      </c>
      <c r="B30" s="100">
        <v>847</v>
      </c>
      <c r="C30" s="98">
        <v>68.900000000000006</v>
      </c>
      <c r="D30" s="98">
        <v>33.200000000000003</v>
      </c>
      <c r="E30" s="100">
        <v>37.92</v>
      </c>
      <c r="F30" s="98">
        <v>23.3</v>
      </c>
      <c r="G30" s="98">
        <v>3.8</v>
      </c>
      <c r="H30" s="100" t="s">
        <v>271</v>
      </c>
      <c r="I30" s="120">
        <v>5.87</v>
      </c>
      <c r="J30" s="117">
        <v>0.65</v>
      </c>
      <c r="K30" s="116">
        <f t="shared" si="0"/>
        <v>10.32</v>
      </c>
      <c r="L30" s="116">
        <f t="shared" si="1"/>
        <v>12.98</v>
      </c>
      <c r="M30" s="98">
        <v>2.4</v>
      </c>
      <c r="N30" s="117"/>
    </row>
    <row r="31" spans="1:14" ht="15.95">
      <c r="A31" s="115">
        <v>45866</v>
      </c>
      <c r="B31" s="100">
        <v>1084</v>
      </c>
      <c r="C31" s="98">
        <v>91.9</v>
      </c>
      <c r="D31" s="98">
        <v>32.1</v>
      </c>
      <c r="E31" s="100">
        <v>30.08</v>
      </c>
      <c r="F31" s="98">
        <v>57.5</v>
      </c>
      <c r="G31" s="98">
        <v>32.700000000000003</v>
      </c>
      <c r="H31" s="100" t="s">
        <v>272</v>
      </c>
      <c r="I31" s="120">
        <v>4.5810000000000004</v>
      </c>
      <c r="J31" s="117">
        <v>1.08</v>
      </c>
      <c r="K31" s="116">
        <f t="shared" si="0"/>
        <v>38.361000000000004</v>
      </c>
      <c r="L31" s="116">
        <f t="shared" si="1"/>
        <v>19.138999999999996</v>
      </c>
      <c r="M31" s="98">
        <v>42</v>
      </c>
      <c r="N31" s="117"/>
    </row>
    <row r="32" spans="1:14" ht="15.95">
      <c r="A32" s="115">
        <v>45867</v>
      </c>
      <c r="B32" s="100">
        <v>1154</v>
      </c>
      <c r="C32" s="98">
        <v>102.5</v>
      </c>
      <c r="D32" s="98">
        <v>31.7</v>
      </c>
      <c r="E32" s="100">
        <v>29.32</v>
      </c>
      <c r="F32" s="98">
        <v>59.8</v>
      </c>
      <c r="G32" s="98">
        <v>35.299999999999997</v>
      </c>
      <c r="H32" s="100" t="s">
        <v>273</v>
      </c>
      <c r="I32" s="120">
        <v>2.1440000000000001</v>
      </c>
      <c r="J32" s="117">
        <v>1.17</v>
      </c>
      <c r="K32" s="116">
        <f t="shared" si="0"/>
        <v>38.613999999999997</v>
      </c>
      <c r="L32" s="116">
        <f t="shared" si="1"/>
        <v>21.186</v>
      </c>
      <c r="M32" s="98">
        <v>41.3</v>
      </c>
      <c r="N32" s="117"/>
    </row>
    <row r="33" spans="1:14" ht="15.95">
      <c r="A33" s="115">
        <v>45868</v>
      </c>
      <c r="B33" s="100">
        <v>1160</v>
      </c>
      <c r="C33" s="98">
        <v>108.7</v>
      </c>
      <c r="D33" s="98">
        <v>32.9</v>
      </c>
      <c r="E33" s="100">
        <v>29.68</v>
      </c>
      <c r="F33" s="98">
        <v>62.4</v>
      </c>
      <c r="G33" s="98">
        <v>35.5</v>
      </c>
      <c r="H33" s="100" t="s">
        <v>274</v>
      </c>
      <c r="I33" s="120">
        <v>4.3529999999999998</v>
      </c>
      <c r="J33" s="117">
        <v>1.26</v>
      </c>
      <c r="K33" s="116">
        <f t="shared" si="0"/>
        <v>41.113</v>
      </c>
      <c r="L33" s="116">
        <f t="shared" si="1"/>
        <v>21.286999999999999</v>
      </c>
      <c r="M33" s="98">
        <v>40.5</v>
      </c>
      <c r="N33" s="117"/>
    </row>
    <row r="34" spans="1:14" ht="15.95">
      <c r="A34" s="115">
        <v>45869</v>
      </c>
      <c r="B34" s="100">
        <v>1160</v>
      </c>
      <c r="C34" s="98">
        <v>110.3</v>
      </c>
      <c r="D34" s="98">
        <v>32.299999999999997</v>
      </c>
      <c r="E34" s="100">
        <v>29.63</v>
      </c>
      <c r="F34" s="98">
        <v>63.8</v>
      </c>
      <c r="G34" s="98">
        <v>37.200000000000003</v>
      </c>
      <c r="H34" s="100" t="s">
        <v>274</v>
      </c>
      <c r="I34" s="120">
        <v>4.5039999999999996</v>
      </c>
      <c r="J34" s="117">
        <v>1.51</v>
      </c>
      <c r="K34" s="116">
        <f t="shared" si="0"/>
        <v>43.213999999999999</v>
      </c>
      <c r="L34" s="116">
        <f t="shared" si="1"/>
        <v>20.585999999999999</v>
      </c>
      <c r="M34" s="98">
        <v>39.200000000000003</v>
      </c>
      <c r="N34" s="117"/>
    </row>
    <row r="35" spans="1:14" ht="15.95">
      <c r="A35" s="115">
        <v>45870</v>
      </c>
      <c r="B35" s="100">
        <v>1167</v>
      </c>
      <c r="C35" s="98">
        <v>110</v>
      </c>
      <c r="D35" s="98">
        <v>33.200000000000003</v>
      </c>
      <c r="E35" s="100">
        <v>29.43</v>
      </c>
      <c r="F35" s="98">
        <v>63.2</v>
      </c>
      <c r="G35" s="98">
        <v>38.1</v>
      </c>
      <c r="H35" s="100" t="s">
        <v>275</v>
      </c>
      <c r="I35" s="120">
        <v>2.9769999999999999</v>
      </c>
      <c r="J35" s="117">
        <v>1.41</v>
      </c>
      <c r="K35" s="116">
        <f t="shared" si="0"/>
        <v>42.486999999999995</v>
      </c>
      <c r="L35" s="116">
        <f t="shared" si="1"/>
        <v>20.713000000000008</v>
      </c>
      <c r="M35" s="98">
        <v>42.9</v>
      </c>
      <c r="N35" s="117"/>
    </row>
    <row r="36" spans="1:14" ht="15.95">
      <c r="A36" s="115">
        <v>45871</v>
      </c>
      <c r="B36" s="100">
        <v>1189</v>
      </c>
      <c r="C36" s="98">
        <v>111</v>
      </c>
      <c r="D36" s="98">
        <v>33.1</v>
      </c>
      <c r="E36" s="100">
        <v>29.14</v>
      </c>
      <c r="F36" s="98">
        <v>61.9</v>
      </c>
      <c r="G36" s="98">
        <v>38.4</v>
      </c>
      <c r="H36" s="100" t="s">
        <v>276</v>
      </c>
      <c r="I36" s="120">
        <v>0.64600000000000002</v>
      </c>
      <c r="J36" s="117">
        <v>1.31</v>
      </c>
      <c r="K36" s="116">
        <f t="shared" si="0"/>
        <v>40.356000000000002</v>
      </c>
      <c r="L36" s="116">
        <f t="shared" si="1"/>
        <v>21.543999999999997</v>
      </c>
      <c r="M36" s="98">
        <v>44.2</v>
      </c>
      <c r="N36" s="117"/>
    </row>
    <row r="37" spans="1:14" ht="15.95">
      <c r="A37" s="115">
        <v>45872</v>
      </c>
      <c r="B37" s="100">
        <v>1196</v>
      </c>
      <c r="C37" s="98">
        <v>113.2</v>
      </c>
      <c r="D37" s="98">
        <v>32.9</v>
      </c>
      <c r="E37" s="100">
        <v>29.09</v>
      </c>
      <c r="F37" s="98">
        <v>63</v>
      </c>
      <c r="G37" s="98">
        <v>38.799999999999997</v>
      </c>
      <c r="H37" s="100" t="s">
        <v>277</v>
      </c>
      <c r="I37" s="120">
        <v>1.1399999999999999</v>
      </c>
      <c r="J37" s="117">
        <v>1.23</v>
      </c>
      <c r="K37" s="116">
        <f t="shared" si="0"/>
        <v>41.169999999999995</v>
      </c>
      <c r="L37" s="116">
        <f t="shared" si="1"/>
        <v>21.830000000000005</v>
      </c>
      <c r="M37" s="98">
        <v>43.9</v>
      </c>
      <c r="N37" s="117"/>
    </row>
    <row r="38" spans="1:14" ht="15.95">
      <c r="A38" s="115">
        <v>45873</v>
      </c>
      <c r="B38" s="100">
        <v>1196</v>
      </c>
      <c r="C38" s="98">
        <v>113.4</v>
      </c>
      <c r="D38" s="98">
        <v>32.9</v>
      </c>
      <c r="E38" s="100">
        <v>29.5</v>
      </c>
      <c r="F38" s="98">
        <v>63</v>
      </c>
      <c r="G38" s="98">
        <v>39</v>
      </c>
      <c r="H38" s="100" t="s">
        <v>277</v>
      </c>
      <c r="I38" s="120">
        <v>1.1339999999999999</v>
      </c>
      <c r="J38" s="117">
        <v>1.22</v>
      </c>
      <c r="K38" s="116">
        <f t="shared" si="0"/>
        <v>41.353999999999999</v>
      </c>
      <c r="L38" s="116">
        <f t="shared" si="1"/>
        <v>21.646000000000001</v>
      </c>
      <c r="M38" s="98">
        <v>44</v>
      </c>
      <c r="N38" s="117"/>
    </row>
    <row r="39" spans="1:14" ht="15.95">
      <c r="A39" s="115">
        <v>45874</v>
      </c>
      <c r="B39" s="100">
        <v>1200</v>
      </c>
      <c r="C39" s="98">
        <v>113.4</v>
      </c>
      <c r="D39" s="98">
        <v>33</v>
      </c>
      <c r="E39" s="100">
        <v>29.5</v>
      </c>
      <c r="F39" s="98">
        <v>63.3</v>
      </c>
      <c r="G39" s="98">
        <v>39.1</v>
      </c>
      <c r="H39" s="100" t="s">
        <v>277</v>
      </c>
      <c r="I39" s="120">
        <v>0.84699999999999998</v>
      </c>
      <c r="J39" s="117">
        <v>1.3</v>
      </c>
      <c r="K39" s="116">
        <f t="shared" si="0"/>
        <v>41.247</v>
      </c>
      <c r="L39" s="116">
        <f t="shared" si="1"/>
        <v>22.052999999999997</v>
      </c>
      <c r="M39" s="98">
        <v>44</v>
      </c>
      <c r="N39" s="117"/>
    </row>
    <row r="40" spans="1:14" ht="15.95">
      <c r="A40" s="115">
        <v>45875</v>
      </c>
      <c r="B40" s="100">
        <v>1197</v>
      </c>
      <c r="C40" s="98">
        <v>113.4</v>
      </c>
      <c r="D40" s="98">
        <v>32.700000000000003</v>
      </c>
      <c r="E40" s="100">
        <v>29.58</v>
      </c>
      <c r="F40" s="98">
        <v>64.099999999999994</v>
      </c>
      <c r="G40" s="98">
        <v>39.4</v>
      </c>
      <c r="H40" s="100" t="s">
        <v>277</v>
      </c>
      <c r="I40" s="120">
        <v>1.9370000000000001</v>
      </c>
      <c r="J40" s="117">
        <v>1.33</v>
      </c>
      <c r="K40" s="116">
        <f t="shared" si="0"/>
        <v>42.666999999999994</v>
      </c>
      <c r="L40" s="116">
        <f t="shared" si="1"/>
        <v>21.433</v>
      </c>
      <c r="M40" s="98">
        <v>44.1</v>
      </c>
      <c r="N40" s="117"/>
    </row>
    <row r="41" spans="1:14" ht="15.95">
      <c r="A41" s="115">
        <v>45876</v>
      </c>
      <c r="B41" s="100">
        <v>990</v>
      </c>
      <c r="C41" s="98">
        <v>112.6</v>
      </c>
      <c r="D41" s="98">
        <v>32</v>
      </c>
      <c r="E41" s="100">
        <v>33.94</v>
      </c>
      <c r="F41" s="98">
        <v>63.9</v>
      </c>
      <c r="G41" s="98">
        <v>39.1</v>
      </c>
      <c r="H41" s="100" t="s">
        <v>277</v>
      </c>
      <c r="I41" s="120">
        <v>2.4260000000000002</v>
      </c>
      <c r="J41" s="117">
        <v>1.27</v>
      </c>
      <c r="K41" s="116">
        <f t="shared" si="0"/>
        <v>42.796000000000006</v>
      </c>
      <c r="L41" s="116">
        <f t="shared" si="1"/>
        <v>21.103999999999992</v>
      </c>
      <c r="M41" s="98">
        <v>43.6</v>
      </c>
      <c r="N41" s="117"/>
    </row>
    <row r="42" spans="1:14" ht="15.95">
      <c r="A42" s="115">
        <v>45877</v>
      </c>
      <c r="B42" s="100">
        <v>1103</v>
      </c>
      <c r="C42" s="98">
        <v>89.2</v>
      </c>
      <c r="D42" s="98">
        <v>31.1</v>
      </c>
      <c r="E42" s="100">
        <v>31.18</v>
      </c>
      <c r="F42" s="98">
        <v>59.7</v>
      </c>
      <c r="G42" s="98">
        <v>31.3</v>
      </c>
      <c r="H42" s="100" t="s">
        <v>277</v>
      </c>
      <c r="I42" s="120">
        <v>9.202</v>
      </c>
      <c r="J42" s="117">
        <v>1.28</v>
      </c>
      <c r="K42" s="116">
        <f t="shared" si="0"/>
        <v>41.782000000000004</v>
      </c>
      <c r="L42" s="116">
        <f t="shared" si="1"/>
        <v>17.917999999999999</v>
      </c>
      <c r="M42" s="98">
        <v>39.1</v>
      </c>
      <c r="N42" s="117"/>
    </row>
    <row r="43" spans="1:14" ht="15.95">
      <c r="A43" s="115">
        <v>45878</v>
      </c>
      <c r="B43" s="100">
        <v>1010</v>
      </c>
      <c r="C43" s="98">
        <v>109.7</v>
      </c>
      <c r="D43" s="98">
        <v>31.3</v>
      </c>
      <c r="E43" s="100">
        <v>32.71</v>
      </c>
      <c r="F43" s="98">
        <v>62.6</v>
      </c>
      <c r="G43" s="98">
        <v>38.4</v>
      </c>
      <c r="H43" s="100" t="s">
        <v>278</v>
      </c>
      <c r="I43" s="120">
        <v>2.0299999999999998</v>
      </c>
      <c r="J43" s="117">
        <v>1.17</v>
      </c>
      <c r="K43" s="116">
        <f t="shared" si="0"/>
        <v>41.6</v>
      </c>
      <c r="L43" s="116">
        <f t="shared" si="1"/>
        <v>21</v>
      </c>
      <c r="M43" s="98">
        <v>42.8</v>
      </c>
      <c r="N43" s="117"/>
    </row>
    <row r="44" spans="1:14" ht="15.95">
      <c r="A44" s="115">
        <v>45879</v>
      </c>
      <c r="B44" s="100">
        <v>1171</v>
      </c>
      <c r="C44" s="98">
        <v>101.9</v>
      </c>
      <c r="D44" s="98">
        <v>31.1</v>
      </c>
      <c r="E44" s="100">
        <v>29.54</v>
      </c>
      <c r="F44" s="98">
        <v>59.5</v>
      </c>
      <c r="G44" s="98">
        <v>32</v>
      </c>
      <c r="H44" s="100" t="s">
        <v>279</v>
      </c>
      <c r="I44" s="120">
        <v>6.5410000000000004</v>
      </c>
      <c r="J44" s="117">
        <v>1.34</v>
      </c>
      <c r="K44" s="116">
        <f t="shared" si="0"/>
        <v>39.881</v>
      </c>
      <c r="L44" s="116">
        <f t="shared" si="1"/>
        <v>19.619</v>
      </c>
      <c r="M44" s="98">
        <v>38.6</v>
      </c>
      <c r="N44" s="117"/>
    </row>
    <row r="45" spans="1:14" ht="15.95">
      <c r="A45" s="115">
        <v>45880</v>
      </c>
      <c r="B45" s="100">
        <v>1191</v>
      </c>
      <c r="C45" s="98">
        <v>112.1</v>
      </c>
      <c r="D45" s="98">
        <v>31.9</v>
      </c>
      <c r="E45" s="100">
        <v>29.15</v>
      </c>
      <c r="F45" s="98">
        <v>61.8</v>
      </c>
      <c r="G45" s="98">
        <v>37.1</v>
      </c>
      <c r="H45" s="100" t="s">
        <v>280</v>
      </c>
      <c r="I45" s="120">
        <v>1.8759999999999999</v>
      </c>
      <c r="J45" s="117">
        <v>1.1499999999999999</v>
      </c>
      <c r="K45" s="116">
        <f t="shared" si="0"/>
        <v>40.125999999999998</v>
      </c>
      <c r="L45" s="116">
        <f t="shared" si="1"/>
        <v>21.673999999999999</v>
      </c>
      <c r="M45" s="98">
        <v>43.8</v>
      </c>
      <c r="N45" s="117"/>
    </row>
    <row r="46" spans="1:14" ht="15.95">
      <c r="A46" s="115">
        <v>45881</v>
      </c>
      <c r="B46" s="100">
        <v>1191</v>
      </c>
      <c r="C46" s="98">
        <v>113.1</v>
      </c>
      <c r="D46" s="98">
        <v>32.200000000000003</v>
      </c>
      <c r="E46" s="100">
        <v>29.11</v>
      </c>
      <c r="F46" s="98">
        <v>62.9</v>
      </c>
      <c r="G46" s="98">
        <v>38.4</v>
      </c>
      <c r="H46" s="100" t="s">
        <v>281</v>
      </c>
      <c r="I46" s="120">
        <v>1.536</v>
      </c>
      <c r="J46" s="117">
        <v>1.24</v>
      </c>
      <c r="K46" s="116">
        <f t="shared" si="0"/>
        <v>41.176000000000002</v>
      </c>
      <c r="L46" s="116">
        <f t="shared" si="1"/>
        <v>21.723999999999997</v>
      </c>
      <c r="M46" s="98">
        <v>44.1</v>
      </c>
      <c r="N46" s="117"/>
    </row>
    <row r="47" spans="1:14" ht="15.95">
      <c r="A47" s="115">
        <v>45882</v>
      </c>
      <c r="B47" s="100">
        <v>1191</v>
      </c>
      <c r="C47" s="98">
        <v>113.1</v>
      </c>
      <c r="D47" s="98">
        <v>32.5</v>
      </c>
      <c r="E47" s="100">
        <v>29.11</v>
      </c>
      <c r="F47" s="98">
        <v>62.4</v>
      </c>
      <c r="G47" s="98">
        <v>39</v>
      </c>
      <c r="H47" s="100" t="s">
        <v>282</v>
      </c>
      <c r="I47" s="120">
        <v>0.16800000000000001</v>
      </c>
      <c r="J47" s="117">
        <v>1.23</v>
      </c>
      <c r="K47" s="116">
        <f t="shared" si="0"/>
        <v>40.397999999999996</v>
      </c>
      <c r="L47" s="116">
        <f t="shared" si="1"/>
        <v>22.002000000000002</v>
      </c>
      <c r="M47" s="98">
        <v>44</v>
      </c>
      <c r="N47" s="117"/>
    </row>
    <row r="48" spans="1:14" ht="15.95">
      <c r="A48" s="115">
        <v>45883</v>
      </c>
      <c r="B48" s="100">
        <v>1190</v>
      </c>
      <c r="C48" s="98">
        <v>113.2</v>
      </c>
      <c r="D48" s="98">
        <v>32.5</v>
      </c>
      <c r="E48" s="100">
        <v>29.16</v>
      </c>
      <c r="F48" s="98">
        <v>62.7</v>
      </c>
      <c r="G48" s="98">
        <v>39.200000000000003</v>
      </c>
      <c r="H48" s="100" t="s">
        <v>283</v>
      </c>
      <c r="I48" s="120">
        <v>0.107</v>
      </c>
      <c r="J48" s="117">
        <v>1.36</v>
      </c>
      <c r="K48" s="116">
        <f t="shared" si="0"/>
        <v>40.667000000000002</v>
      </c>
      <c r="L48" s="116">
        <f t="shared" si="1"/>
        <v>22.033000000000001</v>
      </c>
      <c r="M48" s="98">
        <v>43.5</v>
      </c>
      <c r="N48" s="117">
        <v>6.37</v>
      </c>
    </row>
    <row r="49" spans="1:14" ht="15.95">
      <c r="A49" s="115">
        <v>45884</v>
      </c>
      <c r="B49" s="100">
        <v>1190</v>
      </c>
      <c r="C49" s="98">
        <v>113</v>
      </c>
      <c r="D49" s="98">
        <v>32.200000000000003</v>
      </c>
      <c r="E49" s="100">
        <v>29.08</v>
      </c>
      <c r="F49" s="98">
        <v>62.5</v>
      </c>
      <c r="G49" s="98">
        <v>39.1</v>
      </c>
      <c r="H49" s="100" t="s">
        <v>284</v>
      </c>
      <c r="I49" s="120">
        <v>0.39500000000000002</v>
      </c>
      <c r="J49" s="117">
        <v>1.0900000000000001</v>
      </c>
      <c r="K49" s="116">
        <f t="shared" si="0"/>
        <v>40.585000000000008</v>
      </c>
      <c r="L49" s="116">
        <f t="shared" si="1"/>
        <v>21.914999999999992</v>
      </c>
      <c r="M49" s="98">
        <v>43.7</v>
      </c>
      <c r="N49" s="117">
        <v>6.45</v>
      </c>
    </row>
    <row r="50" spans="1:14" ht="15.95">
      <c r="A50" s="115">
        <v>45885</v>
      </c>
      <c r="B50" s="100">
        <v>1191</v>
      </c>
      <c r="C50" s="98">
        <v>112.9</v>
      </c>
      <c r="D50" s="98">
        <v>32</v>
      </c>
      <c r="E50" s="100">
        <v>28.79</v>
      </c>
      <c r="F50" s="98">
        <v>63.3</v>
      </c>
      <c r="G50" s="98">
        <v>39.299999999999997</v>
      </c>
      <c r="H50" s="100" t="s">
        <v>285</v>
      </c>
      <c r="I50" s="120">
        <v>1.1399999999999999</v>
      </c>
      <c r="J50" s="117">
        <v>1.1299999999999999</v>
      </c>
      <c r="K50" s="116">
        <f t="shared" si="0"/>
        <v>41.57</v>
      </c>
      <c r="L50" s="116">
        <f t="shared" si="1"/>
        <v>21.729999999999997</v>
      </c>
      <c r="M50" s="98">
        <v>43.9</v>
      </c>
      <c r="N50" s="117">
        <v>6.44</v>
      </c>
    </row>
    <row r="51" spans="1:14" ht="15.95">
      <c r="A51" s="115">
        <v>45886</v>
      </c>
      <c r="B51" s="100">
        <v>1190</v>
      </c>
      <c r="C51" s="98">
        <v>113</v>
      </c>
      <c r="D51" s="98">
        <v>32.299999999999997</v>
      </c>
      <c r="E51" s="100">
        <v>28.81</v>
      </c>
      <c r="F51" s="98">
        <v>62.4</v>
      </c>
      <c r="G51" s="98">
        <v>39.200000000000003</v>
      </c>
      <c r="H51" s="100" t="s">
        <v>286</v>
      </c>
      <c r="I51" s="120">
        <v>0.122</v>
      </c>
      <c r="J51" s="117">
        <v>1.1399999999999999</v>
      </c>
      <c r="K51" s="116">
        <f t="shared" si="0"/>
        <v>40.462000000000003</v>
      </c>
      <c r="L51" s="116">
        <f t="shared" si="1"/>
        <v>21.937999999999995</v>
      </c>
      <c r="M51" s="98">
        <v>44.8</v>
      </c>
      <c r="N51" s="117">
        <v>6.45</v>
      </c>
    </row>
    <row r="52" spans="1:14" ht="15.95">
      <c r="A52" s="115">
        <v>45887</v>
      </c>
      <c r="B52" s="100">
        <v>1190</v>
      </c>
      <c r="C52" s="98">
        <v>113</v>
      </c>
      <c r="D52" s="98">
        <v>31.6</v>
      </c>
      <c r="E52" s="100">
        <v>27.99</v>
      </c>
      <c r="F52" s="98">
        <v>62.7</v>
      </c>
      <c r="G52" s="98">
        <v>39.6</v>
      </c>
      <c r="H52" s="100"/>
      <c r="I52" s="120">
        <v>9.0999999999999998E-2</v>
      </c>
      <c r="J52" s="117">
        <v>1.1100000000000001</v>
      </c>
      <c r="K52" s="116">
        <f t="shared" si="0"/>
        <v>40.801000000000002</v>
      </c>
      <c r="L52" s="116">
        <f t="shared" si="1"/>
        <v>21.899000000000001</v>
      </c>
      <c r="M52" s="98">
        <v>45.6</v>
      </c>
      <c r="N52" s="117">
        <v>6.56</v>
      </c>
    </row>
    <row r="53" spans="1:14" ht="15.95">
      <c r="A53" s="115">
        <v>45888</v>
      </c>
      <c r="B53" s="100">
        <v>1193</v>
      </c>
      <c r="C53" s="98">
        <v>113.2</v>
      </c>
      <c r="D53" s="98">
        <v>31.2</v>
      </c>
      <c r="E53" s="100">
        <v>28.83</v>
      </c>
      <c r="F53" s="98">
        <v>62.5</v>
      </c>
      <c r="G53" s="98">
        <v>39.799999999999997</v>
      </c>
      <c r="H53" s="100"/>
      <c r="I53" s="120">
        <v>0.17399999999999999</v>
      </c>
      <c r="J53" s="117">
        <v>1.1000000000000001</v>
      </c>
      <c r="K53" s="116">
        <f t="shared" si="0"/>
        <v>41.073999999999998</v>
      </c>
      <c r="L53" s="116">
        <f t="shared" si="1"/>
        <v>21.426000000000002</v>
      </c>
      <c r="M53" s="98">
        <v>45.7</v>
      </c>
      <c r="N53" s="117">
        <v>6.41</v>
      </c>
    </row>
    <row r="54" spans="1:14" ht="15.95">
      <c r="A54" s="115">
        <v>45889</v>
      </c>
      <c r="B54" s="100">
        <v>1193</v>
      </c>
      <c r="C54" s="98">
        <v>113.2</v>
      </c>
      <c r="D54" s="98">
        <v>31.1</v>
      </c>
      <c r="E54" s="100">
        <v>28.89</v>
      </c>
      <c r="F54" s="98">
        <v>62.6</v>
      </c>
      <c r="G54" s="98">
        <v>39.700000000000003</v>
      </c>
      <c r="H54" s="100"/>
      <c r="I54" s="120">
        <v>0.06</v>
      </c>
      <c r="J54" s="117">
        <v>1.1599999999999999</v>
      </c>
      <c r="K54" s="116">
        <f t="shared" si="0"/>
        <v>40.92</v>
      </c>
      <c r="L54" s="116">
        <f t="shared" si="1"/>
        <v>21.68</v>
      </c>
      <c r="M54" s="98">
        <v>45.7</v>
      </c>
      <c r="N54" s="117">
        <v>6.23</v>
      </c>
    </row>
    <row r="55" spans="1:14" ht="15.95">
      <c r="A55" s="115">
        <v>45890</v>
      </c>
      <c r="B55" s="100">
        <v>1191</v>
      </c>
      <c r="C55" s="98">
        <v>113.3</v>
      </c>
      <c r="D55" s="98">
        <v>32</v>
      </c>
      <c r="E55" s="100">
        <v>28.81</v>
      </c>
      <c r="F55" s="98">
        <v>62.5</v>
      </c>
      <c r="G55" s="98">
        <v>39.5</v>
      </c>
      <c r="H55" s="100"/>
      <c r="I55" s="120">
        <v>4.5999999999999999E-2</v>
      </c>
      <c r="J55" s="117">
        <v>1.23</v>
      </c>
      <c r="K55" s="116">
        <f t="shared" si="0"/>
        <v>40.775999999999996</v>
      </c>
      <c r="L55" s="116">
        <f t="shared" si="1"/>
        <v>21.724000000000004</v>
      </c>
      <c r="M55" s="98">
        <v>45.7</v>
      </c>
      <c r="N55" s="117">
        <v>6.41</v>
      </c>
    </row>
    <row r="56" spans="1:14" ht="15.95">
      <c r="A56" s="115">
        <v>45891</v>
      </c>
      <c r="B56" s="100">
        <v>1191</v>
      </c>
      <c r="C56" s="98">
        <v>113</v>
      </c>
      <c r="D56" s="98">
        <v>32.700000000000003</v>
      </c>
      <c r="E56" s="100">
        <v>28.65</v>
      </c>
      <c r="F56" s="98">
        <v>62.2</v>
      </c>
      <c r="G56" s="98">
        <v>39.5</v>
      </c>
      <c r="H56" s="100"/>
      <c r="I56" s="120">
        <v>0</v>
      </c>
      <c r="J56" s="117">
        <v>1.2</v>
      </c>
      <c r="K56" s="116">
        <f t="shared" si="0"/>
        <v>40.700000000000003</v>
      </c>
      <c r="L56" s="116">
        <f t="shared" si="1"/>
        <v>21.5</v>
      </c>
      <c r="M56" s="98">
        <v>45.5</v>
      </c>
      <c r="N56" s="117">
        <v>6.18</v>
      </c>
    </row>
    <row r="57" spans="1:14" ht="15.95">
      <c r="A57" s="115">
        <v>45892</v>
      </c>
      <c r="B57" s="100">
        <v>1185</v>
      </c>
      <c r="C57" s="98">
        <v>112.9</v>
      </c>
      <c r="D57" s="98">
        <v>32.700000000000003</v>
      </c>
      <c r="E57" s="100">
        <v>28.84</v>
      </c>
      <c r="F57" s="98">
        <v>62.3</v>
      </c>
      <c r="G57" s="98">
        <v>39.5</v>
      </c>
      <c r="H57" s="100"/>
      <c r="I57" s="120">
        <v>2E-3</v>
      </c>
      <c r="J57" s="117">
        <v>1.29</v>
      </c>
      <c r="K57" s="116">
        <f t="shared" si="0"/>
        <v>40.792000000000002</v>
      </c>
      <c r="L57" s="116">
        <f t="shared" si="1"/>
        <v>21.507999999999996</v>
      </c>
      <c r="M57" s="98">
        <v>45.5</v>
      </c>
      <c r="N57" s="117">
        <v>6.07</v>
      </c>
    </row>
    <row r="58" spans="1:14" ht="15.95">
      <c r="A58" s="115">
        <v>45893</v>
      </c>
      <c r="B58" s="100">
        <v>1189</v>
      </c>
      <c r="C58" s="98">
        <v>113.2</v>
      </c>
      <c r="D58" s="98">
        <v>32.6</v>
      </c>
      <c r="E58" s="100">
        <v>28.73</v>
      </c>
      <c r="F58" s="98">
        <v>62.5</v>
      </c>
      <c r="G58" s="98">
        <v>39.6</v>
      </c>
      <c r="H58" s="100"/>
      <c r="I58" s="120">
        <v>0</v>
      </c>
      <c r="J58" s="117">
        <v>1.36</v>
      </c>
      <c r="K58" s="116">
        <f t="shared" si="0"/>
        <v>40.96</v>
      </c>
      <c r="L58" s="116">
        <f t="shared" si="1"/>
        <v>21.54</v>
      </c>
      <c r="M58" s="98">
        <v>45.6</v>
      </c>
      <c r="N58" s="117">
        <v>6.2</v>
      </c>
    </row>
    <row r="59" spans="1:14" ht="15.95">
      <c r="A59" s="115">
        <v>45894</v>
      </c>
      <c r="B59" s="100">
        <v>1192</v>
      </c>
      <c r="C59" s="98">
        <v>113.2</v>
      </c>
      <c r="D59" s="98">
        <v>31.3</v>
      </c>
      <c r="E59" s="100">
        <v>29.03</v>
      </c>
      <c r="F59" s="98">
        <v>62.2</v>
      </c>
      <c r="G59" s="98">
        <v>39.6</v>
      </c>
      <c r="H59" s="100"/>
      <c r="I59" s="120">
        <v>0</v>
      </c>
      <c r="J59" s="117">
        <v>1.24</v>
      </c>
      <c r="K59" s="116">
        <f t="shared" si="0"/>
        <v>40.840000000000003</v>
      </c>
      <c r="L59" s="116">
        <f t="shared" si="1"/>
        <v>21.36</v>
      </c>
      <c r="M59" s="98">
        <v>45.5</v>
      </c>
      <c r="N59" s="117">
        <v>5.76</v>
      </c>
    </row>
    <row r="60" spans="1:14" ht="15.95">
      <c r="A60" s="115">
        <v>45895</v>
      </c>
      <c r="B60" s="100">
        <v>1187</v>
      </c>
      <c r="C60" s="98">
        <v>113.3</v>
      </c>
      <c r="D60" s="98">
        <v>31.3</v>
      </c>
      <c r="E60" s="100">
        <v>29.17</v>
      </c>
      <c r="F60" s="98">
        <v>62.5</v>
      </c>
      <c r="G60" s="98">
        <v>39.6</v>
      </c>
      <c r="H60" s="100"/>
      <c r="I60" s="120">
        <v>0.18</v>
      </c>
      <c r="J60" s="117">
        <v>1.27</v>
      </c>
      <c r="K60" s="116">
        <f t="shared" si="0"/>
        <v>41.050000000000004</v>
      </c>
      <c r="L60" s="116">
        <f t="shared" si="1"/>
        <v>21.449999999999996</v>
      </c>
      <c r="M60" s="98">
        <v>45.5</v>
      </c>
      <c r="N60" s="117">
        <v>6.1</v>
      </c>
    </row>
    <row r="61" spans="1:14" ht="15.95">
      <c r="A61" s="115">
        <v>45896</v>
      </c>
      <c r="B61" s="100">
        <v>1187</v>
      </c>
      <c r="C61" s="98">
        <v>113</v>
      </c>
      <c r="D61" s="98">
        <v>31.9</v>
      </c>
      <c r="E61" s="100">
        <v>29.12</v>
      </c>
      <c r="F61" s="98">
        <v>63.3</v>
      </c>
      <c r="G61" s="98">
        <v>39.700000000000003</v>
      </c>
      <c r="H61" s="100"/>
      <c r="I61" s="120">
        <v>0.35899999999999999</v>
      </c>
      <c r="J61" s="117">
        <v>1.47</v>
      </c>
      <c r="K61" s="116">
        <f t="shared" si="0"/>
        <v>41.529000000000003</v>
      </c>
      <c r="L61" s="116">
        <f t="shared" si="1"/>
        <v>21.770999999999994</v>
      </c>
      <c r="M61" s="98">
        <v>45.7</v>
      </c>
      <c r="N61" s="117"/>
    </row>
    <row r="62" spans="1:14" ht="15.95">
      <c r="A62" s="115">
        <v>45897</v>
      </c>
      <c r="B62" s="100">
        <v>1187</v>
      </c>
      <c r="C62" s="98">
        <v>113</v>
      </c>
      <c r="D62" s="98">
        <v>32.799999999999997</v>
      </c>
      <c r="E62" s="100">
        <v>29.2</v>
      </c>
      <c r="F62" s="98">
        <v>63.2</v>
      </c>
      <c r="G62" s="98">
        <v>39.799999999999997</v>
      </c>
      <c r="H62" s="100"/>
      <c r="I62" s="120">
        <v>0.20599999999999999</v>
      </c>
      <c r="J62" s="117">
        <v>1.58</v>
      </c>
      <c r="K62" s="116">
        <f t="shared" si="0"/>
        <v>41.585999999999999</v>
      </c>
      <c r="L62" s="116">
        <f t="shared" si="1"/>
        <v>21.614000000000004</v>
      </c>
      <c r="M62" s="98">
        <v>45.6</v>
      </c>
      <c r="N62" s="117"/>
    </row>
    <row r="63" spans="1:14" ht="15.95">
      <c r="A63" s="115">
        <v>45898</v>
      </c>
      <c r="B63" s="100">
        <v>1182</v>
      </c>
      <c r="C63" s="98">
        <v>113</v>
      </c>
      <c r="D63" s="98">
        <v>33.200000000000003</v>
      </c>
      <c r="E63" s="100">
        <v>29.38</v>
      </c>
      <c r="F63" s="98">
        <v>62.8</v>
      </c>
      <c r="G63" s="98">
        <v>39.6</v>
      </c>
      <c r="H63" s="100"/>
      <c r="I63" s="120">
        <v>0.20100000000000001</v>
      </c>
      <c r="J63" s="117">
        <v>1.46</v>
      </c>
      <c r="K63" s="116">
        <f t="shared" si="0"/>
        <v>41.261000000000003</v>
      </c>
      <c r="L63" s="116">
        <f t="shared" si="1"/>
        <v>21.538999999999994</v>
      </c>
      <c r="M63" s="98">
        <v>45.7</v>
      </c>
      <c r="N63" s="117"/>
    </row>
    <row r="64" spans="1:14" ht="15.95">
      <c r="A64" s="115">
        <v>45899</v>
      </c>
      <c r="B64" s="100">
        <v>1191</v>
      </c>
      <c r="C64" s="98">
        <v>113</v>
      </c>
      <c r="D64" s="98">
        <v>31.9</v>
      </c>
      <c r="E64" s="100">
        <v>29.06</v>
      </c>
      <c r="F64" s="98">
        <v>63.5</v>
      </c>
      <c r="G64" s="98">
        <v>39.9</v>
      </c>
      <c r="H64" s="100"/>
      <c r="I64" s="120">
        <v>0.30199999999999999</v>
      </c>
      <c r="J64" s="117">
        <v>1.55</v>
      </c>
      <c r="K64" s="116">
        <f t="shared" si="0"/>
        <v>41.751999999999995</v>
      </c>
      <c r="L64" s="116">
        <f t="shared" si="1"/>
        <v>21.748000000000005</v>
      </c>
      <c r="M64" s="98">
        <v>45.7</v>
      </c>
      <c r="N64" s="117"/>
    </row>
    <row r="65" spans="1:14" ht="15.95">
      <c r="A65" s="115">
        <v>45900</v>
      </c>
      <c r="B65" s="100">
        <v>1182</v>
      </c>
      <c r="C65" s="98">
        <v>113</v>
      </c>
      <c r="D65" s="98">
        <v>32.4</v>
      </c>
      <c r="E65" s="100">
        <v>29.36</v>
      </c>
      <c r="F65" s="98">
        <v>63.1</v>
      </c>
      <c r="G65" s="98">
        <v>39.700000000000003</v>
      </c>
      <c r="H65" s="100"/>
      <c r="I65" s="120">
        <v>0.495</v>
      </c>
      <c r="J65" s="117">
        <v>1.37</v>
      </c>
      <c r="K65" s="116">
        <f t="shared" si="0"/>
        <v>41.564999999999998</v>
      </c>
      <c r="L65" s="116">
        <f t="shared" si="1"/>
        <v>21.535000000000004</v>
      </c>
      <c r="M65" s="98">
        <v>45.3</v>
      </c>
      <c r="N65" s="117"/>
    </row>
    <row r="66" spans="1:14" ht="15.95">
      <c r="A66" s="115">
        <v>45901</v>
      </c>
      <c r="B66" s="100">
        <v>1182</v>
      </c>
      <c r="C66" s="98">
        <v>113</v>
      </c>
      <c r="D66" s="98">
        <v>31.8</v>
      </c>
      <c r="E66" s="100">
        <v>29.25</v>
      </c>
      <c r="F66" s="98">
        <v>64.099999999999994</v>
      </c>
      <c r="G66" s="98">
        <v>39.9</v>
      </c>
      <c r="H66" s="100"/>
      <c r="I66" s="120">
        <v>1.379</v>
      </c>
      <c r="J66" s="117">
        <v>1.46</v>
      </c>
      <c r="K66" s="116">
        <f t="shared" si="0"/>
        <v>42.738999999999997</v>
      </c>
      <c r="L66" s="116">
        <f t="shared" si="1"/>
        <v>21.360999999999997</v>
      </c>
      <c r="M66" s="98">
        <v>45.6</v>
      </c>
      <c r="N66" s="117"/>
    </row>
    <row r="67" spans="1:14" ht="15.95">
      <c r="A67" s="115">
        <v>45902</v>
      </c>
      <c r="B67" s="100">
        <v>1189</v>
      </c>
      <c r="C67" s="98">
        <v>113</v>
      </c>
      <c r="D67" s="98">
        <v>31.5</v>
      </c>
      <c r="E67" s="100">
        <v>28.94</v>
      </c>
      <c r="F67" s="98">
        <v>64</v>
      </c>
      <c r="G67" s="98">
        <v>39.9</v>
      </c>
      <c r="H67" s="100"/>
      <c r="I67" s="120">
        <v>1.452</v>
      </c>
      <c r="J67" s="117">
        <v>1.43</v>
      </c>
      <c r="K67" s="116">
        <f t="shared" si="0"/>
        <v>42.781999999999996</v>
      </c>
      <c r="L67" s="116">
        <f t="shared" si="1"/>
        <v>21.218000000000004</v>
      </c>
      <c r="M67" s="98">
        <v>45.3</v>
      </c>
      <c r="N67" s="117"/>
    </row>
    <row r="68" spans="1:14" ht="15.95">
      <c r="A68" s="115">
        <v>45903</v>
      </c>
      <c r="B68" s="100">
        <v>1187</v>
      </c>
      <c r="C68" s="98">
        <v>113</v>
      </c>
      <c r="D68" s="98">
        <v>31.4</v>
      </c>
      <c r="E68" s="100">
        <v>29.13</v>
      </c>
      <c r="F68" s="98">
        <v>63.4</v>
      </c>
      <c r="G68" s="98">
        <v>39.799999999999997</v>
      </c>
      <c r="H68" s="100"/>
      <c r="I68" s="120">
        <v>0.59799999999999998</v>
      </c>
      <c r="J68" s="117">
        <v>1.36</v>
      </c>
      <c r="K68" s="116">
        <f t="shared" si="0"/>
        <v>41.757999999999996</v>
      </c>
      <c r="L68" s="116">
        <f t="shared" si="1"/>
        <v>21.642000000000003</v>
      </c>
      <c r="M68" s="98">
        <v>45.2</v>
      </c>
      <c r="N68" s="117"/>
    </row>
    <row r="69" spans="1:14" ht="15.95">
      <c r="A69" s="115">
        <v>45904</v>
      </c>
      <c r="B69" s="100"/>
      <c r="C69" s="98">
        <v>113</v>
      </c>
      <c r="D69" s="98"/>
      <c r="E69" s="100">
        <v>29.27</v>
      </c>
      <c r="F69" s="98">
        <v>63.6</v>
      </c>
      <c r="G69" s="98">
        <v>40</v>
      </c>
      <c r="H69" s="100" t="s">
        <v>287</v>
      </c>
      <c r="I69" s="120">
        <v>0.72899999999999998</v>
      </c>
      <c r="J69" s="117">
        <v>1.41</v>
      </c>
      <c r="K69" s="116">
        <f t="shared" ref="K69:K132" si="2">G69+I69+J69</f>
        <v>42.138999999999996</v>
      </c>
      <c r="L69" s="116">
        <f t="shared" ref="L69:L132" si="3">F69-K69</f>
        <v>21.461000000000006</v>
      </c>
      <c r="M69" s="98">
        <v>45.4</v>
      </c>
      <c r="N69" s="117"/>
    </row>
    <row r="70" spans="1:14" ht="15.95">
      <c r="A70" s="115">
        <v>45905</v>
      </c>
      <c r="B70" s="100"/>
      <c r="C70" s="98">
        <v>112</v>
      </c>
      <c r="D70" s="98"/>
      <c r="E70" s="100">
        <v>29.34</v>
      </c>
      <c r="F70" s="98">
        <v>63.1</v>
      </c>
      <c r="G70" s="98">
        <v>39.799999999999997</v>
      </c>
      <c r="H70" s="100" t="s">
        <v>288</v>
      </c>
      <c r="I70" s="120">
        <v>0.17399999999999999</v>
      </c>
      <c r="J70" s="117">
        <v>1.4</v>
      </c>
      <c r="K70" s="116">
        <f t="shared" si="2"/>
        <v>41.373999999999995</v>
      </c>
      <c r="L70" s="116">
        <f t="shared" si="3"/>
        <v>21.726000000000006</v>
      </c>
      <c r="M70" s="98">
        <v>45.4</v>
      </c>
      <c r="N70" s="117"/>
    </row>
    <row r="71" spans="1:14" ht="15.95">
      <c r="A71" s="115">
        <v>45906</v>
      </c>
      <c r="B71" s="100"/>
      <c r="C71" s="98">
        <v>112</v>
      </c>
      <c r="D71" s="98"/>
      <c r="E71" s="100">
        <v>29.38</v>
      </c>
      <c r="F71" s="98">
        <v>62.7</v>
      </c>
      <c r="G71" s="98">
        <v>39.6</v>
      </c>
      <c r="H71" s="100" t="s">
        <v>289</v>
      </c>
      <c r="I71" s="120">
        <v>5.0999999999999997E-2</v>
      </c>
      <c r="J71" s="117">
        <v>1.31</v>
      </c>
      <c r="K71" s="116">
        <f t="shared" si="2"/>
        <v>40.961000000000006</v>
      </c>
      <c r="L71" s="116">
        <f t="shared" si="3"/>
        <v>21.738999999999997</v>
      </c>
      <c r="M71" s="98">
        <v>45.5</v>
      </c>
      <c r="N71" s="117"/>
    </row>
    <row r="72" spans="1:14" ht="15.95">
      <c r="A72" s="115">
        <v>45907</v>
      </c>
      <c r="B72" s="100"/>
      <c r="C72" s="98">
        <v>113</v>
      </c>
      <c r="D72" s="98">
        <v>31.2</v>
      </c>
      <c r="E72" s="100">
        <v>29.18</v>
      </c>
      <c r="F72" s="98">
        <v>63.1</v>
      </c>
      <c r="G72" s="98">
        <v>39.9</v>
      </c>
      <c r="H72" s="100" t="s">
        <v>290</v>
      </c>
      <c r="I72" s="120">
        <v>0.123</v>
      </c>
      <c r="J72" s="117">
        <v>1.23</v>
      </c>
      <c r="K72" s="116">
        <f t="shared" si="2"/>
        <v>41.252999999999993</v>
      </c>
      <c r="L72" s="116">
        <f t="shared" si="3"/>
        <v>21.847000000000008</v>
      </c>
      <c r="M72" s="98">
        <v>45.4</v>
      </c>
      <c r="N72" s="117"/>
    </row>
    <row r="73" spans="1:14" ht="15.95">
      <c r="A73" s="115">
        <v>45908</v>
      </c>
      <c r="B73" s="100"/>
      <c r="C73" s="98">
        <v>113</v>
      </c>
      <c r="D73" s="98">
        <v>31.3</v>
      </c>
      <c r="E73" s="100">
        <v>29.72</v>
      </c>
      <c r="F73" s="98">
        <v>62.8</v>
      </c>
      <c r="G73" s="98">
        <v>40</v>
      </c>
      <c r="H73" s="100" t="s">
        <v>290</v>
      </c>
      <c r="I73" s="120">
        <v>7.2999999999999995E-2</v>
      </c>
      <c r="J73" s="117">
        <v>1.3</v>
      </c>
      <c r="K73" s="116">
        <f t="shared" si="2"/>
        <v>41.372999999999998</v>
      </c>
      <c r="L73" s="116">
        <f t="shared" si="3"/>
        <v>21.427</v>
      </c>
      <c r="M73" s="98">
        <v>45.3</v>
      </c>
      <c r="N73" s="117"/>
    </row>
    <row r="74" spans="1:14" ht="15.95">
      <c r="A74" s="115">
        <v>45909</v>
      </c>
      <c r="B74" s="100"/>
      <c r="C74" s="98">
        <v>113</v>
      </c>
      <c r="D74" s="98">
        <v>32.4</v>
      </c>
      <c r="E74" s="100">
        <v>29.67</v>
      </c>
      <c r="F74" s="98">
        <v>63.1</v>
      </c>
      <c r="G74" s="98">
        <v>40</v>
      </c>
      <c r="H74" s="100" t="s">
        <v>291</v>
      </c>
      <c r="I74" s="120">
        <v>0.38200000000000001</v>
      </c>
      <c r="J74" s="117">
        <v>1.24</v>
      </c>
      <c r="K74" s="116">
        <f t="shared" si="2"/>
        <v>41.622</v>
      </c>
      <c r="L74" s="116">
        <f t="shared" si="3"/>
        <v>21.478000000000002</v>
      </c>
      <c r="M74" s="98">
        <v>45.3</v>
      </c>
      <c r="N74" s="117"/>
    </row>
    <row r="75" spans="1:14" ht="15.95">
      <c r="A75" s="115">
        <v>45910</v>
      </c>
      <c r="B75" s="100"/>
      <c r="C75" s="98">
        <v>113</v>
      </c>
      <c r="D75" s="98">
        <v>32.4</v>
      </c>
      <c r="E75" s="100">
        <v>29.67</v>
      </c>
      <c r="F75" s="98">
        <v>63.5</v>
      </c>
      <c r="G75" s="98">
        <v>40.6</v>
      </c>
      <c r="H75" s="100" t="s">
        <v>291</v>
      </c>
      <c r="I75" s="120">
        <v>0.13500000000000001</v>
      </c>
      <c r="J75" s="117">
        <v>1.37</v>
      </c>
      <c r="K75" s="116">
        <f t="shared" si="2"/>
        <v>42.104999999999997</v>
      </c>
      <c r="L75" s="116">
        <f t="shared" si="3"/>
        <v>21.395000000000003</v>
      </c>
      <c r="M75" s="98">
        <v>45.2</v>
      </c>
      <c r="N75" s="117"/>
    </row>
    <row r="76" spans="1:14" ht="15.95">
      <c r="A76" s="115">
        <v>45911</v>
      </c>
      <c r="B76" s="100"/>
      <c r="C76" s="98">
        <v>113</v>
      </c>
      <c r="D76" s="98">
        <v>32.6</v>
      </c>
      <c r="E76" s="100">
        <v>29.54</v>
      </c>
      <c r="F76" s="98">
        <v>64</v>
      </c>
      <c r="G76" s="98">
        <v>39.9</v>
      </c>
      <c r="H76" s="100" t="s">
        <v>292</v>
      </c>
      <c r="I76" s="120">
        <v>0.12</v>
      </c>
      <c r="J76" s="117">
        <v>1.26</v>
      </c>
      <c r="K76" s="116">
        <f t="shared" si="2"/>
        <v>41.279999999999994</v>
      </c>
      <c r="L76" s="116">
        <f t="shared" si="3"/>
        <v>22.720000000000006</v>
      </c>
      <c r="M76" s="98">
        <v>45.5</v>
      </c>
      <c r="N76" s="117">
        <v>6.05</v>
      </c>
    </row>
    <row r="77" spans="1:14" ht="15.95">
      <c r="A77" s="115">
        <v>45912</v>
      </c>
      <c r="B77" s="100"/>
      <c r="C77" s="98">
        <v>113</v>
      </c>
      <c r="D77" s="98">
        <v>32.6</v>
      </c>
      <c r="E77" s="100">
        <v>29.49</v>
      </c>
      <c r="F77" s="98">
        <v>64.099999999999994</v>
      </c>
      <c r="G77" s="98">
        <v>39.700000000000003</v>
      </c>
      <c r="H77" s="100" t="s">
        <v>292</v>
      </c>
      <c r="I77" s="120">
        <v>0</v>
      </c>
      <c r="J77" s="117">
        <v>1.24</v>
      </c>
      <c r="K77" s="116">
        <f t="shared" si="2"/>
        <v>40.940000000000005</v>
      </c>
      <c r="L77" s="116">
        <f t="shared" si="3"/>
        <v>23.159999999999989</v>
      </c>
      <c r="M77" s="98">
        <v>45.5</v>
      </c>
      <c r="N77" s="117">
        <v>6.02</v>
      </c>
    </row>
    <row r="78" spans="1:14" ht="15.95">
      <c r="A78" s="115">
        <v>45913</v>
      </c>
      <c r="B78" s="100"/>
      <c r="C78" s="98">
        <v>113</v>
      </c>
      <c r="D78" s="98">
        <v>32.700000000000003</v>
      </c>
      <c r="E78" s="100">
        <v>29.48</v>
      </c>
      <c r="F78" s="98">
        <v>64.3</v>
      </c>
      <c r="G78" s="98">
        <v>39.9</v>
      </c>
      <c r="H78" s="100" t="s">
        <v>293</v>
      </c>
      <c r="I78" s="120">
        <v>0</v>
      </c>
      <c r="J78" s="117">
        <v>1.23</v>
      </c>
      <c r="K78" s="116">
        <f t="shared" si="2"/>
        <v>41.129999999999995</v>
      </c>
      <c r="L78" s="116">
        <f t="shared" si="3"/>
        <v>23.17</v>
      </c>
      <c r="M78" s="98">
        <v>45.5</v>
      </c>
      <c r="N78" s="117">
        <v>5.83</v>
      </c>
    </row>
    <row r="79" spans="1:14" ht="15.95">
      <c r="A79" s="115">
        <v>45914</v>
      </c>
      <c r="B79" s="100"/>
      <c r="C79" s="98">
        <v>113</v>
      </c>
      <c r="D79" s="98">
        <v>32.799999999999997</v>
      </c>
      <c r="E79" s="100">
        <v>29.36</v>
      </c>
      <c r="F79" s="98">
        <v>64.3</v>
      </c>
      <c r="G79" s="98">
        <v>39.799999999999997</v>
      </c>
      <c r="H79" s="100" t="s">
        <v>294</v>
      </c>
      <c r="I79" s="120">
        <v>0</v>
      </c>
      <c r="J79" s="117">
        <v>1.26</v>
      </c>
      <c r="K79" s="116">
        <f t="shared" si="2"/>
        <v>41.059999999999995</v>
      </c>
      <c r="L79" s="116">
        <f t="shared" si="3"/>
        <v>23.240000000000002</v>
      </c>
      <c r="M79" s="98">
        <v>45.6</v>
      </c>
      <c r="N79" s="117">
        <v>5.87</v>
      </c>
    </row>
    <row r="80" spans="1:14" ht="15.95">
      <c r="A80" s="115">
        <v>45915</v>
      </c>
      <c r="B80" s="100"/>
      <c r="C80" s="98">
        <v>113</v>
      </c>
      <c r="D80" s="98">
        <v>32.4</v>
      </c>
      <c r="E80" s="100">
        <v>29.43</v>
      </c>
      <c r="F80" s="98">
        <v>64.8</v>
      </c>
      <c r="G80" s="98">
        <v>39.799999999999997</v>
      </c>
      <c r="H80" s="100"/>
      <c r="I80" s="120">
        <v>0.151</v>
      </c>
      <c r="J80" s="117">
        <v>1.29</v>
      </c>
      <c r="K80" s="116">
        <f t="shared" si="2"/>
        <v>41.241</v>
      </c>
      <c r="L80" s="116">
        <f t="shared" si="3"/>
        <v>23.558999999999997</v>
      </c>
      <c r="M80" s="98">
        <v>45.6</v>
      </c>
      <c r="N80" s="117">
        <v>6.31</v>
      </c>
    </row>
    <row r="81" spans="1:15" ht="15.95">
      <c r="A81" s="115">
        <v>45916</v>
      </c>
      <c r="B81" s="100"/>
      <c r="C81" s="98">
        <v>113</v>
      </c>
      <c r="D81" s="98">
        <v>32.299999999999997</v>
      </c>
      <c r="E81" s="100">
        <v>29.38</v>
      </c>
      <c r="F81" s="98">
        <v>64.5</v>
      </c>
      <c r="G81" s="98">
        <v>39.9</v>
      </c>
      <c r="H81" s="100"/>
      <c r="I81" s="120">
        <v>4.2999999999999997E-2</v>
      </c>
      <c r="J81" s="117">
        <v>1.31</v>
      </c>
      <c r="K81" s="116">
        <f t="shared" si="2"/>
        <v>41.253</v>
      </c>
      <c r="L81" s="116">
        <f t="shared" si="3"/>
        <v>23.247</v>
      </c>
      <c r="M81" s="98">
        <v>45.6</v>
      </c>
      <c r="N81" s="117">
        <v>6.18</v>
      </c>
    </row>
    <row r="82" spans="1:15" ht="15.95">
      <c r="A82" s="115">
        <v>45917</v>
      </c>
      <c r="B82" s="100"/>
      <c r="C82" s="98">
        <v>112</v>
      </c>
      <c r="D82" s="98">
        <v>32.4</v>
      </c>
      <c r="E82" s="100">
        <v>29.51</v>
      </c>
      <c r="F82" s="98">
        <v>64.2</v>
      </c>
      <c r="G82" s="98">
        <v>39.5</v>
      </c>
      <c r="H82" s="100"/>
      <c r="I82" s="120">
        <v>0.04</v>
      </c>
      <c r="J82" s="117">
        <v>1.24</v>
      </c>
      <c r="K82" s="116">
        <f t="shared" si="2"/>
        <v>40.78</v>
      </c>
      <c r="L82" s="116">
        <f t="shared" si="3"/>
        <v>23.42</v>
      </c>
      <c r="M82" s="98">
        <v>45.4</v>
      </c>
      <c r="N82" s="117">
        <v>6.37</v>
      </c>
    </row>
    <row r="83" spans="1:15" ht="15.95">
      <c r="A83" s="115">
        <v>45918</v>
      </c>
      <c r="B83" s="100"/>
      <c r="C83" s="98"/>
      <c r="D83" s="98"/>
      <c r="E83" s="100"/>
      <c r="F83" s="98">
        <v>66.099999999999994</v>
      </c>
      <c r="G83" s="98">
        <v>40.799999999999997</v>
      </c>
      <c r="H83" s="100"/>
      <c r="I83" s="120">
        <v>0</v>
      </c>
      <c r="J83" s="117">
        <v>1.35</v>
      </c>
      <c r="K83" s="116">
        <f t="shared" si="2"/>
        <v>42.15</v>
      </c>
      <c r="L83" s="116">
        <f t="shared" si="3"/>
        <v>23.949999999999996</v>
      </c>
      <c r="M83" s="98">
        <v>45.1</v>
      </c>
      <c r="N83" s="117">
        <v>6.32</v>
      </c>
    </row>
    <row r="84" spans="1:15" ht="15.95">
      <c r="A84" s="115">
        <v>45919</v>
      </c>
      <c r="B84" s="100"/>
      <c r="C84" s="98"/>
      <c r="D84" s="98"/>
      <c r="E84" s="100"/>
      <c r="F84" s="98">
        <v>66</v>
      </c>
      <c r="G84" s="98">
        <v>40.799999999999997</v>
      </c>
      <c r="H84" s="100"/>
      <c r="I84" s="120">
        <v>1.7000000000000001E-2</v>
      </c>
      <c r="J84" s="117">
        <v>1.41</v>
      </c>
      <c r="K84" s="116">
        <f t="shared" si="2"/>
        <v>42.226999999999997</v>
      </c>
      <c r="L84" s="116">
        <f t="shared" si="3"/>
        <v>23.773000000000003</v>
      </c>
      <c r="M84" s="98">
        <v>44.3</v>
      </c>
      <c r="N84" s="117">
        <v>6.1</v>
      </c>
    </row>
    <row r="85" spans="1:15" ht="15.95">
      <c r="A85" s="115">
        <v>45920</v>
      </c>
      <c r="B85" s="100"/>
      <c r="C85" s="98"/>
      <c r="D85" s="98"/>
      <c r="E85" s="100"/>
      <c r="F85" s="98">
        <v>65.900000000000006</v>
      </c>
      <c r="G85" s="98">
        <v>40.5</v>
      </c>
      <c r="H85" s="100"/>
      <c r="I85" s="120">
        <v>0</v>
      </c>
      <c r="J85" s="117">
        <v>1.34</v>
      </c>
      <c r="K85" s="116">
        <f t="shared" si="2"/>
        <v>41.84</v>
      </c>
      <c r="L85" s="116">
        <f t="shared" si="3"/>
        <v>24.060000000000002</v>
      </c>
      <c r="M85" s="98">
        <v>44.7</v>
      </c>
      <c r="N85" s="117">
        <v>6.18</v>
      </c>
    </row>
    <row r="86" spans="1:15" ht="15.95">
      <c r="A86" s="115">
        <v>45921</v>
      </c>
      <c r="B86" s="100"/>
      <c r="C86" s="98"/>
      <c r="D86" s="98"/>
      <c r="E86" s="100"/>
      <c r="F86" s="98">
        <v>66</v>
      </c>
      <c r="G86" s="98">
        <v>40.6</v>
      </c>
      <c r="H86" s="100"/>
      <c r="I86" s="120">
        <v>0</v>
      </c>
      <c r="J86" s="117">
        <v>1.33</v>
      </c>
      <c r="K86" s="116">
        <f t="shared" si="2"/>
        <v>41.93</v>
      </c>
      <c r="L86" s="116">
        <f t="shared" si="3"/>
        <v>24.07</v>
      </c>
      <c r="M86" s="98">
        <v>44.8</v>
      </c>
      <c r="N86" s="117">
        <v>6.13</v>
      </c>
    </row>
    <row r="87" spans="1:15" ht="15.95">
      <c r="A87" s="115">
        <v>45922</v>
      </c>
      <c r="B87" s="174">
        <v>1187</v>
      </c>
      <c r="C87" s="98">
        <v>113</v>
      </c>
      <c r="D87" s="98">
        <v>31.7</v>
      </c>
      <c r="E87" s="100">
        <v>29.3</v>
      </c>
      <c r="F87" s="98">
        <v>66.099999999999994</v>
      </c>
      <c r="G87" s="98">
        <v>40.5</v>
      </c>
      <c r="H87" s="100" t="s">
        <v>295</v>
      </c>
      <c r="I87" s="120">
        <v>0</v>
      </c>
      <c r="J87" s="117">
        <v>1.32</v>
      </c>
      <c r="K87" s="116">
        <f t="shared" si="2"/>
        <v>41.82</v>
      </c>
      <c r="L87" s="116">
        <f t="shared" si="3"/>
        <v>24.279999999999994</v>
      </c>
      <c r="M87" s="98">
        <v>44.9</v>
      </c>
      <c r="N87" s="117">
        <v>6.29</v>
      </c>
    </row>
    <row r="88" spans="1:15" ht="15.95">
      <c r="A88" s="115">
        <v>45923</v>
      </c>
      <c r="B88" s="174">
        <v>1187</v>
      </c>
      <c r="C88" s="98">
        <v>113</v>
      </c>
      <c r="D88" s="98">
        <v>30.9</v>
      </c>
      <c r="E88" s="100">
        <v>29.42</v>
      </c>
      <c r="F88" s="98">
        <v>65.900000000000006</v>
      </c>
      <c r="G88" s="98">
        <v>40.5</v>
      </c>
      <c r="H88" s="100" t="s">
        <v>295</v>
      </c>
      <c r="I88" s="120">
        <v>0</v>
      </c>
      <c r="J88" s="117">
        <v>1.36</v>
      </c>
      <c r="K88" s="116">
        <f t="shared" si="2"/>
        <v>41.86</v>
      </c>
      <c r="L88" s="116">
        <f t="shared" si="3"/>
        <v>24.040000000000006</v>
      </c>
      <c r="M88" s="98">
        <v>44.9</v>
      </c>
      <c r="N88" s="117">
        <v>6.13</v>
      </c>
    </row>
    <row r="89" spans="1:15" ht="15.95">
      <c r="A89" s="115">
        <v>45924</v>
      </c>
      <c r="B89" s="174">
        <v>1184</v>
      </c>
      <c r="C89" s="98">
        <v>113</v>
      </c>
      <c r="D89" s="98">
        <v>31.3</v>
      </c>
      <c r="E89" s="100">
        <v>29.52</v>
      </c>
      <c r="F89" s="98">
        <v>65.599999999999994</v>
      </c>
      <c r="G89" s="98">
        <v>40.1</v>
      </c>
      <c r="H89" s="100" t="s">
        <v>295</v>
      </c>
      <c r="I89" s="120">
        <v>0</v>
      </c>
      <c r="J89" s="117">
        <v>1.26</v>
      </c>
      <c r="K89" s="116">
        <f t="shared" si="2"/>
        <v>41.36</v>
      </c>
      <c r="L89" s="116">
        <f t="shared" si="3"/>
        <v>24.239999999999995</v>
      </c>
      <c r="M89" s="98">
        <v>44.4</v>
      </c>
      <c r="N89" s="117">
        <v>6.2</v>
      </c>
    </row>
    <row r="90" spans="1:15" ht="15.95">
      <c r="A90" s="115">
        <v>45925</v>
      </c>
      <c r="B90" s="174">
        <v>1187</v>
      </c>
      <c r="C90" s="98">
        <v>113</v>
      </c>
      <c r="D90" s="98">
        <v>29.9</v>
      </c>
      <c r="E90" s="100">
        <v>29.25</v>
      </c>
      <c r="F90" s="98">
        <v>65.900000000000006</v>
      </c>
      <c r="G90" s="98">
        <v>40.299999999999997</v>
      </c>
      <c r="H90" s="100" t="s">
        <v>295</v>
      </c>
      <c r="I90" s="120">
        <v>0</v>
      </c>
      <c r="J90" s="117">
        <v>1.38</v>
      </c>
      <c r="K90" s="116">
        <f t="shared" si="2"/>
        <v>41.68</v>
      </c>
      <c r="L90" s="116">
        <f t="shared" si="3"/>
        <v>24.220000000000006</v>
      </c>
      <c r="M90" s="98">
        <v>44.6</v>
      </c>
      <c r="N90" s="117">
        <v>6.48</v>
      </c>
    </row>
    <row r="91" spans="1:15" ht="15.95">
      <c r="A91" s="115">
        <v>45926</v>
      </c>
      <c r="B91" s="174">
        <v>1186</v>
      </c>
      <c r="C91" s="98">
        <v>113</v>
      </c>
      <c r="D91" s="98">
        <v>29.4</v>
      </c>
      <c r="E91" s="100">
        <v>29.18</v>
      </c>
      <c r="F91" s="98">
        <v>65.7</v>
      </c>
      <c r="G91" s="98">
        <v>40.4</v>
      </c>
      <c r="H91" s="100" t="s">
        <v>295</v>
      </c>
      <c r="I91" s="120">
        <v>8.9999999999999993E-3</v>
      </c>
      <c r="J91" s="117">
        <v>1.36</v>
      </c>
      <c r="K91" s="116">
        <f t="shared" si="2"/>
        <v>41.768999999999998</v>
      </c>
      <c r="L91" s="116">
        <f t="shared" si="3"/>
        <v>23.931000000000004</v>
      </c>
      <c r="M91" s="98">
        <v>44.5</v>
      </c>
      <c r="N91" s="117">
        <v>6.32</v>
      </c>
    </row>
    <row r="92" spans="1:15" ht="15.95">
      <c r="A92" s="115">
        <v>45927</v>
      </c>
      <c r="B92" s="174">
        <v>1189</v>
      </c>
      <c r="C92" s="98">
        <v>113</v>
      </c>
      <c r="D92" s="98">
        <v>29.9</v>
      </c>
      <c r="E92" s="100">
        <v>29.11</v>
      </c>
      <c r="F92" s="98">
        <v>65.599999999999994</v>
      </c>
      <c r="G92" s="98">
        <v>40.4</v>
      </c>
      <c r="H92" s="100" t="s">
        <v>296</v>
      </c>
      <c r="I92" s="120">
        <v>0</v>
      </c>
      <c r="J92" s="117">
        <v>1.36</v>
      </c>
      <c r="K92" s="116">
        <f t="shared" si="2"/>
        <v>41.76</v>
      </c>
      <c r="L92" s="116">
        <f t="shared" si="3"/>
        <v>23.839999999999996</v>
      </c>
      <c r="M92" s="98">
        <v>44.6</v>
      </c>
      <c r="N92" s="117">
        <v>6.13</v>
      </c>
    </row>
    <row r="93" spans="1:15" ht="15.95">
      <c r="A93" s="115">
        <v>45928</v>
      </c>
      <c r="B93" s="174">
        <v>1184</v>
      </c>
      <c r="C93" s="98">
        <v>113</v>
      </c>
      <c r="D93" s="98">
        <v>30.1</v>
      </c>
      <c r="E93" s="100">
        <v>29.24</v>
      </c>
      <c r="F93" s="98">
        <v>65.5</v>
      </c>
      <c r="G93" s="98">
        <v>40.4</v>
      </c>
      <c r="H93" s="100" t="s">
        <v>297</v>
      </c>
      <c r="I93" s="120">
        <v>0</v>
      </c>
      <c r="J93" s="117">
        <v>1.37</v>
      </c>
      <c r="K93" s="116">
        <f t="shared" si="2"/>
        <v>41.769999999999996</v>
      </c>
      <c r="L93" s="116">
        <f t="shared" si="3"/>
        <v>23.730000000000004</v>
      </c>
      <c r="M93" s="98">
        <v>44.5</v>
      </c>
      <c r="N93" s="117">
        <v>6.05</v>
      </c>
    </row>
    <row r="94" spans="1:15" ht="15.95">
      <c r="A94" s="115">
        <v>45929</v>
      </c>
      <c r="B94" s="174">
        <v>1189</v>
      </c>
      <c r="C94" s="98">
        <v>113</v>
      </c>
      <c r="D94" s="98">
        <v>30.9</v>
      </c>
      <c r="E94" s="100">
        <v>28.72</v>
      </c>
      <c r="F94" s="98">
        <v>65.7</v>
      </c>
      <c r="G94" s="98">
        <v>40.5</v>
      </c>
      <c r="H94" s="100" t="s">
        <v>298</v>
      </c>
      <c r="I94" s="120">
        <v>0</v>
      </c>
      <c r="J94" s="117">
        <v>1.36</v>
      </c>
      <c r="K94" s="116">
        <f t="shared" si="2"/>
        <v>41.86</v>
      </c>
      <c r="L94" s="116">
        <f t="shared" si="3"/>
        <v>23.840000000000003</v>
      </c>
      <c r="M94" s="98">
        <v>44.6</v>
      </c>
      <c r="N94" s="117">
        <v>6.05</v>
      </c>
    </row>
    <row r="95" spans="1:15" ht="15.95">
      <c r="A95" s="115">
        <v>45930</v>
      </c>
      <c r="B95" s="100">
        <v>1180</v>
      </c>
      <c r="C95" s="98">
        <v>112</v>
      </c>
      <c r="D95" s="98">
        <v>30.7</v>
      </c>
      <c r="E95" s="100">
        <v>29.2</v>
      </c>
      <c r="F95" s="98">
        <v>65.400000000000006</v>
      </c>
      <c r="G95" s="98">
        <v>40.200000000000003</v>
      </c>
      <c r="H95" s="100" t="s">
        <v>299</v>
      </c>
      <c r="I95" s="120">
        <v>0</v>
      </c>
      <c r="J95" s="117">
        <v>1.29</v>
      </c>
      <c r="K95" s="116">
        <f t="shared" si="2"/>
        <v>41.49</v>
      </c>
      <c r="L95" s="116">
        <f t="shared" si="3"/>
        <v>23.910000000000004</v>
      </c>
      <c r="M95" s="98">
        <v>44.7</v>
      </c>
      <c r="N95" s="117">
        <v>6.14</v>
      </c>
    </row>
    <row r="96" spans="1:15" ht="15.95">
      <c r="A96" s="115">
        <v>45931</v>
      </c>
      <c r="B96" s="100"/>
      <c r="C96" s="98"/>
      <c r="D96" s="98"/>
      <c r="E96" s="100">
        <v>30.1</v>
      </c>
      <c r="F96" s="98">
        <v>65.400000000000006</v>
      </c>
      <c r="G96" s="98">
        <v>40</v>
      </c>
      <c r="H96" s="100"/>
      <c r="I96" s="120">
        <v>2.3E-2</v>
      </c>
      <c r="J96" s="117">
        <v>1.48</v>
      </c>
      <c r="K96" s="116">
        <f t="shared" si="2"/>
        <v>41.503</v>
      </c>
      <c r="L96" s="116">
        <f t="shared" si="3"/>
        <v>23.897000000000006</v>
      </c>
      <c r="M96" s="98">
        <v>44.5</v>
      </c>
      <c r="N96" s="117">
        <v>6.23</v>
      </c>
      <c r="O96" s="51" t="str">
        <f>'PQ Trends'!L134</f>
        <v>Plant on hold up due to GT trip (NG Composition changed)</v>
      </c>
    </row>
    <row r="97" spans="1:15" ht="15.95">
      <c r="A97" s="115">
        <v>45932</v>
      </c>
      <c r="B97" s="100"/>
      <c r="C97" s="98"/>
      <c r="D97" s="98"/>
      <c r="E97" s="100">
        <v>29</v>
      </c>
      <c r="F97" s="98">
        <v>49.6</v>
      </c>
      <c r="G97" s="98">
        <v>22.9</v>
      </c>
      <c r="H97" s="100"/>
      <c r="I97" s="120">
        <v>5.0990000000000002</v>
      </c>
      <c r="J97" s="117">
        <v>1.2</v>
      </c>
      <c r="K97" s="116">
        <f t="shared" si="2"/>
        <v>29.198999999999998</v>
      </c>
      <c r="L97" s="116">
        <f t="shared" si="3"/>
        <v>20.401000000000003</v>
      </c>
      <c r="M97" s="98">
        <v>24.6</v>
      </c>
      <c r="N97" s="117">
        <v>5.34</v>
      </c>
      <c r="O97" s="51" t="s">
        <v>300</v>
      </c>
    </row>
    <row r="98" spans="1:15" ht="15.95">
      <c r="A98" s="115">
        <v>45933</v>
      </c>
      <c r="B98" s="100"/>
      <c r="C98" s="98"/>
      <c r="D98" s="98"/>
      <c r="E98" s="100">
        <v>29.4</v>
      </c>
      <c r="F98" s="98">
        <v>60.1</v>
      </c>
      <c r="G98" s="98">
        <v>34.9</v>
      </c>
      <c r="H98" s="100"/>
      <c r="I98" s="120">
        <v>8.2000000000000003E-2</v>
      </c>
      <c r="J98" s="117">
        <v>1.1100000000000001</v>
      </c>
      <c r="K98" s="116">
        <f t="shared" si="2"/>
        <v>36.091999999999999</v>
      </c>
      <c r="L98" s="116">
        <f t="shared" si="3"/>
        <v>24.008000000000003</v>
      </c>
      <c r="M98" s="98">
        <v>43.2</v>
      </c>
      <c r="N98" s="117">
        <v>5.54</v>
      </c>
    </row>
    <row r="99" spans="1:15" ht="15.95">
      <c r="A99" s="115">
        <v>45934</v>
      </c>
      <c r="B99" s="100"/>
      <c r="C99" s="98"/>
      <c r="D99" s="98"/>
      <c r="E99" s="100">
        <v>28.8</v>
      </c>
      <c r="F99" s="98">
        <v>61.8</v>
      </c>
      <c r="G99" s="98">
        <v>36.299999999999997</v>
      </c>
      <c r="H99" s="100"/>
      <c r="I99" s="120">
        <v>0</v>
      </c>
      <c r="J99" s="117">
        <v>1.1499999999999999</v>
      </c>
      <c r="K99" s="116">
        <f t="shared" si="2"/>
        <v>37.449999999999996</v>
      </c>
      <c r="L99" s="116">
        <f t="shared" si="3"/>
        <v>24.35</v>
      </c>
      <c r="M99" s="98">
        <v>43.7</v>
      </c>
      <c r="N99" s="117">
        <v>5.59</v>
      </c>
    </row>
    <row r="100" spans="1:15" ht="15.95">
      <c r="A100" s="115">
        <v>45935</v>
      </c>
      <c r="B100" s="174">
        <v>1175</v>
      </c>
      <c r="C100" s="98">
        <v>112</v>
      </c>
      <c r="D100" s="98">
        <v>27.4</v>
      </c>
      <c r="E100" s="100">
        <v>28.31</v>
      </c>
      <c r="F100" s="98">
        <v>62.7</v>
      </c>
      <c r="G100" s="98">
        <v>37.1</v>
      </c>
      <c r="H100" s="100" t="s">
        <v>301</v>
      </c>
      <c r="I100" s="120">
        <v>0</v>
      </c>
      <c r="J100" s="117">
        <v>1.19</v>
      </c>
      <c r="K100" s="116">
        <f t="shared" si="2"/>
        <v>38.29</v>
      </c>
      <c r="L100" s="116">
        <f t="shared" si="3"/>
        <v>24.410000000000004</v>
      </c>
      <c r="M100" s="98">
        <v>44.4</v>
      </c>
      <c r="N100" s="117">
        <v>5.49</v>
      </c>
    </row>
    <row r="101" spans="1:15" ht="15.95">
      <c r="A101" s="115">
        <v>45936</v>
      </c>
      <c r="B101" s="174">
        <v>1179</v>
      </c>
      <c r="C101" s="98">
        <v>112</v>
      </c>
      <c r="D101" s="98">
        <v>27.1</v>
      </c>
      <c r="E101" s="100">
        <v>28.41</v>
      </c>
      <c r="F101" s="98">
        <v>63.5</v>
      </c>
      <c r="G101" s="98">
        <v>38.4</v>
      </c>
      <c r="H101" s="100" t="s">
        <v>302</v>
      </c>
      <c r="I101" s="120">
        <v>0</v>
      </c>
      <c r="J101" s="117">
        <v>1.28</v>
      </c>
      <c r="K101" s="116">
        <f t="shared" si="2"/>
        <v>39.68</v>
      </c>
      <c r="L101" s="116">
        <f t="shared" si="3"/>
        <v>23.82</v>
      </c>
      <c r="M101" s="98">
        <v>44.6</v>
      </c>
      <c r="N101" s="117">
        <v>5.36</v>
      </c>
    </row>
    <row r="102" spans="1:15" ht="15.95">
      <c r="A102" s="115">
        <v>45937</v>
      </c>
      <c r="B102" s="174">
        <v>1047</v>
      </c>
      <c r="C102" s="98">
        <v>100</v>
      </c>
      <c r="D102" s="98">
        <v>28.4</v>
      </c>
      <c r="E102" s="100">
        <v>30.6</v>
      </c>
      <c r="F102" s="98">
        <v>65.3</v>
      </c>
      <c r="G102" s="98">
        <v>40.700000000000003</v>
      </c>
      <c r="H102" s="100" t="s">
        <v>303</v>
      </c>
      <c r="I102" s="120">
        <v>0</v>
      </c>
      <c r="J102" s="117">
        <v>1.31</v>
      </c>
      <c r="K102" s="116">
        <f t="shared" si="2"/>
        <v>42.010000000000005</v>
      </c>
      <c r="L102" s="116">
        <f t="shared" si="3"/>
        <v>23.289999999999992</v>
      </c>
      <c r="M102" s="98">
        <v>44.1</v>
      </c>
      <c r="N102" s="117">
        <v>5.51</v>
      </c>
      <c r="O102" s="51" t="s">
        <v>304</v>
      </c>
    </row>
    <row r="103" spans="1:15" ht="15.95">
      <c r="A103" s="115">
        <v>45938</v>
      </c>
      <c r="B103" s="174">
        <v>1119</v>
      </c>
      <c r="C103" s="98">
        <v>107</v>
      </c>
      <c r="D103" s="98">
        <v>28.4</v>
      </c>
      <c r="E103" s="100">
        <v>29.08</v>
      </c>
      <c r="F103" s="98">
        <v>59.5</v>
      </c>
      <c r="G103" s="98">
        <v>34.1</v>
      </c>
      <c r="H103" s="100" t="s">
        <v>305</v>
      </c>
      <c r="I103" s="120">
        <v>1.2350000000000001</v>
      </c>
      <c r="J103" s="117">
        <v>1.31</v>
      </c>
      <c r="K103" s="116">
        <f t="shared" si="2"/>
        <v>36.645000000000003</v>
      </c>
      <c r="L103" s="116">
        <f t="shared" si="3"/>
        <v>22.854999999999997</v>
      </c>
      <c r="M103" s="98">
        <v>39.299999999999997</v>
      </c>
      <c r="N103" s="117">
        <v>6.01</v>
      </c>
    </row>
    <row r="104" spans="1:15" ht="15.95">
      <c r="A104" s="115">
        <v>45939</v>
      </c>
      <c r="B104" s="174">
        <v>1170</v>
      </c>
      <c r="C104" s="98">
        <v>111</v>
      </c>
      <c r="D104" s="98">
        <v>28.3</v>
      </c>
      <c r="E104" s="100">
        <v>28.15</v>
      </c>
      <c r="F104" s="98">
        <v>61.4</v>
      </c>
      <c r="G104" s="98">
        <v>36.200000000000003</v>
      </c>
      <c r="H104" s="100" t="s">
        <v>306</v>
      </c>
      <c r="I104" s="120">
        <v>0</v>
      </c>
      <c r="J104" s="117">
        <v>1.21</v>
      </c>
      <c r="K104" s="116">
        <f t="shared" si="2"/>
        <v>37.410000000000004</v>
      </c>
      <c r="L104" s="116">
        <f t="shared" si="3"/>
        <v>23.989999999999995</v>
      </c>
      <c r="M104" s="98">
        <v>44</v>
      </c>
      <c r="N104" s="117">
        <v>5.8</v>
      </c>
    </row>
    <row r="105" spans="1:15" ht="15.95">
      <c r="A105" s="115">
        <v>45940</v>
      </c>
      <c r="B105" s="174">
        <v>1187</v>
      </c>
      <c r="C105" s="98">
        <v>113</v>
      </c>
      <c r="D105" s="98">
        <v>28.9</v>
      </c>
      <c r="E105" s="100">
        <v>28.27</v>
      </c>
      <c r="F105" s="98">
        <v>63.5</v>
      </c>
      <c r="G105" s="98">
        <v>38.200000000000003</v>
      </c>
      <c r="H105" s="100" t="s">
        <v>307</v>
      </c>
      <c r="I105" s="120">
        <v>0</v>
      </c>
      <c r="J105" s="117">
        <v>1.37</v>
      </c>
      <c r="K105" s="116">
        <f t="shared" si="2"/>
        <v>39.57</v>
      </c>
      <c r="L105" s="116">
        <f t="shared" si="3"/>
        <v>23.93</v>
      </c>
      <c r="M105" s="98">
        <v>44.3</v>
      </c>
      <c r="N105" s="117">
        <v>6</v>
      </c>
    </row>
    <row r="106" spans="1:15" ht="15.95">
      <c r="A106" s="115">
        <v>45941</v>
      </c>
      <c r="B106" s="174">
        <v>1184</v>
      </c>
      <c r="C106" s="98">
        <v>113</v>
      </c>
      <c r="D106" s="98">
        <v>29.5</v>
      </c>
      <c r="E106" s="100">
        <v>28.39</v>
      </c>
      <c r="F106" s="98">
        <v>65.400000000000006</v>
      </c>
      <c r="G106" s="98">
        <v>40.299999999999997</v>
      </c>
      <c r="H106" s="100" t="s">
        <v>308</v>
      </c>
      <c r="I106" s="120">
        <v>0</v>
      </c>
      <c r="J106" s="117">
        <v>1.48</v>
      </c>
      <c r="K106" s="116">
        <f t="shared" si="2"/>
        <v>41.779999999999994</v>
      </c>
      <c r="L106" s="116">
        <f t="shared" si="3"/>
        <v>23.620000000000012</v>
      </c>
      <c r="M106" s="98">
        <v>44.3</v>
      </c>
      <c r="N106" s="117">
        <v>5.99</v>
      </c>
    </row>
    <row r="107" spans="1:15" ht="15.95">
      <c r="A107" s="115">
        <v>45942</v>
      </c>
      <c r="B107" s="174">
        <v>1189</v>
      </c>
      <c r="C107" s="98">
        <v>113</v>
      </c>
      <c r="D107" s="98">
        <v>29.4</v>
      </c>
      <c r="E107" s="100">
        <v>28.34</v>
      </c>
      <c r="F107" s="98">
        <v>65.400000000000006</v>
      </c>
      <c r="G107" s="98">
        <v>40.299999999999997</v>
      </c>
      <c r="H107" s="100" t="s">
        <v>309</v>
      </c>
      <c r="I107" s="120">
        <v>0</v>
      </c>
      <c r="J107" s="117">
        <v>1.45</v>
      </c>
      <c r="K107" s="116">
        <f t="shared" si="2"/>
        <v>41.75</v>
      </c>
      <c r="L107" s="116">
        <f t="shared" si="3"/>
        <v>23.650000000000006</v>
      </c>
      <c r="M107" s="98">
        <v>44.5</v>
      </c>
      <c r="N107" s="117">
        <v>5.82</v>
      </c>
    </row>
    <row r="108" spans="1:15" ht="15.95">
      <c r="A108" s="115">
        <v>45943</v>
      </c>
      <c r="B108" s="100"/>
      <c r="C108" s="98"/>
      <c r="D108" s="98"/>
      <c r="E108" s="100"/>
      <c r="F108" s="98">
        <v>65.099999999999994</v>
      </c>
      <c r="G108" s="98">
        <v>40.1</v>
      </c>
      <c r="H108" s="100"/>
      <c r="I108" s="120">
        <v>0</v>
      </c>
      <c r="J108" s="117">
        <v>1.34</v>
      </c>
      <c r="K108" s="116">
        <f t="shared" si="2"/>
        <v>41.440000000000005</v>
      </c>
      <c r="L108" s="116">
        <f t="shared" si="3"/>
        <v>23.659999999999989</v>
      </c>
      <c r="M108" s="98">
        <v>44.4</v>
      </c>
      <c r="N108" s="117">
        <v>5.86</v>
      </c>
    </row>
    <row r="109" spans="1:15" ht="15.95">
      <c r="A109" s="115">
        <v>45944</v>
      </c>
      <c r="B109" s="100"/>
      <c r="C109" s="98"/>
      <c r="D109" s="98"/>
      <c r="E109" s="100"/>
      <c r="F109" s="98">
        <v>65.599999999999994</v>
      </c>
      <c r="G109" s="98">
        <v>40.299999999999997</v>
      </c>
      <c r="H109" s="100"/>
      <c r="I109" s="120">
        <v>0</v>
      </c>
      <c r="J109" s="117">
        <v>1.38</v>
      </c>
      <c r="K109" s="116">
        <f t="shared" si="2"/>
        <v>41.68</v>
      </c>
      <c r="L109" s="116">
        <f t="shared" si="3"/>
        <v>23.919999999999995</v>
      </c>
      <c r="M109" s="98">
        <v>44.5</v>
      </c>
      <c r="N109" s="117">
        <v>6.14</v>
      </c>
    </row>
    <row r="110" spans="1:15" ht="15.95">
      <c r="A110" s="115">
        <v>45945</v>
      </c>
      <c r="B110" s="100"/>
      <c r="C110" s="98"/>
      <c r="D110" s="98"/>
      <c r="E110" s="100"/>
      <c r="F110" s="98">
        <v>65.900000000000006</v>
      </c>
      <c r="G110" s="98">
        <v>40.4</v>
      </c>
      <c r="H110" s="100"/>
      <c r="I110" s="120">
        <v>0</v>
      </c>
      <c r="J110" s="117">
        <v>1.38</v>
      </c>
      <c r="K110" s="116">
        <f t="shared" si="2"/>
        <v>41.78</v>
      </c>
      <c r="L110" s="116">
        <f t="shared" si="3"/>
        <v>24.120000000000005</v>
      </c>
      <c r="M110" s="98">
        <v>44.7</v>
      </c>
      <c r="N110" s="117">
        <v>6.23</v>
      </c>
    </row>
    <row r="111" spans="1:15" ht="15.95">
      <c r="A111" s="115">
        <v>45946</v>
      </c>
      <c r="B111" s="174">
        <v>1193</v>
      </c>
      <c r="C111" s="98">
        <v>114</v>
      </c>
      <c r="D111" s="98">
        <v>29.2</v>
      </c>
      <c r="E111" s="100">
        <v>28.23</v>
      </c>
      <c r="F111" s="98">
        <v>66.599999999999994</v>
      </c>
      <c r="G111" s="98">
        <v>41</v>
      </c>
      <c r="H111" s="100" t="s">
        <v>310</v>
      </c>
      <c r="I111" s="120">
        <v>0</v>
      </c>
      <c r="J111" s="117">
        <v>1.36</v>
      </c>
      <c r="K111" s="116">
        <f t="shared" si="2"/>
        <v>42.36</v>
      </c>
      <c r="L111" s="116">
        <f t="shared" si="3"/>
        <v>24.239999999999995</v>
      </c>
      <c r="M111" s="98">
        <v>44.6</v>
      </c>
      <c r="N111" s="117">
        <v>6.1</v>
      </c>
    </row>
    <row r="112" spans="1:15" ht="15.95">
      <c r="A112" s="115">
        <v>45947</v>
      </c>
      <c r="B112" s="174">
        <v>1193</v>
      </c>
      <c r="C112" s="98">
        <v>114</v>
      </c>
      <c r="D112" s="98">
        <v>29.5</v>
      </c>
      <c r="E112" s="100">
        <v>28.66</v>
      </c>
      <c r="F112" s="98">
        <v>65.8</v>
      </c>
      <c r="G112" s="98">
        <v>40.299999999999997</v>
      </c>
      <c r="H112" s="100" t="s">
        <v>310</v>
      </c>
      <c r="I112" s="120">
        <v>0</v>
      </c>
      <c r="J112" s="117">
        <v>1.33</v>
      </c>
      <c r="K112" s="116">
        <f t="shared" si="2"/>
        <v>41.629999999999995</v>
      </c>
      <c r="L112" s="116">
        <f t="shared" si="3"/>
        <v>24.17</v>
      </c>
      <c r="M112" s="98">
        <v>43.9</v>
      </c>
      <c r="N112" s="117">
        <v>6.09</v>
      </c>
    </row>
    <row r="113" spans="1:14" ht="15.95">
      <c r="A113" s="115">
        <v>45948</v>
      </c>
      <c r="B113" s="174">
        <v>1187</v>
      </c>
      <c r="C113" s="98">
        <v>113</v>
      </c>
      <c r="D113" s="98">
        <v>29.7</v>
      </c>
      <c r="E113" s="100">
        <v>29.69</v>
      </c>
      <c r="F113" s="98">
        <v>66.099999999999994</v>
      </c>
      <c r="G113" s="98">
        <v>40.5</v>
      </c>
      <c r="H113" s="100" t="s">
        <v>311</v>
      </c>
      <c r="I113" s="120">
        <v>0</v>
      </c>
      <c r="J113" s="117">
        <v>1.35</v>
      </c>
      <c r="K113" s="116">
        <f t="shared" si="2"/>
        <v>41.85</v>
      </c>
      <c r="L113" s="116">
        <f t="shared" si="3"/>
        <v>24.249999999999993</v>
      </c>
      <c r="M113" s="98">
        <v>44.5</v>
      </c>
      <c r="N113" s="117">
        <v>5.97</v>
      </c>
    </row>
    <row r="114" spans="1:14" ht="15.95">
      <c r="A114" s="115">
        <v>45949</v>
      </c>
      <c r="B114" s="174">
        <v>1137</v>
      </c>
      <c r="C114" s="98">
        <v>108</v>
      </c>
      <c r="D114" s="98">
        <v>29.3</v>
      </c>
      <c r="E114" s="100">
        <v>31.09</v>
      </c>
      <c r="F114" s="98">
        <v>65.900000000000006</v>
      </c>
      <c r="G114" s="98">
        <v>40.4</v>
      </c>
      <c r="H114" s="100" t="s">
        <v>312</v>
      </c>
      <c r="I114" s="120">
        <v>0</v>
      </c>
      <c r="J114" s="117">
        <v>1.4</v>
      </c>
      <c r="K114" s="116">
        <f t="shared" si="2"/>
        <v>41.8</v>
      </c>
      <c r="L114" s="116">
        <f t="shared" si="3"/>
        <v>24.100000000000009</v>
      </c>
      <c r="M114" s="98">
        <v>44.1</v>
      </c>
      <c r="N114" s="117">
        <v>6.13</v>
      </c>
    </row>
    <row r="115" spans="1:14" ht="15.95">
      <c r="A115" s="115">
        <v>45950</v>
      </c>
      <c r="B115" s="174">
        <v>1191</v>
      </c>
      <c r="C115" s="98">
        <v>113</v>
      </c>
      <c r="D115" s="98">
        <v>28.4</v>
      </c>
      <c r="E115" s="100">
        <v>30.62</v>
      </c>
      <c r="F115" s="98">
        <v>64.900000000000006</v>
      </c>
      <c r="G115" s="98">
        <v>39.700000000000003</v>
      </c>
      <c r="H115" s="100" t="s">
        <v>313</v>
      </c>
      <c r="I115" s="120">
        <v>0</v>
      </c>
      <c r="J115" s="117">
        <v>1.2</v>
      </c>
      <c r="K115" s="116">
        <f t="shared" si="2"/>
        <v>40.900000000000006</v>
      </c>
      <c r="L115" s="116">
        <f t="shared" si="3"/>
        <v>24</v>
      </c>
      <c r="M115" s="98">
        <v>43.8</v>
      </c>
      <c r="N115" s="117">
        <v>6.04</v>
      </c>
    </row>
    <row r="116" spans="1:14" ht="15.95">
      <c r="A116" s="115">
        <v>45951</v>
      </c>
      <c r="B116" s="174">
        <v>1165</v>
      </c>
      <c r="C116" s="98">
        <v>111</v>
      </c>
      <c r="D116" s="98">
        <v>27.9</v>
      </c>
      <c r="E116" s="100">
        <v>32.049999999999997</v>
      </c>
      <c r="F116" s="98">
        <v>66.400000000000006</v>
      </c>
      <c r="G116" s="98">
        <v>40.5</v>
      </c>
      <c r="H116" s="100" t="s">
        <v>314</v>
      </c>
      <c r="I116" s="120">
        <v>0</v>
      </c>
      <c r="J116" s="117">
        <v>1.33</v>
      </c>
      <c r="K116" s="116">
        <f t="shared" si="2"/>
        <v>41.83</v>
      </c>
      <c r="L116" s="116">
        <f t="shared" si="3"/>
        <v>24.570000000000007</v>
      </c>
      <c r="M116" s="98">
        <v>44.2</v>
      </c>
      <c r="N116" s="117">
        <v>5.98</v>
      </c>
    </row>
    <row r="117" spans="1:14" ht="15.95">
      <c r="A117" s="115">
        <v>45952</v>
      </c>
      <c r="B117" s="174">
        <v>1151</v>
      </c>
      <c r="C117" s="98">
        <v>110</v>
      </c>
      <c r="D117" s="98">
        <v>27.1</v>
      </c>
      <c r="E117" s="100">
        <v>32.200000000000003</v>
      </c>
      <c r="F117" s="98">
        <v>65.8</v>
      </c>
      <c r="G117" s="98">
        <v>40.200000000000003</v>
      </c>
      <c r="H117" s="100" t="s">
        <v>314</v>
      </c>
      <c r="I117" s="120">
        <v>0</v>
      </c>
      <c r="J117" s="117">
        <v>1.3</v>
      </c>
      <c r="K117" s="116">
        <f t="shared" si="2"/>
        <v>41.5</v>
      </c>
      <c r="L117" s="116">
        <f t="shared" si="3"/>
        <v>24.299999999999997</v>
      </c>
      <c r="M117" s="98">
        <v>43.9</v>
      </c>
      <c r="N117" s="117">
        <v>5.79</v>
      </c>
    </row>
    <row r="118" spans="1:14" ht="15.95">
      <c r="A118" s="115">
        <v>45953</v>
      </c>
      <c r="B118" s="174">
        <v>1168</v>
      </c>
      <c r="C118" s="98">
        <v>111</v>
      </c>
      <c r="D118" s="98">
        <v>27.6</v>
      </c>
      <c r="E118" s="100">
        <v>29.91</v>
      </c>
      <c r="F118" s="98"/>
      <c r="G118" s="98"/>
      <c r="H118" s="100" t="s">
        <v>315</v>
      </c>
      <c r="I118" s="120"/>
      <c r="J118" s="117"/>
      <c r="K118" s="116">
        <f t="shared" si="2"/>
        <v>0</v>
      </c>
      <c r="L118" s="116">
        <f t="shared" si="3"/>
        <v>0</v>
      </c>
      <c r="M118" s="98"/>
      <c r="N118" s="117"/>
    </row>
    <row r="119" spans="1:14" ht="15.95">
      <c r="A119" s="115">
        <v>45954</v>
      </c>
      <c r="B119" s="174">
        <v>1161</v>
      </c>
      <c r="C119" s="98">
        <v>111</v>
      </c>
      <c r="D119" s="98">
        <v>28.4</v>
      </c>
      <c r="E119" s="100">
        <v>30.04</v>
      </c>
      <c r="F119" s="98"/>
      <c r="G119" s="98"/>
      <c r="H119" s="100" t="s">
        <v>316</v>
      </c>
      <c r="I119" s="120"/>
      <c r="J119" s="117"/>
      <c r="K119" s="116">
        <f t="shared" si="2"/>
        <v>0</v>
      </c>
      <c r="L119" s="116">
        <f t="shared" si="3"/>
        <v>0</v>
      </c>
      <c r="M119" s="98"/>
      <c r="N119" s="117"/>
    </row>
    <row r="120" spans="1:14" ht="15.95">
      <c r="A120" s="115">
        <v>45955</v>
      </c>
      <c r="B120" s="174">
        <v>1156</v>
      </c>
      <c r="C120" s="98">
        <v>110</v>
      </c>
      <c r="D120" s="98">
        <v>28.7</v>
      </c>
      <c r="E120" s="100">
        <v>30.23</v>
      </c>
      <c r="F120" s="98"/>
      <c r="G120" s="98"/>
      <c r="H120" s="100" t="s">
        <v>317</v>
      </c>
      <c r="I120" s="120"/>
      <c r="J120" s="117"/>
      <c r="K120" s="116">
        <f t="shared" si="2"/>
        <v>0</v>
      </c>
      <c r="L120" s="116">
        <f t="shared" si="3"/>
        <v>0</v>
      </c>
      <c r="M120" s="98"/>
      <c r="N120" s="117"/>
    </row>
    <row r="121" spans="1:14" ht="15.95">
      <c r="A121" s="115">
        <v>45956</v>
      </c>
      <c r="B121" s="174">
        <v>1131</v>
      </c>
      <c r="C121" s="98">
        <v>108</v>
      </c>
      <c r="D121" s="98">
        <v>28.6</v>
      </c>
      <c r="E121" s="100">
        <v>30.68</v>
      </c>
      <c r="F121" s="98"/>
      <c r="G121" s="98"/>
      <c r="H121" s="100" t="s">
        <v>318</v>
      </c>
      <c r="I121" s="120"/>
      <c r="J121" s="117"/>
      <c r="K121" s="116">
        <f t="shared" si="2"/>
        <v>0</v>
      </c>
      <c r="L121" s="116">
        <f t="shared" si="3"/>
        <v>0</v>
      </c>
      <c r="M121" s="98"/>
      <c r="N121" s="117"/>
    </row>
    <row r="122" spans="1:14" ht="15.95">
      <c r="A122" s="115">
        <v>45957</v>
      </c>
      <c r="B122" s="174">
        <v>1119</v>
      </c>
      <c r="C122" s="98">
        <v>107</v>
      </c>
      <c r="D122" s="98">
        <v>28.6</v>
      </c>
      <c r="E122" s="100">
        <v>29.93</v>
      </c>
      <c r="F122" s="98"/>
      <c r="G122" s="98"/>
      <c r="H122" s="100" t="s">
        <v>319</v>
      </c>
      <c r="I122" s="120"/>
      <c r="J122" s="117"/>
      <c r="K122" s="116">
        <f t="shared" si="2"/>
        <v>0</v>
      </c>
      <c r="L122" s="116">
        <f t="shared" si="3"/>
        <v>0</v>
      </c>
      <c r="M122" s="98"/>
      <c r="N122" s="117"/>
    </row>
    <row r="123" spans="1:14" ht="15.95">
      <c r="A123" s="115">
        <v>45958</v>
      </c>
      <c r="B123" s="174">
        <v>1109</v>
      </c>
      <c r="C123" s="98">
        <v>106</v>
      </c>
      <c r="D123" s="98">
        <v>28.1</v>
      </c>
      <c r="E123" s="100">
        <v>29.78</v>
      </c>
      <c r="F123" s="98"/>
      <c r="G123" s="98"/>
      <c r="H123" s="100" t="s">
        <v>320</v>
      </c>
      <c r="I123" s="120"/>
      <c r="J123" s="117"/>
      <c r="K123" s="116">
        <f t="shared" si="2"/>
        <v>0</v>
      </c>
      <c r="L123" s="116">
        <f t="shared" si="3"/>
        <v>0</v>
      </c>
      <c r="M123" s="98"/>
      <c r="N123" s="117"/>
    </row>
    <row r="124" spans="1:14" ht="15.95">
      <c r="A124" s="115">
        <v>45959</v>
      </c>
      <c r="B124" s="100">
        <v>333</v>
      </c>
      <c r="C124" s="98">
        <v>32</v>
      </c>
      <c r="D124" s="98">
        <v>27.6</v>
      </c>
      <c r="E124" s="100">
        <v>80.11</v>
      </c>
      <c r="F124" s="98"/>
      <c r="G124" s="98"/>
      <c r="H124" s="100" t="s">
        <v>321</v>
      </c>
      <c r="I124" s="120"/>
      <c r="J124" s="117"/>
      <c r="K124" s="116">
        <f t="shared" si="2"/>
        <v>0</v>
      </c>
      <c r="L124" s="116">
        <f t="shared" si="3"/>
        <v>0</v>
      </c>
      <c r="M124" s="98"/>
      <c r="N124" s="117"/>
    </row>
    <row r="125" spans="1:14" ht="15.95">
      <c r="A125" s="115">
        <v>45960</v>
      </c>
      <c r="B125" s="174">
        <v>1088</v>
      </c>
      <c r="C125" s="98">
        <v>104</v>
      </c>
      <c r="D125" s="98">
        <v>28.4</v>
      </c>
      <c r="E125" s="100">
        <v>29.91</v>
      </c>
      <c r="F125" s="98"/>
      <c r="G125" s="98"/>
      <c r="H125" s="100" t="s">
        <v>322</v>
      </c>
      <c r="I125" s="120"/>
      <c r="J125" s="117"/>
      <c r="K125" s="116">
        <f t="shared" si="2"/>
        <v>0</v>
      </c>
      <c r="L125" s="116">
        <f t="shared" si="3"/>
        <v>0</v>
      </c>
      <c r="M125" s="98"/>
      <c r="N125" s="117"/>
    </row>
    <row r="126" spans="1:14" ht="15.95">
      <c r="A126" s="115">
        <v>45961</v>
      </c>
      <c r="B126" s="174">
        <v>1133</v>
      </c>
      <c r="C126" s="98">
        <v>108</v>
      </c>
      <c r="D126" s="98">
        <v>28.5</v>
      </c>
      <c r="E126" s="100">
        <v>29.26</v>
      </c>
      <c r="F126" s="98">
        <v>62.2</v>
      </c>
      <c r="G126" s="98">
        <v>37</v>
      </c>
      <c r="H126" s="100" t="s">
        <v>323</v>
      </c>
      <c r="I126" s="120">
        <v>0</v>
      </c>
      <c r="J126" s="117">
        <v>1.3</v>
      </c>
      <c r="K126" s="116">
        <v>39</v>
      </c>
      <c r="L126" s="116">
        <v>23</v>
      </c>
      <c r="M126" s="98"/>
      <c r="N126" s="117"/>
    </row>
    <row r="127" spans="1:14" ht="15.95">
      <c r="A127" s="115">
        <v>45962</v>
      </c>
      <c r="B127" s="100"/>
      <c r="C127" s="98"/>
      <c r="D127" s="98"/>
      <c r="E127" s="100"/>
      <c r="F127" s="98"/>
      <c r="G127" s="98"/>
      <c r="H127" s="100"/>
      <c r="I127" s="120"/>
      <c r="J127" s="117"/>
      <c r="K127" s="116">
        <f t="shared" si="2"/>
        <v>0</v>
      </c>
      <c r="L127" s="116">
        <f t="shared" si="3"/>
        <v>0</v>
      </c>
      <c r="M127" s="98"/>
      <c r="N127" s="117"/>
    </row>
    <row r="128" spans="1:14" ht="15.95">
      <c r="A128" s="115">
        <v>45963</v>
      </c>
      <c r="B128" s="100"/>
      <c r="C128" s="98"/>
      <c r="D128" s="98"/>
      <c r="E128" s="100"/>
      <c r="F128" s="98"/>
      <c r="G128" s="98"/>
      <c r="H128" s="100"/>
      <c r="I128" s="120"/>
      <c r="J128" s="117"/>
      <c r="K128" s="116">
        <f t="shared" si="2"/>
        <v>0</v>
      </c>
      <c r="L128" s="116">
        <f t="shared" si="3"/>
        <v>0</v>
      </c>
      <c r="M128" s="98"/>
      <c r="N128" s="117"/>
    </row>
    <row r="129" spans="1:14" ht="15.95">
      <c r="A129" s="115">
        <v>45964</v>
      </c>
      <c r="B129" s="100"/>
      <c r="C129" s="98"/>
      <c r="D129" s="98"/>
      <c r="E129" s="100"/>
      <c r="F129" s="98"/>
      <c r="G129" s="98"/>
      <c r="H129" s="100"/>
      <c r="I129" s="120"/>
      <c r="J129" s="117"/>
      <c r="K129" s="116">
        <f t="shared" si="2"/>
        <v>0</v>
      </c>
      <c r="L129" s="116">
        <f t="shared" si="3"/>
        <v>0</v>
      </c>
      <c r="M129" s="98"/>
      <c r="N129" s="117"/>
    </row>
    <row r="130" spans="1:14" ht="15.95">
      <c r="A130" s="115">
        <v>45965</v>
      </c>
      <c r="B130" s="100"/>
      <c r="C130" s="98"/>
      <c r="D130" s="98"/>
      <c r="E130" s="100"/>
      <c r="F130" s="98"/>
      <c r="G130" s="98"/>
      <c r="H130" s="100"/>
      <c r="I130" s="120"/>
      <c r="J130" s="117"/>
      <c r="K130" s="116">
        <f t="shared" si="2"/>
        <v>0</v>
      </c>
      <c r="L130" s="116">
        <f t="shared" si="3"/>
        <v>0</v>
      </c>
      <c r="M130" s="98"/>
      <c r="N130" s="117"/>
    </row>
    <row r="131" spans="1:14" ht="15.95">
      <c r="A131" s="115">
        <v>45966</v>
      </c>
      <c r="B131" s="100"/>
      <c r="C131" s="98"/>
      <c r="D131" s="98"/>
      <c r="E131" s="100"/>
      <c r="F131" s="98"/>
      <c r="G131" s="98"/>
      <c r="H131" s="100"/>
      <c r="I131" s="120"/>
      <c r="J131" s="117"/>
      <c r="K131" s="116">
        <f t="shared" si="2"/>
        <v>0</v>
      </c>
      <c r="L131" s="116">
        <f t="shared" si="3"/>
        <v>0</v>
      </c>
      <c r="M131" s="98"/>
      <c r="N131" s="117"/>
    </row>
    <row r="132" spans="1:14" ht="15.95">
      <c r="A132" s="115">
        <v>45967</v>
      </c>
      <c r="B132" s="100"/>
      <c r="C132" s="98"/>
      <c r="D132" s="98"/>
      <c r="E132" s="100"/>
      <c r="F132" s="98"/>
      <c r="G132" s="98"/>
      <c r="H132" s="100"/>
      <c r="I132" s="120"/>
      <c r="J132" s="117"/>
      <c r="K132" s="116">
        <f t="shared" si="2"/>
        <v>0</v>
      </c>
      <c r="L132" s="116">
        <f t="shared" si="3"/>
        <v>0</v>
      </c>
      <c r="M132" s="98"/>
      <c r="N132" s="117"/>
    </row>
    <row r="133" spans="1:14" ht="15.95">
      <c r="A133" s="115">
        <v>45968</v>
      </c>
      <c r="B133" s="100"/>
      <c r="C133" s="98"/>
      <c r="D133" s="98"/>
      <c r="E133" s="100"/>
      <c r="F133" s="98"/>
      <c r="G133" s="98"/>
      <c r="H133" s="100"/>
      <c r="I133" s="120"/>
      <c r="J133" s="117"/>
      <c r="K133" s="116">
        <f t="shared" ref="K133:K147" si="4">G133+I133+J133</f>
        <v>0</v>
      </c>
      <c r="L133" s="116">
        <f t="shared" ref="L133:L147" si="5">F133-K133</f>
        <v>0</v>
      </c>
      <c r="M133" s="98"/>
      <c r="N133" s="117"/>
    </row>
    <row r="134" spans="1:14" ht="15.95">
      <c r="A134" s="115">
        <v>45969</v>
      </c>
      <c r="B134" s="100"/>
      <c r="C134" s="98"/>
      <c r="D134" s="98"/>
      <c r="E134" s="100"/>
      <c r="F134" s="98"/>
      <c r="G134" s="98"/>
      <c r="H134" s="100"/>
      <c r="I134" s="120"/>
      <c r="J134" s="117"/>
      <c r="K134" s="116">
        <f t="shared" si="4"/>
        <v>0</v>
      </c>
      <c r="L134" s="116">
        <f t="shared" si="5"/>
        <v>0</v>
      </c>
      <c r="M134" s="98"/>
      <c r="N134" s="117"/>
    </row>
    <row r="135" spans="1:14" ht="15.95">
      <c r="A135" s="115">
        <v>45970</v>
      </c>
      <c r="B135" s="100"/>
      <c r="C135" s="98"/>
      <c r="D135" s="98"/>
      <c r="E135" s="100"/>
      <c r="F135" s="98"/>
      <c r="G135" s="98"/>
      <c r="H135" s="100"/>
      <c r="I135" s="120"/>
      <c r="J135" s="117"/>
      <c r="K135" s="116">
        <f t="shared" si="4"/>
        <v>0</v>
      </c>
      <c r="L135" s="116">
        <f t="shared" si="5"/>
        <v>0</v>
      </c>
      <c r="M135" s="98"/>
      <c r="N135" s="117"/>
    </row>
    <row r="136" spans="1:14" ht="15.95">
      <c r="A136" s="115">
        <v>45971</v>
      </c>
      <c r="B136" s="100"/>
      <c r="C136" s="98"/>
      <c r="D136" s="98"/>
      <c r="E136" s="100"/>
      <c r="F136" s="98"/>
      <c r="G136" s="98"/>
      <c r="H136" s="100"/>
      <c r="I136" s="120"/>
      <c r="J136" s="117"/>
      <c r="K136" s="116">
        <f t="shared" si="4"/>
        <v>0</v>
      </c>
      <c r="L136" s="116">
        <f t="shared" si="5"/>
        <v>0</v>
      </c>
      <c r="M136" s="98"/>
      <c r="N136" s="117"/>
    </row>
    <row r="137" spans="1:14" ht="15.95">
      <c r="A137" s="115">
        <v>45972</v>
      </c>
      <c r="B137" s="100"/>
      <c r="C137" s="98"/>
      <c r="D137" s="98"/>
      <c r="E137" s="100"/>
      <c r="F137" s="98"/>
      <c r="G137" s="98"/>
      <c r="H137" s="100"/>
      <c r="I137" s="120"/>
      <c r="J137" s="117"/>
      <c r="K137" s="116">
        <f t="shared" si="4"/>
        <v>0</v>
      </c>
      <c r="L137" s="116">
        <f t="shared" si="5"/>
        <v>0</v>
      </c>
      <c r="M137" s="98"/>
      <c r="N137" s="117"/>
    </row>
    <row r="138" spans="1:14" ht="15.95">
      <c r="A138" s="115">
        <v>45973</v>
      </c>
      <c r="B138" s="100"/>
      <c r="C138" s="98"/>
      <c r="D138" s="98"/>
      <c r="E138" s="100"/>
      <c r="F138" s="98"/>
      <c r="G138" s="98"/>
      <c r="H138" s="100"/>
      <c r="I138" s="120"/>
      <c r="J138" s="117"/>
      <c r="K138" s="116">
        <f t="shared" si="4"/>
        <v>0</v>
      </c>
      <c r="L138" s="116">
        <f t="shared" si="5"/>
        <v>0</v>
      </c>
      <c r="M138" s="98"/>
      <c r="N138" s="117"/>
    </row>
    <row r="139" spans="1:14" ht="15.95">
      <c r="A139" s="115">
        <v>45974</v>
      </c>
      <c r="B139" s="100"/>
      <c r="C139" s="98"/>
      <c r="D139" s="98"/>
      <c r="E139" s="100"/>
      <c r="F139" s="98"/>
      <c r="G139" s="98"/>
      <c r="H139" s="100"/>
      <c r="I139" s="120"/>
      <c r="J139" s="117"/>
      <c r="K139" s="116">
        <f t="shared" si="4"/>
        <v>0</v>
      </c>
      <c r="L139" s="116">
        <f t="shared" si="5"/>
        <v>0</v>
      </c>
      <c r="M139" s="98"/>
      <c r="N139" s="117"/>
    </row>
    <row r="140" spans="1:14" ht="15.95">
      <c r="A140" s="115">
        <v>45975</v>
      </c>
      <c r="B140" s="100"/>
      <c r="C140" s="98"/>
      <c r="D140" s="98"/>
      <c r="E140" s="100"/>
      <c r="F140" s="98"/>
      <c r="G140" s="98"/>
      <c r="H140" s="100"/>
      <c r="I140" s="120"/>
      <c r="J140" s="117"/>
      <c r="K140" s="116">
        <f t="shared" si="4"/>
        <v>0</v>
      </c>
      <c r="L140" s="116">
        <f t="shared" si="5"/>
        <v>0</v>
      </c>
      <c r="M140" s="98"/>
      <c r="N140" s="117"/>
    </row>
    <row r="141" spans="1:14" ht="15.95">
      <c r="A141" s="115">
        <v>45976</v>
      </c>
      <c r="B141" s="100"/>
      <c r="C141" s="98"/>
      <c r="D141" s="98"/>
      <c r="E141" s="100"/>
      <c r="F141" s="98"/>
      <c r="G141" s="98"/>
      <c r="H141" s="100"/>
      <c r="I141" s="120"/>
      <c r="J141" s="117"/>
      <c r="K141" s="116">
        <f t="shared" si="4"/>
        <v>0</v>
      </c>
      <c r="L141" s="116">
        <f t="shared" si="5"/>
        <v>0</v>
      </c>
      <c r="M141" s="98"/>
      <c r="N141" s="117"/>
    </row>
    <row r="142" spans="1:14" ht="15.95">
      <c r="A142" s="115">
        <v>45977</v>
      </c>
      <c r="B142" s="100"/>
      <c r="C142" s="98"/>
      <c r="D142" s="98"/>
      <c r="E142" s="100"/>
      <c r="F142" s="98"/>
      <c r="G142" s="98"/>
      <c r="H142" s="100"/>
      <c r="I142" s="120"/>
      <c r="J142" s="117"/>
      <c r="K142" s="116">
        <f t="shared" si="4"/>
        <v>0</v>
      </c>
      <c r="L142" s="116">
        <f t="shared" si="5"/>
        <v>0</v>
      </c>
      <c r="M142" s="98"/>
      <c r="N142" s="117"/>
    </row>
    <row r="143" spans="1:14" ht="15.95">
      <c r="A143" s="115">
        <v>45978</v>
      </c>
      <c r="B143" s="100"/>
      <c r="C143" s="98"/>
      <c r="D143" s="98"/>
      <c r="E143" s="100"/>
      <c r="F143" s="98"/>
      <c r="G143" s="98"/>
      <c r="H143" s="100"/>
      <c r="I143" s="120"/>
      <c r="J143" s="117"/>
      <c r="K143" s="116">
        <f t="shared" si="4"/>
        <v>0</v>
      </c>
      <c r="L143" s="116">
        <f t="shared" si="5"/>
        <v>0</v>
      </c>
      <c r="M143" s="98"/>
      <c r="N143" s="117"/>
    </row>
    <row r="144" spans="1:14" ht="15.95">
      <c r="A144" s="115">
        <v>45979</v>
      </c>
      <c r="B144" s="100"/>
      <c r="C144" s="98"/>
      <c r="D144" s="98"/>
      <c r="E144" s="100"/>
      <c r="F144" s="98"/>
      <c r="G144" s="98"/>
      <c r="H144" s="100"/>
      <c r="I144" s="120"/>
      <c r="J144" s="117"/>
      <c r="K144" s="116">
        <f t="shared" si="4"/>
        <v>0</v>
      </c>
      <c r="L144" s="116">
        <f t="shared" si="5"/>
        <v>0</v>
      </c>
      <c r="M144" s="98"/>
      <c r="N144" s="117"/>
    </row>
    <row r="145" spans="1:14" ht="15.95">
      <c r="A145" s="115">
        <v>45980</v>
      </c>
      <c r="B145" s="100"/>
      <c r="C145" s="98"/>
      <c r="D145" s="98"/>
      <c r="E145" s="100"/>
      <c r="F145" s="98"/>
      <c r="G145" s="98"/>
      <c r="H145" s="100"/>
      <c r="I145" s="120"/>
      <c r="J145" s="117"/>
      <c r="K145" s="116">
        <f t="shared" si="4"/>
        <v>0</v>
      </c>
      <c r="L145" s="116">
        <f t="shared" si="5"/>
        <v>0</v>
      </c>
      <c r="M145" s="98"/>
      <c r="N145" s="117"/>
    </row>
    <row r="146" spans="1:14" ht="15.95">
      <c r="A146" s="115">
        <v>45981</v>
      </c>
      <c r="B146" s="100"/>
      <c r="C146" s="98"/>
      <c r="D146" s="98"/>
      <c r="E146" s="100"/>
      <c r="F146" s="98"/>
      <c r="G146" s="98"/>
      <c r="H146" s="100"/>
      <c r="I146" s="120"/>
      <c r="J146" s="117"/>
      <c r="K146" s="116">
        <f t="shared" si="4"/>
        <v>0</v>
      </c>
      <c r="L146" s="116">
        <f t="shared" si="5"/>
        <v>0</v>
      </c>
      <c r="M146" s="98"/>
      <c r="N146" s="117"/>
    </row>
    <row r="147" spans="1:14" ht="15.95">
      <c r="A147" s="115">
        <v>45982</v>
      </c>
      <c r="B147" s="100"/>
      <c r="C147" s="98"/>
      <c r="D147" s="98"/>
      <c r="E147" s="100"/>
      <c r="F147" s="98"/>
      <c r="G147" s="98"/>
      <c r="H147" s="100"/>
      <c r="I147" s="120"/>
      <c r="J147" s="117"/>
      <c r="K147" s="116">
        <f t="shared" si="4"/>
        <v>0</v>
      </c>
      <c r="L147" s="116">
        <f t="shared" si="5"/>
        <v>0</v>
      </c>
      <c r="M147" s="98"/>
      <c r="N147" s="117"/>
    </row>
    <row r="148" spans="1:14" ht="15.95">
      <c r="A148" s="115">
        <v>45983</v>
      </c>
      <c r="B148" s="100"/>
      <c r="C148" s="98"/>
      <c r="D148" s="98"/>
      <c r="E148" s="100"/>
      <c r="F148" s="98"/>
      <c r="G148" s="98"/>
      <c r="H148" s="100"/>
      <c r="I148" s="120"/>
      <c r="J148" s="117"/>
      <c r="K148" s="116">
        <f t="shared" ref="K148:K211" si="6">G148+I148+J148</f>
        <v>0</v>
      </c>
      <c r="L148" s="116">
        <f t="shared" ref="L148:L211" si="7">F148-K148</f>
        <v>0</v>
      </c>
      <c r="M148" s="98"/>
      <c r="N148" s="117"/>
    </row>
    <row r="149" spans="1:14" ht="15.95">
      <c r="A149" s="115">
        <v>45984</v>
      </c>
      <c r="B149" s="100"/>
      <c r="C149" s="98"/>
      <c r="D149" s="98"/>
      <c r="E149" s="100"/>
      <c r="F149" s="98"/>
      <c r="G149" s="98"/>
      <c r="H149" s="100"/>
      <c r="I149" s="120"/>
      <c r="J149" s="117"/>
      <c r="K149" s="116">
        <f t="shared" si="6"/>
        <v>0</v>
      </c>
      <c r="L149" s="116">
        <f t="shared" si="7"/>
        <v>0</v>
      </c>
      <c r="M149" s="98"/>
      <c r="N149" s="117"/>
    </row>
    <row r="150" spans="1:14" ht="15.95">
      <c r="A150" s="115">
        <v>45985</v>
      </c>
      <c r="B150" s="100"/>
      <c r="C150" s="98"/>
      <c r="D150" s="98"/>
      <c r="E150" s="100"/>
      <c r="F150" s="98"/>
      <c r="G150" s="98"/>
      <c r="H150" s="100"/>
      <c r="I150" s="120"/>
      <c r="J150" s="117"/>
      <c r="K150" s="116">
        <f t="shared" si="6"/>
        <v>0</v>
      </c>
      <c r="L150" s="116">
        <f t="shared" si="7"/>
        <v>0</v>
      </c>
      <c r="M150" s="98"/>
      <c r="N150" s="117"/>
    </row>
    <row r="151" spans="1:14" ht="15.95">
      <c r="A151" s="115">
        <v>45986</v>
      </c>
      <c r="B151" s="100"/>
      <c r="C151" s="98"/>
      <c r="D151" s="98"/>
      <c r="E151" s="100"/>
      <c r="F151" s="98"/>
      <c r="G151" s="98"/>
      <c r="H151" s="100"/>
      <c r="I151" s="120"/>
      <c r="J151" s="117"/>
      <c r="K151" s="116">
        <f t="shared" si="6"/>
        <v>0</v>
      </c>
      <c r="L151" s="116">
        <f t="shared" si="7"/>
        <v>0</v>
      </c>
      <c r="M151" s="98"/>
      <c r="N151" s="117"/>
    </row>
    <row r="152" spans="1:14" ht="15.95">
      <c r="A152" s="115">
        <v>45987</v>
      </c>
      <c r="B152" s="100"/>
      <c r="C152" s="98"/>
      <c r="D152" s="98"/>
      <c r="E152" s="100"/>
      <c r="F152" s="98"/>
      <c r="G152" s="98"/>
      <c r="H152" s="100"/>
      <c r="I152" s="120"/>
      <c r="J152" s="117"/>
      <c r="K152" s="116">
        <f t="shared" si="6"/>
        <v>0</v>
      </c>
      <c r="L152" s="116">
        <f t="shared" si="7"/>
        <v>0</v>
      </c>
      <c r="M152" s="98"/>
      <c r="N152" s="117"/>
    </row>
    <row r="153" spans="1:14" ht="15.95">
      <c r="A153" s="115">
        <v>45988</v>
      </c>
      <c r="B153" s="100"/>
      <c r="C153" s="98"/>
      <c r="D153" s="98"/>
      <c r="E153" s="100"/>
      <c r="F153" s="98"/>
      <c r="G153" s="98"/>
      <c r="H153" s="100"/>
      <c r="I153" s="120"/>
      <c r="J153" s="117"/>
      <c r="K153" s="116">
        <f t="shared" si="6"/>
        <v>0</v>
      </c>
      <c r="L153" s="116">
        <f t="shared" si="7"/>
        <v>0</v>
      </c>
      <c r="M153" s="98"/>
      <c r="N153" s="117"/>
    </row>
    <row r="154" spans="1:14" ht="15.95">
      <c r="A154" s="115">
        <v>45989</v>
      </c>
      <c r="B154" s="100"/>
      <c r="C154" s="98"/>
      <c r="D154" s="98"/>
      <c r="E154" s="100"/>
      <c r="F154" s="98"/>
      <c r="G154" s="98"/>
      <c r="H154" s="100"/>
      <c r="I154" s="120"/>
      <c r="J154" s="117"/>
      <c r="K154" s="116">
        <f t="shared" si="6"/>
        <v>0</v>
      </c>
      <c r="L154" s="116">
        <f t="shared" si="7"/>
        <v>0</v>
      </c>
      <c r="M154" s="98"/>
      <c r="N154" s="117"/>
    </row>
    <row r="155" spans="1:14" ht="15.95">
      <c r="A155" s="115">
        <v>45990</v>
      </c>
      <c r="B155" s="100"/>
      <c r="C155" s="98"/>
      <c r="D155" s="98"/>
      <c r="E155" s="100"/>
      <c r="F155" s="98"/>
      <c r="G155" s="98"/>
      <c r="H155" s="100"/>
      <c r="I155" s="120"/>
      <c r="J155" s="117"/>
      <c r="K155" s="116">
        <f t="shared" si="6"/>
        <v>0</v>
      </c>
      <c r="L155" s="116">
        <f t="shared" si="7"/>
        <v>0</v>
      </c>
      <c r="M155" s="98"/>
      <c r="N155" s="117"/>
    </row>
    <row r="156" spans="1:14" ht="15.95">
      <c r="A156" s="115">
        <v>45991</v>
      </c>
      <c r="B156" s="100"/>
      <c r="C156" s="98"/>
      <c r="D156" s="98"/>
      <c r="E156" s="100"/>
      <c r="F156" s="98"/>
      <c r="G156" s="98"/>
      <c r="H156" s="100"/>
      <c r="I156" s="120"/>
      <c r="J156" s="117"/>
      <c r="K156" s="116">
        <f t="shared" si="6"/>
        <v>0</v>
      </c>
      <c r="L156" s="116">
        <f t="shared" si="7"/>
        <v>0</v>
      </c>
      <c r="M156" s="98"/>
      <c r="N156" s="117"/>
    </row>
    <row r="157" spans="1:14" ht="15.95">
      <c r="A157" s="115">
        <v>45992</v>
      </c>
      <c r="B157" s="100"/>
      <c r="C157" s="98"/>
      <c r="D157" s="98"/>
      <c r="E157" s="100"/>
      <c r="F157" s="98"/>
      <c r="G157" s="98"/>
      <c r="H157" s="100"/>
      <c r="I157" s="120"/>
      <c r="J157" s="117"/>
      <c r="K157" s="116">
        <f t="shared" si="6"/>
        <v>0</v>
      </c>
      <c r="L157" s="116">
        <f t="shared" si="7"/>
        <v>0</v>
      </c>
      <c r="M157" s="98"/>
      <c r="N157" s="117"/>
    </row>
    <row r="158" spans="1:14" ht="15.95">
      <c r="A158" s="115">
        <v>45993</v>
      </c>
      <c r="B158" s="100"/>
      <c r="C158" s="98"/>
      <c r="D158" s="98"/>
      <c r="E158" s="100"/>
      <c r="F158" s="98"/>
      <c r="G158" s="98"/>
      <c r="H158" s="100"/>
      <c r="I158" s="120"/>
      <c r="J158" s="117"/>
      <c r="K158" s="116">
        <f t="shared" si="6"/>
        <v>0</v>
      </c>
      <c r="L158" s="116">
        <f t="shared" si="7"/>
        <v>0</v>
      </c>
      <c r="M158" s="98"/>
      <c r="N158" s="117"/>
    </row>
    <row r="159" spans="1:14" ht="15.95">
      <c r="A159" s="115">
        <v>45994</v>
      </c>
      <c r="B159" s="100"/>
      <c r="C159" s="98"/>
      <c r="D159" s="98"/>
      <c r="E159" s="100"/>
      <c r="F159" s="98"/>
      <c r="G159" s="98"/>
      <c r="H159" s="100"/>
      <c r="I159" s="120"/>
      <c r="J159" s="117"/>
      <c r="K159" s="116">
        <f t="shared" si="6"/>
        <v>0</v>
      </c>
      <c r="L159" s="116">
        <f t="shared" si="7"/>
        <v>0</v>
      </c>
      <c r="M159" s="98"/>
      <c r="N159" s="117"/>
    </row>
    <row r="160" spans="1:14" ht="15.95">
      <c r="A160" s="115">
        <v>45995</v>
      </c>
      <c r="B160" s="100"/>
      <c r="C160" s="98"/>
      <c r="D160" s="98"/>
      <c r="E160" s="100"/>
      <c r="F160" s="98"/>
      <c r="G160" s="98"/>
      <c r="H160" s="100"/>
      <c r="I160" s="120"/>
      <c r="J160" s="117"/>
      <c r="K160" s="116">
        <f t="shared" si="6"/>
        <v>0</v>
      </c>
      <c r="L160" s="116">
        <f t="shared" si="7"/>
        <v>0</v>
      </c>
      <c r="M160" s="98"/>
      <c r="N160" s="117"/>
    </row>
    <row r="161" spans="1:14" ht="15.95">
      <c r="A161" s="115">
        <v>45996</v>
      </c>
      <c r="B161" s="100"/>
      <c r="C161" s="98"/>
      <c r="D161" s="98"/>
      <c r="E161" s="100"/>
      <c r="F161" s="98"/>
      <c r="G161" s="98"/>
      <c r="H161" s="100"/>
      <c r="I161" s="120"/>
      <c r="J161" s="117"/>
      <c r="K161" s="116">
        <f t="shared" si="6"/>
        <v>0</v>
      </c>
      <c r="L161" s="116">
        <f t="shared" si="7"/>
        <v>0</v>
      </c>
      <c r="M161" s="98"/>
      <c r="N161" s="117"/>
    </row>
    <row r="162" spans="1:14" ht="15.95">
      <c r="A162" s="115">
        <v>45997</v>
      </c>
      <c r="B162" s="100"/>
      <c r="C162" s="98"/>
      <c r="D162" s="98"/>
      <c r="E162" s="100"/>
      <c r="F162" s="98"/>
      <c r="G162" s="98"/>
      <c r="H162" s="100"/>
      <c r="I162" s="120"/>
      <c r="J162" s="117"/>
      <c r="K162" s="116">
        <f t="shared" si="6"/>
        <v>0</v>
      </c>
      <c r="L162" s="116">
        <f t="shared" si="7"/>
        <v>0</v>
      </c>
      <c r="M162" s="98"/>
      <c r="N162" s="117"/>
    </row>
    <row r="163" spans="1:14" ht="15.95">
      <c r="A163" s="115">
        <v>45998</v>
      </c>
      <c r="B163" s="100"/>
      <c r="C163" s="98"/>
      <c r="D163" s="98"/>
      <c r="E163" s="100"/>
      <c r="F163" s="98"/>
      <c r="G163" s="98"/>
      <c r="H163" s="100"/>
      <c r="I163" s="120"/>
      <c r="J163" s="117"/>
      <c r="K163" s="116">
        <f t="shared" si="6"/>
        <v>0</v>
      </c>
      <c r="L163" s="116">
        <f t="shared" si="7"/>
        <v>0</v>
      </c>
      <c r="M163" s="98"/>
      <c r="N163" s="117"/>
    </row>
    <row r="164" spans="1:14" ht="15.95">
      <c r="A164" s="115">
        <v>45999</v>
      </c>
      <c r="B164" s="100"/>
      <c r="C164" s="98"/>
      <c r="D164" s="98"/>
      <c r="E164" s="100"/>
      <c r="F164" s="98"/>
      <c r="G164" s="98"/>
      <c r="H164" s="100"/>
      <c r="I164" s="120"/>
      <c r="J164" s="117"/>
      <c r="K164" s="116">
        <f t="shared" si="6"/>
        <v>0</v>
      </c>
      <c r="L164" s="116">
        <f t="shared" si="7"/>
        <v>0</v>
      </c>
      <c r="M164" s="98"/>
      <c r="N164" s="117"/>
    </row>
    <row r="165" spans="1:14" ht="15.95">
      <c r="A165" s="115">
        <v>46000</v>
      </c>
      <c r="B165" s="100"/>
      <c r="C165" s="98"/>
      <c r="D165" s="98"/>
      <c r="E165" s="100"/>
      <c r="F165" s="98"/>
      <c r="G165" s="98"/>
      <c r="H165" s="100"/>
      <c r="I165" s="120"/>
      <c r="J165" s="117"/>
      <c r="K165" s="116">
        <f t="shared" si="6"/>
        <v>0</v>
      </c>
      <c r="L165" s="116">
        <f t="shared" si="7"/>
        <v>0</v>
      </c>
      <c r="M165" s="98"/>
      <c r="N165" s="117"/>
    </row>
    <row r="166" spans="1:14" ht="15.95">
      <c r="A166" s="115">
        <v>46001</v>
      </c>
      <c r="B166" s="100"/>
      <c r="C166" s="98"/>
      <c r="D166" s="98"/>
      <c r="E166" s="100"/>
      <c r="F166" s="98"/>
      <c r="G166" s="98"/>
      <c r="H166" s="100"/>
      <c r="I166" s="120"/>
      <c r="J166" s="117"/>
      <c r="K166" s="116">
        <f t="shared" si="6"/>
        <v>0</v>
      </c>
      <c r="L166" s="116">
        <f t="shared" si="7"/>
        <v>0</v>
      </c>
      <c r="M166" s="98"/>
      <c r="N166" s="117"/>
    </row>
    <row r="167" spans="1:14" ht="15.95">
      <c r="A167" s="115">
        <v>46002</v>
      </c>
      <c r="B167" s="100"/>
      <c r="C167" s="98"/>
      <c r="D167" s="98"/>
      <c r="E167" s="100"/>
      <c r="F167" s="98"/>
      <c r="G167" s="98"/>
      <c r="H167" s="100"/>
      <c r="I167" s="120"/>
      <c r="J167" s="117"/>
      <c r="K167" s="116">
        <f t="shared" si="6"/>
        <v>0</v>
      </c>
      <c r="L167" s="116">
        <f t="shared" si="7"/>
        <v>0</v>
      </c>
      <c r="M167" s="98"/>
      <c r="N167" s="117"/>
    </row>
    <row r="168" spans="1:14" ht="15.95">
      <c r="A168" s="115">
        <v>46003</v>
      </c>
      <c r="B168" s="100"/>
      <c r="C168" s="98"/>
      <c r="D168" s="98"/>
      <c r="E168" s="100"/>
      <c r="F168" s="98"/>
      <c r="G168" s="98"/>
      <c r="H168" s="100"/>
      <c r="I168" s="120"/>
      <c r="J168" s="117"/>
      <c r="K168" s="116">
        <f t="shared" si="6"/>
        <v>0</v>
      </c>
      <c r="L168" s="116">
        <f t="shared" si="7"/>
        <v>0</v>
      </c>
      <c r="M168" s="98"/>
      <c r="N168" s="117"/>
    </row>
    <row r="169" spans="1:14" ht="15.95">
      <c r="A169" s="115">
        <v>46004</v>
      </c>
      <c r="B169" s="100"/>
      <c r="C169" s="98"/>
      <c r="D169" s="98"/>
      <c r="E169" s="100"/>
      <c r="F169" s="98"/>
      <c r="G169" s="98"/>
      <c r="H169" s="100"/>
      <c r="I169" s="120"/>
      <c r="J169" s="117"/>
      <c r="K169" s="116">
        <f t="shared" si="6"/>
        <v>0</v>
      </c>
      <c r="L169" s="116">
        <f t="shared" si="7"/>
        <v>0</v>
      </c>
      <c r="M169" s="98"/>
      <c r="N169" s="117"/>
    </row>
    <row r="170" spans="1:14" ht="15.95">
      <c r="A170" s="115">
        <v>46005</v>
      </c>
      <c r="B170" s="100"/>
      <c r="C170" s="98"/>
      <c r="D170" s="98"/>
      <c r="E170" s="100"/>
      <c r="F170" s="98"/>
      <c r="G170" s="98"/>
      <c r="H170" s="100"/>
      <c r="I170" s="120"/>
      <c r="J170" s="117"/>
      <c r="K170" s="116">
        <f t="shared" si="6"/>
        <v>0</v>
      </c>
      <c r="L170" s="116">
        <f t="shared" si="7"/>
        <v>0</v>
      </c>
      <c r="M170" s="98"/>
      <c r="N170" s="117"/>
    </row>
    <row r="171" spans="1:14" ht="15.95">
      <c r="A171" s="115">
        <v>46006</v>
      </c>
      <c r="B171" s="100"/>
      <c r="C171" s="98"/>
      <c r="D171" s="98"/>
      <c r="E171" s="100"/>
      <c r="F171" s="98"/>
      <c r="G171" s="98"/>
      <c r="H171" s="100"/>
      <c r="I171" s="120"/>
      <c r="J171" s="117"/>
      <c r="K171" s="116">
        <f t="shared" si="6"/>
        <v>0</v>
      </c>
      <c r="L171" s="116">
        <f t="shared" si="7"/>
        <v>0</v>
      </c>
      <c r="M171" s="98"/>
      <c r="N171" s="117"/>
    </row>
    <row r="172" spans="1:14" ht="15.95">
      <c r="A172" s="115">
        <v>46007</v>
      </c>
      <c r="B172" s="100"/>
      <c r="C172" s="98"/>
      <c r="D172" s="98"/>
      <c r="E172" s="100"/>
      <c r="F172" s="98"/>
      <c r="G172" s="98"/>
      <c r="H172" s="100"/>
      <c r="I172" s="120"/>
      <c r="J172" s="117"/>
      <c r="K172" s="116">
        <f t="shared" si="6"/>
        <v>0</v>
      </c>
      <c r="L172" s="116">
        <f t="shared" si="7"/>
        <v>0</v>
      </c>
      <c r="M172" s="98"/>
      <c r="N172" s="117"/>
    </row>
    <row r="173" spans="1:14" ht="15.95">
      <c r="A173" s="115">
        <v>46008</v>
      </c>
      <c r="B173" s="100"/>
      <c r="C173" s="98"/>
      <c r="D173" s="98"/>
      <c r="E173" s="100"/>
      <c r="F173" s="98"/>
      <c r="G173" s="98"/>
      <c r="H173" s="100"/>
      <c r="I173" s="120"/>
      <c r="J173" s="117"/>
      <c r="K173" s="116">
        <f t="shared" si="6"/>
        <v>0</v>
      </c>
      <c r="L173" s="116">
        <f t="shared" si="7"/>
        <v>0</v>
      </c>
      <c r="M173" s="98"/>
      <c r="N173" s="117"/>
    </row>
    <row r="174" spans="1:14" ht="15.95">
      <c r="A174" s="115">
        <v>46009</v>
      </c>
      <c r="B174" s="100"/>
      <c r="C174" s="98"/>
      <c r="D174" s="98"/>
      <c r="E174" s="100"/>
      <c r="F174" s="98"/>
      <c r="G174" s="98"/>
      <c r="H174" s="100"/>
      <c r="I174" s="120"/>
      <c r="J174" s="117"/>
      <c r="K174" s="116">
        <f t="shared" si="6"/>
        <v>0</v>
      </c>
      <c r="L174" s="116">
        <f t="shared" si="7"/>
        <v>0</v>
      </c>
      <c r="M174" s="98"/>
      <c r="N174" s="117"/>
    </row>
    <row r="175" spans="1:14" ht="15.95">
      <c r="A175" s="115">
        <v>46010</v>
      </c>
      <c r="B175" s="100"/>
      <c r="C175" s="98"/>
      <c r="D175" s="98"/>
      <c r="E175" s="100"/>
      <c r="F175" s="98"/>
      <c r="G175" s="98"/>
      <c r="H175" s="100"/>
      <c r="I175" s="120"/>
      <c r="J175" s="117"/>
      <c r="K175" s="116">
        <f t="shared" si="6"/>
        <v>0</v>
      </c>
      <c r="L175" s="116">
        <f t="shared" si="7"/>
        <v>0</v>
      </c>
      <c r="M175" s="98"/>
      <c r="N175" s="117"/>
    </row>
    <row r="176" spans="1:14" ht="15.95">
      <c r="A176" s="115">
        <v>46011</v>
      </c>
      <c r="B176" s="100"/>
      <c r="C176" s="98"/>
      <c r="D176" s="98"/>
      <c r="E176" s="100"/>
      <c r="F176" s="98"/>
      <c r="G176" s="98"/>
      <c r="H176" s="100"/>
      <c r="I176" s="120"/>
      <c r="J176" s="117"/>
      <c r="K176" s="116">
        <f t="shared" si="6"/>
        <v>0</v>
      </c>
      <c r="L176" s="116">
        <f t="shared" si="7"/>
        <v>0</v>
      </c>
      <c r="M176" s="98"/>
      <c r="N176" s="117"/>
    </row>
    <row r="177" spans="1:14" ht="15.95">
      <c r="A177" s="115">
        <v>46012</v>
      </c>
      <c r="B177" s="100"/>
      <c r="C177" s="98"/>
      <c r="D177" s="98"/>
      <c r="E177" s="100"/>
      <c r="F177" s="98"/>
      <c r="G177" s="98"/>
      <c r="H177" s="100"/>
      <c r="I177" s="120"/>
      <c r="J177" s="117"/>
      <c r="K177" s="116">
        <f t="shared" si="6"/>
        <v>0</v>
      </c>
      <c r="L177" s="116">
        <f t="shared" si="7"/>
        <v>0</v>
      </c>
      <c r="M177" s="98"/>
      <c r="N177" s="117"/>
    </row>
    <row r="178" spans="1:14" ht="15.95">
      <c r="A178" s="115">
        <v>46013</v>
      </c>
      <c r="B178" s="100"/>
      <c r="C178" s="98"/>
      <c r="D178" s="98"/>
      <c r="E178" s="100"/>
      <c r="F178" s="98"/>
      <c r="G178" s="98"/>
      <c r="H178" s="100"/>
      <c r="I178" s="120"/>
      <c r="J178" s="117"/>
      <c r="K178" s="116">
        <f t="shared" si="6"/>
        <v>0</v>
      </c>
      <c r="L178" s="116">
        <f t="shared" si="7"/>
        <v>0</v>
      </c>
      <c r="M178" s="98"/>
      <c r="N178" s="117"/>
    </row>
    <row r="179" spans="1:14" ht="15.95">
      <c r="A179" s="115">
        <v>46014</v>
      </c>
      <c r="B179" s="100"/>
      <c r="C179" s="98"/>
      <c r="D179" s="98"/>
      <c r="E179" s="100"/>
      <c r="F179" s="98"/>
      <c r="G179" s="98"/>
      <c r="H179" s="100"/>
      <c r="I179" s="120"/>
      <c r="J179" s="117"/>
      <c r="K179" s="116">
        <f t="shared" si="6"/>
        <v>0</v>
      </c>
      <c r="L179" s="116">
        <f t="shared" si="7"/>
        <v>0</v>
      </c>
      <c r="M179" s="98"/>
      <c r="N179" s="117"/>
    </row>
    <row r="180" spans="1:14" ht="15.95">
      <c r="A180" s="115">
        <v>46015</v>
      </c>
      <c r="B180" s="100"/>
      <c r="C180" s="98"/>
      <c r="D180" s="98"/>
      <c r="E180" s="100"/>
      <c r="F180" s="98"/>
      <c r="G180" s="98"/>
      <c r="H180" s="100"/>
      <c r="I180" s="120"/>
      <c r="J180" s="117"/>
      <c r="K180" s="116">
        <f t="shared" si="6"/>
        <v>0</v>
      </c>
      <c r="L180" s="116">
        <f t="shared" si="7"/>
        <v>0</v>
      </c>
      <c r="M180" s="98"/>
      <c r="N180" s="117"/>
    </row>
    <row r="181" spans="1:14" ht="15.95">
      <c r="A181" s="115">
        <v>46016</v>
      </c>
      <c r="B181" s="100"/>
      <c r="C181" s="98"/>
      <c r="D181" s="98"/>
      <c r="E181" s="100"/>
      <c r="F181" s="98"/>
      <c r="G181" s="98"/>
      <c r="H181" s="100"/>
      <c r="I181" s="120"/>
      <c r="J181" s="117"/>
      <c r="K181" s="116">
        <f t="shared" si="6"/>
        <v>0</v>
      </c>
      <c r="L181" s="116">
        <f t="shared" si="7"/>
        <v>0</v>
      </c>
      <c r="M181" s="98"/>
      <c r="N181" s="117"/>
    </row>
    <row r="182" spans="1:14" ht="15.95">
      <c r="A182" s="115">
        <v>46017</v>
      </c>
      <c r="B182" s="100"/>
      <c r="C182" s="98"/>
      <c r="D182" s="98"/>
      <c r="E182" s="100"/>
      <c r="F182" s="98"/>
      <c r="G182" s="98"/>
      <c r="H182" s="100"/>
      <c r="I182" s="120"/>
      <c r="J182" s="117"/>
      <c r="K182" s="116">
        <f t="shared" si="6"/>
        <v>0</v>
      </c>
      <c r="L182" s="116">
        <f t="shared" si="7"/>
        <v>0</v>
      </c>
      <c r="M182" s="98"/>
      <c r="N182" s="117"/>
    </row>
    <row r="183" spans="1:14" ht="15.95">
      <c r="A183" s="115">
        <v>46018</v>
      </c>
      <c r="B183" s="100"/>
      <c r="C183" s="98"/>
      <c r="D183" s="98"/>
      <c r="E183" s="100"/>
      <c r="F183" s="98"/>
      <c r="G183" s="98"/>
      <c r="H183" s="100"/>
      <c r="I183" s="120"/>
      <c r="J183" s="117"/>
      <c r="K183" s="116">
        <f t="shared" si="6"/>
        <v>0</v>
      </c>
      <c r="L183" s="116">
        <f t="shared" si="7"/>
        <v>0</v>
      </c>
      <c r="M183" s="98"/>
      <c r="N183" s="117"/>
    </row>
    <row r="184" spans="1:14" ht="15.95">
      <c r="A184" s="115">
        <v>46019</v>
      </c>
      <c r="B184" s="100"/>
      <c r="C184" s="98"/>
      <c r="D184" s="98"/>
      <c r="E184" s="100"/>
      <c r="F184" s="98"/>
      <c r="G184" s="98"/>
      <c r="H184" s="100"/>
      <c r="I184" s="120"/>
      <c r="J184" s="117"/>
      <c r="K184" s="116">
        <f t="shared" si="6"/>
        <v>0</v>
      </c>
      <c r="L184" s="116">
        <f t="shared" si="7"/>
        <v>0</v>
      </c>
      <c r="M184" s="98"/>
      <c r="N184" s="117"/>
    </row>
    <row r="185" spans="1:14" ht="15.95">
      <c r="A185" s="115">
        <v>46020</v>
      </c>
      <c r="B185" s="100"/>
      <c r="C185" s="98"/>
      <c r="D185" s="98"/>
      <c r="E185" s="100"/>
      <c r="F185" s="98"/>
      <c r="G185" s="98"/>
      <c r="H185" s="100"/>
      <c r="I185" s="120"/>
      <c r="J185" s="117"/>
      <c r="K185" s="116">
        <f t="shared" si="6"/>
        <v>0</v>
      </c>
      <c r="L185" s="116">
        <f t="shared" si="7"/>
        <v>0</v>
      </c>
      <c r="M185" s="98"/>
      <c r="N185" s="117"/>
    </row>
    <row r="186" spans="1:14" ht="15.95">
      <c r="A186" s="115">
        <v>46021</v>
      </c>
      <c r="B186" s="100"/>
      <c r="C186" s="98"/>
      <c r="D186" s="98"/>
      <c r="E186" s="100"/>
      <c r="F186" s="98"/>
      <c r="G186" s="98"/>
      <c r="H186" s="100"/>
      <c r="I186" s="120"/>
      <c r="J186" s="117"/>
      <c r="K186" s="116">
        <f t="shared" si="6"/>
        <v>0</v>
      </c>
      <c r="L186" s="116">
        <f t="shared" si="7"/>
        <v>0</v>
      </c>
      <c r="M186" s="98"/>
      <c r="N186" s="117"/>
    </row>
    <row r="187" spans="1:14" ht="15.95">
      <c r="A187" s="115">
        <v>46022</v>
      </c>
      <c r="B187" s="100"/>
      <c r="C187" s="98"/>
      <c r="D187" s="98"/>
      <c r="E187" s="100"/>
      <c r="F187" s="98"/>
      <c r="G187" s="98"/>
      <c r="H187" s="100"/>
      <c r="I187" s="120"/>
      <c r="J187" s="117"/>
      <c r="K187" s="116">
        <f t="shared" si="6"/>
        <v>0</v>
      </c>
      <c r="L187" s="116">
        <f t="shared" si="7"/>
        <v>0</v>
      </c>
      <c r="M187" s="98"/>
      <c r="N187" s="117"/>
    </row>
    <row r="188" spans="1:14" ht="15.75" customHeight="1">
      <c r="A188" s="115">
        <v>46023</v>
      </c>
      <c r="B188" s="100"/>
      <c r="C188" s="98"/>
      <c r="D188" s="98"/>
      <c r="E188" s="100"/>
      <c r="F188" s="98"/>
      <c r="G188" s="98"/>
      <c r="H188" s="100"/>
      <c r="I188" s="120"/>
      <c r="J188" s="117"/>
      <c r="K188" s="116">
        <f t="shared" si="6"/>
        <v>0</v>
      </c>
      <c r="L188" s="116">
        <f t="shared" si="7"/>
        <v>0</v>
      </c>
      <c r="M188" s="98"/>
      <c r="N188" s="117"/>
    </row>
    <row r="189" spans="1:14" ht="15.75" customHeight="1">
      <c r="A189" s="115">
        <v>46024</v>
      </c>
      <c r="B189" s="100"/>
      <c r="C189" s="98"/>
      <c r="D189" s="98"/>
      <c r="E189" s="100"/>
      <c r="F189" s="98"/>
      <c r="G189" s="98"/>
      <c r="H189" s="100"/>
      <c r="I189" s="120"/>
      <c r="J189" s="117"/>
      <c r="K189" s="116">
        <f t="shared" si="6"/>
        <v>0</v>
      </c>
      <c r="L189" s="116">
        <f t="shared" si="7"/>
        <v>0</v>
      </c>
      <c r="M189" s="98"/>
      <c r="N189" s="117"/>
    </row>
    <row r="190" spans="1:14" ht="15.75" customHeight="1">
      <c r="A190" s="115">
        <v>46025</v>
      </c>
      <c r="B190" s="100"/>
      <c r="C190" s="98"/>
      <c r="D190" s="98"/>
      <c r="E190" s="100"/>
      <c r="F190" s="98"/>
      <c r="G190" s="98"/>
      <c r="H190" s="100"/>
      <c r="I190" s="120"/>
      <c r="J190" s="117"/>
      <c r="K190" s="116">
        <f t="shared" si="6"/>
        <v>0</v>
      </c>
      <c r="L190" s="116">
        <f t="shared" si="7"/>
        <v>0</v>
      </c>
      <c r="M190" s="98"/>
      <c r="N190" s="117"/>
    </row>
    <row r="191" spans="1:14" ht="15.75" customHeight="1">
      <c r="A191" s="115">
        <v>46026</v>
      </c>
      <c r="B191" s="100"/>
      <c r="C191" s="98"/>
      <c r="D191" s="98"/>
      <c r="E191" s="100"/>
      <c r="F191" s="98"/>
      <c r="G191" s="98"/>
      <c r="H191" s="100"/>
      <c r="I191" s="120"/>
      <c r="J191" s="117"/>
      <c r="K191" s="116">
        <f t="shared" si="6"/>
        <v>0</v>
      </c>
      <c r="L191" s="116">
        <f t="shared" si="7"/>
        <v>0</v>
      </c>
      <c r="M191" s="98"/>
      <c r="N191" s="117"/>
    </row>
    <row r="192" spans="1:14" ht="15.75" customHeight="1">
      <c r="A192" s="115">
        <v>46027</v>
      </c>
      <c r="B192" s="100"/>
      <c r="C192" s="98"/>
      <c r="D192" s="98"/>
      <c r="E192" s="100"/>
      <c r="F192" s="98"/>
      <c r="G192" s="98"/>
      <c r="H192" s="100"/>
      <c r="I192" s="120"/>
      <c r="J192" s="117"/>
      <c r="K192" s="116">
        <f t="shared" si="6"/>
        <v>0</v>
      </c>
      <c r="L192" s="116">
        <f t="shared" si="7"/>
        <v>0</v>
      </c>
      <c r="M192" s="98"/>
      <c r="N192" s="117"/>
    </row>
    <row r="193" spans="1:14" ht="15.75" customHeight="1">
      <c r="A193" s="115">
        <v>46028</v>
      </c>
      <c r="B193" s="100"/>
      <c r="C193" s="98"/>
      <c r="D193" s="98"/>
      <c r="E193" s="100"/>
      <c r="F193" s="98"/>
      <c r="G193" s="98"/>
      <c r="H193" s="100"/>
      <c r="I193" s="120"/>
      <c r="J193" s="117"/>
      <c r="K193" s="116">
        <f t="shared" si="6"/>
        <v>0</v>
      </c>
      <c r="L193" s="116">
        <f t="shared" si="7"/>
        <v>0</v>
      </c>
      <c r="M193" s="98"/>
      <c r="N193" s="117"/>
    </row>
    <row r="194" spans="1:14" ht="15.75" customHeight="1">
      <c r="A194" s="115">
        <v>46029</v>
      </c>
      <c r="B194" s="100"/>
      <c r="C194" s="98"/>
      <c r="D194" s="98"/>
      <c r="E194" s="100"/>
      <c r="F194" s="98"/>
      <c r="G194" s="98"/>
      <c r="H194" s="100"/>
      <c r="I194" s="120"/>
      <c r="J194" s="117"/>
      <c r="K194" s="116">
        <f t="shared" si="6"/>
        <v>0</v>
      </c>
      <c r="L194" s="116">
        <f t="shared" si="7"/>
        <v>0</v>
      </c>
      <c r="M194" s="98"/>
      <c r="N194" s="117"/>
    </row>
    <row r="195" spans="1:14" ht="15.75" customHeight="1">
      <c r="A195" s="115">
        <v>46030</v>
      </c>
      <c r="B195" s="100"/>
      <c r="C195" s="98"/>
      <c r="D195" s="98"/>
      <c r="E195" s="100"/>
      <c r="F195" s="98"/>
      <c r="G195" s="98"/>
      <c r="H195" s="100"/>
      <c r="I195" s="120"/>
      <c r="J195" s="117"/>
      <c r="K195" s="116">
        <f t="shared" si="6"/>
        <v>0</v>
      </c>
      <c r="L195" s="116">
        <f t="shared" si="7"/>
        <v>0</v>
      </c>
      <c r="M195" s="98"/>
      <c r="N195" s="117"/>
    </row>
    <row r="196" spans="1:14" ht="15.75" customHeight="1">
      <c r="A196" s="115">
        <v>46031</v>
      </c>
      <c r="B196" s="100"/>
      <c r="C196" s="98"/>
      <c r="D196" s="98"/>
      <c r="E196" s="100"/>
      <c r="F196" s="98"/>
      <c r="G196" s="98"/>
      <c r="H196" s="100"/>
      <c r="I196" s="120"/>
      <c r="J196" s="117"/>
      <c r="K196" s="116">
        <f t="shared" si="6"/>
        <v>0</v>
      </c>
      <c r="L196" s="116">
        <f t="shared" si="7"/>
        <v>0</v>
      </c>
      <c r="M196" s="98"/>
      <c r="N196" s="117"/>
    </row>
    <row r="197" spans="1:14" ht="15.75" customHeight="1">
      <c r="A197" s="115">
        <v>46032</v>
      </c>
      <c r="B197" s="100"/>
      <c r="C197" s="98"/>
      <c r="D197" s="98"/>
      <c r="E197" s="100"/>
      <c r="F197" s="98"/>
      <c r="G197" s="98"/>
      <c r="H197" s="100"/>
      <c r="I197" s="120"/>
      <c r="J197" s="117"/>
      <c r="K197" s="116">
        <f t="shared" si="6"/>
        <v>0</v>
      </c>
      <c r="L197" s="116">
        <f t="shared" si="7"/>
        <v>0</v>
      </c>
      <c r="M197" s="98"/>
      <c r="N197" s="117"/>
    </row>
    <row r="198" spans="1:14" ht="15.75" customHeight="1">
      <c r="A198" s="115">
        <v>46033</v>
      </c>
      <c r="B198" s="100"/>
      <c r="C198" s="98"/>
      <c r="D198" s="98"/>
      <c r="E198" s="100"/>
      <c r="F198" s="98"/>
      <c r="G198" s="98"/>
      <c r="H198" s="100"/>
      <c r="I198" s="120"/>
      <c r="J198" s="117"/>
      <c r="K198" s="116">
        <f t="shared" si="6"/>
        <v>0</v>
      </c>
      <c r="L198" s="116">
        <f t="shared" si="7"/>
        <v>0</v>
      </c>
      <c r="M198" s="98"/>
      <c r="N198" s="117"/>
    </row>
    <row r="199" spans="1:14" ht="15.75" customHeight="1">
      <c r="A199" s="115">
        <v>46034</v>
      </c>
      <c r="B199" s="100"/>
      <c r="C199" s="98"/>
      <c r="D199" s="98"/>
      <c r="E199" s="100"/>
      <c r="F199" s="98"/>
      <c r="G199" s="98"/>
      <c r="H199" s="100"/>
      <c r="I199" s="120"/>
      <c r="J199" s="117"/>
      <c r="K199" s="116">
        <f t="shared" si="6"/>
        <v>0</v>
      </c>
      <c r="L199" s="116">
        <f t="shared" si="7"/>
        <v>0</v>
      </c>
      <c r="M199" s="98"/>
      <c r="N199" s="117"/>
    </row>
    <row r="200" spans="1:14" ht="15.75" customHeight="1">
      <c r="A200" s="115">
        <v>46035</v>
      </c>
      <c r="B200" s="100"/>
      <c r="C200" s="98"/>
      <c r="D200" s="98"/>
      <c r="E200" s="100"/>
      <c r="F200" s="98"/>
      <c r="G200" s="98"/>
      <c r="H200" s="100"/>
      <c r="I200" s="120"/>
      <c r="J200" s="117"/>
      <c r="K200" s="116">
        <f t="shared" si="6"/>
        <v>0</v>
      </c>
      <c r="L200" s="116">
        <f t="shared" si="7"/>
        <v>0</v>
      </c>
      <c r="M200" s="98"/>
      <c r="N200" s="117"/>
    </row>
    <row r="201" spans="1:14" ht="15.75" customHeight="1">
      <c r="A201" s="115">
        <v>46036</v>
      </c>
      <c r="B201" s="100"/>
      <c r="C201" s="98"/>
      <c r="D201" s="98"/>
      <c r="E201" s="100"/>
      <c r="F201" s="98"/>
      <c r="G201" s="98"/>
      <c r="H201" s="100"/>
      <c r="I201" s="120"/>
      <c r="J201" s="117"/>
      <c r="K201" s="116">
        <f t="shared" si="6"/>
        <v>0</v>
      </c>
      <c r="L201" s="116">
        <f t="shared" si="7"/>
        <v>0</v>
      </c>
      <c r="M201" s="98"/>
      <c r="N201" s="117"/>
    </row>
    <row r="202" spans="1:14" ht="15.75" customHeight="1">
      <c r="A202" s="115">
        <v>46037</v>
      </c>
      <c r="B202" s="100"/>
      <c r="C202" s="98"/>
      <c r="D202" s="98"/>
      <c r="E202" s="100"/>
      <c r="F202" s="98"/>
      <c r="G202" s="98"/>
      <c r="H202" s="100"/>
      <c r="I202" s="120"/>
      <c r="J202" s="117"/>
      <c r="K202" s="116">
        <f t="shared" si="6"/>
        <v>0</v>
      </c>
      <c r="L202" s="116">
        <f t="shared" si="7"/>
        <v>0</v>
      </c>
      <c r="M202" s="98"/>
      <c r="N202" s="117"/>
    </row>
    <row r="203" spans="1:14" ht="15.75" customHeight="1">
      <c r="A203" s="115">
        <v>46038</v>
      </c>
      <c r="B203" s="100"/>
      <c r="C203" s="98"/>
      <c r="D203" s="98"/>
      <c r="E203" s="100"/>
      <c r="F203" s="98"/>
      <c r="G203" s="98"/>
      <c r="H203" s="100"/>
      <c r="I203" s="120"/>
      <c r="J203" s="117"/>
      <c r="K203" s="116">
        <f t="shared" si="6"/>
        <v>0</v>
      </c>
      <c r="L203" s="116">
        <f t="shared" si="7"/>
        <v>0</v>
      </c>
      <c r="M203" s="98"/>
      <c r="N203" s="117"/>
    </row>
    <row r="204" spans="1:14" ht="15.75" customHeight="1">
      <c r="A204" s="115">
        <v>46039</v>
      </c>
      <c r="B204" s="100"/>
      <c r="C204" s="98"/>
      <c r="D204" s="98"/>
      <c r="E204" s="100"/>
      <c r="F204" s="98"/>
      <c r="G204" s="98"/>
      <c r="H204" s="100"/>
      <c r="I204" s="120"/>
      <c r="J204" s="117"/>
      <c r="K204" s="116">
        <f t="shared" si="6"/>
        <v>0</v>
      </c>
      <c r="L204" s="116">
        <f t="shared" si="7"/>
        <v>0</v>
      </c>
      <c r="M204" s="98"/>
      <c r="N204" s="117"/>
    </row>
    <row r="205" spans="1:14" ht="15.75" customHeight="1">
      <c r="A205" s="115">
        <v>46040</v>
      </c>
      <c r="B205" s="100"/>
      <c r="C205" s="98"/>
      <c r="D205" s="98"/>
      <c r="E205" s="100"/>
      <c r="F205" s="98"/>
      <c r="G205" s="98"/>
      <c r="H205" s="100"/>
      <c r="I205" s="120"/>
      <c r="J205" s="117"/>
      <c r="K205" s="116">
        <f t="shared" si="6"/>
        <v>0</v>
      </c>
      <c r="L205" s="116">
        <f t="shared" si="7"/>
        <v>0</v>
      </c>
      <c r="M205" s="98"/>
      <c r="N205" s="117"/>
    </row>
    <row r="206" spans="1:14" ht="15.75" customHeight="1">
      <c r="A206" s="115">
        <v>46041</v>
      </c>
      <c r="B206" s="100"/>
      <c r="C206" s="98"/>
      <c r="D206" s="98"/>
      <c r="E206" s="100"/>
      <c r="F206" s="98"/>
      <c r="G206" s="98"/>
      <c r="H206" s="100"/>
      <c r="I206" s="120"/>
      <c r="J206" s="117"/>
      <c r="K206" s="116">
        <f t="shared" si="6"/>
        <v>0</v>
      </c>
      <c r="L206" s="116">
        <f t="shared" si="7"/>
        <v>0</v>
      </c>
      <c r="M206" s="98"/>
      <c r="N206" s="117"/>
    </row>
    <row r="207" spans="1:14" ht="15.75" customHeight="1">
      <c r="A207" s="115">
        <v>46042</v>
      </c>
      <c r="B207" s="100"/>
      <c r="C207" s="98"/>
      <c r="D207" s="98"/>
      <c r="E207" s="100"/>
      <c r="F207" s="98"/>
      <c r="G207" s="98"/>
      <c r="H207" s="100"/>
      <c r="I207" s="120"/>
      <c r="J207" s="117"/>
      <c r="K207" s="116">
        <f t="shared" si="6"/>
        <v>0</v>
      </c>
      <c r="L207" s="116">
        <f t="shared" si="7"/>
        <v>0</v>
      </c>
      <c r="M207" s="98"/>
      <c r="N207" s="117"/>
    </row>
    <row r="208" spans="1:14" ht="15.75" customHeight="1">
      <c r="A208" s="115">
        <v>46043</v>
      </c>
      <c r="B208" s="100"/>
      <c r="C208" s="98"/>
      <c r="D208" s="98"/>
      <c r="E208" s="100"/>
      <c r="F208" s="98"/>
      <c r="G208" s="98"/>
      <c r="H208" s="100"/>
      <c r="I208" s="120"/>
      <c r="J208" s="117"/>
      <c r="K208" s="116">
        <f t="shared" si="6"/>
        <v>0</v>
      </c>
      <c r="L208" s="116">
        <f t="shared" si="7"/>
        <v>0</v>
      </c>
      <c r="M208" s="98"/>
      <c r="N208" s="117"/>
    </row>
    <row r="209" spans="1:14" ht="15.75" customHeight="1">
      <c r="A209" s="115">
        <v>46044</v>
      </c>
      <c r="B209" s="100"/>
      <c r="C209" s="98"/>
      <c r="D209" s="98"/>
      <c r="E209" s="100"/>
      <c r="F209" s="98"/>
      <c r="G209" s="98"/>
      <c r="H209" s="100"/>
      <c r="I209" s="120"/>
      <c r="J209" s="117"/>
      <c r="K209" s="116">
        <f t="shared" si="6"/>
        <v>0</v>
      </c>
      <c r="L209" s="116">
        <f t="shared" si="7"/>
        <v>0</v>
      </c>
      <c r="M209" s="98"/>
      <c r="N209" s="117"/>
    </row>
    <row r="210" spans="1:14" ht="15.75" customHeight="1">
      <c r="A210" s="115">
        <v>46045</v>
      </c>
      <c r="B210" s="100"/>
      <c r="C210" s="98"/>
      <c r="D210" s="98"/>
      <c r="E210" s="100"/>
      <c r="F210" s="98"/>
      <c r="G210" s="98"/>
      <c r="H210" s="100"/>
      <c r="I210" s="120"/>
      <c r="J210" s="117"/>
      <c r="K210" s="116">
        <f t="shared" si="6"/>
        <v>0</v>
      </c>
      <c r="L210" s="116">
        <f t="shared" si="7"/>
        <v>0</v>
      </c>
      <c r="M210" s="98"/>
      <c r="N210" s="117"/>
    </row>
    <row r="211" spans="1:14" ht="15.75" customHeight="1">
      <c r="A211" s="115">
        <v>46046</v>
      </c>
      <c r="B211" s="100"/>
      <c r="C211" s="98"/>
      <c r="D211" s="98"/>
      <c r="E211" s="100"/>
      <c r="F211" s="98"/>
      <c r="G211" s="98"/>
      <c r="H211" s="100"/>
      <c r="I211" s="120"/>
      <c r="J211" s="117"/>
      <c r="K211" s="116">
        <f t="shared" si="6"/>
        <v>0</v>
      </c>
      <c r="L211" s="116">
        <f t="shared" si="7"/>
        <v>0</v>
      </c>
      <c r="M211" s="98"/>
      <c r="N211" s="117"/>
    </row>
    <row r="212" spans="1:14" ht="15.75" customHeight="1">
      <c r="A212" s="115">
        <v>46047</v>
      </c>
      <c r="B212" s="100"/>
      <c r="C212" s="98"/>
      <c r="D212" s="98"/>
      <c r="E212" s="100"/>
      <c r="F212" s="98"/>
      <c r="G212" s="98"/>
      <c r="H212" s="100"/>
      <c r="I212" s="120"/>
      <c r="J212" s="117"/>
      <c r="K212" s="116">
        <f t="shared" ref="K212:K275" si="8">G212+I212+J212</f>
        <v>0</v>
      </c>
      <c r="L212" s="116">
        <f t="shared" ref="L212:L275" si="9">F212-K212</f>
        <v>0</v>
      </c>
      <c r="M212" s="98"/>
      <c r="N212" s="117"/>
    </row>
    <row r="213" spans="1:14" ht="15.75" customHeight="1">
      <c r="A213" s="115">
        <v>46048</v>
      </c>
      <c r="B213" s="100"/>
      <c r="C213" s="98"/>
      <c r="D213" s="98"/>
      <c r="E213" s="100"/>
      <c r="F213" s="98"/>
      <c r="G213" s="98"/>
      <c r="H213" s="100"/>
      <c r="I213" s="120"/>
      <c r="J213" s="117"/>
      <c r="K213" s="116">
        <f t="shared" si="8"/>
        <v>0</v>
      </c>
      <c r="L213" s="116">
        <f t="shared" si="9"/>
        <v>0</v>
      </c>
      <c r="M213" s="98"/>
      <c r="N213" s="117"/>
    </row>
    <row r="214" spans="1:14" ht="15.75" customHeight="1">
      <c r="A214" s="115">
        <v>46049</v>
      </c>
      <c r="B214" s="100"/>
      <c r="C214" s="98"/>
      <c r="D214" s="98"/>
      <c r="E214" s="100"/>
      <c r="F214" s="98"/>
      <c r="G214" s="98"/>
      <c r="H214" s="100"/>
      <c r="I214" s="120"/>
      <c r="J214" s="117"/>
      <c r="K214" s="116">
        <f t="shared" si="8"/>
        <v>0</v>
      </c>
      <c r="L214" s="116">
        <f t="shared" si="9"/>
        <v>0</v>
      </c>
      <c r="M214" s="98"/>
      <c r="N214" s="117"/>
    </row>
    <row r="215" spans="1:14" ht="15.75" customHeight="1">
      <c r="A215" s="115">
        <v>46050</v>
      </c>
      <c r="B215" s="100"/>
      <c r="C215" s="98"/>
      <c r="D215" s="98"/>
      <c r="E215" s="100"/>
      <c r="F215" s="98"/>
      <c r="G215" s="98"/>
      <c r="H215" s="100"/>
      <c r="I215" s="120"/>
      <c r="J215" s="117"/>
      <c r="K215" s="116">
        <f t="shared" si="8"/>
        <v>0</v>
      </c>
      <c r="L215" s="116">
        <f t="shared" si="9"/>
        <v>0</v>
      </c>
      <c r="M215" s="98"/>
      <c r="N215" s="117"/>
    </row>
    <row r="216" spans="1:14" ht="15.75" customHeight="1">
      <c r="A216" s="115">
        <v>46051</v>
      </c>
      <c r="B216" s="100"/>
      <c r="C216" s="98"/>
      <c r="D216" s="98"/>
      <c r="E216" s="100"/>
      <c r="F216" s="98"/>
      <c r="G216" s="98"/>
      <c r="H216" s="100"/>
      <c r="I216" s="120"/>
      <c r="J216" s="117"/>
      <c r="K216" s="116">
        <f t="shared" si="8"/>
        <v>0</v>
      </c>
      <c r="L216" s="116">
        <f t="shared" si="9"/>
        <v>0</v>
      </c>
      <c r="M216" s="98"/>
      <c r="N216" s="117"/>
    </row>
    <row r="217" spans="1:14" ht="15.75" customHeight="1">
      <c r="A217" s="115">
        <v>46052</v>
      </c>
      <c r="B217" s="100"/>
      <c r="C217" s="98"/>
      <c r="D217" s="98"/>
      <c r="E217" s="100"/>
      <c r="F217" s="98"/>
      <c r="G217" s="98"/>
      <c r="H217" s="100"/>
      <c r="I217" s="120"/>
      <c r="J217" s="117"/>
      <c r="K217" s="116">
        <f t="shared" si="8"/>
        <v>0</v>
      </c>
      <c r="L217" s="116">
        <f t="shared" si="9"/>
        <v>0</v>
      </c>
      <c r="M217" s="98"/>
      <c r="N217" s="117"/>
    </row>
    <row r="218" spans="1:14" ht="15.75" customHeight="1">
      <c r="A218" s="115">
        <v>46053</v>
      </c>
      <c r="B218" s="100"/>
      <c r="C218" s="98"/>
      <c r="D218" s="98"/>
      <c r="E218" s="100"/>
      <c r="F218" s="98"/>
      <c r="G218" s="98"/>
      <c r="H218" s="100"/>
      <c r="I218" s="120"/>
      <c r="J218" s="117"/>
      <c r="K218" s="116">
        <f t="shared" si="8"/>
        <v>0</v>
      </c>
      <c r="L218" s="116">
        <f t="shared" si="9"/>
        <v>0</v>
      </c>
      <c r="M218" s="98"/>
      <c r="N218" s="117"/>
    </row>
    <row r="219" spans="1:14" ht="15.75" customHeight="1">
      <c r="A219" s="115">
        <v>46054</v>
      </c>
      <c r="B219" s="100"/>
      <c r="C219" s="98"/>
      <c r="D219" s="98"/>
      <c r="E219" s="100"/>
      <c r="F219" s="98"/>
      <c r="G219" s="98"/>
      <c r="H219" s="100"/>
      <c r="I219" s="120"/>
      <c r="J219" s="117"/>
      <c r="K219" s="116">
        <f t="shared" si="8"/>
        <v>0</v>
      </c>
      <c r="L219" s="116">
        <f t="shared" si="9"/>
        <v>0</v>
      </c>
      <c r="M219" s="98"/>
      <c r="N219" s="117"/>
    </row>
    <row r="220" spans="1:14" ht="15.75" customHeight="1">
      <c r="A220" s="115">
        <v>46055</v>
      </c>
      <c r="B220" s="100"/>
      <c r="C220" s="98"/>
      <c r="D220" s="98"/>
      <c r="E220" s="100"/>
      <c r="F220" s="98"/>
      <c r="G220" s="98"/>
      <c r="H220" s="100"/>
      <c r="I220" s="120"/>
      <c r="J220" s="117"/>
      <c r="K220" s="116">
        <f t="shared" si="8"/>
        <v>0</v>
      </c>
      <c r="L220" s="116">
        <f t="shared" si="9"/>
        <v>0</v>
      </c>
      <c r="M220" s="98"/>
      <c r="N220" s="117"/>
    </row>
    <row r="221" spans="1:14" ht="15.75" customHeight="1">
      <c r="A221" s="115">
        <v>46056</v>
      </c>
      <c r="B221" s="100"/>
      <c r="C221" s="98"/>
      <c r="D221" s="98"/>
      <c r="E221" s="100"/>
      <c r="F221" s="98"/>
      <c r="G221" s="98"/>
      <c r="H221" s="100"/>
      <c r="I221" s="120"/>
      <c r="J221" s="117"/>
      <c r="K221" s="116">
        <f t="shared" si="8"/>
        <v>0</v>
      </c>
      <c r="L221" s="116">
        <f t="shared" si="9"/>
        <v>0</v>
      </c>
      <c r="M221" s="98"/>
      <c r="N221" s="117"/>
    </row>
    <row r="222" spans="1:14" ht="15.75" customHeight="1">
      <c r="A222" s="115">
        <v>46057</v>
      </c>
      <c r="B222" s="100"/>
      <c r="C222" s="98"/>
      <c r="D222" s="98"/>
      <c r="E222" s="100"/>
      <c r="F222" s="98"/>
      <c r="G222" s="98"/>
      <c r="H222" s="100"/>
      <c r="I222" s="120"/>
      <c r="J222" s="117"/>
      <c r="K222" s="116">
        <f t="shared" si="8"/>
        <v>0</v>
      </c>
      <c r="L222" s="116">
        <f t="shared" si="9"/>
        <v>0</v>
      </c>
      <c r="M222" s="98"/>
      <c r="N222" s="117"/>
    </row>
    <row r="223" spans="1:14" ht="15.75" customHeight="1">
      <c r="A223" s="115">
        <v>46058</v>
      </c>
      <c r="B223" s="100"/>
      <c r="C223" s="98"/>
      <c r="D223" s="98"/>
      <c r="E223" s="100"/>
      <c r="F223" s="98"/>
      <c r="G223" s="98"/>
      <c r="H223" s="100"/>
      <c r="I223" s="120"/>
      <c r="J223" s="117"/>
      <c r="K223" s="116">
        <f t="shared" si="8"/>
        <v>0</v>
      </c>
      <c r="L223" s="116">
        <f t="shared" si="9"/>
        <v>0</v>
      </c>
      <c r="M223" s="98"/>
      <c r="N223" s="117"/>
    </row>
    <row r="224" spans="1:14" ht="15.75" customHeight="1">
      <c r="A224" s="115">
        <v>46059</v>
      </c>
      <c r="B224" s="100"/>
      <c r="C224" s="98"/>
      <c r="D224" s="98"/>
      <c r="E224" s="100"/>
      <c r="F224" s="98"/>
      <c r="G224" s="98"/>
      <c r="H224" s="100"/>
      <c r="I224" s="120"/>
      <c r="J224" s="117"/>
      <c r="K224" s="116">
        <f t="shared" si="8"/>
        <v>0</v>
      </c>
      <c r="L224" s="116">
        <f t="shared" si="9"/>
        <v>0</v>
      </c>
      <c r="M224" s="98"/>
      <c r="N224" s="117"/>
    </row>
    <row r="225" spans="1:14" ht="15.75" customHeight="1">
      <c r="A225" s="115">
        <v>46060</v>
      </c>
      <c r="B225" s="100"/>
      <c r="C225" s="98"/>
      <c r="D225" s="98"/>
      <c r="E225" s="100"/>
      <c r="F225" s="98"/>
      <c r="G225" s="98"/>
      <c r="H225" s="100"/>
      <c r="I225" s="120"/>
      <c r="J225" s="117"/>
      <c r="K225" s="116">
        <f t="shared" si="8"/>
        <v>0</v>
      </c>
      <c r="L225" s="116">
        <f t="shared" si="9"/>
        <v>0</v>
      </c>
      <c r="M225" s="98"/>
      <c r="N225" s="117"/>
    </row>
    <row r="226" spans="1:14" ht="15.75" customHeight="1">
      <c r="A226" s="115">
        <v>46061</v>
      </c>
      <c r="B226" s="100"/>
      <c r="C226" s="98"/>
      <c r="D226" s="98"/>
      <c r="E226" s="100"/>
      <c r="F226" s="98"/>
      <c r="G226" s="98"/>
      <c r="H226" s="100"/>
      <c r="I226" s="120"/>
      <c r="J226" s="117"/>
      <c r="K226" s="116">
        <f t="shared" si="8"/>
        <v>0</v>
      </c>
      <c r="L226" s="116">
        <f t="shared" si="9"/>
        <v>0</v>
      </c>
      <c r="M226" s="98"/>
      <c r="N226" s="117"/>
    </row>
    <row r="227" spans="1:14" ht="15.75" customHeight="1">
      <c r="A227" s="115">
        <v>46062</v>
      </c>
      <c r="B227" s="100"/>
      <c r="C227" s="98"/>
      <c r="D227" s="98"/>
      <c r="E227" s="100"/>
      <c r="F227" s="98"/>
      <c r="G227" s="98"/>
      <c r="H227" s="100"/>
      <c r="I227" s="120"/>
      <c r="J227" s="117"/>
      <c r="K227" s="116">
        <f t="shared" si="8"/>
        <v>0</v>
      </c>
      <c r="L227" s="116">
        <f t="shared" si="9"/>
        <v>0</v>
      </c>
      <c r="M227" s="98"/>
      <c r="N227" s="117"/>
    </row>
    <row r="228" spans="1:14" ht="15.75" customHeight="1">
      <c r="A228" s="115">
        <v>46063</v>
      </c>
      <c r="B228" s="100"/>
      <c r="C228" s="98"/>
      <c r="D228" s="98"/>
      <c r="E228" s="100"/>
      <c r="F228" s="98"/>
      <c r="G228" s="98"/>
      <c r="H228" s="100"/>
      <c r="I228" s="120"/>
      <c r="J228" s="117"/>
      <c r="K228" s="116">
        <f t="shared" si="8"/>
        <v>0</v>
      </c>
      <c r="L228" s="116">
        <f t="shared" si="9"/>
        <v>0</v>
      </c>
      <c r="M228" s="98"/>
      <c r="N228" s="117"/>
    </row>
    <row r="229" spans="1:14" ht="15.75" customHeight="1">
      <c r="A229" s="115">
        <v>46064</v>
      </c>
      <c r="B229" s="100"/>
      <c r="C229" s="98"/>
      <c r="D229" s="98"/>
      <c r="E229" s="100"/>
      <c r="F229" s="98"/>
      <c r="G229" s="98"/>
      <c r="H229" s="100"/>
      <c r="I229" s="120"/>
      <c r="J229" s="117"/>
      <c r="K229" s="116">
        <f t="shared" si="8"/>
        <v>0</v>
      </c>
      <c r="L229" s="116">
        <f t="shared" si="9"/>
        <v>0</v>
      </c>
      <c r="M229" s="98"/>
      <c r="N229" s="117"/>
    </row>
    <row r="230" spans="1:14" ht="15.75" customHeight="1">
      <c r="A230" s="115">
        <v>46065</v>
      </c>
      <c r="B230" s="100"/>
      <c r="C230" s="98"/>
      <c r="D230" s="98"/>
      <c r="E230" s="100"/>
      <c r="F230" s="98"/>
      <c r="G230" s="98"/>
      <c r="H230" s="100"/>
      <c r="I230" s="120"/>
      <c r="J230" s="117"/>
      <c r="K230" s="116">
        <f t="shared" si="8"/>
        <v>0</v>
      </c>
      <c r="L230" s="116">
        <f t="shared" si="9"/>
        <v>0</v>
      </c>
      <c r="M230" s="98"/>
      <c r="N230" s="117"/>
    </row>
    <row r="231" spans="1:14" ht="15.75" customHeight="1">
      <c r="A231" s="115">
        <v>46066</v>
      </c>
      <c r="B231" s="100"/>
      <c r="C231" s="98"/>
      <c r="D231" s="98"/>
      <c r="E231" s="100"/>
      <c r="F231" s="98"/>
      <c r="G231" s="98"/>
      <c r="H231" s="100"/>
      <c r="I231" s="120"/>
      <c r="J231" s="117"/>
      <c r="K231" s="116">
        <f t="shared" si="8"/>
        <v>0</v>
      </c>
      <c r="L231" s="116">
        <f t="shared" si="9"/>
        <v>0</v>
      </c>
      <c r="M231" s="98"/>
      <c r="N231" s="117"/>
    </row>
    <row r="232" spans="1:14" ht="15.75" customHeight="1">
      <c r="A232" s="115">
        <v>46067</v>
      </c>
      <c r="B232" s="100"/>
      <c r="C232" s="98"/>
      <c r="D232" s="98"/>
      <c r="E232" s="100"/>
      <c r="F232" s="98"/>
      <c r="G232" s="98"/>
      <c r="H232" s="100"/>
      <c r="I232" s="120"/>
      <c r="J232" s="117"/>
      <c r="K232" s="116">
        <f t="shared" si="8"/>
        <v>0</v>
      </c>
      <c r="L232" s="116">
        <f t="shared" si="9"/>
        <v>0</v>
      </c>
      <c r="M232" s="98"/>
      <c r="N232" s="117"/>
    </row>
    <row r="233" spans="1:14" ht="15.75" customHeight="1">
      <c r="A233" s="115">
        <v>46068</v>
      </c>
      <c r="B233" s="100"/>
      <c r="C233" s="98"/>
      <c r="D233" s="98"/>
      <c r="E233" s="100"/>
      <c r="F233" s="98"/>
      <c r="G233" s="98"/>
      <c r="H233" s="100"/>
      <c r="I233" s="120"/>
      <c r="J233" s="117"/>
      <c r="K233" s="116">
        <f t="shared" si="8"/>
        <v>0</v>
      </c>
      <c r="L233" s="116">
        <f t="shared" si="9"/>
        <v>0</v>
      </c>
      <c r="M233" s="98"/>
      <c r="N233" s="117"/>
    </row>
    <row r="234" spans="1:14" ht="15.75" customHeight="1">
      <c r="A234" s="115">
        <v>46069</v>
      </c>
      <c r="B234" s="100"/>
      <c r="C234" s="98"/>
      <c r="D234" s="98"/>
      <c r="E234" s="100"/>
      <c r="F234" s="98"/>
      <c r="G234" s="98"/>
      <c r="H234" s="100"/>
      <c r="I234" s="120"/>
      <c r="J234" s="117"/>
      <c r="K234" s="116">
        <f t="shared" si="8"/>
        <v>0</v>
      </c>
      <c r="L234" s="116">
        <f t="shared" si="9"/>
        <v>0</v>
      </c>
      <c r="M234" s="98"/>
      <c r="N234" s="117"/>
    </row>
    <row r="235" spans="1:14" ht="15.75" customHeight="1">
      <c r="A235" s="115">
        <v>46070</v>
      </c>
      <c r="B235" s="100"/>
      <c r="C235" s="98"/>
      <c r="D235" s="98"/>
      <c r="E235" s="100"/>
      <c r="F235" s="98"/>
      <c r="G235" s="98"/>
      <c r="H235" s="100"/>
      <c r="I235" s="120"/>
      <c r="J235" s="117"/>
      <c r="K235" s="116">
        <f t="shared" si="8"/>
        <v>0</v>
      </c>
      <c r="L235" s="116">
        <f t="shared" si="9"/>
        <v>0</v>
      </c>
      <c r="M235" s="98"/>
      <c r="N235" s="117"/>
    </row>
    <row r="236" spans="1:14" ht="15.75" customHeight="1">
      <c r="A236" s="115">
        <v>46071</v>
      </c>
      <c r="B236" s="100"/>
      <c r="C236" s="98"/>
      <c r="D236" s="98"/>
      <c r="E236" s="100"/>
      <c r="F236" s="98"/>
      <c r="G236" s="98"/>
      <c r="H236" s="100"/>
      <c r="I236" s="120"/>
      <c r="J236" s="117"/>
      <c r="K236" s="116">
        <f t="shared" si="8"/>
        <v>0</v>
      </c>
      <c r="L236" s="116">
        <f t="shared" si="9"/>
        <v>0</v>
      </c>
      <c r="M236" s="98"/>
      <c r="N236" s="117"/>
    </row>
    <row r="237" spans="1:14" ht="15.75" customHeight="1">
      <c r="A237" s="115">
        <v>46072</v>
      </c>
      <c r="B237" s="100"/>
      <c r="C237" s="98"/>
      <c r="D237" s="98"/>
      <c r="E237" s="100"/>
      <c r="F237" s="98"/>
      <c r="G237" s="98"/>
      <c r="H237" s="100"/>
      <c r="I237" s="120"/>
      <c r="J237" s="117"/>
      <c r="K237" s="116">
        <f t="shared" si="8"/>
        <v>0</v>
      </c>
      <c r="L237" s="116">
        <f t="shared" si="9"/>
        <v>0</v>
      </c>
      <c r="M237" s="98"/>
      <c r="N237" s="117"/>
    </row>
    <row r="238" spans="1:14" ht="15.75" customHeight="1">
      <c r="A238" s="115">
        <v>46073</v>
      </c>
      <c r="B238" s="100"/>
      <c r="C238" s="98"/>
      <c r="D238" s="98"/>
      <c r="E238" s="100"/>
      <c r="F238" s="98"/>
      <c r="G238" s="98"/>
      <c r="H238" s="100"/>
      <c r="I238" s="120"/>
      <c r="J238" s="117"/>
      <c r="K238" s="116">
        <f t="shared" si="8"/>
        <v>0</v>
      </c>
      <c r="L238" s="116">
        <f t="shared" si="9"/>
        <v>0</v>
      </c>
      <c r="M238" s="98"/>
      <c r="N238" s="117"/>
    </row>
    <row r="239" spans="1:14" ht="15.75" customHeight="1">
      <c r="A239" s="115">
        <v>46074</v>
      </c>
      <c r="B239" s="100"/>
      <c r="C239" s="98"/>
      <c r="D239" s="98"/>
      <c r="E239" s="100"/>
      <c r="F239" s="98"/>
      <c r="G239" s="98"/>
      <c r="H239" s="100"/>
      <c r="I239" s="120"/>
      <c r="J239" s="117"/>
      <c r="K239" s="116">
        <f t="shared" si="8"/>
        <v>0</v>
      </c>
      <c r="L239" s="116">
        <f t="shared" si="9"/>
        <v>0</v>
      </c>
      <c r="M239" s="98"/>
      <c r="N239" s="117"/>
    </row>
    <row r="240" spans="1:14" ht="15.75" customHeight="1">
      <c r="A240" s="115">
        <v>46075</v>
      </c>
      <c r="B240" s="100"/>
      <c r="C240" s="98"/>
      <c r="D240" s="98"/>
      <c r="E240" s="100"/>
      <c r="F240" s="98"/>
      <c r="G240" s="98"/>
      <c r="H240" s="100"/>
      <c r="I240" s="120"/>
      <c r="J240" s="117"/>
      <c r="K240" s="116">
        <f t="shared" si="8"/>
        <v>0</v>
      </c>
      <c r="L240" s="116">
        <f t="shared" si="9"/>
        <v>0</v>
      </c>
      <c r="M240" s="98"/>
      <c r="N240" s="117"/>
    </row>
    <row r="241" spans="1:14" ht="15.75" customHeight="1">
      <c r="A241" s="115">
        <v>46076</v>
      </c>
      <c r="B241" s="100"/>
      <c r="C241" s="98"/>
      <c r="D241" s="98"/>
      <c r="E241" s="100"/>
      <c r="F241" s="98"/>
      <c r="G241" s="98"/>
      <c r="H241" s="100"/>
      <c r="I241" s="120"/>
      <c r="J241" s="117"/>
      <c r="K241" s="116">
        <f t="shared" si="8"/>
        <v>0</v>
      </c>
      <c r="L241" s="116">
        <f t="shared" si="9"/>
        <v>0</v>
      </c>
      <c r="M241" s="98"/>
      <c r="N241" s="117"/>
    </row>
    <row r="242" spans="1:14" ht="15.75" customHeight="1">
      <c r="A242" s="115">
        <v>46077</v>
      </c>
      <c r="B242" s="100"/>
      <c r="C242" s="98"/>
      <c r="D242" s="98"/>
      <c r="E242" s="100"/>
      <c r="F242" s="98"/>
      <c r="G242" s="98"/>
      <c r="H242" s="100"/>
      <c r="I242" s="120"/>
      <c r="J242" s="117"/>
      <c r="K242" s="116">
        <f t="shared" si="8"/>
        <v>0</v>
      </c>
      <c r="L242" s="116">
        <f t="shared" si="9"/>
        <v>0</v>
      </c>
      <c r="M242" s="98"/>
      <c r="N242" s="117"/>
    </row>
    <row r="243" spans="1:14" ht="15.75" customHeight="1">
      <c r="A243" s="115">
        <v>46078</v>
      </c>
      <c r="B243" s="100"/>
      <c r="C243" s="98"/>
      <c r="D243" s="98"/>
      <c r="E243" s="100"/>
      <c r="F243" s="98"/>
      <c r="G243" s="98"/>
      <c r="H243" s="100"/>
      <c r="I243" s="120"/>
      <c r="J243" s="117"/>
      <c r="K243" s="116">
        <f t="shared" si="8"/>
        <v>0</v>
      </c>
      <c r="L243" s="116">
        <f t="shared" si="9"/>
        <v>0</v>
      </c>
      <c r="M243" s="98"/>
      <c r="N243" s="117"/>
    </row>
    <row r="244" spans="1:14" ht="15.75" customHeight="1">
      <c r="A244" s="115">
        <v>46079</v>
      </c>
      <c r="B244" s="100"/>
      <c r="C244" s="98"/>
      <c r="D244" s="98"/>
      <c r="E244" s="100"/>
      <c r="F244" s="98"/>
      <c r="G244" s="98"/>
      <c r="H244" s="100"/>
      <c r="I244" s="120"/>
      <c r="J244" s="117"/>
      <c r="K244" s="116">
        <f t="shared" si="8"/>
        <v>0</v>
      </c>
      <c r="L244" s="116">
        <f t="shared" si="9"/>
        <v>0</v>
      </c>
      <c r="M244" s="98"/>
      <c r="N244" s="117"/>
    </row>
    <row r="245" spans="1:14" ht="15.75" customHeight="1">
      <c r="A245" s="115">
        <v>46080</v>
      </c>
      <c r="B245" s="100"/>
      <c r="C245" s="98"/>
      <c r="D245" s="98"/>
      <c r="E245" s="100"/>
      <c r="F245" s="98"/>
      <c r="G245" s="98"/>
      <c r="H245" s="100"/>
      <c r="I245" s="120"/>
      <c r="J245" s="117"/>
      <c r="K245" s="116">
        <f t="shared" si="8"/>
        <v>0</v>
      </c>
      <c r="L245" s="116">
        <f t="shared" si="9"/>
        <v>0</v>
      </c>
      <c r="M245" s="98"/>
      <c r="N245" s="117"/>
    </row>
    <row r="246" spans="1:14" ht="15.75" customHeight="1">
      <c r="A246" s="115">
        <v>46081</v>
      </c>
      <c r="B246" s="100"/>
      <c r="C246" s="98"/>
      <c r="D246" s="98"/>
      <c r="E246" s="100"/>
      <c r="F246" s="98"/>
      <c r="G246" s="98"/>
      <c r="H246" s="100"/>
      <c r="I246" s="120"/>
      <c r="J246" s="117"/>
      <c r="K246" s="116">
        <f t="shared" si="8"/>
        <v>0</v>
      </c>
      <c r="L246" s="116">
        <f t="shared" si="9"/>
        <v>0</v>
      </c>
      <c r="M246" s="98"/>
      <c r="N246" s="117"/>
    </row>
    <row r="247" spans="1:14" ht="15.75" customHeight="1">
      <c r="A247" s="115">
        <v>46082</v>
      </c>
      <c r="B247" s="100"/>
      <c r="C247" s="98"/>
      <c r="D247" s="98"/>
      <c r="E247" s="100"/>
      <c r="F247" s="98"/>
      <c r="G247" s="98"/>
      <c r="H247" s="100"/>
      <c r="I247" s="120"/>
      <c r="J247" s="117"/>
      <c r="K247" s="116">
        <f t="shared" si="8"/>
        <v>0</v>
      </c>
      <c r="L247" s="116">
        <f t="shared" si="9"/>
        <v>0</v>
      </c>
      <c r="M247" s="98"/>
      <c r="N247" s="117"/>
    </row>
    <row r="248" spans="1:14" ht="15.75" customHeight="1">
      <c r="A248" s="115">
        <v>46083</v>
      </c>
      <c r="B248" s="100"/>
      <c r="C248" s="98"/>
      <c r="D248" s="98"/>
      <c r="E248" s="100"/>
      <c r="F248" s="98"/>
      <c r="G248" s="98"/>
      <c r="H248" s="100"/>
      <c r="I248" s="120"/>
      <c r="J248" s="117"/>
      <c r="K248" s="116">
        <f t="shared" si="8"/>
        <v>0</v>
      </c>
      <c r="L248" s="116">
        <f t="shared" si="9"/>
        <v>0</v>
      </c>
      <c r="M248" s="98"/>
      <c r="N248" s="117"/>
    </row>
    <row r="249" spans="1:14" ht="15.75" customHeight="1">
      <c r="A249" s="115">
        <v>46084</v>
      </c>
      <c r="B249" s="100"/>
      <c r="C249" s="98"/>
      <c r="D249" s="98"/>
      <c r="E249" s="100"/>
      <c r="F249" s="98"/>
      <c r="G249" s="98"/>
      <c r="H249" s="100"/>
      <c r="I249" s="120"/>
      <c r="J249" s="117"/>
      <c r="K249" s="116">
        <f t="shared" si="8"/>
        <v>0</v>
      </c>
      <c r="L249" s="116">
        <f t="shared" si="9"/>
        <v>0</v>
      </c>
      <c r="M249" s="98"/>
      <c r="N249" s="117"/>
    </row>
    <row r="250" spans="1:14" ht="15.75" customHeight="1">
      <c r="A250" s="115">
        <v>46085</v>
      </c>
      <c r="B250" s="100"/>
      <c r="C250" s="98"/>
      <c r="D250" s="98"/>
      <c r="E250" s="100"/>
      <c r="F250" s="98"/>
      <c r="G250" s="98"/>
      <c r="H250" s="100"/>
      <c r="I250" s="120"/>
      <c r="J250" s="117"/>
      <c r="K250" s="116">
        <f t="shared" si="8"/>
        <v>0</v>
      </c>
      <c r="L250" s="116">
        <f t="shared" si="9"/>
        <v>0</v>
      </c>
      <c r="M250" s="98"/>
      <c r="N250" s="117"/>
    </row>
    <row r="251" spans="1:14" ht="15.75" customHeight="1">
      <c r="A251" s="115">
        <v>46086</v>
      </c>
      <c r="B251" s="100"/>
      <c r="C251" s="98"/>
      <c r="D251" s="98"/>
      <c r="E251" s="100"/>
      <c r="F251" s="98"/>
      <c r="G251" s="98"/>
      <c r="H251" s="100"/>
      <c r="I251" s="120"/>
      <c r="J251" s="117"/>
      <c r="K251" s="116">
        <f t="shared" si="8"/>
        <v>0</v>
      </c>
      <c r="L251" s="116">
        <f t="shared" si="9"/>
        <v>0</v>
      </c>
      <c r="M251" s="98"/>
      <c r="N251" s="117"/>
    </row>
    <row r="252" spans="1:14" ht="15.75" customHeight="1">
      <c r="A252" s="115">
        <v>46087</v>
      </c>
      <c r="B252" s="100"/>
      <c r="C252" s="98"/>
      <c r="D252" s="98"/>
      <c r="E252" s="100"/>
      <c r="F252" s="98"/>
      <c r="G252" s="98"/>
      <c r="H252" s="100"/>
      <c r="I252" s="120"/>
      <c r="J252" s="117"/>
      <c r="K252" s="116">
        <f t="shared" si="8"/>
        <v>0</v>
      </c>
      <c r="L252" s="116">
        <f t="shared" si="9"/>
        <v>0</v>
      </c>
      <c r="M252" s="98"/>
      <c r="N252" s="117"/>
    </row>
    <row r="253" spans="1:14" ht="15.75" customHeight="1">
      <c r="A253" s="115">
        <v>46088</v>
      </c>
      <c r="B253" s="100"/>
      <c r="C253" s="98"/>
      <c r="D253" s="98"/>
      <c r="E253" s="100"/>
      <c r="F253" s="98"/>
      <c r="G253" s="98"/>
      <c r="H253" s="100"/>
      <c r="I253" s="120"/>
      <c r="J253" s="117"/>
      <c r="K253" s="116">
        <f t="shared" si="8"/>
        <v>0</v>
      </c>
      <c r="L253" s="116">
        <f t="shared" si="9"/>
        <v>0</v>
      </c>
      <c r="M253" s="98"/>
      <c r="N253" s="117"/>
    </row>
    <row r="254" spans="1:14" ht="15.75" customHeight="1">
      <c r="A254" s="115">
        <v>46089</v>
      </c>
      <c r="B254" s="100"/>
      <c r="C254" s="98"/>
      <c r="D254" s="98"/>
      <c r="E254" s="100"/>
      <c r="F254" s="98"/>
      <c r="G254" s="98"/>
      <c r="H254" s="100"/>
      <c r="I254" s="120"/>
      <c r="J254" s="117"/>
      <c r="K254" s="116">
        <f t="shared" si="8"/>
        <v>0</v>
      </c>
      <c r="L254" s="116">
        <f t="shared" si="9"/>
        <v>0</v>
      </c>
      <c r="M254" s="98"/>
      <c r="N254" s="117"/>
    </row>
    <row r="255" spans="1:14" ht="15.75" customHeight="1">
      <c r="A255" s="115">
        <v>46090</v>
      </c>
      <c r="B255" s="100"/>
      <c r="C255" s="98"/>
      <c r="D255" s="98"/>
      <c r="E255" s="100"/>
      <c r="F255" s="98"/>
      <c r="G255" s="98"/>
      <c r="H255" s="100"/>
      <c r="I255" s="120"/>
      <c r="J255" s="117"/>
      <c r="K255" s="116">
        <f t="shared" si="8"/>
        <v>0</v>
      </c>
      <c r="L255" s="116">
        <f t="shared" si="9"/>
        <v>0</v>
      </c>
      <c r="M255" s="98"/>
      <c r="N255" s="117"/>
    </row>
    <row r="256" spans="1:14" ht="15.75" customHeight="1">
      <c r="A256" s="115">
        <v>46091</v>
      </c>
      <c r="B256" s="100"/>
      <c r="C256" s="98"/>
      <c r="D256" s="98"/>
      <c r="E256" s="100"/>
      <c r="F256" s="98"/>
      <c r="G256" s="98"/>
      <c r="H256" s="100"/>
      <c r="I256" s="120"/>
      <c r="J256" s="117"/>
      <c r="K256" s="116">
        <f t="shared" si="8"/>
        <v>0</v>
      </c>
      <c r="L256" s="116">
        <f t="shared" si="9"/>
        <v>0</v>
      </c>
      <c r="M256" s="98"/>
      <c r="N256" s="117"/>
    </row>
    <row r="257" spans="1:14" ht="15.75" customHeight="1">
      <c r="A257" s="115">
        <v>46092</v>
      </c>
      <c r="B257" s="100"/>
      <c r="C257" s="98"/>
      <c r="D257" s="98"/>
      <c r="E257" s="100"/>
      <c r="F257" s="98"/>
      <c r="G257" s="98"/>
      <c r="H257" s="100"/>
      <c r="I257" s="120"/>
      <c r="J257" s="117"/>
      <c r="K257" s="116">
        <f t="shared" si="8"/>
        <v>0</v>
      </c>
      <c r="L257" s="116">
        <f t="shared" si="9"/>
        <v>0</v>
      </c>
      <c r="M257" s="98"/>
      <c r="N257" s="117"/>
    </row>
    <row r="258" spans="1:14" ht="15.75" customHeight="1">
      <c r="A258" s="115">
        <v>46093</v>
      </c>
      <c r="B258" s="100"/>
      <c r="C258" s="98"/>
      <c r="D258" s="98"/>
      <c r="E258" s="100"/>
      <c r="F258" s="98"/>
      <c r="G258" s="98"/>
      <c r="H258" s="100"/>
      <c r="I258" s="120"/>
      <c r="J258" s="117"/>
      <c r="K258" s="116">
        <f t="shared" si="8"/>
        <v>0</v>
      </c>
      <c r="L258" s="116">
        <f t="shared" si="9"/>
        <v>0</v>
      </c>
      <c r="M258" s="98"/>
      <c r="N258" s="117"/>
    </row>
    <row r="259" spans="1:14" ht="15.75" customHeight="1">
      <c r="A259" s="115">
        <v>46094</v>
      </c>
      <c r="B259" s="100"/>
      <c r="C259" s="98"/>
      <c r="D259" s="98"/>
      <c r="E259" s="100"/>
      <c r="F259" s="98"/>
      <c r="G259" s="98"/>
      <c r="H259" s="100"/>
      <c r="I259" s="120"/>
      <c r="J259" s="117"/>
      <c r="K259" s="116">
        <f t="shared" si="8"/>
        <v>0</v>
      </c>
      <c r="L259" s="116">
        <f t="shared" si="9"/>
        <v>0</v>
      </c>
      <c r="M259" s="98"/>
      <c r="N259" s="117"/>
    </row>
    <row r="260" spans="1:14" ht="15.75" customHeight="1">
      <c r="A260" s="115">
        <v>46095</v>
      </c>
      <c r="B260" s="100"/>
      <c r="C260" s="98"/>
      <c r="D260" s="98"/>
      <c r="E260" s="100"/>
      <c r="F260" s="98"/>
      <c r="G260" s="98"/>
      <c r="H260" s="100"/>
      <c r="I260" s="120"/>
      <c r="J260" s="117"/>
      <c r="K260" s="116">
        <f t="shared" si="8"/>
        <v>0</v>
      </c>
      <c r="L260" s="116">
        <f t="shared" si="9"/>
        <v>0</v>
      </c>
      <c r="M260" s="98"/>
      <c r="N260" s="117"/>
    </row>
    <row r="261" spans="1:14" ht="15.75" customHeight="1">
      <c r="A261" s="115">
        <v>46096</v>
      </c>
      <c r="B261" s="100"/>
      <c r="C261" s="98"/>
      <c r="D261" s="98"/>
      <c r="E261" s="100"/>
      <c r="F261" s="98"/>
      <c r="G261" s="98"/>
      <c r="H261" s="100"/>
      <c r="I261" s="120"/>
      <c r="J261" s="117"/>
      <c r="K261" s="116">
        <f t="shared" si="8"/>
        <v>0</v>
      </c>
      <c r="L261" s="116">
        <f t="shared" si="9"/>
        <v>0</v>
      </c>
      <c r="M261" s="98"/>
      <c r="N261" s="117"/>
    </row>
    <row r="262" spans="1:14" ht="15.75" customHeight="1">
      <c r="A262" s="115">
        <v>46097</v>
      </c>
      <c r="B262" s="100"/>
      <c r="C262" s="98"/>
      <c r="D262" s="98"/>
      <c r="E262" s="100"/>
      <c r="F262" s="98"/>
      <c r="G262" s="98"/>
      <c r="H262" s="100"/>
      <c r="I262" s="120"/>
      <c r="J262" s="117"/>
      <c r="K262" s="116">
        <f t="shared" si="8"/>
        <v>0</v>
      </c>
      <c r="L262" s="116">
        <f t="shared" si="9"/>
        <v>0</v>
      </c>
      <c r="M262" s="98"/>
      <c r="N262" s="117"/>
    </row>
    <row r="263" spans="1:14" ht="15.75" customHeight="1">
      <c r="A263" s="115">
        <v>46098</v>
      </c>
      <c r="B263" s="100"/>
      <c r="C263" s="98"/>
      <c r="D263" s="98"/>
      <c r="E263" s="100"/>
      <c r="F263" s="98"/>
      <c r="G263" s="98"/>
      <c r="H263" s="100"/>
      <c r="I263" s="120"/>
      <c r="J263" s="117"/>
      <c r="K263" s="116">
        <f t="shared" si="8"/>
        <v>0</v>
      </c>
      <c r="L263" s="116">
        <f t="shared" si="9"/>
        <v>0</v>
      </c>
      <c r="M263" s="98"/>
      <c r="N263" s="117"/>
    </row>
    <row r="264" spans="1:14" ht="15.75" customHeight="1">
      <c r="A264" s="115">
        <v>46099</v>
      </c>
      <c r="B264" s="100"/>
      <c r="C264" s="98"/>
      <c r="D264" s="98"/>
      <c r="E264" s="100"/>
      <c r="F264" s="98"/>
      <c r="G264" s="98"/>
      <c r="H264" s="100"/>
      <c r="I264" s="120"/>
      <c r="J264" s="117"/>
      <c r="K264" s="116">
        <f t="shared" si="8"/>
        <v>0</v>
      </c>
      <c r="L264" s="116">
        <f t="shared" si="9"/>
        <v>0</v>
      </c>
      <c r="M264" s="98"/>
      <c r="N264" s="117"/>
    </row>
    <row r="265" spans="1:14" ht="15.75" customHeight="1">
      <c r="A265" s="115">
        <v>46100</v>
      </c>
      <c r="B265" s="100"/>
      <c r="C265" s="98"/>
      <c r="D265" s="98"/>
      <c r="E265" s="100"/>
      <c r="F265" s="98"/>
      <c r="G265" s="98"/>
      <c r="H265" s="100"/>
      <c r="I265" s="120"/>
      <c r="J265" s="117"/>
      <c r="K265" s="116">
        <f t="shared" si="8"/>
        <v>0</v>
      </c>
      <c r="L265" s="116">
        <f t="shared" si="9"/>
        <v>0</v>
      </c>
      <c r="M265" s="98"/>
      <c r="N265" s="117"/>
    </row>
    <row r="266" spans="1:14" ht="15.75" customHeight="1">
      <c r="A266" s="115">
        <v>46101</v>
      </c>
      <c r="B266" s="100"/>
      <c r="C266" s="98"/>
      <c r="D266" s="98"/>
      <c r="E266" s="100"/>
      <c r="F266" s="98"/>
      <c r="G266" s="98"/>
      <c r="H266" s="100"/>
      <c r="I266" s="120"/>
      <c r="J266" s="117"/>
      <c r="K266" s="116">
        <f t="shared" si="8"/>
        <v>0</v>
      </c>
      <c r="L266" s="116">
        <f t="shared" si="9"/>
        <v>0</v>
      </c>
      <c r="M266" s="98"/>
      <c r="N266" s="117"/>
    </row>
    <row r="267" spans="1:14" ht="15.75" customHeight="1">
      <c r="A267" s="115">
        <v>46102</v>
      </c>
      <c r="B267" s="100"/>
      <c r="C267" s="98"/>
      <c r="D267" s="98"/>
      <c r="E267" s="100"/>
      <c r="F267" s="98"/>
      <c r="G267" s="98"/>
      <c r="H267" s="100"/>
      <c r="I267" s="120"/>
      <c r="J267" s="117"/>
      <c r="K267" s="116">
        <f t="shared" si="8"/>
        <v>0</v>
      </c>
      <c r="L267" s="116">
        <f t="shared" si="9"/>
        <v>0</v>
      </c>
      <c r="M267" s="98"/>
      <c r="N267" s="117"/>
    </row>
    <row r="268" spans="1:14" ht="15.75" customHeight="1">
      <c r="A268" s="115">
        <v>46103</v>
      </c>
      <c r="B268" s="100"/>
      <c r="C268" s="98"/>
      <c r="D268" s="98"/>
      <c r="E268" s="100"/>
      <c r="F268" s="98"/>
      <c r="G268" s="98"/>
      <c r="H268" s="100"/>
      <c r="I268" s="120"/>
      <c r="J268" s="117"/>
      <c r="K268" s="116">
        <f t="shared" si="8"/>
        <v>0</v>
      </c>
      <c r="L268" s="116">
        <f t="shared" si="9"/>
        <v>0</v>
      </c>
      <c r="M268" s="98"/>
      <c r="N268" s="117"/>
    </row>
    <row r="269" spans="1:14" ht="15.75" customHeight="1">
      <c r="A269" s="115">
        <v>46104</v>
      </c>
      <c r="B269" s="100"/>
      <c r="C269" s="98"/>
      <c r="D269" s="98"/>
      <c r="E269" s="100"/>
      <c r="F269" s="98"/>
      <c r="G269" s="98"/>
      <c r="H269" s="100"/>
      <c r="I269" s="120"/>
      <c r="J269" s="117"/>
      <c r="K269" s="116">
        <f t="shared" si="8"/>
        <v>0</v>
      </c>
      <c r="L269" s="116">
        <f t="shared" si="9"/>
        <v>0</v>
      </c>
      <c r="M269" s="98"/>
      <c r="N269" s="117"/>
    </row>
    <row r="270" spans="1:14" ht="15.75" customHeight="1">
      <c r="A270" s="115">
        <v>46105</v>
      </c>
      <c r="B270" s="100"/>
      <c r="C270" s="98"/>
      <c r="D270" s="98"/>
      <c r="E270" s="100"/>
      <c r="F270" s="98"/>
      <c r="G270" s="98"/>
      <c r="H270" s="100"/>
      <c r="I270" s="120"/>
      <c r="J270" s="117"/>
      <c r="K270" s="116">
        <f t="shared" si="8"/>
        <v>0</v>
      </c>
      <c r="L270" s="116">
        <f t="shared" si="9"/>
        <v>0</v>
      </c>
      <c r="M270" s="98"/>
      <c r="N270" s="117"/>
    </row>
    <row r="271" spans="1:14" ht="15.75" customHeight="1">
      <c r="A271" s="115">
        <v>46106</v>
      </c>
      <c r="B271" s="100"/>
      <c r="C271" s="98"/>
      <c r="D271" s="98"/>
      <c r="E271" s="100"/>
      <c r="F271" s="98"/>
      <c r="G271" s="98"/>
      <c r="H271" s="100"/>
      <c r="I271" s="120"/>
      <c r="J271" s="117"/>
      <c r="K271" s="116">
        <f t="shared" si="8"/>
        <v>0</v>
      </c>
      <c r="L271" s="116">
        <f t="shared" si="9"/>
        <v>0</v>
      </c>
      <c r="M271" s="98"/>
      <c r="N271" s="117"/>
    </row>
    <row r="272" spans="1:14" ht="15.75" customHeight="1">
      <c r="A272" s="115">
        <v>46107</v>
      </c>
      <c r="B272" s="100"/>
      <c r="C272" s="98"/>
      <c r="D272" s="98"/>
      <c r="E272" s="100"/>
      <c r="F272" s="98"/>
      <c r="G272" s="98"/>
      <c r="H272" s="100"/>
      <c r="I272" s="120"/>
      <c r="J272" s="117"/>
      <c r="K272" s="116">
        <f t="shared" si="8"/>
        <v>0</v>
      </c>
      <c r="L272" s="116">
        <f t="shared" si="9"/>
        <v>0</v>
      </c>
      <c r="M272" s="98"/>
      <c r="N272" s="117"/>
    </row>
    <row r="273" spans="1:14" ht="15.75" customHeight="1">
      <c r="A273" s="115">
        <v>46108</v>
      </c>
      <c r="B273" s="100"/>
      <c r="C273" s="98"/>
      <c r="D273" s="98"/>
      <c r="E273" s="100"/>
      <c r="F273" s="98"/>
      <c r="G273" s="98"/>
      <c r="H273" s="100"/>
      <c r="I273" s="120"/>
      <c r="J273" s="117"/>
      <c r="K273" s="116">
        <f t="shared" si="8"/>
        <v>0</v>
      </c>
      <c r="L273" s="116">
        <f t="shared" si="9"/>
        <v>0</v>
      </c>
      <c r="M273" s="98"/>
      <c r="N273" s="117"/>
    </row>
    <row r="274" spans="1:14" ht="15.75" customHeight="1">
      <c r="A274" s="115">
        <v>46109</v>
      </c>
      <c r="B274" s="100"/>
      <c r="C274" s="98"/>
      <c r="D274" s="98"/>
      <c r="E274" s="100"/>
      <c r="F274" s="98"/>
      <c r="G274" s="98"/>
      <c r="H274" s="100"/>
      <c r="I274" s="120"/>
      <c r="J274" s="117"/>
      <c r="K274" s="116">
        <f t="shared" si="8"/>
        <v>0</v>
      </c>
      <c r="L274" s="116">
        <f t="shared" si="9"/>
        <v>0</v>
      </c>
      <c r="M274" s="98"/>
      <c r="N274" s="117"/>
    </row>
    <row r="275" spans="1:14" ht="15.75" customHeight="1">
      <c r="A275" s="115">
        <v>46110</v>
      </c>
      <c r="B275" s="100"/>
      <c r="C275" s="98"/>
      <c r="D275" s="98"/>
      <c r="E275" s="100"/>
      <c r="F275" s="98"/>
      <c r="G275" s="98"/>
      <c r="H275" s="100"/>
      <c r="I275" s="120"/>
      <c r="J275" s="117"/>
      <c r="K275" s="116">
        <f t="shared" si="8"/>
        <v>0</v>
      </c>
      <c r="L275" s="116">
        <f t="shared" si="9"/>
        <v>0</v>
      </c>
      <c r="M275" s="98"/>
      <c r="N275" s="117"/>
    </row>
    <row r="276" spans="1:14" ht="15.75" customHeight="1">
      <c r="A276" s="115">
        <v>46111</v>
      </c>
      <c r="B276" s="100"/>
      <c r="C276" s="98"/>
      <c r="D276" s="98"/>
      <c r="E276" s="100"/>
      <c r="F276" s="98"/>
      <c r="G276" s="98"/>
      <c r="H276" s="100"/>
      <c r="I276" s="120"/>
      <c r="J276" s="117"/>
      <c r="K276" s="116">
        <f t="shared" ref="K276:K339" si="10">G276+I276+J276</f>
        <v>0</v>
      </c>
      <c r="L276" s="116">
        <f t="shared" ref="L276:L339" si="11">F276-K276</f>
        <v>0</v>
      </c>
      <c r="M276" s="98"/>
      <c r="N276" s="117"/>
    </row>
    <row r="277" spans="1:14" ht="15.75" customHeight="1">
      <c r="A277" s="115">
        <v>46112</v>
      </c>
      <c r="B277" s="100"/>
      <c r="C277" s="98"/>
      <c r="D277" s="98"/>
      <c r="E277" s="100"/>
      <c r="F277" s="98"/>
      <c r="G277" s="98"/>
      <c r="H277" s="100"/>
      <c r="I277" s="120"/>
      <c r="J277" s="117"/>
      <c r="K277" s="116">
        <f t="shared" si="10"/>
        <v>0</v>
      </c>
      <c r="L277" s="116">
        <f t="shared" si="11"/>
        <v>0</v>
      </c>
      <c r="M277" s="98"/>
      <c r="N277" s="117"/>
    </row>
    <row r="278" spans="1:14" ht="15.75" customHeight="1">
      <c r="A278" s="115">
        <v>46113</v>
      </c>
      <c r="B278" s="100"/>
      <c r="C278" s="98"/>
      <c r="D278" s="98"/>
      <c r="E278" s="100"/>
      <c r="F278" s="98"/>
      <c r="G278" s="98"/>
      <c r="H278" s="100"/>
      <c r="I278" s="120"/>
      <c r="J278" s="117"/>
      <c r="K278" s="116">
        <f t="shared" si="10"/>
        <v>0</v>
      </c>
      <c r="L278" s="116">
        <f t="shared" si="11"/>
        <v>0</v>
      </c>
      <c r="M278" s="98"/>
      <c r="N278" s="117"/>
    </row>
    <row r="279" spans="1:14" ht="15.75" customHeight="1">
      <c r="A279" s="115">
        <v>46114</v>
      </c>
      <c r="B279" s="100"/>
      <c r="C279" s="98"/>
      <c r="D279" s="98"/>
      <c r="E279" s="100"/>
      <c r="F279" s="98"/>
      <c r="G279" s="98"/>
      <c r="H279" s="100"/>
      <c r="I279" s="120"/>
      <c r="J279" s="117"/>
      <c r="K279" s="116">
        <f t="shared" si="10"/>
        <v>0</v>
      </c>
      <c r="L279" s="116">
        <f t="shared" si="11"/>
        <v>0</v>
      </c>
      <c r="M279" s="98"/>
      <c r="N279" s="117"/>
    </row>
    <row r="280" spans="1:14" ht="15.75" customHeight="1">
      <c r="A280" s="115">
        <v>46115</v>
      </c>
      <c r="B280" s="100"/>
      <c r="C280" s="98"/>
      <c r="D280" s="98"/>
      <c r="E280" s="100"/>
      <c r="F280" s="98"/>
      <c r="G280" s="98"/>
      <c r="H280" s="100"/>
      <c r="I280" s="120"/>
      <c r="J280" s="117"/>
      <c r="K280" s="116">
        <f t="shared" si="10"/>
        <v>0</v>
      </c>
      <c r="L280" s="116">
        <f t="shared" si="11"/>
        <v>0</v>
      </c>
      <c r="M280" s="98"/>
      <c r="N280" s="117"/>
    </row>
    <row r="281" spans="1:14" ht="15.75" customHeight="1">
      <c r="A281" s="115">
        <v>46116</v>
      </c>
      <c r="B281" s="100"/>
      <c r="C281" s="98"/>
      <c r="D281" s="98"/>
      <c r="E281" s="100"/>
      <c r="F281" s="98"/>
      <c r="G281" s="98"/>
      <c r="H281" s="100"/>
      <c r="I281" s="120"/>
      <c r="J281" s="117"/>
      <c r="K281" s="116">
        <f t="shared" si="10"/>
        <v>0</v>
      </c>
      <c r="L281" s="116">
        <f t="shared" si="11"/>
        <v>0</v>
      </c>
      <c r="M281" s="98"/>
      <c r="N281" s="117"/>
    </row>
    <row r="282" spans="1:14" ht="15.75" customHeight="1">
      <c r="A282" s="115">
        <v>46117</v>
      </c>
      <c r="B282" s="100"/>
      <c r="C282" s="98"/>
      <c r="D282" s="98"/>
      <c r="E282" s="100"/>
      <c r="F282" s="98"/>
      <c r="G282" s="98"/>
      <c r="H282" s="100"/>
      <c r="I282" s="120"/>
      <c r="J282" s="117"/>
      <c r="K282" s="116">
        <f t="shared" si="10"/>
        <v>0</v>
      </c>
      <c r="L282" s="116">
        <f t="shared" si="11"/>
        <v>0</v>
      </c>
      <c r="M282" s="98"/>
      <c r="N282" s="117"/>
    </row>
    <row r="283" spans="1:14" ht="15.75" customHeight="1">
      <c r="A283" s="115">
        <v>46118</v>
      </c>
      <c r="B283" s="100"/>
      <c r="C283" s="98"/>
      <c r="D283" s="98"/>
      <c r="E283" s="100"/>
      <c r="F283" s="98"/>
      <c r="G283" s="98"/>
      <c r="H283" s="100"/>
      <c r="I283" s="120"/>
      <c r="J283" s="117"/>
      <c r="K283" s="116">
        <f t="shared" si="10"/>
        <v>0</v>
      </c>
      <c r="L283" s="116">
        <f t="shared" si="11"/>
        <v>0</v>
      </c>
      <c r="M283" s="98"/>
      <c r="N283" s="117"/>
    </row>
    <row r="284" spans="1:14" ht="15.75" customHeight="1">
      <c r="A284" s="115">
        <v>46119</v>
      </c>
      <c r="B284" s="100"/>
      <c r="C284" s="98"/>
      <c r="D284" s="98"/>
      <c r="E284" s="100"/>
      <c r="F284" s="98"/>
      <c r="G284" s="98"/>
      <c r="H284" s="100"/>
      <c r="I284" s="120"/>
      <c r="J284" s="117"/>
      <c r="K284" s="116">
        <f t="shared" si="10"/>
        <v>0</v>
      </c>
      <c r="L284" s="116">
        <f t="shared" si="11"/>
        <v>0</v>
      </c>
      <c r="M284" s="98"/>
      <c r="N284" s="117"/>
    </row>
    <row r="285" spans="1:14" ht="15.75" customHeight="1">
      <c r="A285" s="115">
        <v>46120</v>
      </c>
      <c r="B285" s="100"/>
      <c r="C285" s="98"/>
      <c r="D285" s="98"/>
      <c r="E285" s="100"/>
      <c r="F285" s="98"/>
      <c r="G285" s="98"/>
      <c r="H285" s="100"/>
      <c r="I285" s="120"/>
      <c r="J285" s="117"/>
      <c r="K285" s="116">
        <f t="shared" si="10"/>
        <v>0</v>
      </c>
      <c r="L285" s="116">
        <f t="shared" si="11"/>
        <v>0</v>
      </c>
      <c r="M285" s="98"/>
      <c r="N285" s="117"/>
    </row>
    <row r="286" spans="1:14" ht="15.75" customHeight="1">
      <c r="A286" s="115">
        <v>46121</v>
      </c>
      <c r="B286" s="100"/>
      <c r="C286" s="98"/>
      <c r="D286" s="98"/>
      <c r="E286" s="100"/>
      <c r="F286" s="98"/>
      <c r="G286" s="98"/>
      <c r="H286" s="100"/>
      <c r="I286" s="120"/>
      <c r="J286" s="117"/>
      <c r="K286" s="116">
        <f t="shared" si="10"/>
        <v>0</v>
      </c>
      <c r="L286" s="116">
        <f t="shared" si="11"/>
        <v>0</v>
      </c>
      <c r="M286" s="98"/>
      <c r="N286" s="117"/>
    </row>
    <row r="287" spans="1:14" ht="15.75" customHeight="1">
      <c r="A287" s="115">
        <v>46122</v>
      </c>
      <c r="B287" s="100"/>
      <c r="C287" s="98"/>
      <c r="D287" s="98"/>
      <c r="E287" s="100"/>
      <c r="F287" s="98"/>
      <c r="G287" s="98"/>
      <c r="H287" s="100"/>
      <c r="I287" s="120"/>
      <c r="J287" s="117"/>
      <c r="K287" s="116">
        <f t="shared" si="10"/>
        <v>0</v>
      </c>
      <c r="L287" s="116">
        <f t="shared" si="11"/>
        <v>0</v>
      </c>
      <c r="M287" s="98"/>
      <c r="N287" s="117"/>
    </row>
    <row r="288" spans="1:14" ht="15.75" customHeight="1">
      <c r="A288" s="115">
        <v>46123</v>
      </c>
      <c r="B288" s="100"/>
      <c r="C288" s="98"/>
      <c r="D288" s="98"/>
      <c r="E288" s="100"/>
      <c r="F288" s="98"/>
      <c r="G288" s="98"/>
      <c r="H288" s="100"/>
      <c r="I288" s="120"/>
      <c r="J288" s="117"/>
      <c r="K288" s="116">
        <f t="shared" si="10"/>
        <v>0</v>
      </c>
      <c r="L288" s="116">
        <f t="shared" si="11"/>
        <v>0</v>
      </c>
      <c r="M288" s="98"/>
      <c r="N288" s="117"/>
    </row>
    <row r="289" spans="1:14" ht="15.75" customHeight="1">
      <c r="A289" s="115">
        <v>46124</v>
      </c>
      <c r="B289" s="100"/>
      <c r="C289" s="98"/>
      <c r="D289" s="98"/>
      <c r="E289" s="100"/>
      <c r="F289" s="98"/>
      <c r="G289" s="98"/>
      <c r="H289" s="100"/>
      <c r="I289" s="120"/>
      <c r="J289" s="117"/>
      <c r="K289" s="116">
        <f t="shared" si="10"/>
        <v>0</v>
      </c>
      <c r="L289" s="116">
        <f t="shared" si="11"/>
        <v>0</v>
      </c>
      <c r="M289" s="98"/>
      <c r="N289" s="117"/>
    </row>
    <row r="290" spans="1:14" ht="15.75" customHeight="1">
      <c r="A290" s="115">
        <v>46125</v>
      </c>
      <c r="B290" s="100"/>
      <c r="C290" s="98"/>
      <c r="D290" s="98"/>
      <c r="E290" s="100"/>
      <c r="F290" s="98"/>
      <c r="G290" s="98"/>
      <c r="H290" s="100"/>
      <c r="I290" s="120"/>
      <c r="J290" s="117"/>
      <c r="K290" s="116">
        <f t="shared" si="10"/>
        <v>0</v>
      </c>
      <c r="L290" s="116">
        <f t="shared" si="11"/>
        <v>0</v>
      </c>
      <c r="M290" s="98"/>
      <c r="N290" s="117"/>
    </row>
    <row r="291" spans="1:14" ht="15.75" customHeight="1">
      <c r="A291" s="115">
        <v>46126</v>
      </c>
      <c r="B291" s="100"/>
      <c r="C291" s="98"/>
      <c r="D291" s="98"/>
      <c r="E291" s="100"/>
      <c r="F291" s="98"/>
      <c r="G291" s="98"/>
      <c r="H291" s="100"/>
      <c r="I291" s="120"/>
      <c r="J291" s="117"/>
      <c r="K291" s="116">
        <f t="shared" si="10"/>
        <v>0</v>
      </c>
      <c r="L291" s="116">
        <f t="shared" si="11"/>
        <v>0</v>
      </c>
      <c r="M291" s="98"/>
      <c r="N291" s="117"/>
    </row>
    <row r="292" spans="1:14" ht="15.75" customHeight="1">
      <c r="A292" s="115">
        <v>46127</v>
      </c>
      <c r="B292" s="100"/>
      <c r="C292" s="98"/>
      <c r="D292" s="98"/>
      <c r="E292" s="100"/>
      <c r="F292" s="98"/>
      <c r="G292" s="98"/>
      <c r="H292" s="100"/>
      <c r="I292" s="120"/>
      <c r="J292" s="117"/>
      <c r="K292" s="116">
        <f t="shared" si="10"/>
        <v>0</v>
      </c>
      <c r="L292" s="116">
        <f t="shared" si="11"/>
        <v>0</v>
      </c>
      <c r="M292" s="98"/>
      <c r="N292" s="117"/>
    </row>
    <row r="293" spans="1:14" ht="15.75" customHeight="1">
      <c r="A293" s="115">
        <v>46128</v>
      </c>
      <c r="B293" s="100"/>
      <c r="C293" s="98"/>
      <c r="D293" s="98"/>
      <c r="E293" s="100"/>
      <c r="F293" s="98"/>
      <c r="G293" s="98"/>
      <c r="H293" s="100"/>
      <c r="I293" s="120"/>
      <c r="J293" s="117"/>
      <c r="K293" s="116">
        <f t="shared" si="10"/>
        <v>0</v>
      </c>
      <c r="L293" s="116">
        <f t="shared" si="11"/>
        <v>0</v>
      </c>
      <c r="M293" s="98"/>
      <c r="N293" s="117"/>
    </row>
    <row r="294" spans="1:14" ht="15.75" customHeight="1">
      <c r="A294" s="115">
        <v>46129</v>
      </c>
      <c r="B294" s="100"/>
      <c r="C294" s="98"/>
      <c r="D294" s="98"/>
      <c r="E294" s="100"/>
      <c r="F294" s="98"/>
      <c r="G294" s="98"/>
      <c r="H294" s="100"/>
      <c r="I294" s="120"/>
      <c r="J294" s="117"/>
      <c r="K294" s="116">
        <f t="shared" si="10"/>
        <v>0</v>
      </c>
      <c r="L294" s="116">
        <f t="shared" si="11"/>
        <v>0</v>
      </c>
      <c r="M294" s="98"/>
      <c r="N294" s="117"/>
    </row>
    <row r="295" spans="1:14" ht="15.75" customHeight="1">
      <c r="A295" s="115">
        <v>46130</v>
      </c>
      <c r="B295" s="100"/>
      <c r="C295" s="98"/>
      <c r="D295" s="98"/>
      <c r="E295" s="100"/>
      <c r="F295" s="98"/>
      <c r="G295" s="98"/>
      <c r="H295" s="100"/>
      <c r="I295" s="120"/>
      <c r="J295" s="117"/>
      <c r="K295" s="116">
        <f t="shared" si="10"/>
        <v>0</v>
      </c>
      <c r="L295" s="116">
        <f t="shared" si="11"/>
        <v>0</v>
      </c>
      <c r="M295" s="98"/>
      <c r="N295" s="117"/>
    </row>
    <row r="296" spans="1:14" ht="15.75" customHeight="1">
      <c r="A296" s="115">
        <v>46131</v>
      </c>
      <c r="B296" s="100"/>
      <c r="C296" s="98"/>
      <c r="D296" s="98"/>
      <c r="E296" s="100"/>
      <c r="F296" s="98"/>
      <c r="G296" s="98"/>
      <c r="H296" s="100"/>
      <c r="I296" s="120"/>
      <c r="J296" s="117"/>
      <c r="K296" s="116">
        <f t="shared" si="10"/>
        <v>0</v>
      </c>
      <c r="L296" s="116">
        <f t="shared" si="11"/>
        <v>0</v>
      </c>
      <c r="M296" s="98"/>
      <c r="N296" s="117"/>
    </row>
    <row r="297" spans="1:14" ht="15.75" customHeight="1">
      <c r="A297" s="115">
        <v>46132</v>
      </c>
      <c r="B297" s="100"/>
      <c r="C297" s="98"/>
      <c r="D297" s="98"/>
      <c r="E297" s="100"/>
      <c r="F297" s="98"/>
      <c r="G297" s="98"/>
      <c r="H297" s="100"/>
      <c r="I297" s="120"/>
      <c r="J297" s="117"/>
      <c r="K297" s="116">
        <f t="shared" si="10"/>
        <v>0</v>
      </c>
      <c r="L297" s="116">
        <f t="shared" si="11"/>
        <v>0</v>
      </c>
      <c r="M297" s="98"/>
      <c r="N297" s="117"/>
    </row>
    <row r="298" spans="1:14" ht="15.75" customHeight="1">
      <c r="A298" s="115">
        <v>46133</v>
      </c>
      <c r="B298" s="100"/>
      <c r="C298" s="98"/>
      <c r="D298" s="98"/>
      <c r="E298" s="100"/>
      <c r="F298" s="98"/>
      <c r="G298" s="98"/>
      <c r="H298" s="100"/>
      <c r="I298" s="120"/>
      <c r="J298" s="117"/>
      <c r="K298" s="116">
        <f t="shared" si="10"/>
        <v>0</v>
      </c>
      <c r="L298" s="116">
        <f t="shared" si="11"/>
        <v>0</v>
      </c>
      <c r="M298" s="98"/>
      <c r="N298" s="117"/>
    </row>
    <row r="299" spans="1:14" ht="15.75" customHeight="1">
      <c r="A299" s="115">
        <v>46134</v>
      </c>
      <c r="B299" s="100"/>
      <c r="C299" s="98"/>
      <c r="D299" s="98"/>
      <c r="E299" s="100"/>
      <c r="F299" s="98"/>
      <c r="G299" s="98"/>
      <c r="H299" s="100"/>
      <c r="I299" s="120"/>
      <c r="J299" s="117"/>
      <c r="K299" s="116">
        <f t="shared" si="10"/>
        <v>0</v>
      </c>
      <c r="L299" s="116">
        <f t="shared" si="11"/>
        <v>0</v>
      </c>
      <c r="M299" s="98"/>
      <c r="N299" s="117"/>
    </row>
    <row r="300" spans="1:14" ht="15.75" customHeight="1">
      <c r="A300" s="115">
        <v>46135</v>
      </c>
      <c r="B300" s="100"/>
      <c r="C300" s="98"/>
      <c r="D300" s="98"/>
      <c r="E300" s="100"/>
      <c r="F300" s="98"/>
      <c r="G300" s="98"/>
      <c r="H300" s="100"/>
      <c r="I300" s="120"/>
      <c r="J300" s="117"/>
      <c r="K300" s="116">
        <f t="shared" si="10"/>
        <v>0</v>
      </c>
      <c r="L300" s="116">
        <f t="shared" si="11"/>
        <v>0</v>
      </c>
      <c r="M300" s="98"/>
      <c r="N300" s="117"/>
    </row>
    <row r="301" spans="1:14" ht="15.75" customHeight="1">
      <c r="A301" s="115">
        <v>46136</v>
      </c>
      <c r="B301" s="100"/>
      <c r="C301" s="98"/>
      <c r="D301" s="98"/>
      <c r="E301" s="100"/>
      <c r="F301" s="98"/>
      <c r="G301" s="98"/>
      <c r="H301" s="100"/>
      <c r="I301" s="120"/>
      <c r="J301" s="117"/>
      <c r="K301" s="116">
        <f t="shared" si="10"/>
        <v>0</v>
      </c>
      <c r="L301" s="116">
        <f t="shared" si="11"/>
        <v>0</v>
      </c>
      <c r="M301" s="98"/>
      <c r="N301" s="117"/>
    </row>
    <row r="302" spans="1:14" ht="15.75" customHeight="1">
      <c r="A302" s="115">
        <v>46137</v>
      </c>
      <c r="B302" s="100"/>
      <c r="C302" s="98"/>
      <c r="D302" s="98"/>
      <c r="E302" s="100"/>
      <c r="F302" s="98"/>
      <c r="G302" s="98"/>
      <c r="H302" s="100"/>
      <c r="I302" s="120"/>
      <c r="J302" s="117"/>
      <c r="K302" s="116">
        <f t="shared" si="10"/>
        <v>0</v>
      </c>
      <c r="L302" s="116">
        <f t="shared" si="11"/>
        <v>0</v>
      </c>
      <c r="M302" s="98"/>
      <c r="N302" s="117"/>
    </row>
    <row r="303" spans="1:14" ht="15.75" customHeight="1">
      <c r="A303" s="115">
        <v>46138</v>
      </c>
      <c r="B303" s="100"/>
      <c r="C303" s="98"/>
      <c r="D303" s="98"/>
      <c r="E303" s="100"/>
      <c r="F303" s="98"/>
      <c r="G303" s="98"/>
      <c r="H303" s="100"/>
      <c r="I303" s="120"/>
      <c r="J303" s="117"/>
      <c r="K303" s="116">
        <f t="shared" si="10"/>
        <v>0</v>
      </c>
      <c r="L303" s="116">
        <f t="shared" si="11"/>
        <v>0</v>
      </c>
      <c r="M303" s="98"/>
      <c r="N303" s="117"/>
    </row>
    <row r="304" spans="1:14" ht="15.75" customHeight="1">
      <c r="A304" s="115">
        <v>46139</v>
      </c>
      <c r="B304" s="100"/>
      <c r="C304" s="98"/>
      <c r="D304" s="98"/>
      <c r="E304" s="100"/>
      <c r="F304" s="98"/>
      <c r="G304" s="98"/>
      <c r="H304" s="100"/>
      <c r="I304" s="120"/>
      <c r="J304" s="117"/>
      <c r="K304" s="116">
        <f t="shared" si="10"/>
        <v>0</v>
      </c>
      <c r="L304" s="116">
        <f t="shared" si="11"/>
        <v>0</v>
      </c>
      <c r="M304" s="98"/>
      <c r="N304" s="117"/>
    </row>
    <row r="305" spans="1:14" ht="15.75" customHeight="1">
      <c r="A305" s="115">
        <v>46140</v>
      </c>
      <c r="B305" s="100"/>
      <c r="C305" s="98"/>
      <c r="D305" s="98"/>
      <c r="E305" s="100"/>
      <c r="F305" s="98"/>
      <c r="G305" s="98"/>
      <c r="H305" s="100"/>
      <c r="I305" s="120"/>
      <c r="J305" s="117"/>
      <c r="K305" s="116">
        <f t="shared" si="10"/>
        <v>0</v>
      </c>
      <c r="L305" s="116">
        <f t="shared" si="11"/>
        <v>0</v>
      </c>
      <c r="M305" s="98"/>
      <c r="N305" s="117"/>
    </row>
    <row r="306" spans="1:14" ht="15.75" customHeight="1">
      <c r="A306" s="115">
        <v>46141</v>
      </c>
      <c r="B306" s="100"/>
      <c r="C306" s="98"/>
      <c r="D306" s="98"/>
      <c r="E306" s="100"/>
      <c r="F306" s="98"/>
      <c r="G306" s="98"/>
      <c r="H306" s="100"/>
      <c r="I306" s="120"/>
      <c r="J306" s="117"/>
      <c r="K306" s="116">
        <f t="shared" si="10"/>
        <v>0</v>
      </c>
      <c r="L306" s="116">
        <f t="shared" si="11"/>
        <v>0</v>
      </c>
      <c r="M306" s="98"/>
      <c r="N306" s="117"/>
    </row>
    <row r="307" spans="1:14" ht="15.75" customHeight="1">
      <c r="A307" s="115">
        <v>46142</v>
      </c>
      <c r="B307" s="100"/>
      <c r="C307" s="98"/>
      <c r="D307" s="98"/>
      <c r="E307" s="100"/>
      <c r="F307" s="98"/>
      <c r="G307" s="98"/>
      <c r="H307" s="100"/>
      <c r="I307" s="120"/>
      <c r="J307" s="117"/>
      <c r="K307" s="116">
        <f t="shared" si="10"/>
        <v>0</v>
      </c>
      <c r="L307" s="116">
        <f t="shared" si="11"/>
        <v>0</v>
      </c>
      <c r="M307" s="98"/>
      <c r="N307" s="117"/>
    </row>
    <row r="308" spans="1:14" ht="15.75" customHeight="1">
      <c r="A308" s="115">
        <v>46143</v>
      </c>
      <c r="B308" s="100"/>
      <c r="C308" s="98"/>
      <c r="D308" s="98"/>
      <c r="E308" s="100"/>
      <c r="F308" s="98"/>
      <c r="G308" s="98"/>
      <c r="H308" s="100"/>
      <c r="I308" s="120"/>
      <c r="J308" s="117"/>
      <c r="K308" s="116">
        <f t="shared" si="10"/>
        <v>0</v>
      </c>
      <c r="L308" s="116">
        <f t="shared" si="11"/>
        <v>0</v>
      </c>
      <c r="M308" s="98"/>
      <c r="N308" s="117"/>
    </row>
    <row r="309" spans="1:14" ht="15.75" customHeight="1">
      <c r="A309" s="115">
        <v>46144</v>
      </c>
      <c r="B309" s="100"/>
      <c r="C309" s="98"/>
      <c r="D309" s="98"/>
      <c r="E309" s="100"/>
      <c r="F309" s="98"/>
      <c r="G309" s="98"/>
      <c r="H309" s="100"/>
      <c r="I309" s="120"/>
      <c r="J309" s="117"/>
      <c r="K309" s="116">
        <f t="shared" si="10"/>
        <v>0</v>
      </c>
      <c r="L309" s="116">
        <f t="shared" si="11"/>
        <v>0</v>
      </c>
      <c r="M309" s="98"/>
      <c r="N309" s="117"/>
    </row>
    <row r="310" spans="1:14" ht="15.75" customHeight="1">
      <c r="A310" s="115">
        <v>46145</v>
      </c>
      <c r="B310" s="100"/>
      <c r="C310" s="98"/>
      <c r="D310" s="98"/>
      <c r="E310" s="100"/>
      <c r="F310" s="98"/>
      <c r="G310" s="98"/>
      <c r="H310" s="100"/>
      <c r="I310" s="120"/>
      <c r="J310" s="117"/>
      <c r="K310" s="116">
        <f t="shared" si="10"/>
        <v>0</v>
      </c>
      <c r="L310" s="116">
        <f t="shared" si="11"/>
        <v>0</v>
      </c>
      <c r="M310" s="98"/>
      <c r="N310" s="117"/>
    </row>
    <row r="311" spans="1:14" ht="15.75" customHeight="1">
      <c r="A311" s="115">
        <v>46146</v>
      </c>
      <c r="B311" s="100"/>
      <c r="C311" s="98"/>
      <c r="D311" s="98"/>
      <c r="E311" s="100"/>
      <c r="F311" s="98"/>
      <c r="G311" s="98"/>
      <c r="H311" s="100"/>
      <c r="I311" s="120"/>
      <c r="J311" s="117"/>
      <c r="K311" s="116">
        <f t="shared" si="10"/>
        <v>0</v>
      </c>
      <c r="L311" s="116">
        <f t="shared" si="11"/>
        <v>0</v>
      </c>
      <c r="M311" s="98"/>
      <c r="N311" s="117"/>
    </row>
    <row r="312" spans="1:14" ht="15.75" customHeight="1">
      <c r="A312" s="115">
        <v>46147</v>
      </c>
      <c r="B312" s="100"/>
      <c r="C312" s="98"/>
      <c r="D312" s="98"/>
      <c r="E312" s="100"/>
      <c r="F312" s="98"/>
      <c r="G312" s="98"/>
      <c r="H312" s="100"/>
      <c r="I312" s="120"/>
      <c r="J312" s="117"/>
      <c r="K312" s="116">
        <f t="shared" si="10"/>
        <v>0</v>
      </c>
      <c r="L312" s="116">
        <f t="shared" si="11"/>
        <v>0</v>
      </c>
      <c r="M312" s="98"/>
      <c r="N312" s="117"/>
    </row>
    <row r="313" spans="1:14" ht="15.75" customHeight="1">
      <c r="A313" s="115">
        <v>46148</v>
      </c>
      <c r="B313" s="100"/>
      <c r="C313" s="98"/>
      <c r="D313" s="98"/>
      <c r="E313" s="100"/>
      <c r="F313" s="98"/>
      <c r="G313" s="98"/>
      <c r="H313" s="100"/>
      <c r="I313" s="120"/>
      <c r="J313" s="117"/>
      <c r="K313" s="116">
        <f t="shared" si="10"/>
        <v>0</v>
      </c>
      <c r="L313" s="116">
        <f t="shared" si="11"/>
        <v>0</v>
      </c>
      <c r="M313" s="98"/>
      <c r="N313" s="117"/>
    </row>
    <row r="314" spans="1:14" ht="15.75" customHeight="1">
      <c r="A314" s="115">
        <v>46149</v>
      </c>
      <c r="B314" s="100"/>
      <c r="C314" s="98"/>
      <c r="D314" s="98"/>
      <c r="E314" s="100"/>
      <c r="F314" s="98"/>
      <c r="G314" s="98"/>
      <c r="H314" s="100"/>
      <c r="I314" s="120"/>
      <c r="J314" s="117"/>
      <c r="K314" s="116">
        <f t="shared" si="10"/>
        <v>0</v>
      </c>
      <c r="L314" s="116">
        <f t="shared" si="11"/>
        <v>0</v>
      </c>
      <c r="M314" s="98"/>
      <c r="N314" s="117"/>
    </row>
    <row r="315" spans="1:14" ht="15.75" customHeight="1">
      <c r="A315" s="115">
        <v>46150</v>
      </c>
      <c r="B315" s="100"/>
      <c r="C315" s="98"/>
      <c r="D315" s="98"/>
      <c r="E315" s="100"/>
      <c r="F315" s="98"/>
      <c r="G315" s="98"/>
      <c r="H315" s="100"/>
      <c r="I315" s="120"/>
      <c r="J315" s="117"/>
      <c r="K315" s="116">
        <f t="shared" si="10"/>
        <v>0</v>
      </c>
      <c r="L315" s="116">
        <f t="shared" si="11"/>
        <v>0</v>
      </c>
      <c r="M315" s="98"/>
      <c r="N315" s="117"/>
    </row>
    <row r="316" spans="1:14" ht="15.75" customHeight="1">
      <c r="A316" s="115">
        <v>46151</v>
      </c>
      <c r="B316" s="100"/>
      <c r="C316" s="98"/>
      <c r="D316" s="98"/>
      <c r="E316" s="100"/>
      <c r="F316" s="98"/>
      <c r="G316" s="98"/>
      <c r="H316" s="100"/>
      <c r="I316" s="120"/>
      <c r="J316" s="117"/>
      <c r="K316" s="116">
        <f t="shared" si="10"/>
        <v>0</v>
      </c>
      <c r="L316" s="116">
        <f t="shared" si="11"/>
        <v>0</v>
      </c>
      <c r="M316" s="98"/>
      <c r="N316" s="117"/>
    </row>
    <row r="317" spans="1:14" ht="15.75" customHeight="1">
      <c r="A317" s="115">
        <v>46152</v>
      </c>
      <c r="B317" s="100"/>
      <c r="C317" s="98"/>
      <c r="D317" s="98"/>
      <c r="E317" s="100"/>
      <c r="F317" s="98"/>
      <c r="G317" s="98"/>
      <c r="H317" s="100"/>
      <c r="I317" s="120"/>
      <c r="J317" s="117"/>
      <c r="K317" s="116">
        <f t="shared" si="10"/>
        <v>0</v>
      </c>
      <c r="L317" s="116">
        <f t="shared" si="11"/>
        <v>0</v>
      </c>
      <c r="M317" s="98"/>
      <c r="N317" s="117"/>
    </row>
    <row r="318" spans="1:14" ht="15.75" customHeight="1">
      <c r="A318" s="115">
        <v>46153</v>
      </c>
      <c r="B318" s="100"/>
      <c r="C318" s="98"/>
      <c r="D318" s="98"/>
      <c r="E318" s="100"/>
      <c r="F318" s="98"/>
      <c r="G318" s="98"/>
      <c r="H318" s="100"/>
      <c r="I318" s="120"/>
      <c r="J318" s="117"/>
      <c r="K318" s="116">
        <f t="shared" si="10"/>
        <v>0</v>
      </c>
      <c r="L318" s="116">
        <f t="shared" si="11"/>
        <v>0</v>
      </c>
      <c r="M318" s="98"/>
      <c r="N318" s="117"/>
    </row>
    <row r="319" spans="1:14" ht="15.75" customHeight="1">
      <c r="A319" s="115">
        <v>46154</v>
      </c>
      <c r="B319" s="100"/>
      <c r="C319" s="98"/>
      <c r="D319" s="98"/>
      <c r="E319" s="100"/>
      <c r="F319" s="98"/>
      <c r="G319" s="98"/>
      <c r="H319" s="100"/>
      <c r="I319" s="120"/>
      <c r="J319" s="117"/>
      <c r="K319" s="116">
        <f t="shared" si="10"/>
        <v>0</v>
      </c>
      <c r="L319" s="116">
        <f t="shared" si="11"/>
        <v>0</v>
      </c>
      <c r="M319" s="98"/>
      <c r="N319" s="117"/>
    </row>
    <row r="320" spans="1:14" ht="15.75" customHeight="1">
      <c r="A320" s="115">
        <v>46155</v>
      </c>
      <c r="B320" s="100"/>
      <c r="C320" s="98"/>
      <c r="D320" s="98"/>
      <c r="E320" s="100"/>
      <c r="F320" s="98"/>
      <c r="G320" s="98"/>
      <c r="H320" s="100"/>
      <c r="I320" s="120"/>
      <c r="J320" s="117"/>
      <c r="K320" s="116">
        <f t="shared" si="10"/>
        <v>0</v>
      </c>
      <c r="L320" s="116">
        <f t="shared" si="11"/>
        <v>0</v>
      </c>
      <c r="M320" s="98"/>
      <c r="N320" s="117"/>
    </row>
    <row r="321" spans="1:14" ht="15.75" customHeight="1">
      <c r="A321" s="115">
        <v>46156</v>
      </c>
      <c r="B321" s="100"/>
      <c r="C321" s="98"/>
      <c r="D321" s="98"/>
      <c r="E321" s="100"/>
      <c r="F321" s="98"/>
      <c r="G321" s="98"/>
      <c r="H321" s="100"/>
      <c r="I321" s="120"/>
      <c r="J321" s="117"/>
      <c r="K321" s="116">
        <f t="shared" si="10"/>
        <v>0</v>
      </c>
      <c r="L321" s="116">
        <f t="shared" si="11"/>
        <v>0</v>
      </c>
      <c r="M321" s="98"/>
      <c r="N321" s="117"/>
    </row>
    <row r="322" spans="1:14" ht="15.75" customHeight="1">
      <c r="A322" s="115">
        <v>46157</v>
      </c>
      <c r="B322" s="100"/>
      <c r="C322" s="98"/>
      <c r="D322" s="98"/>
      <c r="E322" s="100"/>
      <c r="F322" s="98"/>
      <c r="G322" s="98"/>
      <c r="H322" s="100"/>
      <c r="I322" s="120"/>
      <c r="J322" s="117"/>
      <c r="K322" s="116">
        <f t="shared" si="10"/>
        <v>0</v>
      </c>
      <c r="L322" s="116">
        <f t="shared" si="11"/>
        <v>0</v>
      </c>
      <c r="M322" s="98"/>
      <c r="N322" s="117"/>
    </row>
    <row r="323" spans="1:14" ht="15.75" customHeight="1">
      <c r="A323" s="115">
        <v>46158</v>
      </c>
      <c r="B323" s="100"/>
      <c r="C323" s="98"/>
      <c r="D323" s="98"/>
      <c r="E323" s="100"/>
      <c r="F323" s="98"/>
      <c r="G323" s="98"/>
      <c r="H323" s="100"/>
      <c r="I323" s="120"/>
      <c r="J323" s="117"/>
      <c r="K323" s="116">
        <f t="shared" si="10"/>
        <v>0</v>
      </c>
      <c r="L323" s="116">
        <f t="shared" si="11"/>
        <v>0</v>
      </c>
      <c r="M323" s="98"/>
      <c r="N323" s="117"/>
    </row>
    <row r="324" spans="1:14" ht="15.75" customHeight="1">
      <c r="A324" s="115">
        <v>46159</v>
      </c>
      <c r="B324" s="100"/>
      <c r="C324" s="98"/>
      <c r="D324" s="98"/>
      <c r="E324" s="100"/>
      <c r="F324" s="98"/>
      <c r="G324" s="98"/>
      <c r="H324" s="100"/>
      <c r="I324" s="120"/>
      <c r="J324" s="117"/>
      <c r="K324" s="116">
        <f t="shared" si="10"/>
        <v>0</v>
      </c>
      <c r="L324" s="116">
        <f t="shared" si="11"/>
        <v>0</v>
      </c>
      <c r="M324" s="98"/>
      <c r="N324" s="117"/>
    </row>
    <row r="325" spans="1:14" ht="15.75" customHeight="1">
      <c r="A325" s="115">
        <v>46160</v>
      </c>
      <c r="B325" s="100"/>
      <c r="C325" s="98"/>
      <c r="D325" s="98"/>
      <c r="E325" s="100"/>
      <c r="F325" s="98"/>
      <c r="G325" s="98"/>
      <c r="H325" s="100"/>
      <c r="I325" s="120"/>
      <c r="J325" s="117"/>
      <c r="K325" s="116">
        <f t="shared" si="10"/>
        <v>0</v>
      </c>
      <c r="L325" s="116">
        <f t="shared" si="11"/>
        <v>0</v>
      </c>
      <c r="M325" s="98"/>
      <c r="N325" s="117"/>
    </row>
    <row r="326" spans="1:14" ht="15.75" customHeight="1">
      <c r="A326" s="115">
        <v>46161</v>
      </c>
      <c r="B326" s="100"/>
      <c r="C326" s="98"/>
      <c r="D326" s="98"/>
      <c r="E326" s="100"/>
      <c r="F326" s="98"/>
      <c r="G326" s="98"/>
      <c r="H326" s="100"/>
      <c r="I326" s="120"/>
      <c r="J326" s="117"/>
      <c r="K326" s="116">
        <f t="shared" si="10"/>
        <v>0</v>
      </c>
      <c r="L326" s="116">
        <f t="shared" si="11"/>
        <v>0</v>
      </c>
      <c r="M326" s="98"/>
      <c r="N326" s="117"/>
    </row>
    <row r="327" spans="1:14" ht="15.75" customHeight="1">
      <c r="A327" s="115">
        <v>46162</v>
      </c>
      <c r="B327" s="100"/>
      <c r="C327" s="98"/>
      <c r="D327" s="98"/>
      <c r="E327" s="100"/>
      <c r="F327" s="98"/>
      <c r="G327" s="98"/>
      <c r="H327" s="100"/>
      <c r="I327" s="120"/>
      <c r="J327" s="117"/>
      <c r="K327" s="116">
        <f t="shared" si="10"/>
        <v>0</v>
      </c>
      <c r="L327" s="116">
        <f t="shared" si="11"/>
        <v>0</v>
      </c>
      <c r="M327" s="98"/>
      <c r="N327" s="117"/>
    </row>
    <row r="328" spans="1:14" ht="15.75" customHeight="1">
      <c r="A328" s="115">
        <v>46163</v>
      </c>
      <c r="B328" s="100"/>
      <c r="C328" s="98"/>
      <c r="D328" s="98"/>
      <c r="E328" s="100"/>
      <c r="F328" s="98"/>
      <c r="G328" s="98"/>
      <c r="H328" s="100"/>
      <c r="I328" s="120"/>
      <c r="J328" s="117"/>
      <c r="K328" s="116">
        <f t="shared" si="10"/>
        <v>0</v>
      </c>
      <c r="L328" s="116">
        <f t="shared" si="11"/>
        <v>0</v>
      </c>
      <c r="M328" s="98"/>
      <c r="N328" s="117"/>
    </row>
    <row r="329" spans="1:14" ht="15.75" customHeight="1">
      <c r="A329" s="115">
        <v>46164</v>
      </c>
      <c r="B329" s="100"/>
      <c r="C329" s="98"/>
      <c r="D329" s="98"/>
      <c r="E329" s="100"/>
      <c r="F329" s="98"/>
      <c r="G329" s="98"/>
      <c r="H329" s="100"/>
      <c r="I329" s="120"/>
      <c r="J329" s="117"/>
      <c r="K329" s="116">
        <f t="shared" si="10"/>
        <v>0</v>
      </c>
      <c r="L329" s="116">
        <f t="shared" si="11"/>
        <v>0</v>
      </c>
      <c r="M329" s="98"/>
      <c r="N329" s="117"/>
    </row>
    <row r="330" spans="1:14" ht="15.75" customHeight="1">
      <c r="A330" s="115">
        <v>46165</v>
      </c>
      <c r="B330" s="100"/>
      <c r="C330" s="98"/>
      <c r="D330" s="98"/>
      <c r="E330" s="100"/>
      <c r="F330" s="98"/>
      <c r="G330" s="98"/>
      <c r="H330" s="100"/>
      <c r="I330" s="120"/>
      <c r="J330" s="117"/>
      <c r="K330" s="116">
        <f t="shared" si="10"/>
        <v>0</v>
      </c>
      <c r="L330" s="116">
        <f t="shared" si="11"/>
        <v>0</v>
      </c>
      <c r="M330" s="98"/>
      <c r="N330" s="117"/>
    </row>
    <row r="331" spans="1:14" ht="15.75" customHeight="1">
      <c r="A331" s="115">
        <v>46166</v>
      </c>
      <c r="B331" s="100"/>
      <c r="C331" s="98"/>
      <c r="D331" s="98"/>
      <c r="E331" s="100"/>
      <c r="F331" s="98"/>
      <c r="G331" s="98"/>
      <c r="H331" s="100"/>
      <c r="I331" s="120"/>
      <c r="J331" s="117"/>
      <c r="K331" s="116">
        <f t="shared" si="10"/>
        <v>0</v>
      </c>
      <c r="L331" s="116">
        <f t="shared" si="11"/>
        <v>0</v>
      </c>
      <c r="M331" s="98"/>
      <c r="N331" s="117"/>
    </row>
    <row r="332" spans="1:14" ht="15.75" customHeight="1">
      <c r="A332" s="115">
        <v>46167</v>
      </c>
      <c r="B332" s="100"/>
      <c r="C332" s="98"/>
      <c r="D332" s="98"/>
      <c r="E332" s="100"/>
      <c r="F332" s="98"/>
      <c r="G332" s="98"/>
      <c r="H332" s="100"/>
      <c r="I332" s="120"/>
      <c r="J332" s="117"/>
      <c r="K332" s="116">
        <f t="shared" si="10"/>
        <v>0</v>
      </c>
      <c r="L332" s="116">
        <f t="shared" si="11"/>
        <v>0</v>
      </c>
      <c r="M332" s="98"/>
      <c r="N332" s="117"/>
    </row>
    <row r="333" spans="1:14" ht="15.75" customHeight="1">
      <c r="A333" s="115">
        <v>46168</v>
      </c>
      <c r="B333" s="100"/>
      <c r="C333" s="98"/>
      <c r="D333" s="98"/>
      <c r="E333" s="100"/>
      <c r="F333" s="98"/>
      <c r="G333" s="98"/>
      <c r="H333" s="100"/>
      <c r="I333" s="120"/>
      <c r="J333" s="117"/>
      <c r="K333" s="116">
        <f t="shared" si="10"/>
        <v>0</v>
      </c>
      <c r="L333" s="116">
        <f t="shared" si="11"/>
        <v>0</v>
      </c>
      <c r="M333" s="98"/>
      <c r="N333" s="117"/>
    </row>
    <row r="334" spans="1:14" ht="15.75" customHeight="1">
      <c r="A334" s="115">
        <v>46169</v>
      </c>
      <c r="B334" s="100"/>
      <c r="C334" s="98"/>
      <c r="D334" s="98"/>
      <c r="E334" s="100"/>
      <c r="F334" s="98"/>
      <c r="G334" s="98"/>
      <c r="H334" s="100"/>
      <c r="I334" s="120"/>
      <c r="J334" s="117"/>
      <c r="K334" s="116">
        <f t="shared" si="10"/>
        <v>0</v>
      </c>
      <c r="L334" s="116">
        <f t="shared" si="11"/>
        <v>0</v>
      </c>
      <c r="M334" s="98"/>
      <c r="N334" s="117"/>
    </row>
    <row r="335" spans="1:14" ht="15.75" customHeight="1">
      <c r="A335" s="115">
        <v>46170</v>
      </c>
      <c r="B335" s="100"/>
      <c r="C335" s="98"/>
      <c r="D335" s="98"/>
      <c r="E335" s="100"/>
      <c r="F335" s="98"/>
      <c r="G335" s="98"/>
      <c r="H335" s="100"/>
      <c r="I335" s="120"/>
      <c r="J335" s="117"/>
      <c r="K335" s="116">
        <f t="shared" si="10"/>
        <v>0</v>
      </c>
      <c r="L335" s="116">
        <f t="shared" si="11"/>
        <v>0</v>
      </c>
      <c r="M335" s="98"/>
      <c r="N335" s="117"/>
    </row>
    <row r="336" spans="1:14" ht="15.75" customHeight="1">
      <c r="A336" s="115">
        <v>46171</v>
      </c>
      <c r="B336" s="100"/>
      <c r="C336" s="98"/>
      <c r="D336" s="98"/>
      <c r="E336" s="100"/>
      <c r="F336" s="98"/>
      <c r="G336" s="98"/>
      <c r="H336" s="100"/>
      <c r="I336" s="120"/>
      <c r="J336" s="117"/>
      <c r="K336" s="116">
        <f t="shared" si="10"/>
        <v>0</v>
      </c>
      <c r="L336" s="116">
        <f t="shared" si="11"/>
        <v>0</v>
      </c>
      <c r="M336" s="98"/>
      <c r="N336" s="117"/>
    </row>
    <row r="337" spans="1:14" ht="15.75" customHeight="1">
      <c r="A337" s="115">
        <v>46172</v>
      </c>
      <c r="B337" s="100"/>
      <c r="C337" s="98"/>
      <c r="D337" s="98"/>
      <c r="E337" s="100"/>
      <c r="F337" s="98"/>
      <c r="G337" s="98"/>
      <c r="H337" s="100"/>
      <c r="I337" s="120"/>
      <c r="J337" s="117"/>
      <c r="K337" s="116">
        <f t="shared" si="10"/>
        <v>0</v>
      </c>
      <c r="L337" s="116">
        <f t="shared" si="11"/>
        <v>0</v>
      </c>
      <c r="M337" s="98"/>
      <c r="N337" s="117"/>
    </row>
    <row r="338" spans="1:14" ht="15.75" customHeight="1">
      <c r="A338" s="115">
        <v>46173</v>
      </c>
      <c r="B338" s="100"/>
      <c r="C338" s="98"/>
      <c r="D338" s="98"/>
      <c r="E338" s="100"/>
      <c r="F338" s="98"/>
      <c r="G338" s="98"/>
      <c r="H338" s="100"/>
      <c r="I338" s="120"/>
      <c r="J338" s="117"/>
      <c r="K338" s="116">
        <f t="shared" si="10"/>
        <v>0</v>
      </c>
      <c r="L338" s="116">
        <f t="shared" si="11"/>
        <v>0</v>
      </c>
      <c r="M338" s="98"/>
      <c r="N338" s="117"/>
    </row>
    <row r="339" spans="1:14" ht="15.75" customHeight="1">
      <c r="A339" s="115">
        <v>46174</v>
      </c>
      <c r="B339" s="100"/>
      <c r="C339" s="98"/>
      <c r="D339" s="98"/>
      <c r="E339" s="100"/>
      <c r="F339" s="98"/>
      <c r="G339" s="98"/>
      <c r="H339" s="100"/>
      <c r="I339" s="120"/>
      <c r="J339" s="117"/>
      <c r="K339" s="116">
        <f t="shared" si="10"/>
        <v>0</v>
      </c>
      <c r="L339" s="116">
        <f t="shared" si="11"/>
        <v>0</v>
      </c>
      <c r="M339" s="98"/>
      <c r="N339" s="117"/>
    </row>
    <row r="340" spans="1:14" ht="15.75" customHeight="1">
      <c r="A340" s="115">
        <v>46175</v>
      </c>
      <c r="B340" s="100"/>
      <c r="C340" s="98"/>
      <c r="D340" s="98"/>
      <c r="E340" s="100"/>
      <c r="F340" s="98"/>
      <c r="G340" s="98"/>
      <c r="H340" s="100"/>
      <c r="I340" s="120"/>
      <c r="J340" s="117"/>
      <c r="K340" s="116">
        <f t="shared" ref="K340:K403" si="12">G340+I340+J340</f>
        <v>0</v>
      </c>
      <c r="L340" s="116">
        <f t="shared" ref="L340:L403" si="13">F340-K340</f>
        <v>0</v>
      </c>
      <c r="M340" s="98"/>
      <c r="N340" s="117"/>
    </row>
    <row r="341" spans="1:14" ht="15.75" customHeight="1">
      <c r="A341" s="115">
        <v>46176</v>
      </c>
      <c r="B341" s="100"/>
      <c r="C341" s="98"/>
      <c r="D341" s="98"/>
      <c r="E341" s="100"/>
      <c r="F341" s="98"/>
      <c r="G341" s="98"/>
      <c r="H341" s="100"/>
      <c r="I341" s="120"/>
      <c r="J341" s="117"/>
      <c r="K341" s="116">
        <f t="shared" si="12"/>
        <v>0</v>
      </c>
      <c r="L341" s="116">
        <f t="shared" si="13"/>
        <v>0</v>
      </c>
      <c r="M341" s="98"/>
      <c r="N341" s="117"/>
    </row>
    <row r="342" spans="1:14" ht="15.75" customHeight="1">
      <c r="A342" s="115">
        <v>46177</v>
      </c>
      <c r="B342" s="100"/>
      <c r="C342" s="98"/>
      <c r="D342" s="98"/>
      <c r="E342" s="100"/>
      <c r="F342" s="98"/>
      <c r="G342" s="98"/>
      <c r="H342" s="100"/>
      <c r="I342" s="120"/>
      <c r="J342" s="117"/>
      <c r="K342" s="116">
        <f t="shared" si="12"/>
        <v>0</v>
      </c>
      <c r="L342" s="116">
        <f t="shared" si="13"/>
        <v>0</v>
      </c>
      <c r="M342" s="98"/>
      <c r="N342" s="117"/>
    </row>
    <row r="343" spans="1:14" ht="15.75" customHeight="1">
      <c r="A343" s="115">
        <v>46178</v>
      </c>
      <c r="B343" s="100"/>
      <c r="C343" s="98"/>
      <c r="D343" s="98"/>
      <c r="E343" s="100"/>
      <c r="F343" s="98"/>
      <c r="G343" s="98"/>
      <c r="H343" s="100"/>
      <c r="I343" s="120"/>
      <c r="J343" s="117"/>
      <c r="K343" s="116">
        <f t="shared" si="12"/>
        <v>0</v>
      </c>
      <c r="L343" s="116">
        <f t="shared" si="13"/>
        <v>0</v>
      </c>
      <c r="M343" s="98"/>
      <c r="N343" s="117"/>
    </row>
    <row r="344" spans="1:14" ht="15.75" customHeight="1">
      <c r="A344" s="115">
        <v>46179</v>
      </c>
      <c r="B344" s="100"/>
      <c r="C344" s="98"/>
      <c r="D344" s="98"/>
      <c r="E344" s="100"/>
      <c r="F344" s="98"/>
      <c r="G344" s="98"/>
      <c r="H344" s="100"/>
      <c r="I344" s="120"/>
      <c r="J344" s="117"/>
      <c r="K344" s="116">
        <f t="shared" si="12"/>
        <v>0</v>
      </c>
      <c r="L344" s="116">
        <f t="shared" si="13"/>
        <v>0</v>
      </c>
      <c r="M344" s="98"/>
      <c r="N344" s="117"/>
    </row>
    <row r="345" spans="1:14" ht="15.75" customHeight="1">
      <c r="A345" s="115">
        <v>46180</v>
      </c>
      <c r="B345" s="100"/>
      <c r="C345" s="98"/>
      <c r="D345" s="98"/>
      <c r="E345" s="100"/>
      <c r="F345" s="98"/>
      <c r="G345" s="98"/>
      <c r="H345" s="100"/>
      <c r="I345" s="120"/>
      <c r="J345" s="117"/>
      <c r="K345" s="116">
        <f t="shared" si="12"/>
        <v>0</v>
      </c>
      <c r="L345" s="116">
        <f t="shared" si="13"/>
        <v>0</v>
      </c>
      <c r="M345" s="98"/>
      <c r="N345" s="117"/>
    </row>
    <row r="346" spans="1:14" ht="15.75" customHeight="1">
      <c r="A346" s="115">
        <v>46181</v>
      </c>
      <c r="B346" s="100"/>
      <c r="C346" s="98"/>
      <c r="D346" s="98"/>
      <c r="E346" s="100"/>
      <c r="F346" s="98"/>
      <c r="G346" s="98"/>
      <c r="H346" s="100"/>
      <c r="I346" s="120"/>
      <c r="J346" s="117"/>
      <c r="K346" s="116">
        <f t="shared" si="12"/>
        <v>0</v>
      </c>
      <c r="L346" s="116">
        <f t="shared" si="13"/>
        <v>0</v>
      </c>
      <c r="M346" s="98"/>
      <c r="N346" s="117"/>
    </row>
    <row r="347" spans="1:14" ht="15.75" customHeight="1">
      <c r="A347" s="115">
        <v>46182</v>
      </c>
      <c r="B347" s="100"/>
      <c r="C347" s="98"/>
      <c r="D347" s="98"/>
      <c r="E347" s="100"/>
      <c r="F347" s="98"/>
      <c r="G347" s="98"/>
      <c r="H347" s="100"/>
      <c r="I347" s="120"/>
      <c r="J347" s="117"/>
      <c r="K347" s="116">
        <f t="shared" si="12"/>
        <v>0</v>
      </c>
      <c r="L347" s="116">
        <f t="shared" si="13"/>
        <v>0</v>
      </c>
      <c r="M347" s="98"/>
      <c r="N347" s="117"/>
    </row>
    <row r="348" spans="1:14" ht="15.75" customHeight="1">
      <c r="A348" s="115">
        <v>46183</v>
      </c>
      <c r="B348" s="100"/>
      <c r="C348" s="98"/>
      <c r="D348" s="98"/>
      <c r="E348" s="100"/>
      <c r="F348" s="98"/>
      <c r="G348" s="98"/>
      <c r="H348" s="100"/>
      <c r="I348" s="120"/>
      <c r="J348" s="117"/>
      <c r="K348" s="116">
        <f t="shared" si="12"/>
        <v>0</v>
      </c>
      <c r="L348" s="116">
        <f t="shared" si="13"/>
        <v>0</v>
      </c>
      <c r="M348" s="98"/>
      <c r="N348" s="117"/>
    </row>
    <row r="349" spans="1:14" ht="15.75" customHeight="1">
      <c r="A349" s="115">
        <v>46184</v>
      </c>
      <c r="B349" s="100"/>
      <c r="C349" s="98"/>
      <c r="D349" s="98"/>
      <c r="E349" s="100"/>
      <c r="F349" s="98"/>
      <c r="G349" s="98"/>
      <c r="H349" s="100"/>
      <c r="I349" s="120"/>
      <c r="J349" s="117"/>
      <c r="K349" s="116">
        <f t="shared" si="12"/>
        <v>0</v>
      </c>
      <c r="L349" s="116">
        <f t="shared" si="13"/>
        <v>0</v>
      </c>
      <c r="M349" s="98"/>
      <c r="N349" s="117"/>
    </row>
    <row r="350" spans="1:14" ht="15.75" customHeight="1">
      <c r="A350" s="115">
        <v>46185</v>
      </c>
      <c r="B350" s="100"/>
      <c r="C350" s="98"/>
      <c r="D350" s="98"/>
      <c r="E350" s="100"/>
      <c r="F350" s="98"/>
      <c r="G350" s="98"/>
      <c r="H350" s="100"/>
      <c r="I350" s="120"/>
      <c r="J350" s="117"/>
      <c r="K350" s="116">
        <f t="shared" si="12"/>
        <v>0</v>
      </c>
      <c r="L350" s="116">
        <f t="shared" si="13"/>
        <v>0</v>
      </c>
      <c r="M350" s="98"/>
      <c r="N350" s="117"/>
    </row>
    <row r="351" spans="1:14" ht="15.75" customHeight="1">
      <c r="A351" s="115">
        <v>46186</v>
      </c>
      <c r="B351" s="100"/>
      <c r="C351" s="98"/>
      <c r="D351" s="98"/>
      <c r="E351" s="100"/>
      <c r="F351" s="98"/>
      <c r="G351" s="98"/>
      <c r="H351" s="100"/>
      <c r="I351" s="120"/>
      <c r="J351" s="117"/>
      <c r="K351" s="116">
        <f t="shared" si="12"/>
        <v>0</v>
      </c>
      <c r="L351" s="116">
        <f t="shared" si="13"/>
        <v>0</v>
      </c>
      <c r="M351" s="98"/>
      <c r="N351" s="117"/>
    </row>
    <row r="352" spans="1:14" ht="15.75" customHeight="1">
      <c r="A352" s="115">
        <v>46187</v>
      </c>
      <c r="B352" s="100"/>
      <c r="C352" s="98"/>
      <c r="D352" s="98"/>
      <c r="E352" s="100"/>
      <c r="F352" s="98"/>
      <c r="G352" s="98"/>
      <c r="H352" s="100"/>
      <c r="I352" s="120"/>
      <c r="J352" s="117"/>
      <c r="K352" s="116">
        <f t="shared" si="12"/>
        <v>0</v>
      </c>
      <c r="L352" s="116">
        <f t="shared" si="13"/>
        <v>0</v>
      </c>
      <c r="M352" s="98"/>
      <c r="N352" s="117"/>
    </row>
    <row r="353" spans="1:14" ht="15.75" customHeight="1">
      <c r="A353" s="115">
        <v>46188</v>
      </c>
      <c r="B353" s="100"/>
      <c r="C353" s="98"/>
      <c r="D353" s="98"/>
      <c r="E353" s="100"/>
      <c r="F353" s="98"/>
      <c r="G353" s="98"/>
      <c r="H353" s="100"/>
      <c r="I353" s="120"/>
      <c r="J353" s="117"/>
      <c r="K353" s="116">
        <f t="shared" si="12"/>
        <v>0</v>
      </c>
      <c r="L353" s="116">
        <f t="shared" si="13"/>
        <v>0</v>
      </c>
      <c r="M353" s="98"/>
      <c r="N353" s="117"/>
    </row>
    <row r="354" spans="1:14" ht="15.75" customHeight="1">
      <c r="A354" s="115">
        <v>46189</v>
      </c>
      <c r="B354" s="100"/>
      <c r="C354" s="98"/>
      <c r="D354" s="98"/>
      <c r="E354" s="100"/>
      <c r="F354" s="98"/>
      <c r="G354" s="98"/>
      <c r="H354" s="100"/>
      <c r="I354" s="120"/>
      <c r="J354" s="117"/>
      <c r="K354" s="116">
        <f t="shared" si="12"/>
        <v>0</v>
      </c>
      <c r="L354" s="116">
        <f t="shared" si="13"/>
        <v>0</v>
      </c>
      <c r="M354" s="98"/>
      <c r="N354" s="117"/>
    </row>
    <row r="355" spans="1:14" ht="15.75" customHeight="1">
      <c r="A355" s="115">
        <v>46190</v>
      </c>
      <c r="B355" s="100"/>
      <c r="C355" s="98"/>
      <c r="D355" s="98"/>
      <c r="E355" s="100"/>
      <c r="F355" s="98"/>
      <c r="G355" s="98"/>
      <c r="H355" s="100"/>
      <c r="I355" s="120"/>
      <c r="J355" s="117"/>
      <c r="K355" s="116">
        <f t="shared" si="12"/>
        <v>0</v>
      </c>
      <c r="L355" s="116">
        <f t="shared" si="13"/>
        <v>0</v>
      </c>
      <c r="M355" s="98"/>
      <c r="N355" s="117"/>
    </row>
    <row r="356" spans="1:14" ht="15.75" customHeight="1">
      <c r="A356" s="115">
        <v>46191</v>
      </c>
      <c r="B356" s="100"/>
      <c r="C356" s="98"/>
      <c r="D356" s="98"/>
      <c r="E356" s="100"/>
      <c r="F356" s="98"/>
      <c r="G356" s="98"/>
      <c r="H356" s="100"/>
      <c r="I356" s="120"/>
      <c r="J356" s="117"/>
      <c r="K356" s="116">
        <f t="shared" si="12"/>
        <v>0</v>
      </c>
      <c r="L356" s="116">
        <f t="shared" si="13"/>
        <v>0</v>
      </c>
      <c r="M356" s="98"/>
      <c r="N356" s="117"/>
    </row>
    <row r="357" spans="1:14" ht="15.75" customHeight="1">
      <c r="A357" s="115">
        <v>46192</v>
      </c>
      <c r="B357" s="100"/>
      <c r="C357" s="98"/>
      <c r="D357" s="98"/>
      <c r="E357" s="100"/>
      <c r="F357" s="98"/>
      <c r="G357" s="98"/>
      <c r="H357" s="100"/>
      <c r="I357" s="120"/>
      <c r="J357" s="117"/>
      <c r="K357" s="116">
        <f t="shared" si="12"/>
        <v>0</v>
      </c>
      <c r="L357" s="116">
        <f t="shared" si="13"/>
        <v>0</v>
      </c>
      <c r="M357" s="98"/>
      <c r="N357" s="117"/>
    </row>
    <row r="358" spans="1:14" ht="15.75" customHeight="1">
      <c r="A358" s="115">
        <v>46193</v>
      </c>
      <c r="B358" s="100"/>
      <c r="C358" s="98"/>
      <c r="D358" s="98"/>
      <c r="E358" s="100"/>
      <c r="F358" s="98"/>
      <c r="G358" s="98"/>
      <c r="H358" s="100"/>
      <c r="I358" s="120"/>
      <c r="J358" s="117"/>
      <c r="K358" s="116">
        <f t="shared" si="12"/>
        <v>0</v>
      </c>
      <c r="L358" s="116">
        <f t="shared" si="13"/>
        <v>0</v>
      </c>
      <c r="M358" s="98"/>
      <c r="N358" s="117"/>
    </row>
    <row r="359" spans="1:14" ht="15.75" customHeight="1">
      <c r="A359" s="115">
        <v>46194</v>
      </c>
      <c r="B359" s="100"/>
      <c r="C359" s="98"/>
      <c r="D359" s="98"/>
      <c r="E359" s="100"/>
      <c r="F359" s="98"/>
      <c r="G359" s="98"/>
      <c r="H359" s="100"/>
      <c r="I359" s="120"/>
      <c r="J359" s="117"/>
      <c r="K359" s="116">
        <f t="shared" si="12"/>
        <v>0</v>
      </c>
      <c r="L359" s="116">
        <f t="shared" si="13"/>
        <v>0</v>
      </c>
      <c r="M359" s="98"/>
      <c r="N359" s="117"/>
    </row>
    <row r="360" spans="1:14" ht="15.75" customHeight="1">
      <c r="A360" s="115">
        <v>46195</v>
      </c>
      <c r="B360" s="100"/>
      <c r="C360" s="98"/>
      <c r="D360" s="98"/>
      <c r="E360" s="100"/>
      <c r="F360" s="98"/>
      <c r="G360" s="98"/>
      <c r="H360" s="100"/>
      <c r="I360" s="120"/>
      <c r="J360" s="117"/>
      <c r="K360" s="116">
        <f t="shared" si="12"/>
        <v>0</v>
      </c>
      <c r="L360" s="116">
        <f t="shared" si="13"/>
        <v>0</v>
      </c>
      <c r="M360" s="98"/>
      <c r="N360" s="117"/>
    </row>
    <row r="361" spans="1:14" ht="15.75" customHeight="1">
      <c r="A361" s="115">
        <v>46196</v>
      </c>
      <c r="B361" s="100"/>
      <c r="C361" s="98"/>
      <c r="D361" s="98"/>
      <c r="E361" s="100"/>
      <c r="F361" s="98"/>
      <c r="G361" s="98"/>
      <c r="H361" s="100"/>
      <c r="I361" s="120"/>
      <c r="J361" s="117"/>
      <c r="K361" s="116">
        <f t="shared" si="12"/>
        <v>0</v>
      </c>
      <c r="L361" s="116">
        <f t="shared" si="13"/>
        <v>0</v>
      </c>
      <c r="M361" s="98"/>
      <c r="N361" s="117"/>
    </row>
    <row r="362" spans="1:14" ht="15.75" customHeight="1">
      <c r="A362" s="115">
        <v>46197</v>
      </c>
      <c r="B362" s="100"/>
      <c r="C362" s="98"/>
      <c r="D362" s="98"/>
      <c r="E362" s="100"/>
      <c r="F362" s="98"/>
      <c r="G362" s="98"/>
      <c r="H362" s="100"/>
      <c r="I362" s="120"/>
      <c r="J362" s="117"/>
      <c r="K362" s="116">
        <f t="shared" si="12"/>
        <v>0</v>
      </c>
      <c r="L362" s="116">
        <f t="shared" si="13"/>
        <v>0</v>
      </c>
      <c r="M362" s="98"/>
      <c r="N362" s="117"/>
    </row>
    <row r="363" spans="1:14" ht="15.75" customHeight="1">
      <c r="A363" s="115">
        <v>46198</v>
      </c>
      <c r="B363" s="100"/>
      <c r="C363" s="98"/>
      <c r="D363" s="98"/>
      <c r="E363" s="100"/>
      <c r="F363" s="98"/>
      <c r="G363" s="98"/>
      <c r="H363" s="100"/>
      <c r="I363" s="120"/>
      <c r="J363" s="117"/>
      <c r="K363" s="116">
        <f t="shared" si="12"/>
        <v>0</v>
      </c>
      <c r="L363" s="116">
        <f t="shared" si="13"/>
        <v>0</v>
      </c>
      <c r="M363" s="98"/>
      <c r="N363" s="117"/>
    </row>
    <row r="364" spans="1:14" ht="15.75" customHeight="1">
      <c r="A364" s="115">
        <v>46199</v>
      </c>
      <c r="B364" s="100"/>
      <c r="C364" s="98"/>
      <c r="D364" s="98"/>
      <c r="E364" s="100"/>
      <c r="F364" s="98"/>
      <c r="G364" s="98"/>
      <c r="H364" s="100"/>
      <c r="I364" s="120"/>
      <c r="J364" s="117"/>
      <c r="K364" s="116">
        <f t="shared" si="12"/>
        <v>0</v>
      </c>
      <c r="L364" s="116">
        <f t="shared" si="13"/>
        <v>0</v>
      </c>
      <c r="M364" s="98"/>
      <c r="N364" s="117"/>
    </row>
    <row r="365" spans="1:14" ht="15.75" customHeight="1">
      <c r="A365" s="115">
        <v>46200</v>
      </c>
      <c r="B365" s="100"/>
      <c r="C365" s="98"/>
      <c r="D365" s="98"/>
      <c r="E365" s="100"/>
      <c r="F365" s="98"/>
      <c r="G365" s="98"/>
      <c r="H365" s="100"/>
      <c r="I365" s="120"/>
      <c r="J365" s="117"/>
      <c r="K365" s="116">
        <f t="shared" si="12"/>
        <v>0</v>
      </c>
      <c r="L365" s="116">
        <f t="shared" si="13"/>
        <v>0</v>
      </c>
      <c r="M365" s="98"/>
      <c r="N365" s="117"/>
    </row>
    <row r="366" spans="1:14" ht="15.75" customHeight="1">
      <c r="A366" s="115">
        <v>46201</v>
      </c>
      <c r="B366" s="100"/>
      <c r="C366" s="98"/>
      <c r="D366" s="98"/>
      <c r="E366" s="100"/>
      <c r="F366" s="98"/>
      <c r="G366" s="98"/>
      <c r="H366" s="100"/>
      <c r="I366" s="120"/>
      <c r="J366" s="117"/>
      <c r="K366" s="116">
        <f t="shared" si="12"/>
        <v>0</v>
      </c>
      <c r="L366" s="116">
        <f t="shared" si="13"/>
        <v>0</v>
      </c>
      <c r="M366" s="98"/>
      <c r="N366" s="117"/>
    </row>
    <row r="367" spans="1:14" ht="15.75" customHeight="1">
      <c r="A367" s="115">
        <v>46202</v>
      </c>
      <c r="B367" s="100"/>
      <c r="C367" s="98"/>
      <c r="D367" s="98"/>
      <c r="E367" s="100"/>
      <c r="F367" s="98"/>
      <c r="G367" s="98"/>
      <c r="H367" s="100"/>
      <c r="I367" s="120"/>
      <c r="J367" s="117"/>
      <c r="K367" s="116">
        <f t="shared" si="12"/>
        <v>0</v>
      </c>
      <c r="L367" s="116">
        <f t="shared" si="13"/>
        <v>0</v>
      </c>
      <c r="M367" s="98"/>
      <c r="N367" s="117"/>
    </row>
    <row r="368" spans="1:14" ht="15.75" customHeight="1">
      <c r="A368" s="115">
        <v>46203</v>
      </c>
      <c r="B368" s="100"/>
      <c r="C368" s="98"/>
      <c r="D368" s="98"/>
      <c r="E368" s="100"/>
      <c r="F368" s="98"/>
      <c r="G368" s="98"/>
      <c r="H368" s="100"/>
      <c r="I368" s="120"/>
      <c r="J368" s="117"/>
      <c r="K368" s="116">
        <f t="shared" si="12"/>
        <v>0</v>
      </c>
      <c r="L368" s="116">
        <f t="shared" si="13"/>
        <v>0</v>
      </c>
      <c r="M368" s="98"/>
      <c r="N368" s="117"/>
    </row>
    <row r="369" spans="1:14" ht="15.75" customHeight="1">
      <c r="A369" s="115">
        <v>46204</v>
      </c>
      <c r="B369" s="100"/>
      <c r="C369" s="98"/>
      <c r="D369" s="98"/>
      <c r="E369" s="100"/>
      <c r="F369" s="98"/>
      <c r="G369" s="98"/>
      <c r="H369" s="100"/>
      <c r="I369" s="120"/>
      <c r="J369" s="117"/>
      <c r="K369" s="116">
        <f t="shared" si="12"/>
        <v>0</v>
      </c>
      <c r="L369" s="116">
        <f t="shared" si="13"/>
        <v>0</v>
      </c>
      <c r="M369" s="98"/>
      <c r="N369" s="117"/>
    </row>
    <row r="370" spans="1:14" ht="15.75" customHeight="1">
      <c r="A370" s="115">
        <v>46205</v>
      </c>
      <c r="B370" s="100"/>
      <c r="C370" s="98"/>
      <c r="D370" s="98"/>
      <c r="E370" s="100"/>
      <c r="F370" s="98"/>
      <c r="G370" s="98"/>
      <c r="H370" s="100"/>
      <c r="I370" s="120"/>
      <c r="J370" s="117"/>
      <c r="K370" s="116">
        <f t="shared" si="12"/>
        <v>0</v>
      </c>
      <c r="L370" s="116">
        <f t="shared" si="13"/>
        <v>0</v>
      </c>
      <c r="M370" s="98"/>
      <c r="N370" s="117"/>
    </row>
    <row r="371" spans="1:14" ht="15.75" customHeight="1">
      <c r="A371" s="115">
        <v>46206</v>
      </c>
      <c r="B371" s="100"/>
      <c r="C371" s="98"/>
      <c r="D371" s="98"/>
      <c r="E371" s="100"/>
      <c r="F371" s="98"/>
      <c r="G371" s="98"/>
      <c r="H371" s="100"/>
      <c r="I371" s="120"/>
      <c r="J371" s="117"/>
      <c r="K371" s="116">
        <f t="shared" si="12"/>
        <v>0</v>
      </c>
      <c r="L371" s="116">
        <f t="shared" si="13"/>
        <v>0</v>
      </c>
      <c r="M371" s="98"/>
      <c r="N371" s="117"/>
    </row>
    <row r="372" spans="1:14" ht="15.75" customHeight="1">
      <c r="A372" s="115">
        <v>46207</v>
      </c>
      <c r="B372" s="100"/>
      <c r="C372" s="98"/>
      <c r="D372" s="98"/>
      <c r="E372" s="100"/>
      <c r="F372" s="98"/>
      <c r="G372" s="98"/>
      <c r="H372" s="100"/>
      <c r="I372" s="120"/>
      <c r="J372" s="117"/>
      <c r="K372" s="116">
        <f t="shared" si="12"/>
        <v>0</v>
      </c>
      <c r="L372" s="116">
        <f t="shared" si="13"/>
        <v>0</v>
      </c>
      <c r="M372" s="98"/>
      <c r="N372" s="117"/>
    </row>
    <row r="373" spans="1:14" ht="15.75" customHeight="1">
      <c r="A373" s="115">
        <v>46208</v>
      </c>
      <c r="B373" s="100"/>
      <c r="C373" s="98"/>
      <c r="D373" s="98"/>
      <c r="E373" s="100"/>
      <c r="F373" s="98"/>
      <c r="G373" s="98"/>
      <c r="H373" s="100"/>
      <c r="I373" s="120"/>
      <c r="J373" s="117"/>
      <c r="K373" s="116">
        <f t="shared" si="12"/>
        <v>0</v>
      </c>
      <c r="L373" s="116">
        <f t="shared" si="13"/>
        <v>0</v>
      </c>
      <c r="M373" s="98"/>
      <c r="N373" s="117"/>
    </row>
    <row r="374" spans="1:14" ht="15.75" customHeight="1">
      <c r="A374" s="115">
        <v>46209</v>
      </c>
      <c r="B374" s="100"/>
      <c r="C374" s="98"/>
      <c r="D374" s="98"/>
      <c r="E374" s="100"/>
      <c r="F374" s="98"/>
      <c r="G374" s="98"/>
      <c r="H374" s="100"/>
      <c r="I374" s="120"/>
      <c r="J374" s="117"/>
      <c r="K374" s="116">
        <f t="shared" si="12"/>
        <v>0</v>
      </c>
      <c r="L374" s="116">
        <f t="shared" si="13"/>
        <v>0</v>
      </c>
      <c r="M374" s="98"/>
      <c r="N374" s="117"/>
    </row>
    <row r="375" spans="1:14" ht="15.75" customHeight="1">
      <c r="A375" s="115">
        <v>46210</v>
      </c>
      <c r="B375" s="100"/>
      <c r="C375" s="98"/>
      <c r="D375" s="98"/>
      <c r="E375" s="100"/>
      <c r="F375" s="98"/>
      <c r="G375" s="98"/>
      <c r="H375" s="100"/>
      <c r="I375" s="120"/>
      <c r="J375" s="117"/>
      <c r="K375" s="116">
        <f t="shared" si="12"/>
        <v>0</v>
      </c>
      <c r="L375" s="116">
        <f t="shared" si="13"/>
        <v>0</v>
      </c>
      <c r="M375" s="98"/>
      <c r="N375" s="117"/>
    </row>
    <row r="376" spans="1:14" ht="15.75" customHeight="1">
      <c r="A376" s="115">
        <v>46211</v>
      </c>
      <c r="B376" s="100"/>
      <c r="C376" s="98"/>
      <c r="D376" s="98"/>
      <c r="E376" s="100"/>
      <c r="F376" s="98"/>
      <c r="G376" s="98"/>
      <c r="H376" s="100"/>
      <c r="I376" s="120"/>
      <c r="J376" s="117"/>
      <c r="K376" s="116">
        <f t="shared" si="12"/>
        <v>0</v>
      </c>
      <c r="L376" s="116">
        <f t="shared" si="13"/>
        <v>0</v>
      </c>
      <c r="M376" s="98"/>
      <c r="N376" s="117"/>
    </row>
    <row r="377" spans="1:14" ht="15.75" customHeight="1">
      <c r="A377" s="115">
        <v>46212</v>
      </c>
      <c r="B377" s="100"/>
      <c r="C377" s="98"/>
      <c r="D377" s="98"/>
      <c r="E377" s="100"/>
      <c r="F377" s="98"/>
      <c r="G377" s="98"/>
      <c r="H377" s="100"/>
      <c r="I377" s="120"/>
      <c r="J377" s="117"/>
      <c r="K377" s="116">
        <f t="shared" si="12"/>
        <v>0</v>
      </c>
      <c r="L377" s="116">
        <f t="shared" si="13"/>
        <v>0</v>
      </c>
      <c r="M377" s="98"/>
      <c r="N377" s="117"/>
    </row>
    <row r="378" spans="1:14" ht="15.75" customHeight="1">
      <c r="A378" s="115">
        <v>46213</v>
      </c>
      <c r="B378" s="100"/>
      <c r="C378" s="98"/>
      <c r="D378" s="98"/>
      <c r="E378" s="100"/>
      <c r="F378" s="98"/>
      <c r="G378" s="98"/>
      <c r="H378" s="100"/>
      <c r="I378" s="120"/>
      <c r="J378" s="117"/>
      <c r="K378" s="116">
        <f t="shared" si="12"/>
        <v>0</v>
      </c>
      <c r="L378" s="116">
        <f t="shared" si="13"/>
        <v>0</v>
      </c>
      <c r="M378" s="98"/>
      <c r="N378" s="117"/>
    </row>
    <row r="379" spans="1:14" ht="15.75" customHeight="1">
      <c r="A379" s="115">
        <v>46214</v>
      </c>
      <c r="B379" s="100"/>
      <c r="C379" s="98"/>
      <c r="D379" s="98"/>
      <c r="E379" s="100"/>
      <c r="F379" s="98"/>
      <c r="G379" s="98"/>
      <c r="H379" s="100"/>
      <c r="I379" s="120"/>
      <c r="J379" s="117"/>
      <c r="K379" s="116">
        <f t="shared" si="12"/>
        <v>0</v>
      </c>
      <c r="L379" s="116">
        <f t="shared" si="13"/>
        <v>0</v>
      </c>
      <c r="M379" s="98"/>
      <c r="N379" s="117"/>
    </row>
    <row r="380" spans="1:14" ht="15.75" customHeight="1">
      <c r="A380" s="115">
        <v>46215</v>
      </c>
      <c r="B380" s="100"/>
      <c r="C380" s="98"/>
      <c r="D380" s="98"/>
      <c r="E380" s="100"/>
      <c r="F380" s="98"/>
      <c r="G380" s="98"/>
      <c r="H380" s="100"/>
      <c r="I380" s="120"/>
      <c r="J380" s="117"/>
      <c r="K380" s="116">
        <f t="shared" si="12"/>
        <v>0</v>
      </c>
      <c r="L380" s="116">
        <f t="shared" si="13"/>
        <v>0</v>
      </c>
      <c r="M380" s="98"/>
      <c r="N380" s="117"/>
    </row>
    <row r="381" spans="1:14" ht="15.75" customHeight="1">
      <c r="A381" s="115">
        <v>46216</v>
      </c>
      <c r="B381" s="100"/>
      <c r="C381" s="98"/>
      <c r="D381" s="98"/>
      <c r="E381" s="100"/>
      <c r="F381" s="98"/>
      <c r="G381" s="98"/>
      <c r="H381" s="100"/>
      <c r="I381" s="120"/>
      <c r="J381" s="117"/>
      <c r="K381" s="116">
        <f t="shared" si="12"/>
        <v>0</v>
      </c>
      <c r="L381" s="116">
        <f t="shared" si="13"/>
        <v>0</v>
      </c>
      <c r="M381" s="98"/>
      <c r="N381" s="117"/>
    </row>
    <row r="382" spans="1:14" ht="15.75" customHeight="1">
      <c r="A382" s="115">
        <v>46217</v>
      </c>
      <c r="B382" s="100"/>
      <c r="C382" s="98"/>
      <c r="D382" s="98"/>
      <c r="E382" s="100"/>
      <c r="F382" s="98"/>
      <c r="G382" s="98"/>
      <c r="H382" s="100"/>
      <c r="I382" s="120"/>
      <c r="J382" s="117"/>
      <c r="K382" s="116">
        <f t="shared" si="12"/>
        <v>0</v>
      </c>
      <c r="L382" s="116">
        <f t="shared" si="13"/>
        <v>0</v>
      </c>
      <c r="M382" s="98"/>
      <c r="N382" s="117"/>
    </row>
    <row r="383" spans="1:14" ht="15.75" customHeight="1">
      <c r="A383" s="115">
        <v>46218</v>
      </c>
      <c r="B383" s="100"/>
      <c r="C383" s="98"/>
      <c r="D383" s="98"/>
      <c r="E383" s="100"/>
      <c r="F383" s="98"/>
      <c r="G383" s="98"/>
      <c r="H383" s="100"/>
      <c r="I383" s="120"/>
      <c r="J383" s="117"/>
      <c r="K383" s="116">
        <f t="shared" si="12"/>
        <v>0</v>
      </c>
      <c r="L383" s="116">
        <f t="shared" si="13"/>
        <v>0</v>
      </c>
      <c r="M383" s="98"/>
      <c r="N383" s="117"/>
    </row>
    <row r="384" spans="1:14" ht="15.75" customHeight="1">
      <c r="A384" s="115">
        <v>46219</v>
      </c>
      <c r="B384" s="100"/>
      <c r="C384" s="98"/>
      <c r="D384" s="98"/>
      <c r="E384" s="100"/>
      <c r="F384" s="98"/>
      <c r="G384" s="98"/>
      <c r="H384" s="100"/>
      <c r="I384" s="120"/>
      <c r="J384" s="117"/>
      <c r="K384" s="116">
        <f t="shared" si="12"/>
        <v>0</v>
      </c>
      <c r="L384" s="116">
        <f t="shared" si="13"/>
        <v>0</v>
      </c>
      <c r="M384" s="98"/>
      <c r="N384" s="117"/>
    </row>
    <row r="385" spans="1:14" ht="15.75" customHeight="1">
      <c r="A385" s="115">
        <v>46220</v>
      </c>
      <c r="B385" s="100"/>
      <c r="C385" s="98"/>
      <c r="D385" s="98"/>
      <c r="E385" s="100"/>
      <c r="F385" s="98"/>
      <c r="G385" s="98"/>
      <c r="H385" s="100"/>
      <c r="I385" s="120"/>
      <c r="J385" s="117"/>
      <c r="K385" s="116">
        <f t="shared" si="12"/>
        <v>0</v>
      </c>
      <c r="L385" s="116">
        <f t="shared" si="13"/>
        <v>0</v>
      </c>
      <c r="M385" s="98"/>
      <c r="N385" s="117"/>
    </row>
    <row r="386" spans="1:14" ht="15.75" customHeight="1">
      <c r="A386" s="115">
        <v>46221</v>
      </c>
      <c r="B386" s="100"/>
      <c r="C386" s="98"/>
      <c r="D386" s="98"/>
      <c r="E386" s="100"/>
      <c r="F386" s="98"/>
      <c r="G386" s="98"/>
      <c r="H386" s="100"/>
      <c r="I386" s="120"/>
      <c r="J386" s="117"/>
      <c r="K386" s="116">
        <f t="shared" si="12"/>
        <v>0</v>
      </c>
      <c r="L386" s="116">
        <f t="shared" si="13"/>
        <v>0</v>
      </c>
      <c r="M386" s="98"/>
      <c r="N386" s="117"/>
    </row>
    <row r="387" spans="1:14" ht="15.75" customHeight="1">
      <c r="A387" s="115">
        <v>46222</v>
      </c>
      <c r="B387" s="100"/>
      <c r="C387" s="98"/>
      <c r="D387" s="98"/>
      <c r="E387" s="100"/>
      <c r="F387" s="98"/>
      <c r="G387" s="98"/>
      <c r="H387" s="100"/>
      <c r="I387" s="120"/>
      <c r="J387" s="117"/>
      <c r="K387" s="116">
        <f t="shared" si="12"/>
        <v>0</v>
      </c>
      <c r="L387" s="116">
        <f t="shared" si="13"/>
        <v>0</v>
      </c>
      <c r="M387" s="98"/>
      <c r="N387" s="117"/>
    </row>
    <row r="388" spans="1:14" ht="15.75" customHeight="1">
      <c r="A388" s="115">
        <v>46223</v>
      </c>
      <c r="B388" s="100"/>
      <c r="C388" s="98"/>
      <c r="D388" s="98"/>
      <c r="E388" s="100"/>
      <c r="F388" s="98"/>
      <c r="G388" s="98"/>
      <c r="H388" s="100"/>
      <c r="I388" s="120"/>
      <c r="J388" s="117"/>
      <c r="K388" s="116">
        <f t="shared" si="12"/>
        <v>0</v>
      </c>
      <c r="L388" s="116">
        <f t="shared" si="13"/>
        <v>0</v>
      </c>
      <c r="M388" s="98"/>
      <c r="N388" s="117"/>
    </row>
    <row r="389" spans="1:14" ht="15.75" customHeight="1">
      <c r="A389" s="115">
        <v>46224</v>
      </c>
      <c r="B389" s="100"/>
      <c r="C389" s="98"/>
      <c r="D389" s="98"/>
      <c r="E389" s="100"/>
      <c r="F389" s="98"/>
      <c r="G389" s="98"/>
      <c r="H389" s="100"/>
      <c r="I389" s="120"/>
      <c r="J389" s="117"/>
      <c r="K389" s="116">
        <f t="shared" si="12"/>
        <v>0</v>
      </c>
      <c r="L389" s="116">
        <f t="shared" si="13"/>
        <v>0</v>
      </c>
      <c r="M389" s="98"/>
      <c r="N389" s="117"/>
    </row>
    <row r="390" spans="1:14" ht="15.75" customHeight="1">
      <c r="A390" s="115">
        <v>46225</v>
      </c>
      <c r="B390" s="100"/>
      <c r="C390" s="98"/>
      <c r="D390" s="98"/>
      <c r="E390" s="100"/>
      <c r="F390" s="98"/>
      <c r="G390" s="98"/>
      <c r="H390" s="100"/>
      <c r="I390" s="120"/>
      <c r="J390" s="117"/>
      <c r="K390" s="116">
        <f t="shared" si="12"/>
        <v>0</v>
      </c>
      <c r="L390" s="116">
        <f t="shared" si="13"/>
        <v>0</v>
      </c>
      <c r="M390" s="98"/>
      <c r="N390" s="117"/>
    </row>
    <row r="391" spans="1:14" ht="15.75" customHeight="1">
      <c r="A391" s="115">
        <v>46226</v>
      </c>
      <c r="B391" s="100"/>
      <c r="C391" s="98"/>
      <c r="D391" s="98"/>
      <c r="E391" s="100"/>
      <c r="F391" s="98"/>
      <c r="G391" s="98"/>
      <c r="H391" s="100"/>
      <c r="I391" s="120"/>
      <c r="J391" s="117"/>
      <c r="K391" s="116">
        <f t="shared" si="12"/>
        <v>0</v>
      </c>
      <c r="L391" s="116">
        <f t="shared" si="13"/>
        <v>0</v>
      </c>
      <c r="M391" s="98"/>
      <c r="N391" s="117"/>
    </row>
    <row r="392" spans="1:14" ht="15.75" customHeight="1">
      <c r="A392" s="115">
        <v>46227</v>
      </c>
      <c r="B392" s="100"/>
      <c r="C392" s="98"/>
      <c r="D392" s="98"/>
      <c r="E392" s="100"/>
      <c r="F392" s="98"/>
      <c r="G392" s="98"/>
      <c r="H392" s="100"/>
      <c r="I392" s="120"/>
      <c r="J392" s="117"/>
      <c r="K392" s="116">
        <f t="shared" si="12"/>
        <v>0</v>
      </c>
      <c r="L392" s="116">
        <f t="shared" si="13"/>
        <v>0</v>
      </c>
      <c r="M392" s="98"/>
      <c r="N392" s="117"/>
    </row>
    <row r="393" spans="1:14" ht="15.75" customHeight="1">
      <c r="A393" s="115">
        <v>46228</v>
      </c>
      <c r="B393" s="100"/>
      <c r="C393" s="98"/>
      <c r="D393" s="98"/>
      <c r="E393" s="100"/>
      <c r="F393" s="98"/>
      <c r="G393" s="98"/>
      <c r="H393" s="100"/>
      <c r="I393" s="120"/>
      <c r="J393" s="117"/>
      <c r="K393" s="116">
        <f t="shared" si="12"/>
        <v>0</v>
      </c>
      <c r="L393" s="116">
        <f t="shared" si="13"/>
        <v>0</v>
      </c>
      <c r="M393" s="98"/>
      <c r="N393" s="117"/>
    </row>
    <row r="394" spans="1:14" ht="15.75" customHeight="1">
      <c r="A394" s="115">
        <v>46229</v>
      </c>
      <c r="B394" s="100"/>
      <c r="C394" s="98"/>
      <c r="D394" s="98"/>
      <c r="E394" s="100"/>
      <c r="F394" s="98"/>
      <c r="G394" s="98"/>
      <c r="H394" s="100"/>
      <c r="I394" s="120"/>
      <c r="J394" s="117"/>
      <c r="K394" s="116">
        <f t="shared" si="12"/>
        <v>0</v>
      </c>
      <c r="L394" s="116">
        <f t="shared" si="13"/>
        <v>0</v>
      </c>
      <c r="M394" s="98"/>
      <c r="N394" s="117"/>
    </row>
    <row r="395" spans="1:14" ht="15.75" customHeight="1">
      <c r="A395" s="115">
        <v>46230</v>
      </c>
      <c r="B395" s="100"/>
      <c r="C395" s="98"/>
      <c r="D395" s="98"/>
      <c r="E395" s="100"/>
      <c r="F395" s="98"/>
      <c r="G395" s="98"/>
      <c r="H395" s="100"/>
      <c r="I395" s="120"/>
      <c r="J395" s="117"/>
      <c r="K395" s="116">
        <f t="shared" si="12"/>
        <v>0</v>
      </c>
      <c r="L395" s="116">
        <f t="shared" si="13"/>
        <v>0</v>
      </c>
      <c r="M395" s="98"/>
      <c r="N395" s="117"/>
    </row>
    <row r="396" spans="1:14" ht="15.75" customHeight="1">
      <c r="A396" s="115">
        <v>46231</v>
      </c>
      <c r="B396" s="100"/>
      <c r="C396" s="98"/>
      <c r="D396" s="98"/>
      <c r="E396" s="100"/>
      <c r="F396" s="98"/>
      <c r="G396" s="98"/>
      <c r="H396" s="100"/>
      <c r="I396" s="120"/>
      <c r="J396" s="117"/>
      <c r="K396" s="116">
        <f t="shared" si="12"/>
        <v>0</v>
      </c>
      <c r="L396" s="116">
        <f t="shared" si="13"/>
        <v>0</v>
      </c>
      <c r="M396" s="98"/>
      <c r="N396" s="117"/>
    </row>
    <row r="397" spans="1:14" ht="15.75" customHeight="1">
      <c r="A397" s="115">
        <v>46232</v>
      </c>
      <c r="B397" s="100"/>
      <c r="C397" s="98"/>
      <c r="D397" s="98"/>
      <c r="E397" s="100"/>
      <c r="F397" s="98"/>
      <c r="G397" s="98"/>
      <c r="H397" s="100"/>
      <c r="I397" s="120"/>
      <c r="J397" s="117"/>
      <c r="K397" s="116">
        <f t="shared" si="12"/>
        <v>0</v>
      </c>
      <c r="L397" s="116">
        <f t="shared" si="13"/>
        <v>0</v>
      </c>
      <c r="M397" s="98"/>
      <c r="N397" s="117"/>
    </row>
    <row r="398" spans="1:14" ht="15.75" customHeight="1">
      <c r="A398" s="115">
        <v>46233</v>
      </c>
      <c r="B398" s="100"/>
      <c r="C398" s="98"/>
      <c r="D398" s="98"/>
      <c r="E398" s="100"/>
      <c r="F398" s="98"/>
      <c r="G398" s="98"/>
      <c r="H398" s="100"/>
      <c r="I398" s="120"/>
      <c r="J398" s="117"/>
      <c r="K398" s="116">
        <f t="shared" si="12"/>
        <v>0</v>
      </c>
      <c r="L398" s="116">
        <f t="shared" si="13"/>
        <v>0</v>
      </c>
      <c r="M398" s="98"/>
      <c r="N398" s="117"/>
    </row>
    <row r="399" spans="1:14" ht="15.75" customHeight="1">
      <c r="A399" s="115">
        <v>46234</v>
      </c>
      <c r="B399" s="100"/>
      <c r="C399" s="98"/>
      <c r="D399" s="98"/>
      <c r="E399" s="100"/>
      <c r="F399" s="98"/>
      <c r="G399" s="98"/>
      <c r="H399" s="100"/>
      <c r="I399" s="120"/>
      <c r="J399" s="117"/>
      <c r="K399" s="116">
        <f t="shared" si="12"/>
        <v>0</v>
      </c>
      <c r="L399" s="116">
        <f t="shared" si="13"/>
        <v>0</v>
      </c>
      <c r="M399" s="98"/>
      <c r="N399" s="117"/>
    </row>
    <row r="400" spans="1:14" ht="15.75" customHeight="1">
      <c r="A400" s="115">
        <v>46235</v>
      </c>
      <c r="B400" s="100"/>
      <c r="C400" s="98"/>
      <c r="D400" s="98"/>
      <c r="E400" s="100"/>
      <c r="F400" s="98"/>
      <c r="G400" s="98"/>
      <c r="H400" s="100"/>
      <c r="I400" s="120"/>
      <c r="J400" s="117"/>
      <c r="K400" s="116">
        <f t="shared" si="12"/>
        <v>0</v>
      </c>
      <c r="L400" s="116">
        <f t="shared" si="13"/>
        <v>0</v>
      </c>
      <c r="M400" s="98"/>
      <c r="N400" s="117"/>
    </row>
    <row r="401" spans="1:14" ht="15.75" customHeight="1">
      <c r="A401" s="115">
        <v>46236</v>
      </c>
      <c r="B401" s="100"/>
      <c r="C401" s="98"/>
      <c r="D401" s="98"/>
      <c r="E401" s="100"/>
      <c r="F401" s="98"/>
      <c r="G401" s="98"/>
      <c r="H401" s="100"/>
      <c r="I401" s="120"/>
      <c r="J401" s="117"/>
      <c r="K401" s="116">
        <f t="shared" si="12"/>
        <v>0</v>
      </c>
      <c r="L401" s="116">
        <f t="shared" si="13"/>
        <v>0</v>
      </c>
      <c r="M401" s="98"/>
      <c r="N401" s="117"/>
    </row>
    <row r="402" spans="1:14" ht="15.75" customHeight="1">
      <c r="A402" s="115">
        <v>46237</v>
      </c>
      <c r="B402" s="100"/>
      <c r="C402" s="98"/>
      <c r="D402" s="98"/>
      <c r="E402" s="100"/>
      <c r="F402" s="98"/>
      <c r="G402" s="98"/>
      <c r="H402" s="100"/>
      <c r="I402" s="120"/>
      <c r="J402" s="117"/>
      <c r="K402" s="116">
        <f t="shared" si="12"/>
        <v>0</v>
      </c>
      <c r="L402" s="116">
        <f t="shared" si="13"/>
        <v>0</v>
      </c>
      <c r="M402" s="98"/>
      <c r="N402" s="117"/>
    </row>
    <row r="403" spans="1:14" ht="15.75" customHeight="1">
      <c r="A403" s="115">
        <v>46238</v>
      </c>
      <c r="B403" s="100"/>
      <c r="C403" s="98"/>
      <c r="D403" s="98"/>
      <c r="E403" s="100"/>
      <c r="F403" s="98"/>
      <c r="G403" s="98"/>
      <c r="H403" s="100"/>
      <c r="I403" s="120"/>
      <c r="J403" s="117"/>
      <c r="K403" s="116">
        <f t="shared" si="12"/>
        <v>0</v>
      </c>
      <c r="L403" s="116">
        <f t="shared" si="13"/>
        <v>0</v>
      </c>
      <c r="M403" s="98"/>
      <c r="N403" s="117"/>
    </row>
    <row r="404" spans="1:14" ht="15.75" customHeight="1">
      <c r="A404" s="115">
        <v>46239</v>
      </c>
      <c r="B404" s="100"/>
      <c r="C404" s="98"/>
      <c r="D404" s="98"/>
      <c r="E404" s="100"/>
      <c r="F404" s="98"/>
      <c r="G404" s="98"/>
      <c r="H404" s="100"/>
      <c r="I404" s="120"/>
      <c r="J404" s="117"/>
      <c r="K404" s="116">
        <f t="shared" ref="K404:K467" si="14">G404+I404+J404</f>
        <v>0</v>
      </c>
      <c r="L404" s="116">
        <f t="shared" ref="L404:L467" si="15">F404-K404</f>
        <v>0</v>
      </c>
      <c r="M404" s="98"/>
      <c r="N404" s="117"/>
    </row>
    <row r="405" spans="1:14" ht="15.75" customHeight="1">
      <c r="A405" s="115">
        <v>46240</v>
      </c>
      <c r="B405" s="100"/>
      <c r="C405" s="98"/>
      <c r="D405" s="98"/>
      <c r="E405" s="100"/>
      <c r="F405" s="98"/>
      <c r="G405" s="98"/>
      <c r="H405" s="100"/>
      <c r="I405" s="120"/>
      <c r="J405" s="117"/>
      <c r="K405" s="116">
        <f t="shared" si="14"/>
        <v>0</v>
      </c>
      <c r="L405" s="116">
        <f t="shared" si="15"/>
        <v>0</v>
      </c>
      <c r="M405" s="98"/>
      <c r="N405" s="117"/>
    </row>
    <row r="406" spans="1:14" ht="15.75" customHeight="1">
      <c r="A406" s="115">
        <v>46241</v>
      </c>
      <c r="B406" s="100"/>
      <c r="C406" s="98"/>
      <c r="D406" s="98"/>
      <c r="E406" s="100"/>
      <c r="F406" s="98"/>
      <c r="G406" s="98"/>
      <c r="H406" s="100"/>
      <c r="I406" s="120"/>
      <c r="J406" s="117"/>
      <c r="K406" s="116">
        <f t="shared" si="14"/>
        <v>0</v>
      </c>
      <c r="L406" s="116">
        <f t="shared" si="15"/>
        <v>0</v>
      </c>
      <c r="M406" s="98"/>
      <c r="N406" s="117"/>
    </row>
    <row r="407" spans="1:14" ht="15.75" customHeight="1">
      <c r="A407" s="115">
        <v>46242</v>
      </c>
      <c r="B407" s="100"/>
      <c r="C407" s="98"/>
      <c r="D407" s="98"/>
      <c r="E407" s="100"/>
      <c r="F407" s="98"/>
      <c r="G407" s="98"/>
      <c r="H407" s="100"/>
      <c r="I407" s="120"/>
      <c r="J407" s="117"/>
      <c r="K407" s="116">
        <f t="shared" si="14"/>
        <v>0</v>
      </c>
      <c r="L407" s="116">
        <f t="shared" si="15"/>
        <v>0</v>
      </c>
      <c r="M407" s="98"/>
      <c r="N407" s="117"/>
    </row>
    <row r="408" spans="1:14" ht="15.75" customHeight="1">
      <c r="A408" s="115">
        <v>46243</v>
      </c>
      <c r="B408" s="100"/>
      <c r="C408" s="98"/>
      <c r="D408" s="98"/>
      <c r="E408" s="100"/>
      <c r="F408" s="98"/>
      <c r="G408" s="98"/>
      <c r="H408" s="100"/>
      <c r="I408" s="120"/>
      <c r="J408" s="117"/>
      <c r="K408" s="116">
        <f t="shared" si="14"/>
        <v>0</v>
      </c>
      <c r="L408" s="116">
        <f t="shared" si="15"/>
        <v>0</v>
      </c>
      <c r="M408" s="98"/>
      <c r="N408" s="117"/>
    </row>
    <row r="409" spans="1:14" ht="15.75" customHeight="1">
      <c r="A409" s="115">
        <v>46244</v>
      </c>
      <c r="B409" s="100"/>
      <c r="C409" s="98"/>
      <c r="D409" s="98"/>
      <c r="E409" s="100"/>
      <c r="F409" s="98"/>
      <c r="G409" s="98"/>
      <c r="H409" s="100"/>
      <c r="I409" s="120"/>
      <c r="J409" s="117"/>
      <c r="K409" s="116">
        <f t="shared" si="14"/>
        <v>0</v>
      </c>
      <c r="L409" s="116">
        <f t="shared" si="15"/>
        <v>0</v>
      </c>
      <c r="M409" s="98"/>
      <c r="N409" s="117"/>
    </row>
    <row r="410" spans="1:14" ht="15.75" customHeight="1">
      <c r="A410" s="115">
        <v>46245</v>
      </c>
      <c r="B410" s="100"/>
      <c r="C410" s="98"/>
      <c r="D410" s="98"/>
      <c r="E410" s="100"/>
      <c r="F410" s="98"/>
      <c r="G410" s="98"/>
      <c r="H410" s="100"/>
      <c r="I410" s="120"/>
      <c r="J410" s="117"/>
      <c r="K410" s="116">
        <f t="shared" si="14"/>
        <v>0</v>
      </c>
      <c r="L410" s="116">
        <f t="shared" si="15"/>
        <v>0</v>
      </c>
      <c r="M410" s="98"/>
      <c r="N410" s="117"/>
    </row>
    <row r="411" spans="1:14" ht="15.75" customHeight="1">
      <c r="A411" s="115">
        <v>46246</v>
      </c>
      <c r="B411" s="100"/>
      <c r="C411" s="98"/>
      <c r="D411" s="98"/>
      <c r="E411" s="100"/>
      <c r="F411" s="98"/>
      <c r="G411" s="98"/>
      <c r="H411" s="100"/>
      <c r="I411" s="120"/>
      <c r="J411" s="117"/>
      <c r="K411" s="116">
        <f t="shared" si="14"/>
        <v>0</v>
      </c>
      <c r="L411" s="116">
        <f t="shared" si="15"/>
        <v>0</v>
      </c>
      <c r="M411" s="98"/>
      <c r="N411" s="117"/>
    </row>
    <row r="412" spans="1:14" ht="15.75" customHeight="1">
      <c r="A412" s="115">
        <v>46247</v>
      </c>
      <c r="B412" s="100"/>
      <c r="C412" s="98"/>
      <c r="D412" s="98"/>
      <c r="E412" s="100"/>
      <c r="F412" s="98"/>
      <c r="G412" s="98"/>
      <c r="H412" s="100"/>
      <c r="I412" s="120"/>
      <c r="J412" s="117"/>
      <c r="K412" s="116">
        <f t="shared" si="14"/>
        <v>0</v>
      </c>
      <c r="L412" s="116">
        <f t="shared" si="15"/>
        <v>0</v>
      </c>
      <c r="M412" s="98"/>
      <c r="N412" s="117"/>
    </row>
    <row r="413" spans="1:14" ht="15.75" customHeight="1">
      <c r="A413" s="115">
        <v>46248</v>
      </c>
      <c r="B413" s="100"/>
      <c r="C413" s="98"/>
      <c r="D413" s="98"/>
      <c r="E413" s="100"/>
      <c r="F413" s="98"/>
      <c r="G413" s="98"/>
      <c r="H413" s="100"/>
      <c r="I413" s="120"/>
      <c r="J413" s="117"/>
      <c r="K413" s="116">
        <f t="shared" si="14"/>
        <v>0</v>
      </c>
      <c r="L413" s="116">
        <f t="shared" si="15"/>
        <v>0</v>
      </c>
      <c r="M413" s="98"/>
      <c r="N413" s="117"/>
    </row>
    <row r="414" spans="1:14" ht="15.75" customHeight="1">
      <c r="A414" s="115">
        <v>46249</v>
      </c>
      <c r="B414" s="100"/>
      <c r="C414" s="98"/>
      <c r="D414" s="98"/>
      <c r="E414" s="100"/>
      <c r="F414" s="98"/>
      <c r="G414" s="98"/>
      <c r="H414" s="100"/>
      <c r="I414" s="120"/>
      <c r="J414" s="117"/>
      <c r="K414" s="116">
        <f t="shared" si="14"/>
        <v>0</v>
      </c>
      <c r="L414" s="116">
        <f t="shared" si="15"/>
        <v>0</v>
      </c>
      <c r="M414" s="98"/>
      <c r="N414" s="117"/>
    </row>
    <row r="415" spans="1:14" ht="15.75" customHeight="1">
      <c r="A415" s="115">
        <v>46250</v>
      </c>
      <c r="B415" s="100"/>
      <c r="C415" s="98"/>
      <c r="D415" s="98"/>
      <c r="E415" s="100"/>
      <c r="F415" s="98"/>
      <c r="G415" s="98"/>
      <c r="H415" s="100"/>
      <c r="I415" s="120"/>
      <c r="J415" s="117"/>
      <c r="K415" s="116">
        <f t="shared" si="14"/>
        <v>0</v>
      </c>
      <c r="L415" s="116">
        <f t="shared" si="15"/>
        <v>0</v>
      </c>
      <c r="M415" s="98"/>
      <c r="N415" s="117"/>
    </row>
    <row r="416" spans="1:14" ht="15.75" customHeight="1">
      <c r="A416" s="115">
        <v>46251</v>
      </c>
      <c r="B416" s="100"/>
      <c r="C416" s="98"/>
      <c r="D416" s="98"/>
      <c r="E416" s="100"/>
      <c r="F416" s="98"/>
      <c r="G416" s="98"/>
      <c r="H416" s="100"/>
      <c r="I416" s="120"/>
      <c r="J416" s="117"/>
      <c r="K416" s="116">
        <f t="shared" si="14"/>
        <v>0</v>
      </c>
      <c r="L416" s="116">
        <f t="shared" si="15"/>
        <v>0</v>
      </c>
      <c r="M416" s="98"/>
      <c r="N416" s="117"/>
    </row>
    <row r="417" spans="1:14" ht="15.75" customHeight="1">
      <c r="A417" s="115">
        <v>46252</v>
      </c>
      <c r="B417" s="100"/>
      <c r="C417" s="98"/>
      <c r="D417" s="98"/>
      <c r="E417" s="100"/>
      <c r="F417" s="98"/>
      <c r="G417" s="98"/>
      <c r="H417" s="100"/>
      <c r="I417" s="120"/>
      <c r="J417" s="117"/>
      <c r="K417" s="116">
        <f t="shared" si="14"/>
        <v>0</v>
      </c>
      <c r="L417" s="116">
        <f t="shared" si="15"/>
        <v>0</v>
      </c>
      <c r="M417" s="98"/>
      <c r="N417" s="117"/>
    </row>
    <row r="418" spans="1:14" ht="15.75" customHeight="1">
      <c r="A418" s="115">
        <v>46253</v>
      </c>
      <c r="B418" s="100"/>
      <c r="C418" s="98"/>
      <c r="D418" s="98"/>
      <c r="E418" s="100"/>
      <c r="F418" s="98"/>
      <c r="G418" s="98"/>
      <c r="H418" s="100"/>
      <c r="I418" s="120"/>
      <c r="J418" s="117"/>
      <c r="K418" s="116">
        <f t="shared" si="14"/>
        <v>0</v>
      </c>
      <c r="L418" s="116">
        <f t="shared" si="15"/>
        <v>0</v>
      </c>
      <c r="M418" s="98"/>
      <c r="N418" s="117"/>
    </row>
    <row r="419" spans="1:14" ht="15.75" customHeight="1">
      <c r="A419" s="115">
        <v>46254</v>
      </c>
      <c r="B419" s="100"/>
      <c r="C419" s="98"/>
      <c r="D419" s="98"/>
      <c r="E419" s="100"/>
      <c r="F419" s="98"/>
      <c r="G419" s="98"/>
      <c r="H419" s="100"/>
      <c r="I419" s="120"/>
      <c r="J419" s="117"/>
      <c r="K419" s="116">
        <f t="shared" si="14"/>
        <v>0</v>
      </c>
      <c r="L419" s="116">
        <f t="shared" si="15"/>
        <v>0</v>
      </c>
      <c r="M419" s="98"/>
      <c r="N419" s="117"/>
    </row>
    <row r="420" spans="1:14" ht="15.75" customHeight="1">
      <c r="A420" s="115">
        <v>46255</v>
      </c>
      <c r="B420" s="100"/>
      <c r="C420" s="98"/>
      <c r="D420" s="98"/>
      <c r="E420" s="100"/>
      <c r="F420" s="98"/>
      <c r="G420" s="98"/>
      <c r="H420" s="100"/>
      <c r="I420" s="120"/>
      <c r="J420" s="117"/>
      <c r="K420" s="116">
        <f t="shared" si="14"/>
        <v>0</v>
      </c>
      <c r="L420" s="116">
        <f t="shared" si="15"/>
        <v>0</v>
      </c>
      <c r="M420" s="98"/>
      <c r="N420" s="117"/>
    </row>
    <row r="421" spans="1:14" ht="15.75" customHeight="1">
      <c r="A421" s="115">
        <v>46256</v>
      </c>
      <c r="B421" s="100"/>
      <c r="C421" s="98"/>
      <c r="D421" s="98"/>
      <c r="E421" s="100"/>
      <c r="F421" s="98"/>
      <c r="G421" s="98"/>
      <c r="H421" s="100"/>
      <c r="I421" s="120"/>
      <c r="J421" s="117"/>
      <c r="K421" s="116">
        <f t="shared" si="14"/>
        <v>0</v>
      </c>
      <c r="L421" s="116">
        <f t="shared" si="15"/>
        <v>0</v>
      </c>
      <c r="M421" s="98"/>
      <c r="N421" s="117"/>
    </row>
    <row r="422" spans="1:14" ht="15.75" customHeight="1">
      <c r="A422" s="115">
        <v>46257</v>
      </c>
      <c r="B422" s="100"/>
      <c r="C422" s="98"/>
      <c r="D422" s="98"/>
      <c r="E422" s="100"/>
      <c r="F422" s="98"/>
      <c r="G422" s="98"/>
      <c r="H422" s="100"/>
      <c r="I422" s="120"/>
      <c r="J422" s="117"/>
      <c r="K422" s="116">
        <f t="shared" si="14"/>
        <v>0</v>
      </c>
      <c r="L422" s="116">
        <f t="shared" si="15"/>
        <v>0</v>
      </c>
      <c r="M422" s="98"/>
      <c r="N422" s="117"/>
    </row>
    <row r="423" spans="1:14" ht="15.75" customHeight="1">
      <c r="A423" s="115">
        <v>46258</v>
      </c>
      <c r="B423" s="100"/>
      <c r="C423" s="98"/>
      <c r="D423" s="98"/>
      <c r="E423" s="100"/>
      <c r="F423" s="98"/>
      <c r="G423" s="98"/>
      <c r="H423" s="100"/>
      <c r="I423" s="120"/>
      <c r="J423" s="117"/>
      <c r="K423" s="116">
        <f t="shared" si="14"/>
        <v>0</v>
      </c>
      <c r="L423" s="116">
        <f t="shared" si="15"/>
        <v>0</v>
      </c>
      <c r="M423" s="98"/>
      <c r="N423" s="117"/>
    </row>
    <row r="424" spans="1:14" ht="15.75" customHeight="1">
      <c r="A424" s="115">
        <v>46259</v>
      </c>
      <c r="B424" s="100"/>
      <c r="C424" s="98"/>
      <c r="D424" s="98"/>
      <c r="E424" s="100"/>
      <c r="F424" s="98"/>
      <c r="G424" s="98"/>
      <c r="H424" s="100"/>
      <c r="I424" s="120"/>
      <c r="J424" s="117"/>
      <c r="K424" s="116">
        <f t="shared" si="14"/>
        <v>0</v>
      </c>
      <c r="L424" s="116">
        <f t="shared" si="15"/>
        <v>0</v>
      </c>
      <c r="M424" s="98"/>
      <c r="N424" s="117"/>
    </row>
    <row r="425" spans="1:14" ht="15.75" customHeight="1">
      <c r="A425" s="115">
        <v>46260</v>
      </c>
      <c r="B425" s="100"/>
      <c r="C425" s="98"/>
      <c r="D425" s="98"/>
      <c r="E425" s="100"/>
      <c r="F425" s="98"/>
      <c r="G425" s="98"/>
      <c r="H425" s="100"/>
      <c r="I425" s="120"/>
      <c r="J425" s="117"/>
      <c r="K425" s="116">
        <f t="shared" si="14"/>
        <v>0</v>
      </c>
      <c r="L425" s="116">
        <f t="shared" si="15"/>
        <v>0</v>
      </c>
      <c r="M425" s="98"/>
      <c r="N425" s="117"/>
    </row>
    <row r="426" spans="1:14" ht="15.75" customHeight="1">
      <c r="A426" s="115">
        <v>46261</v>
      </c>
      <c r="B426" s="100"/>
      <c r="C426" s="98"/>
      <c r="D426" s="98"/>
      <c r="E426" s="100"/>
      <c r="F426" s="98"/>
      <c r="G426" s="98"/>
      <c r="H426" s="100"/>
      <c r="I426" s="120"/>
      <c r="J426" s="117"/>
      <c r="K426" s="116">
        <f t="shared" si="14"/>
        <v>0</v>
      </c>
      <c r="L426" s="116">
        <f t="shared" si="15"/>
        <v>0</v>
      </c>
      <c r="M426" s="98"/>
      <c r="N426" s="117"/>
    </row>
    <row r="427" spans="1:14" ht="15.75" customHeight="1">
      <c r="A427" s="115">
        <v>46262</v>
      </c>
      <c r="B427" s="100"/>
      <c r="C427" s="98"/>
      <c r="D427" s="98"/>
      <c r="E427" s="100"/>
      <c r="F427" s="98"/>
      <c r="G427" s="98"/>
      <c r="H427" s="100"/>
      <c r="I427" s="120"/>
      <c r="J427" s="117"/>
      <c r="K427" s="116">
        <f t="shared" si="14"/>
        <v>0</v>
      </c>
      <c r="L427" s="116">
        <f t="shared" si="15"/>
        <v>0</v>
      </c>
      <c r="M427" s="98"/>
      <c r="N427" s="117"/>
    </row>
    <row r="428" spans="1:14" ht="15.75" customHeight="1">
      <c r="A428" s="115">
        <v>46263</v>
      </c>
      <c r="B428" s="100"/>
      <c r="C428" s="98"/>
      <c r="D428" s="98"/>
      <c r="E428" s="100"/>
      <c r="F428" s="98"/>
      <c r="G428" s="98"/>
      <c r="H428" s="100"/>
      <c r="I428" s="120"/>
      <c r="J428" s="117"/>
      <c r="K428" s="116">
        <f t="shared" si="14"/>
        <v>0</v>
      </c>
      <c r="L428" s="116">
        <f t="shared" si="15"/>
        <v>0</v>
      </c>
      <c r="M428" s="98"/>
      <c r="N428" s="117"/>
    </row>
    <row r="429" spans="1:14" ht="15.75" customHeight="1">
      <c r="A429" s="115">
        <v>46264</v>
      </c>
      <c r="B429" s="100"/>
      <c r="C429" s="98"/>
      <c r="D429" s="98"/>
      <c r="E429" s="100"/>
      <c r="F429" s="98"/>
      <c r="G429" s="98"/>
      <c r="H429" s="100"/>
      <c r="I429" s="120"/>
      <c r="J429" s="117"/>
      <c r="K429" s="116">
        <f t="shared" si="14"/>
        <v>0</v>
      </c>
      <c r="L429" s="116">
        <f t="shared" si="15"/>
        <v>0</v>
      </c>
      <c r="M429" s="98"/>
      <c r="N429" s="117"/>
    </row>
    <row r="430" spans="1:14" ht="15.75" customHeight="1">
      <c r="A430" s="115">
        <v>46265</v>
      </c>
      <c r="B430" s="100"/>
      <c r="C430" s="98"/>
      <c r="D430" s="98"/>
      <c r="E430" s="100"/>
      <c r="F430" s="98"/>
      <c r="G430" s="98"/>
      <c r="H430" s="100"/>
      <c r="I430" s="120"/>
      <c r="J430" s="117"/>
      <c r="K430" s="116">
        <f t="shared" si="14"/>
        <v>0</v>
      </c>
      <c r="L430" s="116">
        <f t="shared" si="15"/>
        <v>0</v>
      </c>
      <c r="M430" s="98"/>
      <c r="N430" s="117"/>
    </row>
    <row r="431" spans="1:14" ht="15.75" customHeight="1">
      <c r="A431" s="115">
        <v>46266</v>
      </c>
      <c r="B431" s="100"/>
      <c r="C431" s="98"/>
      <c r="D431" s="98"/>
      <c r="E431" s="100"/>
      <c r="F431" s="98"/>
      <c r="G431" s="98"/>
      <c r="H431" s="100"/>
      <c r="I431" s="120"/>
      <c r="J431" s="117"/>
      <c r="K431" s="116">
        <f t="shared" si="14"/>
        <v>0</v>
      </c>
      <c r="L431" s="116">
        <f t="shared" si="15"/>
        <v>0</v>
      </c>
      <c r="M431" s="98"/>
      <c r="N431" s="117"/>
    </row>
    <row r="432" spans="1:14" ht="15.75" customHeight="1">
      <c r="A432" s="115">
        <v>46267</v>
      </c>
      <c r="B432" s="100"/>
      <c r="C432" s="98"/>
      <c r="D432" s="98"/>
      <c r="E432" s="100"/>
      <c r="F432" s="98"/>
      <c r="G432" s="98"/>
      <c r="H432" s="100"/>
      <c r="I432" s="120"/>
      <c r="J432" s="117"/>
      <c r="K432" s="116">
        <f t="shared" si="14"/>
        <v>0</v>
      </c>
      <c r="L432" s="116">
        <f t="shared" si="15"/>
        <v>0</v>
      </c>
      <c r="M432" s="98"/>
      <c r="N432" s="117"/>
    </row>
    <row r="433" spans="1:14" ht="15.75" customHeight="1">
      <c r="A433" s="115">
        <v>46268</v>
      </c>
      <c r="B433" s="100"/>
      <c r="C433" s="98"/>
      <c r="D433" s="98"/>
      <c r="E433" s="100"/>
      <c r="F433" s="98"/>
      <c r="G433" s="98"/>
      <c r="H433" s="100"/>
      <c r="I433" s="120"/>
      <c r="J433" s="117"/>
      <c r="K433" s="116">
        <f t="shared" si="14"/>
        <v>0</v>
      </c>
      <c r="L433" s="116">
        <f t="shared" si="15"/>
        <v>0</v>
      </c>
      <c r="M433" s="98"/>
      <c r="N433" s="117"/>
    </row>
    <row r="434" spans="1:14" ht="15.75" customHeight="1">
      <c r="A434" s="115">
        <v>46269</v>
      </c>
      <c r="B434" s="100"/>
      <c r="C434" s="98"/>
      <c r="D434" s="98"/>
      <c r="E434" s="100"/>
      <c r="F434" s="98"/>
      <c r="G434" s="98"/>
      <c r="H434" s="100"/>
      <c r="I434" s="120"/>
      <c r="J434" s="117"/>
      <c r="K434" s="116">
        <f t="shared" si="14"/>
        <v>0</v>
      </c>
      <c r="L434" s="116">
        <f t="shared" si="15"/>
        <v>0</v>
      </c>
      <c r="M434" s="98"/>
      <c r="N434" s="117"/>
    </row>
    <row r="435" spans="1:14" ht="15.75" customHeight="1">
      <c r="A435" s="115">
        <v>46270</v>
      </c>
      <c r="B435" s="100"/>
      <c r="C435" s="98"/>
      <c r="D435" s="98"/>
      <c r="E435" s="100"/>
      <c r="F435" s="98"/>
      <c r="G435" s="98"/>
      <c r="H435" s="100"/>
      <c r="I435" s="120"/>
      <c r="J435" s="117"/>
      <c r="K435" s="116">
        <f t="shared" si="14"/>
        <v>0</v>
      </c>
      <c r="L435" s="116">
        <f t="shared" si="15"/>
        <v>0</v>
      </c>
      <c r="M435" s="98"/>
      <c r="N435" s="117"/>
    </row>
    <row r="436" spans="1:14" ht="15.75" customHeight="1">
      <c r="A436" s="115">
        <v>46271</v>
      </c>
      <c r="B436" s="100"/>
      <c r="C436" s="98"/>
      <c r="D436" s="98"/>
      <c r="E436" s="100"/>
      <c r="F436" s="98"/>
      <c r="G436" s="98"/>
      <c r="H436" s="100"/>
      <c r="I436" s="120"/>
      <c r="J436" s="117"/>
      <c r="K436" s="116">
        <f t="shared" si="14"/>
        <v>0</v>
      </c>
      <c r="L436" s="116">
        <f t="shared" si="15"/>
        <v>0</v>
      </c>
      <c r="M436" s="98"/>
      <c r="N436" s="117"/>
    </row>
    <row r="437" spans="1:14" ht="15.75" customHeight="1">
      <c r="A437" s="115">
        <v>46272</v>
      </c>
      <c r="B437" s="100"/>
      <c r="C437" s="98"/>
      <c r="D437" s="98"/>
      <c r="E437" s="100"/>
      <c r="F437" s="98"/>
      <c r="G437" s="98"/>
      <c r="H437" s="100"/>
      <c r="I437" s="120"/>
      <c r="J437" s="117"/>
      <c r="K437" s="116">
        <f t="shared" si="14"/>
        <v>0</v>
      </c>
      <c r="L437" s="116">
        <f t="shared" si="15"/>
        <v>0</v>
      </c>
      <c r="M437" s="98"/>
      <c r="N437" s="117"/>
    </row>
    <row r="438" spans="1:14" ht="15.75" customHeight="1">
      <c r="A438" s="115">
        <v>46273</v>
      </c>
      <c r="B438" s="100"/>
      <c r="C438" s="98"/>
      <c r="D438" s="98"/>
      <c r="E438" s="100"/>
      <c r="F438" s="98"/>
      <c r="G438" s="98"/>
      <c r="H438" s="100"/>
      <c r="I438" s="120"/>
      <c r="J438" s="117"/>
      <c r="K438" s="116">
        <f t="shared" si="14"/>
        <v>0</v>
      </c>
      <c r="L438" s="116">
        <f t="shared" si="15"/>
        <v>0</v>
      </c>
      <c r="M438" s="98"/>
      <c r="N438" s="117"/>
    </row>
    <row r="439" spans="1:14" ht="15.75" customHeight="1">
      <c r="A439" s="115">
        <v>46274</v>
      </c>
      <c r="B439" s="100"/>
      <c r="C439" s="98"/>
      <c r="D439" s="98"/>
      <c r="E439" s="100"/>
      <c r="F439" s="98"/>
      <c r="G439" s="98"/>
      <c r="H439" s="100"/>
      <c r="I439" s="120"/>
      <c r="J439" s="117"/>
      <c r="K439" s="116">
        <f t="shared" si="14"/>
        <v>0</v>
      </c>
      <c r="L439" s="116">
        <f t="shared" si="15"/>
        <v>0</v>
      </c>
      <c r="M439" s="98"/>
      <c r="N439" s="117"/>
    </row>
    <row r="440" spans="1:14" ht="15.75" customHeight="1">
      <c r="A440" s="115">
        <v>46275</v>
      </c>
      <c r="B440" s="100"/>
      <c r="C440" s="98"/>
      <c r="D440" s="98"/>
      <c r="E440" s="100"/>
      <c r="F440" s="98"/>
      <c r="G440" s="98"/>
      <c r="H440" s="100"/>
      <c r="I440" s="120"/>
      <c r="J440" s="117"/>
      <c r="K440" s="116">
        <f t="shared" si="14"/>
        <v>0</v>
      </c>
      <c r="L440" s="116">
        <f t="shared" si="15"/>
        <v>0</v>
      </c>
      <c r="M440" s="98"/>
      <c r="N440" s="117"/>
    </row>
    <row r="441" spans="1:14" ht="15.75" customHeight="1">
      <c r="A441" s="115">
        <v>46276</v>
      </c>
      <c r="B441" s="100"/>
      <c r="C441" s="98"/>
      <c r="D441" s="98"/>
      <c r="E441" s="100"/>
      <c r="F441" s="98"/>
      <c r="G441" s="98"/>
      <c r="H441" s="100"/>
      <c r="I441" s="120"/>
      <c r="J441" s="117"/>
      <c r="K441" s="116">
        <f t="shared" si="14"/>
        <v>0</v>
      </c>
      <c r="L441" s="116">
        <f t="shared" si="15"/>
        <v>0</v>
      </c>
      <c r="M441" s="98"/>
      <c r="N441" s="117"/>
    </row>
    <row r="442" spans="1:14" ht="15.75" customHeight="1">
      <c r="A442" s="115">
        <v>46277</v>
      </c>
      <c r="B442" s="100"/>
      <c r="C442" s="98"/>
      <c r="D442" s="98"/>
      <c r="E442" s="100"/>
      <c r="F442" s="98"/>
      <c r="G442" s="98"/>
      <c r="H442" s="100"/>
      <c r="I442" s="120"/>
      <c r="J442" s="117"/>
      <c r="K442" s="116">
        <f t="shared" si="14"/>
        <v>0</v>
      </c>
      <c r="L442" s="116">
        <f t="shared" si="15"/>
        <v>0</v>
      </c>
      <c r="M442" s="98"/>
      <c r="N442" s="117"/>
    </row>
    <row r="443" spans="1:14" ht="15.75" customHeight="1">
      <c r="A443" s="115">
        <v>46278</v>
      </c>
      <c r="B443" s="100"/>
      <c r="C443" s="98"/>
      <c r="D443" s="98"/>
      <c r="E443" s="100"/>
      <c r="F443" s="98"/>
      <c r="G443" s="98"/>
      <c r="H443" s="100"/>
      <c r="I443" s="120"/>
      <c r="J443" s="117"/>
      <c r="K443" s="116">
        <f t="shared" si="14"/>
        <v>0</v>
      </c>
      <c r="L443" s="116">
        <f t="shared" si="15"/>
        <v>0</v>
      </c>
      <c r="M443" s="98"/>
      <c r="N443" s="117"/>
    </row>
    <row r="444" spans="1:14" ht="15.75" customHeight="1">
      <c r="A444" s="115">
        <v>46279</v>
      </c>
      <c r="B444" s="100"/>
      <c r="C444" s="98"/>
      <c r="D444" s="98"/>
      <c r="E444" s="100"/>
      <c r="F444" s="98"/>
      <c r="G444" s="98"/>
      <c r="H444" s="100"/>
      <c r="I444" s="120"/>
      <c r="J444" s="117"/>
      <c r="K444" s="116">
        <f t="shared" si="14"/>
        <v>0</v>
      </c>
      <c r="L444" s="116">
        <f t="shared" si="15"/>
        <v>0</v>
      </c>
      <c r="M444" s="98"/>
      <c r="N444" s="117"/>
    </row>
    <row r="445" spans="1:14" ht="15.75" customHeight="1">
      <c r="A445" s="115">
        <v>46280</v>
      </c>
      <c r="B445" s="100"/>
      <c r="C445" s="98"/>
      <c r="D445" s="98"/>
      <c r="E445" s="100"/>
      <c r="F445" s="98"/>
      <c r="G445" s="98"/>
      <c r="H445" s="100"/>
      <c r="I445" s="120"/>
      <c r="J445" s="117"/>
      <c r="K445" s="116">
        <f t="shared" si="14"/>
        <v>0</v>
      </c>
      <c r="L445" s="116">
        <f t="shared" si="15"/>
        <v>0</v>
      </c>
      <c r="M445" s="98"/>
      <c r="N445" s="117"/>
    </row>
    <row r="446" spans="1:14" ht="15.75" customHeight="1">
      <c r="A446" s="115">
        <v>46281</v>
      </c>
      <c r="B446" s="100"/>
      <c r="C446" s="98"/>
      <c r="D446" s="98"/>
      <c r="E446" s="100"/>
      <c r="F446" s="98"/>
      <c r="G446" s="98"/>
      <c r="H446" s="100"/>
      <c r="I446" s="120"/>
      <c r="J446" s="117"/>
      <c r="K446" s="116">
        <f t="shared" si="14"/>
        <v>0</v>
      </c>
      <c r="L446" s="116">
        <f t="shared" si="15"/>
        <v>0</v>
      </c>
      <c r="M446" s="98"/>
      <c r="N446" s="117"/>
    </row>
    <row r="447" spans="1:14" ht="15.75" customHeight="1">
      <c r="A447" s="115">
        <v>46282</v>
      </c>
      <c r="B447" s="100"/>
      <c r="C447" s="98"/>
      <c r="D447" s="98"/>
      <c r="E447" s="100"/>
      <c r="F447" s="98"/>
      <c r="G447" s="98"/>
      <c r="H447" s="100"/>
      <c r="I447" s="120"/>
      <c r="J447" s="117"/>
      <c r="K447" s="116">
        <f t="shared" si="14"/>
        <v>0</v>
      </c>
      <c r="L447" s="116">
        <f t="shared" si="15"/>
        <v>0</v>
      </c>
      <c r="M447" s="98"/>
      <c r="N447" s="117"/>
    </row>
    <row r="448" spans="1:14" ht="15.75" customHeight="1">
      <c r="A448" s="115">
        <v>46283</v>
      </c>
      <c r="B448" s="100"/>
      <c r="C448" s="98"/>
      <c r="D448" s="98"/>
      <c r="E448" s="100"/>
      <c r="F448" s="98"/>
      <c r="G448" s="98"/>
      <c r="H448" s="100"/>
      <c r="I448" s="120"/>
      <c r="J448" s="117"/>
      <c r="K448" s="116">
        <f t="shared" si="14"/>
        <v>0</v>
      </c>
      <c r="L448" s="116">
        <f t="shared" si="15"/>
        <v>0</v>
      </c>
      <c r="M448" s="98"/>
      <c r="N448" s="117"/>
    </row>
    <row r="449" spans="1:14" ht="15.75" customHeight="1">
      <c r="A449" s="115">
        <v>46284</v>
      </c>
      <c r="B449" s="100"/>
      <c r="C449" s="98"/>
      <c r="D449" s="98"/>
      <c r="E449" s="100"/>
      <c r="F449" s="98"/>
      <c r="G449" s="98"/>
      <c r="H449" s="100"/>
      <c r="I449" s="120"/>
      <c r="J449" s="117"/>
      <c r="K449" s="116">
        <f t="shared" si="14"/>
        <v>0</v>
      </c>
      <c r="L449" s="116">
        <f t="shared" si="15"/>
        <v>0</v>
      </c>
      <c r="M449" s="98"/>
      <c r="N449" s="117"/>
    </row>
    <row r="450" spans="1:14" ht="15.75" customHeight="1">
      <c r="A450" s="115">
        <v>46285</v>
      </c>
      <c r="B450" s="100"/>
      <c r="C450" s="98"/>
      <c r="D450" s="98"/>
      <c r="E450" s="100"/>
      <c r="F450" s="98"/>
      <c r="G450" s="98"/>
      <c r="H450" s="100"/>
      <c r="I450" s="120"/>
      <c r="J450" s="117"/>
      <c r="K450" s="116">
        <f t="shared" si="14"/>
        <v>0</v>
      </c>
      <c r="L450" s="116">
        <f t="shared" si="15"/>
        <v>0</v>
      </c>
      <c r="M450" s="98"/>
      <c r="N450" s="117"/>
    </row>
    <row r="451" spans="1:14" ht="15.75" customHeight="1">
      <c r="A451" s="115">
        <v>46286</v>
      </c>
      <c r="B451" s="100"/>
      <c r="C451" s="98"/>
      <c r="D451" s="98"/>
      <c r="E451" s="100"/>
      <c r="F451" s="98"/>
      <c r="G451" s="98"/>
      <c r="H451" s="100"/>
      <c r="I451" s="120"/>
      <c r="J451" s="117"/>
      <c r="K451" s="116">
        <f t="shared" si="14"/>
        <v>0</v>
      </c>
      <c r="L451" s="116">
        <f t="shared" si="15"/>
        <v>0</v>
      </c>
      <c r="M451" s="98"/>
      <c r="N451" s="117"/>
    </row>
    <row r="452" spans="1:14" ht="15.75" customHeight="1">
      <c r="A452" s="115">
        <v>46287</v>
      </c>
      <c r="B452" s="100"/>
      <c r="C452" s="98"/>
      <c r="D452" s="98"/>
      <c r="E452" s="100"/>
      <c r="F452" s="98"/>
      <c r="G452" s="98"/>
      <c r="H452" s="100"/>
      <c r="I452" s="120"/>
      <c r="J452" s="117"/>
      <c r="K452" s="116">
        <f t="shared" si="14"/>
        <v>0</v>
      </c>
      <c r="L452" s="116">
        <f t="shared" si="15"/>
        <v>0</v>
      </c>
      <c r="M452" s="98"/>
      <c r="N452" s="117"/>
    </row>
    <row r="453" spans="1:14" ht="15.75" customHeight="1">
      <c r="A453" s="115">
        <v>46288</v>
      </c>
      <c r="B453" s="100"/>
      <c r="C453" s="98"/>
      <c r="D453" s="98"/>
      <c r="E453" s="100"/>
      <c r="F453" s="98"/>
      <c r="G453" s="98"/>
      <c r="H453" s="100"/>
      <c r="I453" s="120"/>
      <c r="J453" s="117"/>
      <c r="K453" s="116">
        <f t="shared" si="14"/>
        <v>0</v>
      </c>
      <c r="L453" s="116">
        <f t="shared" si="15"/>
        <v>0</v>
      </c>
      <c r="M453" s="98"/>
      <c r="N453" s="117"/>
    </row>
    <row r="454" spans="1:14" ht="15.75" customHeight="1">
      <c r="A454" s="115">
        <v>46289</v>
      </c>
      <c r="B454" s="100"/>
      <c r="C454" s="98"/>
      <c r="D454" s="98"/>
      <c r="E454" s="100"/>
      <c r="F454" s="98"/>
      <c r="G454" s="98"/>
      <c r="H454" s="100"/>
      <c r="I454" s="120"/>
      <c r="J454" s="117"/>
      <c r="K454" s="116">
        <f t="shared" si="14"/>
        <v>0</v>
      </c>
      <c r="L454" s="116">
        <f t="shared" si="15"/>
        <v>0</v>
      </c>
      <c r="M454" s="98"/>
      <c r="N454" s="117"/>
    </row>
    <row r="455" spans="1:14" ht="15.75" customHeight="1">
      <c r="A455" s="115">
        <v>46290</v>
      </c>
      <c r="B455" s="100"/>
      <c r="C455" s="98"/>
      <c r="D455" s="98"/>
      <c r="E455" s="100"/>
      <c r="F455" s="98"/>
      <c r="G455" s="98"/>
      <c r="H455" s="100"/>
      <c r="I455" s="120"/>
      <c r="J455" s="117"/>
      <c r="K455" s="116">
        <f t="shared" si="14"/>
        <v>0</v>
      </c>
      <c r="L455" s="116">
        <f t="shared" si="15"/>
        <v>0</v>
      </c>
      <c r="M455" s="98"/>
      <c r="N455" s="117"/>
    </row>
    <row r="456" spans="1:14" ht="15.75" customHeight="1">
      <c r="A456" s="115">
        <v>46291</v>
      </c>
      <c r="B456" s="100"/>
      <c r="C456" s="98"/>
      <c r="D456" s="98"/>
      <c r="E456" s="100"/>
      <c r="F456" s="98"/>
      <c r="G456" s="98"/>
      <c r="H456" s="100"/>
      <c r="I456" s="120"/>
      <c r="J456" s="117"/>
      <c r="K456" s="116">
        <f t="shared" si="14"/>
        <v>0</v>
      </c>
      <c r="L456" s="116">
        <f t="shared" si="15"/>
        <v>0</v>
      </c>
      <c r="M456" s="98"/>
      <c r="N456" s="117"/>
    </row>
    <row r="457" spans="1:14" ht="15.75" customHeight="1">
      <c r="A457" s="115">
        <v>46292</v>
      </c>
      <c r="B457" s="100"/>
      <c r="C457" s="98"/>
      <c r="D457" s="98"/>
      <c r="E457" s="100"/>
      <c r="F457" s="98"/>
      <c r="G457" s="98"/>
      <c r="H457" s="100"/>
      <c r="I457" s="120"/>
      <c r="J457" s="117"/>
      <c r="K457" s="116">
        <f t="shared" si="14"/>
        <v>0</v>
      </c>
      <c r="L457" s="116">
        <f t="shared" si="15"/>
        <v>0</v>
      </c>
      <c r="M457" s="98"/>
      <c r="N457" s="117"/>
    </row>
    <row r="458" spans="1:14" ht="15.75" customHeight="1">
      <c r="A458" s="115">
        <v>46293</v>
      </c>
      <c r="B458" s="100"/>
      <c r="C458" s="98"/>
      <c r="D458" s="98"/>
      <c r="E458" s="100"/>
      <c r="F458" s="98"/>
      <c r="G458" s="98"/>
      <c r="H458" s="100"/>
      <c r="I458" s="120"/>
      <c r="J458" s="117"/>
      <c r="K458" s="116">
        <f t="shared" si="14"/>
        <v>0</v>
      </c>
      <c r="L458" s="116">
        <f t="shared" si="15"/>
        <v>0</v>
      </c>
      <c r="M458" s="98"/>
      <c r="N458" s="117"/>
    </row>
    <row r="459" spans="1:14" ht="15.75" customHeight="1">
      <c r="A459" s="115">
        <v>46294</v>
      </c>
      <c r="B459" s="100"/>
      <c r="C459" s="98"/>
      <c r="D459" s="98"/>
      <c r="E459" s="100"/>
      <c r="F459" s="98"/>
      <c r="G459" s="98"/>
      <c r="H459" s="100"/>
      <c r="I459" s="120"/>
      <c r="J459" s="117"/>
      <c r="K459" s="116">
        <f t="shared" si="14"/>
        <v>0</v>
      </c>
      <c r="L459" s="116">
        <f t="shared" si="15"/>
        <v>0</v>
      </c>
      <c r="M459" s="98"/>
      <c r="N459" s="117"/>
    </row>
    <row r="460" spans="1:14" ht="15.75" customHeight="1">
      <c r="A460" s="115">
        <v>46295</v>
      </c>
      <c r="B460" s="100"/>
      <c r="C460" s="98"/>
      <c r="D460" s="98"/>
      <c r="E460" s="100"/>
      <c r="F460" s="98"/>
      <c r="G460" s="98"/>
      <c r="H460" s="100"/>
      <c r="I460" s="120"/>
      <c r="J460" s="117"/>
      <c r="K460" s="116">
        <f t="shared" si="14"/>
        <v>0</v>
      </c>
      <c r="L460" s="116">
        <f t="shared" si="15"/>
        <v>0</v>
      </c>
      <c r="M460" s="98"/>
      <c r="N460" s="117"/>
    </row>
    <row r="461" spans="1:14" ht="15.75" customHeight="1">
      <c r="A461" s="115">
        <v>46296</v>
      </c>
      <c r="B461" s="100"/>
      <c r="C461" s="98"/>
      <c r="D461" s="98"/>
      <c r="E461" s="100"/>
      <c r="F461" s="98"/>
      <c r="G461" s="98"/>
      <c r="H461" s="100"/>
      <c r="I461" s="120"/>
      <c r="J461" s="117"/>
      <c r="K461" s="116">
        <f t="shared" si="14"/>
        <v>0</v>
      </c>
      <c r="L461" s="116">
        <f t="shared" si="15"/>
        <v>0</v>
      </c>
      <c r="M461" s="98"/>
      <c r="N461" s="117"/>
    </row>
    <row r="462" spans="1:14" ht="15.75" customHeight="1">
      <c r="A462" s="115">
        <v>46297</v>
      </c>
      <c r="B462" s="100"/>
      <c r="C462" s="98"/>
      <c r="D462" s="98"/>
      <c r="E462" s="100"/>
      <c r="F462" s="98"/>
      <c r="G462" s="98"/>
      <c r="H462" s="100"/>
      <c r="I462" s="120"/>
      <c r="J462" s="117"/>
      <c r="K462" s="116">
        <f t="shared" si="14"/>
        <v>0</v>
      </c>
      <c r="L462" s="116">
        <f t="shared" si="15"/>
        <v>0</v>
      </c>
      <c r="M462" s="98"/>
      <c r="N462" s="117"/>
    </row>
    <row r="463" spans="1:14" ht="15.75" customHeight="1">
      <c r="A463" s="115">
        <v>46298</v>
      </c>
      <c r="B463" s="100"/>
      <c r="C463" s="98"/>
      <c r="D463" s="98"/>
      <c r="E463" s="100"/>
      <c r="F463" s="98"/>
      <c r="G463" s="98"/>
      <c r="H463" s="100"/>
      <c r="I463" s="120"/>
      <c r="J463" s="117"/>
      <c r="K463" s="116">
        <f t="shared" si="14"/>
        <v>0</v>
      </c>
      <c r="L463" s="116">
        <f t="shared" si="15"/>
        <v>0</v>
      </c>
      <c r="M463" s="98"/>
      <c r="N463" s="117"/>
    </row>
    <row r="464" spans="1:14" ht="15.75" customHeight="1">
      <c r="A464" s="115">
        <v>46299</v>
      </c>
      <c r="B464" s="100"/>
      <c r="C464" s="98"/>
      <c r="D464" s="98"/>
      <c r="E464" s="100"/>
      <c r="F464" s="98"/>
      <c r="G464" s="98"/>
      <c r="H464" s="100"/>
      <c r="I464" s="120"/>
      <c r="J464" s="117"/>
      <c r="K464" s="116">
        <f t="shared" si="14"/>
        <v>0</v>
      </c>
      <c r="L464" s="116">
        <f t="shared" si="15"/>
        <v>0</v>
      </c>
      <c r="M464" s="98"/>
      <c r="N464" s="117"/>
    </row>
    <row r="465" spans="1:14" ht="15.75" customHeight="1">
      <c r="A465" s="115">
        <v>46300</v>
      </c>
      <c r="B465" s="100"/>
      <c r="C465" s="98"/>
      <c r="D465" s="98"/>
      <c r="E465" s="100"/>
      <c r="F465" s="98"/>
      <c r="G465" s="98"/>
      <c r="H465" s="100"/>
      <c r="I465" s="120"/>
      <c r="J465" s="117"/>
      <c r="K465" s="116">
        <f t="shared" si="14"/>
        <v>0</v>
      </c>
      <c r="L465" s="116">
        <f t="shared" si="15"/>
        <v>0</v>
      </c>
      <c r="M465" s="98"/>
      <c r="N465" s="117"/>
    </row>
    <row r="466" spans="1:14" ht="15.75" customHeight="1">
      <c r="A466" s="115">
        <v>46301</v>
      </c>
      <c r="B466" s="100"/>
      <c r="C466" s="98"/>
      <c r="D466" s="98"/>
      <c r="E466" s="100"/>
      <c r="F466" s="98"/>
      <c r="G466" s="98"/>
      <c r="H466" s="100"/>
      <c r="I466" s="120"/>
      <c r="J466" s="117"/>
      <c r="K466" s="116">
        <f t="shared" si="14"/>
        <v>0</v>
      </c>
      <c r="L466" s="116">
        <f t="shared" si="15"/>
        <v>0</v>
      </c>
      <c r="M466" s="98"/>
      <c r="N466" s="117"/>
    </row>
    <row r="467" spans="1:14" ht="15.75" customHeight="1">
      <c r="A467" s="115">
        <v>46302</v>
      </c>
      <c r="B467" s="100"/>
      <c r="C467" s="98"/>
      <c r="D467" s="98"/>
      <c r="E467" s="100"/>
      <c r="F467" s="98"/>
      <c r="G467" s="98"/>
      <c r="H467" s="100"/>
      <c r="I467" s="120"/>
      <c r="J467" s="117"/>
      <c r="K467" s="116">
        <f t="shared" si="14"/>
        <v>0</v>
      </c>
      <c r="L467" s="116">
        <f t="shared" si="15"/>
        <v>0</v>
      </c>
      <c r="M467" s="98"/>
      <c r="N467" s="117"/>
    </row>
    <row r="468" spans="1:14" ht="15.75" customHeight="1">
      <c r="A468" s="115">
        <v>46303</v>
      </c>
      <c r="B468" s="100"/>
      <c r="C468" s="98"/>
      <c r="D468" s="98"/>
      <c r="E468" s="100"/>
      <c r="F468" s="98"/>
      <c r="G468" s="98"/>
      <c r="H468" s="100"/>
      <c r="I468" s="120"/>
      <c r="J468" s="117"/>
      <c r="K468" s="116">
        <f t="shared" ref="K468:K469" si="16">G468+I468+J468</f>
        <v>0</v>
      </c>
      <c r="L468" s="116">
        <f t="shared" ref="L468:L469" si="17">F468-K468</f>
        <v>0</v>
      </c>
      <c r="M468" s="98"/>
      <c r="N468" s="117"/>
    </row>
    <row r="469" spans="1:14" ht="15.75" customHeight="1">
      <c r="A469" s="115">
        <v>46304</v>
      </c>
      <c r="B469" s="100"/>
      <c r="C469" s="98"/>
      <c r="D469" s="98"/>
      <c r="E469" s="100"/>
      <c r="F469" s="98"/>
      <c r="G469" s="98"/>
      <c r="H469" s="100"/>
      <c r="I469" s="120"/>
      <c r="J469" s="117"/>
      <c r="K469" s="116">
        <f t="shared" si="16"/>
        <v>0</v>
      </c>
      <c r="L469" s="116">
        <f t="shared" si="17"/>
        <v>0</v>
      </c>
      <c r="M469" s="98"/>
      <c r="N469" s="117"/>
    </row>
    <row r="470" spans="1:14" ht="15.75" customHeight="1">
      <c r="A470" s="115">
        <v>46305</v>
      </c>
      <c r="B470" s="100"/>
      <c r="C470" s="98"/>
      <c r="D470" s="98"/>
      <c r="E470" s="100"/>
      <c r="F470" s="98"/>
      <c r="G470" s="98"/>
      <c r="H470" s="100"/>
      <c r="I470" s="120"/>
      <c r="J470" s="117"/>
      <c r="K470" s="116">
        <f t="shared" ref="K470:K533" si="18">G470+I470+J470</f>
        <v>0</v>
      </c>
      <c r="L470" s="116">
        <f t="shared" ref="L470:L533" si="19">F470-K470</f>
        <v>0</v>
      </c>
      <c r="M470" s="98"/>
      <c r="N470" s="117"/>
    </row>
    <row r="471" spans="1:14" ht="15.75" customHeight="1">
      <c r="A471" s="115">
        <v>46306</v>
      </c>
      <c r="B471" s="100"/>
      <c r="C471" s="98"/>
      <c r="D471" s="98"/>
      <c r="E471" s="100"/>
      <c r="F471" s="98"/>
      <c r="G471" s="98"/>
      <c r="H471" s="100"/>
      <c r="I471" s="120"/>
      <c r="J471" s="117"/>
      <c r="K471" s="116">
        <f t="shared" si="18"/>
        <v>0</v>
      </c>
      <c r="L471" s="116">
        <f t="shared" si="19"/>
        <v>0</v>
      </c>
      <c r="M471" s="98"/>
      <c r="N471" s="117"/>
    </row>
    <row r="472" spans="1:14" ht="15.75" customHeight="1">
      <c r="A472" s="115">
        <v>46307</v>
      </c>
      <c r="B472" s="100"/>
      <c r="C472" s="98"/>
      <c r="D472" s="98"/>
      <c r="E472" s="100"/>
      <c r="F472" s="98"/>
      <c r="G472" s="98"/>
      <c r="H472" s="100"/>
      <c r="I472" s="120"/>
      <c r="J472" s="117"/>
      <c r="K472" s="116">
        <f t="shared" si="18"/>
        <v>0</v>
      </c>
      <c r="L472" s="116">
        <f t="shared" si="19"/>
        <v>0</v>
      </c>
      <c r="M472" s="98"/>
      <c r="N472" s="117"/>
    </row>
    <row r="473" spans="1:14" ht="15.75" customHeight="1">
      <c r="A473" s="115">
        <v>46308</v>
      </c>
      <c r="B473" s="100"/>
      <c r="C473" s="98"/>
      <c r="D473" s="98"/>
      <c r="E473" s="100"/>
      <c r="F473" s="98"/>
      <c r="G473" s="98"/>
      <c r="H473" s="100"/>
      <c r="I473" s="120"/>
      <c r="J473" s="117"/>
      <c r="K473" s="116">
        <f t="shared" si="18"/>
        <v>0</v>
      </c>
      <c r="L473" s="116">
        <f t="shared" si="19"/>
        <v>0</v>
      </c>
      <c r="M473" s="98"/>
      <c r="N473" s="117"/>
    </row>
    <row r="474" spans="1:14" ht="15.75" customHeight="1">
      <c r="A474" s="115">
        <v>46309</v>
      </c>
      <c r="B474" s="100"/>
      <c r="C474" s="98"/>
      <c r="D474" s="98"/>
      <c r="E474" s="100"/>
      <c r="F474" s="98"/>
      <c r="G474" s="98"/>
      <c r="H474" s="100"/>
      <c r="I474" s="120"/>
      <c r="J474" s="117"/>
      <c r="K474" s="116">
        <f t="shared" si="18"/>
        <v>0</v>
      </c>
      <c r="L474" s="116">
        <f t="shared" si="19"/>
        <v>0</v>
      </c>
      <c r="M474" s="98"/>
      <c r="N474" s="117"/>
    </row>
    <row r="475" spans="1:14" ht="15.75" customHeight="1">
      <c r="A475" s="115">
        <v>46310</v>
      </c>
      <c r="B475" s="100"/>
      <c r="C475" s="98"/>
      <c r="D475" s="98"/>
      <c r="E475" s="100"/>
      <c r="F475" s="98"/>
      <c r="G475" s="98"/>
      <c r="H475" s="100"/>
      <c r="I475" s="120"/>
      <c r="J475" s="117"/>
      <c r="K475" s="116">
        <f t="shared" si="18"/>
        <v>0</v>
      </c>
      <c r="L475" s="116">
        <f t="shared" si="19"/>
        <v>0</v>
      </c>
      <c r="M475" s="98"/>
      <c r="N475" s="117"/>
    </row>
    <row r="476" spans="1:14" ht="15.75" customHeight="1">
      <c r="A476" s="115">
        <v>46311</v>
      </c>
      <c r="B476" s="100"/>
      <c r="C476" s="98"/>
      <c r="D476" s="98"/>
      <c r="E476" s="100"/>
      <c r="F476" s="98"/>
      <c r="G476" s="98"/>
      <c r="H476" s="100"/>
      <c r="I476" s="120"/>
      <c r="J476" s="117"/>
      <c r="K476" s="116">
        <f t="shared" si="18"/>
        <v>0</v>
      </c>
      <c r="L476" s="116">
        <f t="shared" si="19"/>
        <v>0</v>
      </c>
      <c r="M476" s="98"/>
      <c r="N476" s="117"/>
    </row>
    <row r="477" spans="1:14" ht="15.75" customHeight="1">
      <c r="A477" s="115">
        <v>46312</v>
      </c>
      <c r="B477" s="100"/>
      <c r="C477" s="98"/>
      <c r="D477" s="98"/>
      <c r="E477" s="100"/>
      <c r="F477" s="98"/>
      <c r="G477" s="98"/>
      <c r="H477" s="100"/>
      <c r="I477" s="120"/>
      <c r="J477" s="117"/>
      <c r="K477" s="116">
        <f t="shared" si="18"/>
        <v>0</v>
      </c>
      <c r="L477" s="116">
        <f t="shared" si="19"/>
        <v>0</v>
      </c>
      <c r="M477" s="98"/>
      <c r="N477" s="117"/>
    </row>
    <row r="478" spans="1:14" ht="15.75" customHeight="1">
      <c r="A478" s="115">
        <v>46313</v>
      </c>
      <c r="B478" s="100"/>
      <c r="C478" s="98"/>
      <c r="D478" s="98"/>
      <c r="E478" s="100"/>
      <c r="F478" s="98"/>
      <c r="G478" s="98"/>
      <c r="H478" s="100"/>
      <c r="I478" s="120"/>
      <c r="J478" s="117"/>
      <c r="K478" s="116">
        <f t="shared" si="18"/>
        <v>0</v>
      </c>
      <c r="L478" s="116">
        <f t="shared" si="19"/>
        <v>0</v>
      </c>
      <c r="M478" s="98"/>
      <c r="N478" s="117"/>
    </row>
    <row r="479" spans="1:14" ht="15.75" customHeight="1">
      <c r="A479" s="115">
        <v>46314</v>
      </c>
      <c r="B479" s="100"/>
      <c r="C479" s="98"/>
      <c r="D479" s="98"/>
      <c r="E479" s="100"/>
      <c r="F479" s="98"/>
      <c r="G479" s="98"/>
      <c r="H479" s="100"/>
      <c r="I479" s="120"/>
      <c r="J479" s="117"/>
      <c r="K479" s="116">
        <f t="shared" si="18"/>
        <v>0</v>
      </c>
      <c r="L479" s="116">
        <f t="shared" si="19"/>
        <v>0</v>
      </c>
      <c r="M479" s="98"/>
      <c r="N479" s="117"/>
    </row>
    <row r="480" spans="1:14" ht="15.75" customHeight="1">
      <c r="A480" s="115">
        <v>46315</v>
      </c>
      <c r="B480" s="100"/>
      <c r="C480" s="98"/>
      <c r="D480" s="98"/>
      <c r="E480" s="100"/>
      <c r="F480" s="98"/>
      <c r="G480" s="98"/>
      <c r="H480" s="100"/>
      <c r="I480" s="120"/>
      <c r="J480" s="117"/>
      <c r="K480" s="116">
        <f t="shared" si="18"/>
        <v>0</v>
      </c>
      <c r="L480" s="116">
        <f t="shared" si="19"/>
        <v>0</v>
      </c>
      <c r="M480" s="98"/>
      <c r="N480" s="117"/>
    </row>
    <row r="481" spans="1:14" ht="15.75" customHeight="1">
      <c r="A481" s="115">
        <v>46316</v>
      </c>
      <c r="B481" s="100"/>
      <c r="C481" s="98"/>
      <c r="D481" s="98"/>
      <c r="E481" s="100"/>
      <c r="F481" s="98"/>
      <c r="G481" s="98"/>
      <c r="H481" s="100"/>
      <c r="I481" s="120"/>
      <c r="J481" s="117"/>
      <c r="K481" s="116">
        <f t="shared" si="18"/>
        <v>0</v>
      </c>
      <c r="L481" s="116">
        <f t="shared" si="19"/>
        <v>0</v>
      </c>
      <c r="M481" s="98"/>
      <c r="N481" s="117"/>
    </row>
    <row r="482" spans="1:14" ht="15.75" customHeight="1">
      <c r="A482" s="115">
        <v>46317</v>
      </c>
      <c r="B482" s="100"/>
      <c r="C482" s="98"/>
      <c r="D482" s="98"/>
      <c r="E482" s="100"/>
      <c r="F482" s="98"/>
      <c r="G482" s="98"/>
      <c r="H482" s="100"/>
      <c r="I482" s="120"/>
      <c r="J482" s="117"/>
      <c r="K482" s="116">
        <f t="shared" si="18"/>
        <v>0</v>
      </c>
      <c r="L482" s="116">
        <f t="shared" si="19"/>
        <v>0</v>
      </c>
      <c r="M482" s="98"/>
      <c r="N482" s="117"/>
    </row>
    <row r="483" spans="1:14" ht="15.75" customHeight="1">
      <c r="A483" s="115">
        <v>46318</v>
      </c>
      <c r="B483" s="100"/>
      <c r="C483" s="98"/>
      <c r="D483" s="98"/>
      <c r="E483" s="100"/>
      <c r="F483" s="98"/>
      <c r="G483" s="98"/>
      <c r="H483" s="100"/>
      <c r="I483" s="120"/>
      <c r="J483" s="117"/>
      <c r="K483" s="116">
        <f t="shared" si="18"/>
        <v>0</v>
      </c>
      <c r="L483" s="116">
        <f t="shared" si="19"/>
        <v>0</v>
      </c>
      <c r="M483" s="98"/>
      <c r="N483" s="117"/>
    </row>
    <row r="484" spans="1:14" ht="15.75" customHeight="1">
      <c r="A484" s="115">
        <v>46319</v>
      </c>
      <c r="B484" s="100"/>
      <c r="C484" s="98"/>
      <c r="D484" s="98"/>
      <c r="E484" s="100"/>
      <c r="F484" s="98"/>
      <c r="G484" s="98"/>
      <c r="H484" s="100"/>
      <c r="I484" s="120"/>
      <c r="J484" s="117"/>
      <c r="K484" s="116">
        <f t="shared" si="18"/>
        <v>0</v>
      </c>
      <c r="L484" s="116">
        <f t="shared" si="19"/>
        <v>0</v>
      </c>
      <c r="M484" s="98"/>
      <c r="N484" s="117"/>
    </row>
    <row r="485" spans="1:14" ht="15.75" customHeight="1">
      <c r="A485" s="115">
        <v>46320</v>
      </c>
      <c r="B485" s="100"/>
      <c r="C485" s="98"/>
      <c r="D485" s="98"/>
      <c r="E485" s="100"/>
      <c r="F485" s="98"/>
      <c r="G485" s="98"/>
      <c r="H485" s="100"/>
      <c r="I485" s="120"/>
      <c r="J485" s="117"/>
      <c r="K485" s="116">
        <f t="shared" si="18"/>
        <v>0</v>
      </c>
      <c r="L485" s="116">
        <f t="shared" si="19"/>
        <v>0</v>
      </c>
      <c r="M485" s="98"/>
      <c r="N485" s="117"/>
    </row>
    <row r="486" spans="1:14" ht="15.75" customHeight="1">
      <c r="A486" s="115">
        <v>46321</v>
      </c>
      <c r="B486" s="100"/>
      <c r="C486" s="98"/>
      <c r="D486" s="98"/>
      <c r="E486" s="100"/>
      <c r="F486" s="98"/>
      <c r="G486" s="98"/>
      <c r="H486" s="100"/>
      <c r="I486" s="120"/>
      <c r="J486" s="117"/>
      <c r="K486" s="116">
        <f t="shared" si="18"/>
        <v>0</v>
      </c>
      <c r="L486" s="116">
        <f t="shared" si="19"/>
        <v>0</v>
      </c>
      <c r="M486" s="98"/>
      <c r="N486" s="117"/>
    </row>
    <row r="487" spans="1:14" ht="15.75" customHeight="1">
      <c r="A487" s="115">
        <v>46322</v>
      </c>
      <c r="B487" s="100"/>
      <c r="C487" s="98"/>
      <c r="D487" s="98"/>
      <c r="E487" s="100"/>
      <c r="F487" s="98"/>
      <c r="G487" s="98"/>
      <c r="H487" s="100"/>
      <c r="I487" s="120"/>
      <c r="J487" s="117"/>
      <c r="K487" s="116">
        <f t="shared" si="18"/>
        <v>0</v>
      </c>
      <c r="L487" s="116">
        <f t="shared" si="19"/>
        <v>0</v>
      </c>
      <c r="M487" s="98"/>
      <c r="N487" s="117"/>
    </row>
    <row r="488" spans="1:14" ht="15.75" customHeight="1">
      <c r="A488" s="115">
        <v>46323</v>
      </c>
      <c r="B488" s="100"/>
      <c r="C488" s="98"/>
      <c r="D488" s="98"/>
      <c r="E488" s="100"/>
      <c r="F488" s="98"/>
      <c r="G488" s="98"/>
      <c r="H488" s="100"/>
      <c r="I488" s="120"/>
      <c r="J488" s="117"/>
      <c r="K488" s="116">
        <f t="shared" si="18"/>
        <v>0</v>
      </c>
      <c r="L488" s="116">
        <f t="shared" si="19"/>
        <v>0</v>
      </c>
      <c r="M488" s="98"/>
      <c r="N488" s="117"/>
    </row>
    <row r="489" spans="1:14" ht="15.75" customHeight="1">
      <c r="A489" s="115">
        <v>46324</v>
      </c>
      <c r="B489" s="100"/>
      <c r="C489" s="98"/>
      <c r="D489" s="98"/>
      <c r="E489" s="100"/>
      <c r="F489" s="98"/>
      <c r="G489" s="98"/>
      <c r="H489" s="100"/>
      <c r="I489" s="120"/>
      <c r="J489" s="117"/>
      <c r="K489" s="116">
        <f t="shared" si="18"/>
        <v>0</v>
      </c>
      <c r="L489" s="116">
        <f t="shared" si="19"/>
        <v>0</v>
      </c>
      <c r="M489" s="98"/>
      <c r="N489" s="117"/>
    </row>
    <row r="490" spans="1:14" ht="15.75" customHeight="1">
      <c r="A490" s="115">
        <v>46325</v>
      </c>
      <c r="B490" s="100"/>
      <c r="C490" s="98"/>
      <c r="D490" s="98"/>
      <c r="E490" s="100"/>
      <c r="F490" s="98"/>
      <c r="G490" s="98"/>
      <c r="H490" s="100"/>
      <c r="I490" s="120"/>
      <c r="J490" s="117"/>
      <c r="K490" s="116">
        <f t="shared" si="18"/>
        <v>0</v>
      </c>
      <c r="L490" s="116">
        <f t="shared" si="19"/>
        <v>0</v>
      </c>
      <c r="M490" s="98"/>
      <c r="N490" s="117"/>
    </row>
    <row r="491" spans="1:14" ht="15.75" customHeight="1">
      <c r="A491" s="115">
        <v>46326</v>
      </c>
      <c r="B491" s="100"/>
      <c r="C491" s="98"/>
      <c r="D491" s="98"/>
      <c r="E491" s="100"/>
      <c r="F491" s="98"/>
      <c r="G491" s="98"/>
      <c r="H491" s="100"/>
      <c r="I491" s="120"/>
      <c r="J491" s="117"/>
      <c r="K491" s="116">
        <f t="shared" si="18"/>
        <v>0</v>
      </c>
      <c r="L491" s="116">
        <f t="shared" si="19"/>
        <v>0</v>
      </c>
      <c r="M491" s="98"/>
      <c r="N491" s="117"/>
    </row>
    <row r="492" spans="1:14" ht="15.75" customHeight="1">
      <c r="A492" s="115">
        <v>46327</v>
      </c>
      <c r="B492" s="100"/>
      <c r="C492" s="98"/>
      <c r="D492" s="98"/>
      <c r="E492" s="100"/>
      <c r="F492" s="98"/>
      <c r="G492" s="98"/>
      <c r="H492" s="100"/>
      <c r="I492" s="120"/>
      <c r="J492" s="117"/>
      <c r="K492" s="116">
        <f t="shared" si="18"/>
        <v>0</v>
      </c>
      <c r="L492" s="116">
        <f t="shared" si="19"/>
        <v>0</v>
      </c>
      <c r="M492" s="98"/>
      <c r="N492" s="117"/>
    </row>
    <row r="493" spans="1:14" ht="15.75" customHeight="1">
      <c r="A493" s="115">
        <v>46328</v>
      </c>
      <c r="B493" s="100"/>
      <c r="C493" s="98"/>
      <c r="D493" s="98"/>
      <c r="E493" s="100"/>
      <c r="F493" s="98"/>
      <c r="G493" s="98"/>
      <c r="H493" s="100"/>
      <c r="I493" s="120"/>
      <c r="J493" s="117"/>
      <c r="K493" s="116">
        <f t="shared" si="18"/>
        <v>0</v>
      </c>
      <c r="L493" s="116">
        <f t="shared" si="19"/>
        <v>0</v>
      </c>
      <c r="M493" s="98"/>
      <c r="N493" s="117"/>
    </row>
    <row r="494" spans="1:14" ht="15.75" customHeight="1">
      <c r="A494" s="115">
        <v>46329</v>
      </c>
      <c r="B494" s="100"/>
      <c r="C494" s="98"/>
      <c r="D494" s="98"/>
      <c r="E494" s="100"/>
      <c r="F494" s="98"/>
      <c r="G494" s="98"/>
      <c r="H494" s="100"/>
      <c r="I494" s="120"/>
      <c r="J494" s="117"/>
      <c r="K494" s="116">
        <f t="shared" si="18"/>
        <v>0</v>
      </c>
      <c r="L494" s="116">
        <f t="shared" si="19"/>
        <v>0</v>
      </c>
      <c r="M494" s="98"/>
      <c r="N494" s="117"/>
    </row>
    <row r="495" spans="1:14" ht="15.75" customHeight="1">
      <c r="A495" s="115">
        <v>46330</v>
      </c>
      <c r="B495" s="100"/>
      <c r="C495" s="98"/>
      <c r="D495" s="98"/>
      <c r="E495" s="100"/>
      <c r="F495" s="98"/>
      <c r="G495" s="98"/>
      <c r="H495" s="100"/>
      <c r="I495" s="120"/>
      <c r="J495" s="117"/>
      <c r="K495" s="116">
        <f t="shared" si="18"/>
        <v>0</v>
      </c>
      <c r="L495" s="116">
        <f t="shared" si="19"/>
        <v>0</v>
      </c>
      <c r="M495" s="98"/>
      <c r="N495" s="117"/>
    </row>
    <row r="496" spans="1:14" ht="15.75" customHeight="1">
      <c r="A496" s="115">
        <v>46331</v>
      </c>
      <c r="B496" s="100"/>
      <c r="C496" s="98"/>
      <c r="D496" s="98"/>
      <c r="E496" s="100"/>
      <c r="F496" s="98"/>
      <c r="G496" s="98"/>
      <c r="H496" s="100"/>
      <c r="I496" s="120"/>
      <c r="J496" s="117"/>
      <c r="K496" s="116">
        <f t="shared" si="18"/>
        <v>0</v>
      </c>
      <c r="L496" s="116">
        <f t="shared" si="19"/>
        <v>0</v>
      </c>
      <c r="M496" s="98"/>
      <c r="N496" s="117"/>
    </row>
    <row r="497" spans="1:14" ht="15.75" customHeight="1">
      <c r="A497" s="115">
        <v>46332</v>
      </c>
      <c r="B497" s="100"/>
      <c r="C497" s="98"/>
      <c r="D497" s="98"/>
      <c r="E497" s="100"/>
      <c r="F497" s="98"/>
      <c r="G497" s="98"/>
      <c r="H497" s="100"/>
      <c r="I497" s="120"/>
      <c r="J497" s="117"/>
      <c r="K497" s="116">
        <f t="shared" si="18"/>
        <v>0</v>
      </c>
      <c r="L497" s="116">
        <f t="shared" si="19"/>
        <v>0</v>
      </c>
      <c r="M497" s="98"/>
      <c r="N497" s="117"/>
    </row>
    <row r="498" spans="1:14" ht="15.75" customHeight="1">
      <c r="A498" s="115">
        <v>46333</v>
      </c>
      <c r="B498" s="100"/>
      <c r="C498" s="98"/>
      <c r="D498" s="98"/>
      <c r="E498" s="100"/>
      <c r="F498" s="98"/>
      <c r="G498" s="98"/>
      <c r="H498" s="100"/>
      <c r="I498" s="120"/>
      <c r="J498" s="117"/>
      <c r="K498" s="116">
        <f t="shared" si="18"/>
        <v>0</v>
      </c>
      <c r="L498" s="116">
        <f t="shared" si="19"/>
        <v>0</v>
      </c>
      <c r="M498" s="98"/>
      <c r="N498" s="117"/>
    </row>
    <row r="499" spans="1:14" ht="15.75" customHeight="1">
      <c r="A499" s="115">
        <v>46334</v>
      </c>
      <c r="B499" s="100"/>
      <c r="C499" s="98"/>
      <c r="D499" s="98"/>
      <c r="E499" s="100"/>
      <c r="F499" s="98"/>
      <c r="G499" s="98"/>
      <c r="H499" s="100"/>
      <c r="I499" s="120"/>
      <c r="J499" s="117"/>
      <c r="K499" s="116">
        <f t="shared" si="18"/>
        <v>0</v>
      </c>
      <c r="L499" s="116">
        <f t="shared" si="19"/>
        <v>0</v>
      </c>
      <c r="M499" s="98"/>
      <c r="N499" s="117"/>
    </row>
    <row r="500" spans="1:14" ht="15.75" customHeight="1">
      <c r="A500" s="115">
        <v>46335</v>
      </c>
      <c r="B500" s="100"/>
      <c r="C500" s="98"/>
      <c r="D500" s="98"/>
      <c r="E500" s="100"/>
      <c r="F500" s="98"/>
      <c r="G500" s="98"/>
      <c r="H500" s="100"/>
      <c r="I500" s="120"/>
      <c r="J500" s="117"/>
      <c r="K500" s="116">
        <f t="shared" si="18"/>
        <v>0</v>
      </c>
      <c r="L500" s="116">
        <f t="shared" si="19"/>
        <v>0</v>
      </c>
      <c r="M500" s="98"/>
      <c r="N500" s="117"/>
    </row>
    <row r="501" spans="1:14" ht="15.75" customHeight="1">
      <c r="A501" s="115">
        <v>46336</v>
      </c>
      <c r="B501" s="100"/>
      <c r="C501" s="98"/>
      <c r="D501" s="98"/>
      <c r="E501" s="100"/>
      <c r="F501" s="98"/>
      <c r="G501" s="98"/>
      <c r="H501" s="100"/>
      <c r="I501" s="120"/>
      <c r="J501" s="117"/>
      <c r="K501" s="116">
        <f t="shared" si="18"/>
        <v>0</v>
      </c>
      <c r="L501" s="116">
        <f t="shared" si="19"/>
        <v>0</v>
      </c>
      <c r="M501" s="98"/>
      <c r="N501" s="117"/>
    </row>
    <row r="502" spans="1:14" ht="15.75" customHeight="1">
      <c r="A502" s="115">
        <v>46337</v>
      </c>
      <c r="B502" s="100"/>
      <c r="C502" s="98"/>
      <c r="D502" s="98"/>
      <c r="E502" s="100"/>
      <c r="F502" s="98"/>
      <c r="G502" s="98"/>
      <c r="H502" s="100"/>
      <c r="I502" s="120"/>
      <c r="J502" s="117"/>
      <c r="K502" s="116">
        <f t="shared" si="18"/>
        <v>0</v>
      </c>
      <c r="L502" s="116">
        <f t="shared" si="19"/>
        <v>0</v>
      </c>
      <c r="M502" s="98"/>
      <c r="N502" s="117"/>
    </row>
    <row r="503" spans="1:14" ht="15.75" customHeight="1">
      <c r="A503" s="115">
        <v>46338</v>
      </c>
      <c r="B503" s="100"/>
      <c r="C503" s="98"/>
      <c r="D503" s="98"/>
      <c r="E503" s="100"/>
      <c r="F503" s="98"/>
      <c r="G503" s="98"/>
      <c r="H503" s="100"/>
      <c r="I503" s="120"/>
      <c r="J503" s="117"/>
      <c r="K503" s="116">
        <f t="shared" si="18"/>
        <v>0</v>
      </c>
      <c r="L503" s="116">
        <f t="shared" si="19"/>
        <v>0</v>
      </c>
      <c r="M503" s="98"/>
      <c r="N503" s="117"/>
    </row>
    <row r="504" spans="1:14" ht="15.75" customHeight="1">
      <c r="A504" s="115">
        <v>46339</v>
      </c>
      <c r="B504" s="100"/>
      <c r="C504" s="98"/>
      <c r="D504" s="98"/>
      <c r="E504" s="100"/>
      <c r="F504" s="98"/>
      <c r="G504" s="98"/>
      <c r="H504" s="100"/>
      <c r="I504" s="120"/>
      <c r="J504" s="117"/>
      <c r="K504" s="116">
        <f t="shared" si="18"/>
        <v>0</v>
      </c>
      <c r="L504" s="116">
        <f t="shared" si="19"/>
        <v>0</v>
      </c>
      <c r="M504" s="98"/>
      <c r="N504" s="117"/>
    </row>
    <row r="505" spans="1:14" ht="15.75" customHeight="1">
      <c r="A505" s="115">
        <v>46340</v>
      </c>
      <c r="B505" s="100"/>
      <c r="C505" s="98"/>
      <c r="D505" s="98"/>
      <c r="E505" s="100"/>
      <c r="F505" s="98"/>
      <c r="G505" s="98"/>
      <c r="H505" s="100"/>
      <c r="I505" s="120"/>
      <c r="J505" s="117"/>
      <c r="K505" s="116">
        <f t="shared" si="18"/>
        <v>0</v>
      </c>
      <c r="L505" s="116">
        <f t="shared" si="19"/>
        <v>0</v>
      </c>
      <c r="M505" s="98"/>
      <c r="N505" s="117"/>
    </row>
    <row r="506" spans="1:14" ht="15.75" customHeight="1">
      <c r="A506" s="115">
        <v>46341</v>
      </c>
      <c r="B506" s="100"/>
      <c r="C506" s="98"/>
      <c r="D506" s="98"/>
      <c r="E506" s="100"/>
      <c r="F506" s="98"/>
      <c r="G506" s="98"/>
      <c r="H506" s="100"/>
      <c r="I506" s="120"/>
      <c r="J506" s="117"/>
      <c r="K506" s="116">
        <f t="shared" si="18"/>
        <v>0</v>
      </c>
      <c r="L506" s="116">
        <f t="shared" si="19"/>
        <v>0</v>
      </c>
      <c r="M506" s="98"/>
      <c r="N506" s="117"/>
    </row>
    <row r="507" spans="1:14" ht="15.75" customHeight="1">
      <c r="A507" s="115">
        <v>46342</v>
      </c>
      <c r="B507" s="100"/>
      <c r="C507" s="98"/>
      <c r="D507" s="98"/>
      <c r="E507" s="100"/>
      <c r="F507" s="98"/>
      <c r="G507" s="98"/>
      <c r="H507" s="100"/>
      <c r="I507" s="120"/>
      <c r="J507" s="117"/>
      <c r="K507" s="116">
        <f t="shared" si="18"/>
        <v>0</v>
      </c>
      <c r="L507" s="116">
        <f t="shared" si="19"/>
        <v>0</v>
      </c>
      <c r="M507" s="98"/>
      <c r="N507" s="117"/>
    </row>
    <row r="508" spans="1:14" ht="15.75" customHeight="1">
      <c r="A508" s="115">
        <v>46343</v>
      </c>
      <c r="B508" s="100"/>
      <c r="C508" s="98"/>
      <c r="D508" s="98"/>
      <c r="E508" s="100"/>
      <c r="F508" s="98"/>
      <c r="G508" s="98"/>
      <c r="H508" s="100"/>
      <c r="I508" s="120"/>
      <c r="J508" s="117"/>
      <c r="K508" s="116">
        <f t="shared" si="18"/>
        <v>0</v>
      </c>
      <c r="L508" s="116">
        <f t="shared" si="19"/>
        <v>0</v>
      </c>
      <c r="M508" s="98"/>
      <c r="N508" s="117"/>
    </row>
    <row r="509" spans="1:14" ht="15.75" customHeight="1">
      <c r="A509" s="115">
        <v>46344</v>
      </c>
      <c r="B509" s="100"/>
      <c r="C509" s="98"/>
      <c r="D509" s="98"/>
      <c r="E509" s="100"/>
      <c r="F509" s="98"/>
      <c r="G509" s="98"/>
      <c r="H509" s="100"/>
      <c r="I509" s="120"/>
      <c r="J509" s="117"/>
      <c r="K509" s="116">
        <f t="shared" si="18"/>
        <v>0</v>
      </c>
      <c r="L509" s="116">
        <f t="shared" si="19"/>
        <v>0</v>
      </c>
      <c r="M509" s="98"/>
      <c r="N509" s="117"/>
    </row>
    <row r="510" spans="1:14" ht="15.75" customHeight="1">
      <c r="A510" s="115">
        <v>46345</v>
      </c>
      <c r="B510" s="100"/>
      <c r="C510" s="98"/>
      <c r="D510" s="98"/>
      <c r="E510" s="100"/>
      <c r="F510" s="98"/>
      <c r="G510" s="98"/>
      <c r="H510" s="100"/>
      <c r="I510" s="120"/>
      <c r="J510" s="117"/>
      <c r="K510" s="116">
        <f t="shared" si="18"/>
        <v>0</v>
      </c>
      <c r="L510" s="116">
        <f t="shared" si="19"/>
        <v>0</v>
      </c>
      <c r="M510" s="98"/>
      <c r="N510" s="117"/>
    </row>
    <row r="511" spans="1:14" ht="15.75" customHeight="1">
      <c r="A511" s="115">
        <v>46346</v>
      </c>
      <c r="B511" s="100"/>
      <c r="C511" s="98"/>
      <c r="D511" s="98"/>
      <c r="E511" s="100"/>
      <c r="F511" s="98"/>
      <c r="G511" s="98"/>
      <c r="H511" s="100"/>
      <c r="I511" s="120"/>
      <c r="J511" s="117"/>
      <c r="K511" s="116">
        <f t="shared" si="18"/>
        <v>0</v>
      </c>
      <c r="L511" s="116">
        <f t="shared" si="19"/>
        <v>0</v>
      </c>
      <c r="M511" s="98"/>
      <c r="N511" s="117"/>
    </row>
    <row r="512" spans="1:14" ht="15.75" customHeight="1">
      <c r="A512" s="115">
        <v>46347</v>
      </c>
      <c r="B512" s="100"/>
      <c r="C512" s="98"/>
      <c r="D512" s="98"/>
      <c r="E512" s="100"/>
      <c r="F512" s="98"/>
      <c r="G512" s="98"/>
      <c r="H512" s="100"/>
      <c r="I512" s="120"/>
      <c r="J512" s="117"/>
      <c r="K512" s="116">
        <f t="shared" si="18"/>
        <v>0</v>
      </c>
      <c r="L512" s="116">
        <f t="shared" si="19"/>
        <v>0</v>
      </c>
      <c r="M512" s="98"/>
      <c r="N512" s="117"/>
    </row>
    <row r="513" spans="1:14" ht="15.75" customHeight="1">
      <c r="A513" s="115">
        <v>46348</v>
      </c>
      <c r="B513" s="100"/>
      <c r="C513" s="98"/>
      <c r="D513" s="98"/>
      <c r="E513" s="100"/>
      <c r="F513" s="98"/>
      <c r="G513" s="98"/>
      <c r="H513" s="100"/>
      <c r="I513" s="120"/>
      <c r="J513" s="117"/>
      <c r="K513" s="116">
        <f t="shared" si="18"/>
        <v>0</v>
      </c>
      <c r="L513" s="116">
        <f t="shared" si="19"/>
        <v>0</v>
      </c>
      <c r="M513" s="98"/>
      <c r="N513" s="117"/>
    </row>
    <row r="514" spans="1:14" ht="15.75" customHeight="1">
      <c r="A514" s="115">
        <v>46349</v>
      </c>
      <c r="B514" s="100"/>
      <c r="C514" s="98"/>
      <c r="D514" s="98"/>
      <c r="E514" s="100"/>
      <c r="F514" s="98"/>
      <c r="G514" s="98"/>
      <c r="H514" s="100"/>
      <c r="I514" s="120"/>
      <c r="J514" s="117"/>
      <c r="K514" s="116">
        <f t="shared" si="18"/>
        <v>0</v>
      </c>
      <c r="L514" s="116">
        <f t="shared" si="19"/>
        <v>0</v>
      </c>
      <c r="M514" s="98"/>
      <c r="N514" s="117"/>
    </row>
    <row r="515" spans="1:14" ht="15.75" customHeight="1">
      <c r="A515" s="115">
        <v>46350</v>
      </c>
      <c r="B515" s="100"/>
      <c r="C515" s="98"/>
      <c r="D515" s="98"/>
      <c r="E515" s="100"/>
      <c r="F515" s="98"/>
      <c r="G515" s="98"/>
      <c r="H515" s="100"/>
      <c r="I515" s="120"/>
      <c r="J515" s="117"/>
      <c r="K515" s="116">
        <f t="shared" si="18"/>
        <v>0</v>
      </c>
      <c r="L515" s="116">
        <f t="shared" si="19"/>
        <v>0</v>
      </c>
      <c r="M515" s="98"/>
      <c r="N515" s="117"/>
    </row>
    <row r="516" spans="1:14" ht="15.75" customHeight="1">
      <c r="A516" s="115">
        <v>46351</v>
      </c>
      <c r="B516" s="100"/>
      <c r="C516" s="98"/>
      <c r="D516" s="98"/>
      <c r="E516" s="100"/>
      <c r="F516" s="98"/>
      <c r="G516" s="98"/>
      <c r="H516" s="100"/>
      <c r="I516" s="120"/>
      <c r="J516" s="117"/>
      <c r="K516" s="116">
        <f t="shared" si="18"/>
        <v>0</v>
      </c>
      <c r="L516" s="116">
        <f t="shared" si="19"/>
        <v>0</v>
      </c>
      <c r="M516" s="98"/>
      <c r="N516" s="117"/>
    </row>
    <row r="517" spans="1:14" ht="15.75" customHeight="1">
      <c r="A517" s="115">
        <v>46352</v>
      </c>
      <c r="B517" s="100"/>
      <c r="C517" s="98"/>
      <c r="D517" s="98"/>
      <c r="E517" s="100"/>
      <c r="F517" s="98"/>
      <c r="G517" s="98"/>
      <c r="H517" s="100"/>
      <c r="I517" s="120"/>
      <c r="J517" s="117"/>
      <c r="K517" s="116">
        <f t="shared" si="18"/>
        <v>0</v>
      </c>
      <c r="L517" s="116">
        <f t="shared" si="19"/>
        <v>0</v>
      </c>
      <c r="M517" s="98"/>
      <c r="N517" s="117"/>
    </row>
    <row r="518" spans="1:14" ht="15.75" customHeight="1">
      <c r="A518" s="115">
        <v>46353</v>
      </c>
      <c r="B518" s="100"/>
      <c r="C518" s="98"/>
      <c r="D518" s="98"/>
      <c r="E518" s="100"/>
      <c r="F518" s="98"/>
      <c r="G518" s="98"/>
      <c r="H518" s="100"/>
      <c r="I518" s="120"/>
      <c r="J518" s="117"/>
      <c r="K518" s="116">
        <f t="shared" si="18"/>
        <v>0</v>
      </c>
      <c r="L518" s="116">
        <f t="shared" si="19"/>
        <v>0</v>
      </c>
      <c r="M518" s="98"/>
      <c r="N518" s="117"/>
    </row>
    <row r="519" spans="1:14" ht="15.75" customHeight="1">
      <c r="A519" s="115">
        <v>46354</v>
      </c>
      <c r="B519" s="100"/>
      <c r="C519" s="98"/>
      <c r="D519" s="98"/>
      <c r="E519" s="100"/>
      <c r="F519" s="98"/>
      <c r="G519" s="98"/>
      <c r="H519" s="100"/>
      <c r="I519" s="120"/>
      <c r="J519" s="117"/>
      <c r="K519" s="116">
        <f t="shared" si="18"/>
        <v>0</v>
      </c>
      <c r="L519" s="116">
        <f t="shared" si="19"/>
        <v>0</v>
      </c>
      <c r="M519" s="98"/>
      <c r="N519" s="117"/>
    </row>
    <row r="520" spans="1:14" ht="15.75" customHeight="1">
      <c r="A520" s="115">
        <v>46355</v>
      </c>
      <c r="B520" s="100"/>
      <c r="C520" s="98"/>
      <c r="D520" s="98"/>
      <c r="E520" s="100"/>
      <c r="F520" s="98"/>
      <c r="G520" s="98"/>
      <c r="H520" s="100"/>
      <c r="I520" s="120"/>
      <c r="J520" s="117"/>
      <c r="K520" s="116">
        <f t="shared" si="18"/>
        <v>0</v>
      </c>
      <c r="L520" s="116">
        <f t="shared" si="19"/>
        <v>0</v>
      </c>
      <c r="M520" s="98"/>
      <c r="N520" s="117"/>
    </row>
    <row r="521" spans="1:14" ht="15.75" customHeight="1">
      <c r="A521" s="115">
        <v>46356</v>
      </c>
      <c r="B521" s="100"/>
      <c r="C521" s="98"/>
      <c r="D521" s="98"/>
      <c r="E521" s="100"/>
      <c r="F521" s="98"/>
      <c r="G521" s="98"/>
      <c r="H521" s="100"/>
      <c r="I521" s="120"/>
      <c r="J521" s="117"/>
      <c r="K521" s="116">
        <f t="shared" si="18"/>
        <v>0</v>
      </c>
      <c r="L521" s="116">
        <f t="shared" si="19"/>
        <v>0</v>
      </c>
      <c r="M521" s="98"/>
      <c r="N521" s="117"/>
    </row>
    <row r="522" spans="1:14" ht="15.75" customHeight="1">
      <c r="A522" s="115">
        <v>46357</v>
      </c>
      <c r="B522" s="100"/>
      <c r="C522" s="98"/>
      <c r="D522" s="98"/>
      <c r="E522" s="100"/>
      <c r="F522" s="98"/>
      <c r="G522" s="98"/>
      <c r="H522" s="100"/>
      <c r="I522" s="120"/>
      <c r="J522" s="117"/>
      <c r="K522" s="116">
        <f t="shared" si="18"/>
        <v>0</v>
      </c>
      <c r="L522" s="116">
        <f t="shared" si="19"/>
        <v>0</v>
      </c>
      <c r="M522" s="98"/>
      <c r="N522" s="117"/>
    </row>
    <row r="523" spans="1:14" ht="15.75" customHeight="1">
      <c r="A523" s="115">
        <v>46358</v>
      </c>
      <c r="B523" s="100"/>
      <c r="C523" s="98"/>
      <c r="D523" s="98"/>
      <c r="E523" s="100"/>
      <c r="F523" s="98"/>
      <c r="G523" s="98"/>
      <c r="H523" s="100"/>
      <c r="I523" s="120"/>
      <c r="J523" s="117"/>
      <c r="K523" s="116">
        <f t="shared" si="18"/>
        <v>0</v>
      </c>
      <c r="L523" s="116">
        <f t="shared" si="19"/>
        <v>0</v>
      </c>
      <c r="M523" s="98"/>
      <c r="N523" s="117"/>
    </row>
    <row r="524" spans="1:14" ht="15.75" customHeight="1">
      <c r="A524" s="115">
        <v>46359</v>
      </c>
      <c r="B524" s="100"/>
      <c r="C524" s="98"/>
      <c r="D524" s="98"/>
      <c r="E524" s="100"/>
      <c r="F524" s="98"/>
      <c r="G524" s="98"/>
      <c r="H524" s="100"/>
      <c r="I524" s="120"/>
      <c r="J524" s="117"/>
      <c r="K524" s="116">
        <f t="shared" si="18"/>
        <v>0</v>
      </c>
      <c r="L524" s="116">
        <f t="shared" si="19"/>
        <v>0</v>
      </c>
      <c r="M524" s="98"/>
      <c r="N524" s="117"/>
    </row>
    <row r="525" spans="1:14" ht="15.75" customHeight="1">
      <c r="A525" s="115">
        <v>46360</v>
      </c>
      <c r="B525" s="100"/>
      <c r="C525" s="98"/>
      <c r="D525" s="98"/>
      <c r="E525" s="100"/>
      <c r="F525" s="98"/>
      <c r="G525" s="98"/>
      <c r="H525" s="100"/>
      <c r="I525" s="120"/>
      <c r="J525" s="117"/>
      <c r="K525" s="116">
        <f t="shared" si="18"/>
        <v>0</v>
      </c>
      <c r="L525" s="116">
        <f t="shared" si="19"/>
        <v>0</v>
      </c>
      <c r="M525" s="98"/>
      <c r="N525" s="117"/>
    </row>
    <row r="526" spans="1:14" ht="15.75" customHeight="1">
      <c r="A526" s="115">
        <v>46361</v>
      </c>
      <c r="B526" s="100"/>
      <c r="C526" s="98"/>
      <c r="D526" s="98"/>
      <c r="E526" s="100"/>
      <c r="F526" s="98"/>
      <c r="G526" s="98"/>
      <c r="H526" s="100"/>
      <c r="I526" s="120"/>
      <c r="J526" s="117"/>
      <c r="K526" s="116">
        <f t="shared" si="18"/>
        <v>0</v>
      </c>
      <c r="L526" s="116">
        <f t="shared" si="19"/>
        <v>0</v>
      </c>
      <c r="M526" s="98"/>
      <c r="N526" s="117"/>
    </row>
    <row r="527" spans="1:14" ht="15.75" customHeight="1">
      <c r="A527" s="115">
        <v>46362</v>
      </c>
      <c r="B527" s="100"/>
      <c r="C527" s="98"/>
      <c r="D527" s="98"/>
      <c r="E527" s="100"/>
      <c r="F527" s="98"/>
      <c r="G527" s="98"/>
      <c r="H527" s="100"/>
      <c r="I527" s="120"/>
      <c r="J527" s="117"/>
      <c r="K527" s="116">
        <f t="shared" si="18"/>
        <v>0</v>
      </c>
      <c r="L527" s="116">
        <f t="shared" si="19"/>
        <v>0</v>
      </c>
      <c r="M527" s="98"/>
      <c r="N527" s="117"/>
    </row>
    <row r="528" spans="1:14" ht="15.75" customHeight="1">
      <c r="A528" s="115">
        <v>46363</v>
      </c>
      <c r="B528" s="100"/>
      <c r="C528" s="98"/>
      <c r="D528" s="98"/>
      <c r="E528" s="100"/>
      <c r="F528" s="98"/>
      <c r="G528" s="98"/>
      <c r="H528" s="100"/>
      <c r="I528" s="120"/>
      <c r="J528" s="117"/>
      <c r="K528" s="116">
        <f t="shared" si="18"/>
        <v>0</v>
      </c>
      <c r="L528" s="116">
        <f t="shared" si="19"/>
        <v>0</v>
      </c>
      <c r="M528" s="98"/>
      <c r="N528" s="117"/>
    </row>
    <row r="529" spans="1:14" ht="15.75" customHeight="1">
      <c r="A529" s="115">
        <v>46364</v>
      </c>
      <c r="B529" s="100"/>
      <c r="C529" s="98"/>
      <c r="D529" s="98"/>
      <c r="E529" s="100"/>
      <c r="F529" s="98"/>
      <c r="G529" s="98"/>
      <c r="H529" s="100"/>
      <c r="I529" s="120"/>
      <c r="J529" s="117"/>
      <c r="K529" s="116">
        <f t="shared" si="18"/>
        <v>0</v>
      </c>
      <c r="L529" s="116">
        <f t="shared" si="19"/>
        <v>0</v>
      </c>
      <c r="M529" s="98"/>
      <c r="N529" s="117"/>
    </row>
    <row r="530" spans="1:14" ht="15.75" customHeight="1">
      <c r="A530" s="115">
        <v>46365</v>
      </c>
      <c r="B530" s="100"/>
      <c r="C530" s="98"/>
      <c r="D530" s="98"/>
      <c r="E530" s="100"/>
      <c r="F530" s="98"/>
      <c r="G530" s="98"/>
      <c r="H530" s="100"/>
      <c r="I530" s="120"/>
      <c r="J530" s="117"/>
      <c r="K530" s="116">
        <f t="shared" si="18"/>
        <v>0</v>
      </c>
      <c r="L530" s="116">
        <f t="shared" si="19"/>
        <v>0</v>
      </c>
      <c r="M530" s="98"/>
      <c r="N530" s="117"/>
    </row>
    <row r="531" spans="1:14" ht="15.75" customHeight="1">
      <c r="A531" s="115">
        <v>46366</v>
      </c>
      <c r="B531" s="100"/>
      <c r="C531" s="98"/>
      <c r="D531" s="98"/>
      <c r="E531" s="100"/>
      <c r="F531" s="98"/>
      <c r="G531" s="98"/>
      <c r="H531" s="100"/>
      <c r="I531" s="120"/>
      <c r="J531" s="117"/>
      <c r="K531" s="116">
        <f t="shared" si="18"/>
        <v>0</v>
      </c>
      <c r="L531" s="116">
        <f t="shared" si="19"/>
        <v>0</v>
      </c>
      <c r="M531" s="98"/>
      <c r="N531" s="117"/>
    </row>
    <row r="532" spans="1:14" ht="15.75" customHeight="1">
      <c r="A532" s="115">
        <v>46367</v>
      </c>
      <c r="B532" s="100"/>
      <c r="C532" s="98"/>
      <c r="D532" s="98"/>
      <c r="E532" s="100"/>
      <c r="F532" s="98"/>
      <c r="G532" s="98"/>
      <c r="H532" s="100"/>
      <c r="I532" s="120"/>
      <c r="J532" s="117"/>
      <c r="K532" s="116">
        <f t="shared" si="18"/>
        <v>0</v>
      </c>
      <c r="L532" s="116">
        <f t="shared" si="19"/>
        <v>0</v>
      </c>
      <c r="M532" s="98"/>
      <c r="N532" s="117"/>
    </row>
    <row r="533" spans="1:14" ht="15.75" customHeight="1">
      <c r="A533" s="115">
        <v>46368</v>
      </c>
      <c r="B533" s="100"/>
      <c r="C533" s="98"/>
      <c r="D533" s="98"/>
      <c r="E533" s="100"/>
      <c r="F533" s="98"/>
      <c r="G533" s="98"/>
      <c r="H533" s="100"/>
      <c r="I533" s="120"/>
      <c r="J533" s="117"/>
      <c r="K533" s="116">
        <f t="shared" si="18"/>
        <v>0</v>
      </c>
      <c r="L533" s="116">
        <f t="shared" si="19"/>
        <v>0</v>
      </c>
      <c r="M533" s="98"/>
      <c r="N533" s="117"/>
    </row>
    <row r="534" spans="1:14" ht="15.75" customHeight="1">
      <c r="A534" s="115">
        <v>46369</v>
      </c>
      <c r="B534" s="100"/>
      <c r="C534" s="98"/>
      <c r="D534" s="98"/>
      <c r="E534" s="100"/>
      <c r="F534" s="98"/>
      <c r="G534" s="98"/>
      <c r="H534" s="100"/>
      <c r="I534" s="120"/>
      <c r="J534" s="117"/>
      <c r="K534" s="116">
        <f t="shared" ref="K534:K597" si="20">G534+I534+J534</f>
        <v>0</v>
      </c>
      <c r="L534" s="116">
        <f t="shared" ref="L534:L597" si="21">F534-K534</f>
        <v>0</v>
      </c>
      <c r="M534" s="98"/>
      <c r="N534" s="117"/>
    </row>
    <row r="535" spans="1:14" ht="15.75" customHeight="1">
      <c r="A535" s="115">
        <v>46370</v>
      </c>
      <c r="B535" s="100"/>
      <c r="C535" s="98"/>
      <c r="D535" s="98"/>
      <c r="E535" s="100"/>
      <c r="F535" s="98"/>
      <c r="G535" s="98"/>
      <c r="H535" s="100"/>
      <c r="I535" s="120"/>
      <c r="J535" s="117"/>
      <c r="K535" s="116">
        <f t="shared" si="20"/>
        <v>0</v>
      </c>
      <c r="L535" s="116">
        <f t="shared" si="21"/>
        <v>0</v>
      </c>
      <c r="M535" s="98"/>
      <c r="N535" s="117"/>
    </row>
    <row r="536" spans="1:14" ht="15.75" customHeight="1">
      <c r="A536" s="115">
        <v>46371</v>
      </c>
      <c r="B536" s="100"/>
      <c r="C536" s="98"/>
      <c r="D536" s="98"/>
      <c r="E536" s="100"/>
      <c r="F536" s="98"/>
      <c r="G536" s="98"/>
      <c r="H536" s="100"/>
      <c r="I536" s="120"/>
      <c r="J536" s="117"/>
      <c r="K536" s="116">
        <f t="shared" si="20"/>
        <v>0</v>
      </c>
      <c r="L536" s="116">
        <f t="shared" si="21"/>
        <v>0</v>
      </c>
      <c r="M536" s="98"/>
      <c r="N536" s="117"/>
    </row>
    <row r="537" spans="1:14" ht="15.75" customHeight="1">
      <c r="A537" s="115">
        <v>46372</v>
      </c>
      <c r="B537" s="100"/>
      <c r="C537" s="98"/>
      <c r="D537" s="98"/>
      <c r="E537" s="100"/>
      <c r="F537" s="98"/>
      <c r="G537" s="98"/>
      <c r="H537" s="100"/>
      <c r="I537" s="120"/>
      <c r="J537" s="117"/>
      <c r="K537" s="116">
        <f t="shared" si="20"/>
        <v>0</v>
      </c>
      <c r="L537" s="116">
        <f t="shared" si="21"/>
        <v>0</v>
      </c>
      <c r="M537" s="98"/>
      <c r="N537" s="117"/>
    </row>
    <row r="538" spans="1:14" ht="15.75" customHeight="1">
      <c r="A538" s="115">
        <v>46373</v>
      </c>
      <c r="B538" s="100"/>
      <c r="C538" s="98"/>
      <c r="D538" s="98"/>
      <c r="E538" s="100"/>
      <c r="F538" s="98"/>
      <c r="G538" s="98"/>
      <c r="H538" s="100"/>
      <c r="I538" s="120"/>
      <c r="J538" s="117"/>
      <c r="K538" s="116">
        <f t="shared" si="20"/>
        <v>0</v>
      </c>
      <c r="L538" s="116">
        <f t="shared" si="21"/>
        <v>0</v>
      </c>
      <c r="M538" s="98"/>
      <c r="N538" s="117"/>
    </row>
    <row r="539" spans="1:14" ht="15.75" customHeight="1">
      <c r="A539" s="115">
        <v>46374</v>
      </c>
      <c r="B539" s="100"/>
      <c r="C539" s="98"/>
      <c r="D539" s="98"/>
      <c r="E539" s="100"/>
      <c r="F539" s="98"/>
      <c r="G539" s="98"/>
      <c r="H539" s="100"/>
      <c r="I539" s="120"/>
      <c r="J539" s="117"/>
      <c r="K539" s="116">
        <f t="shared" si="20"/>
        <v>0</v>
      </c>
      <c r="L539" s="116">
        <f t="shared" si="21"/>
        <v>0</v>
      </c>
      <c r="M539" s="98"/>
      <c r="N539" s="117"/>
    </row>
    <row r="540" spans="1:14" ht="15.75" customHeight="1">
      <c r="A540" s="115">
        <v>46375</v>
      </c>
      <c r="B540" s="100"/>
      <c r="C540" s="98"/>
      <c r="D540" s="98"/>
      <c r="E540" s="100"/>
      <c r="F540" s="98"/>
      <c r="G540" s="98"/>
      <c r="H540" s="100"/>
      <c r="I540" s="120"/>
      <c r="J540" s="117"/>
      <c r="K540" s="116">
        <f t="shared" si="20"/>
        <v>0</v>
      </c>
      <c r="L540" s="116">
        <f t="shared" si="21"/>
        <v>0</v>
      </c>
      <c r="M540" s="98"/>
      <c r="N540" s="117"/>
    </row>
    <row r="541" spans="1:14" ht="15.75" customHeight="1">
      <c r="A541" s="115">
        <v>46376</v>
      </c>
      <c r="B541" s="100"/>
      <c r="C541" s="98"/>
      <c r="D541" s="98"/>
      <c r="E541" s="100"/>
      <c r="F541" s="98"/>
      <c r="G541" s="98"/>
      <c r="H541" s="100"/>
      <c r="I541" s="120"/>
      <c r="J541" s="117"/>
      <c r="K541" s="116">
        <f t="shared" si="20"/>
        <v>0</v>
      </c>
      <c r="L541" s="116">
        <f t="shared" si="21"/>
        <v>0</v>
      </c>
      <c r="M541" s="98"/>
      <c r="N541" s="117"/>
    </row>
    <row r="542" spans="1:14" ht="15.75" customHeight="1">
      <c r="A542" s="115">
        <v>46377</v>
      </c>
      <c r="B542" s="100"/>
      <c r="C542" s="98"/>
      <c r="D542" s="98"/>
      <c r="E542" s="100"/>
      <c r="F542" s="98"/>
      <c r="G542" s="98"/>
      <c r="H542" s="100"/>
      <c r="I542" s="120"/>
      <c r="J542" s="117"/>
      <c r="K542" s="116">
        <f t="shared" si="20"/>
        <v>0</v>
      </c>
      <c r="L542" s="116">
        <f t="shared" si="21"/>
        <v>0</v>
      </c>
      <c r="M542" s="98"/>
      <c r="N542" s="117"/>
    </row>
    <row r="543" spans="1:14" ht="15.75" customHeight="1">
      <c r="A543" s="115">
        <v>46378</v>
      </c>
      <c r="B543" s="100"/>
      <c r="C543" s="98"/>
      <c r="D543" s="98"/>
      <c r="E543" s="100"/>
      <c r="F543" s="98"/>
      <c r="G543" s="98"/>
      <c r="H543" s="100"/>
      <c r="I543" s="120"/>
      <c r="J543" s="117"/>
      <c r="K543" s="116">
        <f t="shared" si="20"/>
        <v>0</v>
      </c>
      <c r="L543" s="116">
        <f t="shared" si="21"/>
        <v>0</v>
      </c>
      <c r="M543" s="98"/>
      <c r="N543" s="117"/>
    </row>
    <row r="544" spans="1:14" ht="15.75" customHeight="1">
      <c r="A544" s="115">
        <v>46379</v>
      </c>
      <c r="B544" s="100"/>
      <c r="C544" s="98"/>
      <c r="D544" s="98"/>
      <c r="E544" s="100"/>
      <c r="F544" s="98"/>
      <c r="G544" s="98"/>
      <c r="H544" s="100"/>
      <c r="I544" s="120"/>
      <c r="J544" s="117"/>
      <c r="K544" s="116">
        <f t="shared" si="20"/>
        <v>0</v>
      </c>
      <c r="L544" s="116">
        <f t="shared" si="21"/>
        <v>0</v>
      </c>
      <c r="M544" s="98"/>
      <c r="N544" s="117"/>
    </row>
    <row r="545" spans="1:14" ht="15.75" customHeight="1">
      <c r="A545" s="115">
        <v>46380</v>
      </c>
      <c r="B545" s="100"/>
      <c r="C545" s="98"/>
      <c r="D545" s="98"/>
      <c r="E545" s="100"/>
      <c r="F545" s="98"/>
      <c r="G545" s="98"/>
      <c r="H545" s="100"/>
      <c r="I545" s="120"/>
      <c r="J545" s="117"/>
      <c r="K545" s="116">
        <f t="shared" si="20"/>
        <v>0</v>
      </c>
      <c r="L545" s="116">
        <f t="shared" si="21"/>
        <v>0</v>
      </c>
      <c r="M545" s="98"/>
      <c r="N545" s="117"/>
    </row>
    <row r="546" spans="1:14" ht="15.75" customHeight="1">
      <c r="A546" s="115">
        <v>46381</v>
      </c>
      <c r="B546" s="100"/>
      <c r="C546" s="98"/>
      <c r="D546" s="98"/>
      <c r="E546" s="100"/>
      <c r="F546" s="98"/>
      <c r="G546" s="98"/>
      <c r="H546" s="100"/>
      <c r="I546" s="120"/>
      <c r="J546" s="117"/>
      <c r="K546" s="116">
        <f t="shared" si="20"/>
        <v>0</v>
      </c>
      <c r="L546" s="116">
        <f t="shared" si="21"/>
        <v>0</v>
      </c>
      <c r="M546" s="98"/>
      <c r="N546" s="117"/>
    </row>
    <row r="547" spans="1:14" ht="15.75" customHeight="1">
      <c r="A547" s="115">
        <v>46382</v>
      </c>
      <c r="B547" s="100"/>
      <c r="C547" s="98"/>
      <c r="D547" s="98"/>
      <c r="E547" s="100"/>
      <c r="F547" s="98"/>
      <c r="G547" s="98"/>
      <c r="H547" s="100"/>
      <c r="I547" s="120"/>
      <c r="J547" s="117"/>
      <c r="K547" s="116">
        <f t="shared" si="20"/>
        <v>0</v>
      </c>
      <c r="L547" s="116">
        <f t="shared" si="21"/>
        <v>0</v>
      </c>
      <c r="M547" s="98"/>
      <c r="N547" s="117"/>
    </row>
    <row r="548" spans="1:14" ht="15.75" customHeight="1">
      <c r="A548" s="115">
        <v>46383</v>
      </c>
      <c r="B548" s="100"/>
      <c r="C548" s="98"/>
      <c r="D548" s="98"/>
      <c r="E548" s="100"/>
      <c r="F548" s="98"/>
      <c r="G548" s="98"/>
      <c r="H548" s="100"/>
      <c r="I548" s="120"/>
      <c r="J548" s="117"/>
      <c r="K548" s="116">
        <f t="shared" si="20"/>
        <v>0</v>
      </c>
      <c r="L548" s="116">
        <f t="shared" si="21"/>
        <v>0</v>
      </c>
      <c r="M548" s="98"/>
      <c r="N548" s="117"/>
    </row>
    <row r="549" spans="1:14" ht="15.75" customHeight="1">
      <c r="A549" s="115">
        <v>46384</v>
      </c>
      <c r="B549" s="100"/>
      <c r="C549" s="98"/>
      <c r="D549" s="98"/>
      <c r="E549" s="100"/>
      <c r="F549" s="98"/>
      <c r="G549" s="98"/>
      <c r="H549" s="100"/>
      <c r="I549" s="120"/>
      <c r="J549" s="117"/>
      <c r="K549" s="116">
        <f t="shared" si="20"/>
        <v>0</v>
      </c>
      <c r="L549" s="116">
        <f t="shared" si="21"/>
        <v>0</v>
      </c>
      <c r="M549" s="98"/>
      <c r="N549" s="117"/>
    </row>
    <row r="550" spans="1:14" ht="15.75" customHeight="1">
      <c r="A550" s="115">
        <v>46385</v>
      </c>
      <c r="B550" s="100"/>
      <c r="C550" s="98"/>
      <c r="D550" s="98"/>
      <c r="E550" s="100"/>
      <c r="F550" s="98"/>
      <c r="G550" s="98"/>
      <c r="H550" s="100"/>
      <c r="I550" s="120"/>
      <c r="J550" s="117"/>
      <c r="K550" s="116">
        <f t="shared" si="20"/>
        <v>0</v>
      </c>
      <c r="L550" s="116">
        <f t="shared" si="21"/>
        <v>0</v>
      </c>
      <c r="M550" s="98"/>
      <c r="N550" s="117"/>
    </row>
    <row r="551" spans="1:14" ht="15.75" customHeight="1">
      <c r="A551" s="115">
        <v>46386</v>
      </c>
      <c r="B551" s="100"/>
      <c r="C551" s="98"/>
      <c r="D551" s="98"/>
      <c r="E551" s="100"/>
      <c r="F551" s="98"/>
      <c r="G551" s="98"/>
      <c r="H551" s="100"/>
      <c r="I551" s="120"/>
      <c r="J551" s="117"/>
      <c r="K551" s="116">
        <f t="shared" si="20"/>
        <v>0</v>
      </c>
      <c r="L551" s="116">
        <f t="shared" si="21"/>
        <v>0</v>
      </c>
      <c r="M551" s="98"/>
      <c r="N551" s="117"/>
    </row>
    <row r="552" spans="1:14" ht="15.75" customHeight="1">
      <c r="A552" s="115">
        <v>46387</v>
      </c>
      <c r="B552" s="100"/>
      <c r="C552" s="98"/>
      <c r="D552" s="98"/>
      <c r="E552" s="100"/>
      <c r="F552" s="98"/>
      <c r="G552" s="98"/>
      <c r="H552" s="100"/>
      <c r="I552" s="120"/>
      <c r="J552" s="117"/>
      <c r="K552" s="116">
        <f t="shared" si="20"/>
        <v>0</v>
      </c>
      <c r="L552" s="116">
        <f t="shared" si="21"/>
        <v>0</v>
      </c>
      <c r="M552" s="98"/>
      <c r="N552" s="117"/>
    </row>
    <row r="553" spans="1:14" ht="15.75" customHeight="1">
      <c r="A553" s="115">
        <v>46388</v>
      </c>
      <c r="B553" s="100"/>
      <c r="C553" s="98"/>
      <c r="D553" s="98"/>
      <c r="E553" s="100"/>
      <c r="F553" s="98"/>
      <c r="G553" s="98"/>
      <c r="H553" s="100"/>
      <c r="I553" s="120"/>
      <c r="J553" s="117"/>
      <c r="K553" s="116">
        <f t="shared" si="20"/>
        <v>0</v>
      </c>
      <c r="L553" s="116">
        <f t="shared" si="21"/>
        <v>0</v>
      </c>
      <c r="M553" s="98"/>
      <c r="N553" s="117"/>
    </row>
    <row r="554" spans="1:14" ht="15.75" customHeight="1">
      <c r="A554" s="115">
        <v>46389</v>
      </c>
      <c r="B554" s="100"/>
      <c r="C554" s="98"/>
      <c r="D554" s="98"/>
      <c r="E554" s="100"/>
      <c r="F554" s="98"/>
      <c r="G554" s="98"/>
      <c r="H554" s="100"/>
      <c r="I554" s="120"/>
      <c r="J554" s="117"/>
      <c r="K554" s="116">
        <f t="shared" si="20"/>
        <v>0</v>
      </c>
      <c r="L554" s="116">
        <f t="shared" si="21"/>
        <v>0</v>
      </c>
      <c r="M554" s="98"/>
      <c r="N554" s="117"/>
    </row>
    <row r="555" spans="1:14" ht="15.75" customHeight="1">
      <c r="A555" s="115">
        <v>46390</v>
      </c>
      <c r="B555" s="100"/>
      <c r="C555" s="98"/>
      <c r="D555" s="98"/>
      <c r="E555" s="100"/>
      <c r="F555" s="98"/>
      <c r="G555" s="98"/>
      <c r="H555" s="100"/>
      <c r="I555" s="120"/>
      <c r="J555" s="117"/>
      <c r="K555" s="116">
        <f t="shared" si="20"/>
        <v>0</v>
      </c>
      <c r="L555" s="116">
        <f t="shared" si="21"/>
        <v>0</v>
      </c>
      <c r="M555" s="98"/>
      <c r="N555" s="117"/>
    </row>
    <row r="556" spans="1:14" ht="15.75" customHeight="1">
      <c r="A556" s="115">
        <v>46391</v>
      </c>
      <c r="B556" s="100"/>
      <c r="C556" s="98"/>
      <c r="D556" s="98"/>
      <c r="E556" s="100"/>
      <c r="F556" s="98"/>
      <c r="G556" s="98"/>
      <c r="H556" s="100"/>
      <c r="I556" s="120"/>
      <c r="J556" s="117"/>
      <c r="K556" s="116">
        <f t="shared" si="20"/>
        <v>0</v>
      </c>
      <c r="L556" s="116">
        <f t="shared" si="21"/>
        <v>0</v>
      </c>
      <c r="M556" s="98"/>
      <c r="N556" s="117"/>
    </row>
    <row r="557" spans="1:14" ht="15.75" customHeight="1">
      <c r="A557" s="115">
        <v>46392</v>
      </c>
      <c r="B557" s="100"/>
      <c r="C557" s="98"/>
      <c r="D557" s="98"/>
      <c r="E557" s="100"/>
      <c r="F557" s="98"/>
      <c r="G557" s="98"/>
      <c r="H557" s="100"/>
      <c r="I557" s="120"/>
      <c r="J557" s="117"/>
      <c r="K557" s="116">
        <f t="shared" si="20"/>
        <v>0</v>
      </c>
      <c r="L557" s="116">
        <f t="shared" si="21"/>
        <v>0</v>
      </c>
      <c r="M557" s="98"/>
      <c r="N557" s="117"/>
    </row>
    <row r="558" spans="1:14" ht="15.75" customHeight="1">
      <c r="A558" s="115">
        <v>46393</v>
      </c>
      <c r="B558" s="100"/>
      <c r="C558" s="98"/>
      <c r="D558" s="98"/>
      <c r="E558" s="100"/>
      <c r="F558" s="98"/>
      <c r="G558" s="98"/>
      <c r="H558" s="100"/>
      <c r="I558" s="120"/>
      <c r="J558" s="117"/>
      <c r="K558" s="116">
        <f t="shared" si="20"/>
        <v>0</v>
      </c>
      <c r="L558" s="116">
        <f t="shared" si="21"/>
        <v>0</v>
      </c>
      <c r="M558" s="98"/>
      <c r="N558" s="117"/>
    </row>
    <row r="559" spans="1:14" ht="15.75" customHeight="1">
      <c r="A559" s="115">
        <v>46394</v>
      </c>
      <c r="B559" s="100"/>
      <c r="C559" s="98"/>
      <c r="D559" s="98"/>
      <c r="E559" s="100"/>
      <c r="F559" s="98"/>
      <c r="G559" s="98"/>
      <c r="H559" s="100"/>
      <c r="I559" s="120"/>
      <c r="J559" s="117"/>
      <c r="K559" s="116">
        <f t="shared" si="20"/>
        <v>0</v>
      </c>
      <c r="L559" s="116">
        <f t="shared" si="21"/>
        <v>0</v>
      </c>
      <c r="M559" s="98"/>
      <c r="N559" s="117"/>
    </row>
    <row r="560" spans="1:14" ht="15.75" customHeight="1">
      <c r="A560" s="115">
        <v>46395</v>
      </c>
      <c r="B560" s="100"/>
      <c r="C560" s="98"/>
      <c r="D560" s="98"/>
      <c r="E560" s="100"/>
      <c r="F560" s="98"/>
      <c r="G560" s="98"/>
      <c r="H560" s="100"/>
      <c r="I560" s="120"/>
      <c r="J560" s="117"/>
      <c r="K560" s="116">
        <f t="shared" si="20"/>
        <v>0</v>
      </c>
      <c r="L560" s="116">
        <f t="shared" si="21"/>
        <v>0</v>
      </c>
      <c r="M560" s="98"/>
      <c r="N560" s="117"/>
    </row>
    <row r="561" spans="1:14" ht="15.75" customHeight="1">
      <c r="A561" s="115">
        <v>46396</v>
      </c>
      <c r="B561" s="100"/>
      <c r="C561" s="98"/>
      <c r="D561" s="98"/>
      <c r="E561" s="100"/>
      <c r="F561" s="98"/>
      <c r="G561" s="98"/>
      <c r="H561" s="100"/>
      <c r="I561" s="120"/>
      <c r="J561" s="117"/>
      <c r="K561" s="116">
        <f t="shared" si="20"/>
        <v>0</v>
      </c>
      <c r="L561" s="116">
        <f t="shared" si="21"/>
        <v>0</v>
      </c>
      <c r="M561" s="98"/>
      <c r="N561" s="117"/>
    </row>
    <row r="562" spans="1:14" ht="15.75" customHeight="1">
      <c r="A562" s="115">
        <v>46397</v>
      </c>
      <c r="B562" s="100"/>
      <c r="C562" s="98"/>
      <c r="D562" s="98"/>
      <c r="E562" s="100"/>
      <c r="F562" s="98"/>
      <c r="G562" s="98"/>
      <c r="H562" s="100"/>
      <c r="I562" s="120"/>
      <c r="J562" s="117"/>
      <c r="K562" s="116">
        <f t="shared" si="20"/>
        <v>0</v>
      </c>
      <c r="L562" s="116">
        <f t="shared" si="21"/>
        <v>0</v>
      </c>
      <c r="M562" s="98"/>
      <c r="N562" s="117"/>
    </row>
    <row r="563" spans="1:14" ht="15.75" customHeight="1">
      <c r="A563" s="115">
        <v>46398</v>
      </c>
      <c r="B563" s="100"/>
      <c r="C563" s="98"/>
      <c r="D563" s="98"/>
      <c r="E563" s="100"/>
      <c r="F563" s="98"/>
      <c r="G563" s="98"/>
      <c r="H563" s="100"/>
      <c r="I563" s="120"/>
      <c r="J563" s="117"/>
      <c r="K563" s="116">
        <f t="shared" si="20"/>
        <v>0</v>
      </c>
      <c r="L563" s="116">
        <f t="shared" si="21"/>
        <v>0</v>
      </c>
      <c r="M563" s="98"/>
      <c r="N563" s="117"/>
    </row>
    <row r="564" spans="1:14" ht="15.75" customHeight="1">
      <c r="A564" s="115">
        <v>46399</v>
      </c>
      <c r="B564" s="100"/>
      <c r="C564" s="98"/>
      <c r="D564" s="98"/>
      <c r="E564" s="100"/>
      <c r="F564" s="98"/>
      <c r="G564" s="98"/>
      <c r="H564" s="100"/>
      <c r="I564" s="120"/>
      <c r="J564" s="117"/>
      <c r="K564" s="116">
        <f t="shared" si="20"/>
        <v>0</v>
      </c>
      <c r="L564" s="116">
        <f t="shared" si="21"/>
        <v>0</v>
      </c>
      <c r="M564" s="98"/>
      <c r="N564" s="117"/>
    </row>
    <row r="565" spans="1:14" ht="15.75" customHeight="1">
      <c r="A565" s="115">
        <v>46400</v>
      </c>
      <c r="B565" s="100"/>
      <c r="C565" s="98"/>
      <c r="D565" s="98"/>
      <c r="E565" s="100"/>
      <c r="F565" s="98"/>
      <c r="G565" s="98"/>
      <c r="H565" s="100"/>
      <c r="I565" s="120"/>
      <c r="J565" s="117"/>
      <c r="K565" s="116">
        <f t="shared" si="20"/>
        <v>0</v>
      </c>
      <c r="L565" s="116">
        <f t="shared" si="21"/>
        <v>0</v>
      </c>
      <c r="M565" s="98"/>
      <c r="N565" s="117"/>
    </row>
    <row r="566" spans="1:14" ht="15.75" customHeight="1">
      <c r="A566" s="115">
        <v>46401</v>
      </c>
      <c r="B566" s="100"/>
      <c r="C566" s="98"/>
      <c r="D566" s="98"/>
      <c r="E566" s="100"/>
      <c r="F566" s="98"/>
      <c r="G566" s="98"/>
      <c r="H566" s="100"/>
      <c r="I566" s="120"/>
      <c r="J566" s="117"/>
      <c r="K566" s="116">
        <f t="shared" si="20"/>
        <v>0</v>
      </c>
      <c r="L566" s="116">
        <f t="shared" si="21"/>
        <v>0</v>
      </c>
      <c r="M566" s="98"/>
      <c r="N566" s="117"/>
    </row>
    <row r="567" spans="1:14" ht="15.75" customHeight="1">
      <c r="A567" s="115">
        <v>46402</v>
      </c>
      <c r="B567" s="100"/>
      <c r="C567" s="98"/>
      <c r="D567" s="98"/>
      <c r="E567" s="100"/>
      <c r="F567" s="98"/>
      <c r="G567" s="98"/>
      <c r="H567" s="100"/>
      <c r="I567" s="120"/>
      <c r="J567" s="117"/>
      <c r="K567" s="116">
        <f t="shared" si="20"/>
        <v>0</v>
      </c>
      <c r="L567" s="116">
        <f t="shared" si="21"/>
        <v>0</v>
      </c>
      <c r="M567" s="98"/>
      <c r="N567" s="117"/>
    </row>
    <row r="568" spans="1:14" ht="15.75" customHeight="1">
      <c r="A568" s="115">
        <v>46403</v>
      </c>
      <c r="B568" s="100"/>
      <c r="C568" s="98"/>
      <c r="D568" s="98"/>
      <c r="E568" s="100"/>
      <c r="F568" s="98"/>
      <c r="G568" s="98"/>
      <c r="H568" s="100"/>
      <c r="I568" s="120"/>
      <c r="J568" s="117"/>
      <c r="K568" s="116">
        <f t="shared" si="20"/>
        <v>0</v>
      </c>
      <c r="L568" s="116">
        <f t="shared" si="21"/>
        <v>0</v>
      </c>
      <c r="M568" s="98"/>
      <c r="N568" s="117"/>
    </row>
    <row r="569" spans="1:14" ht="15.75" customHeight="1">
      <c r="A569" s="115">
        <v>46404</v>
      </c>
      <c r="B569" s="100"/>
      <c r="C569" s="98"/>
      <c r="D569" s="98"/>
      <c r="E569" s="100"/>
      <c r="F569" s="98"/>
      <c r="G569" s="98"/>
      <c r="H569" s="100"/>
      <c r="I569" s="120"/>
      <c r="J569" s="117"/>
      <c r="K569" s="116">
        <f t="shared" si="20"/>
        <v>0</v>
      </c>
      <c r="L569" s="116">
        <f t="shared" si="21"/>
        <v>0</v>
      </c>
      <c r="M569" s="98"/>
      <c r="N569" s="117"/>
    </row>
    <row r="570" spans="1:14" ht="15.75" customHeight="1">
      <c r="A570" s="115">
        <v>46405</v>
      </c>
      <c r="B570" s="100"/>
      <c r="C570" s="98"/>
      <c r="D570" s="98"/>
      <c r="E570" s="100"/>
      <c r="F570" s="98"/>
      <c r="G570" s="98"/>
      <c r="H570" s="100"/>
      <c r="I570" s="120"/>
      <c r="J570" s="117"/>
      <c r="K570" s="116">
        <f t="shared" si="20"/>
        <v>0</v>
      </c>
      <c r="L570" s="116">
        <f t="shared" si="21"/>
        <v>0</v>
      </c>
      <c r="M570" s="98"/>
      <c r="N570" s="117"/>
    </row>
    <row r="571" spans="1:14" ht="15.75" customHeight="1">
      <c r="A571" s="115">
        <v>46406</v>
      </c>
      <c r="B571" s="100"/>
      <c r="C571" s="98"/>
      <c r="D571" s="98"/>
      <c r="E571" s="100"/>
      <c r="F571" s="98"/>
      <c r="G571" s="98"/>
      <c r="H571" s="100"/>
      <c r="I571" s="120"/>
      <c r="J571" s="117"/>
      <c r="K571" s="116">
        <f t="shared" si="20"/>
        <v>0</v>
      </c>
      <c r="L571" s="116">
        <f t="shared" si="21"/>
        <v>0</v>
      </c>
      <c r="M571" s="98"/>
      <c r="N571" s="117"/>
    </row>
    <row r="572" spans="1:14" ht="15.75" customHeight="1">
      <c r="A572" s="115">
        <v>46407</v>
      </c>
      <c r="B572" s="100"/>
      <c r="C572" s="98"/>
      <c r="D572" s="98"/>
      <c r="E572" s="100"/>
      <c r="F572" s="98"/>
      <c r="G572" s="98"/>
      <c r="H572" s="100"/>
      <c r="I572" s="120"/>
      <c r="J572" s="117"/>
      <c r="K572" s="116">
        <f t="shared" si="20"/>
        <v>0</v>
      </c>
      <c r="L572" s="116">
        <f t="shared" si="21"/>
        <v>0</v>
      </c>
      <c r="M572" s="98"/>
      <c r="N572" s="117"/>
    </row>
    <row r="573" spans="1:14" ht="15.75" customHeight="1">
      <c r="A573" s="115">
        <v>46408</v>
      </c>
      <c r="B573" s="100"/>
      <c r="C573" s="98"/>
      <c r="D573" s="98"/>
      <c r="E573" s="100"/>
      <c r="F573" s="98"/>
      <c r="G573" s="98"/>
      <c r="H573" s="100"/>
      <c r="I573" s="120"/>
      <c r="J573" s="117"/>
      <c r="K573" s="116">
        <f t="shared" si="20"/>
        <v>0</v>
      </c>
      <c r="L573" s="116">
        <f t="shared" si="21"/>
        <v>0</v>
      </c>
      <c r="M573" s="98"/>
      <c r="N573" s="117"/>
    </row>
    <row r="574" spans="1:14" ht="15.75" customHeight="1">
      <c r="A574" s="115">
        <v>46409</v>
      </c>
      <c r="B574" s="100"/>
      <c r="C574" s="98"/>
      <c r="D574" s="98"/>
      <c r="E574" s="100"/>
      <c r="F574" s="98"/>
      <c r="G574" s="98"/>
      <c r="H574" s="100"/>
      <c r="I574" s="120"/>
      <c r="J574" s="117"/>
      <c r="K574" s="116">
        <f t="shared" si="20"/>
        <v>0</v>
      </c>
      <c r="L574" s="116">
        <f t="shared" si="21"/>
        <v>0</v>
      </c>
      <c r="M574" s="98"/>
      <c r="N574" s="117"/>
    </row>
    <row r="575" spans="1:14" ht="15.75" customHeight="1">
      <c r="A575" s="115">
        <v>46410</v>
      </c>
      <c r="B575" s="100"/>
      <c r="C575" s="98"/>
      <c r="D575" s="98"/>
      <c r="E575" s="100"/>
      <c r="F575" s="98"/>
      <c r="G575" s="98"/>
      <c r="H575" s="100"/>
      <c r="I575" s="120"/>
      <c r="J575" s="117"/>
      <c r="K575" s="116">
        <f t="shared" si="20"/>
        <v>0</v>
      </c>
      <c r="L575" s="116">
        <f t="shared" si="21"/>
        <v>0</v>
      </c>
      <c r="M575" s="98"/>
      <c r="N575" s="117"/>
    </row>
    <row r="576" spans="1:14" ht="15.75" customHeight="1">
      <c r="A576" s="115">
        <v>46411</v>
      </c>
      <c r="B576" s="100"/>
      <c r="C576" s="98"/>
      <c r="D576" s="98"/>
      <c r="E576" s="100"/>
      <c r="F576" s="98"/>
      <c r="G576" s="98"/>
      <c r="H576" s="100"/>
      <c r="I576" s="120"/>
      <c r="J576" s="117"/>
      <c r="K576" s="116">
        <f t="shared" si="20"/>
        <v>0</v>
      </c>
      <c r="L576" s="116">
        <f t="shared" si="21"/>
        <v>0</v>
      </c>
      <c r="M576" s="98"/>
      <c r="N576" s="117"/>
    </row>
    <row r="577" spans="1:14" ht="15.75" customHeight="1">
      <c r="A577" s="115">
        <v>46412</v>
      </c>
      <c r="B577" s="100"/>
      <c r="C577" s="98"/>
      <c r="D577" s="98"/>
      <c r="E577" s="100"/>
      <c r="F577" s="98"/>
      <c r="G577" s="98"/>
      <c r="H577" s="100"/>
      <c r="I577" s="120"/>
      <c r="J577" s="117"/>
      <c r="K577" s="116">
        <f t="shared" si="20"/>
        <v>0</v>
      </c>
      <c r="L577" s="116">
        <f t="shared" si="21"/>
        <v>0</v>
      </c>
      <c r="M577" s="98"/>
      <c r="N577" s="117"/>
    </row>
    <row r="578" spans="1:14" ht="15.75" customHeight="1">
      <c r="A578" s="115">
        <v>46413</v>
      </c>
      <c r="B578" s="100"/>
      <c r="C578" s="98"/>
      <c r="D578" s="98"/>
      <c r="E578" s="100"/>
      <c r="F578" s="98"/>
      <c r="G578" s="98"/>
      <c r="H578" s="100"/>
      <c r="I578" s="120"/>
      <c r="J578" s="117"/>
      <c r="K578" s="116">
        <f t="shared" si="20"/>
        <v>0</v>
      </c>
      <c r="L578" s="116">
        <f t="shared" si="21"/>
        <v>0</v>
      </c>
      <c r="M578" s="98"/>
      <c r="N578" s="117"/>
    </row>
    <row r="579" spans="1:14" ht="15.75" customHeight="1">
      <c r="A579" s="115">
        <v>46414</v>
      </c>
      <c r="B579" s="100"/>
      <c r="C579" s="98"/>
      <c r="D579" s="98"/>
      <c r="E579" s="100"/>
      <c r="F579" s="98"/>
      <c r="G579" s="98"/>
      <c r="H579" s="100"/>
      <c r="I579" s="120"/>
      <c r="J579" s="117"/>
      <c r="K579" s="116">
        <f t="shared" si="20"/>
        <v>0</v>
      </c>
      <c r="L579" s="116">
        <f t="shared" si="21"/>
        <v>0</v>
      </c>
      <c r="M579" s="98"/>
      <c r="N579" s="117"/>
    </row>
    <row r="580" spans="1:14" ht="15.75" customHeight="1">
      <c r="A580" s="115">
        <v>46415</v>
      </c>
      <c r="B580" s="100"/>
      <c r="C580" s="98"/>
      <c r="D580" s="98"/>
      <c r="E580" s="100"/>
      <c r="F580" s="98"/>
      <c r="G580" s="98"/>
      <c r="H580" s="100"/>
      <c r="I580" s="120"/>
      <c r="J580" s="117"/>
      <c r="K580" s="116">
        <f t="shared" si="20"/>
        <v>0</v>
      </c>
      <c r="L580" s="116">
        <f t="shared" si="21"/>
        <v>0</v>
      </c>
      <c r="M580" s="98"/>
      <c r="N580" s="117"/>
    </row>
    <row r="581" spans="1:14" ht="15.75" customHeight="1">
      <c r="A581" s="115">
        <v>46416</v>
      </c>
      <c r="B581" s="100"/>
      <c r="C581" s="98"/>
      <c r="D581" s="98"/>
      <c r="E581" s="100"/>
      <c r="F581" s="98"/>
      <c r="G581" s="98"/>
      <c r="H581" s="100"/>
      <c r="I581" s="120"/>
      <c r="J581" s="117"/>
      <c r="K581" s="116">
        <f t="shared" si="20"/>
        <v>0</v>
      </c>
      <c r="L581" s="116">
        <f t="shared" si="21"/>
        <v>0</v>
      </c>
      <c r="M581" s="98"/>
      <c r="N581" s="117"/>
    </row>
    <row r="582" spans="1:14" ht="15.75" customHeight="1">
      <c r="A582" s="115">
        <v>46417</v>
      </c>
      <c r="B582" s="100"/>
      <c r="C582" s="98"/>
      <c r="D582" s="98"/>
      <c r="E582" s="100"/>
      <c r="F582" s="98"/>
      <c r="G582" s="98"/>
      <c r="H582" s="100"/>
      <c r="I582" s="120"/>
      <c r="J582" s="117"/>
      <c r="K582" s="116">
        <f t="shared" si="20"/>
        <v>0</v>
      </c>
      <c r="L582" s="116">
        <f t="shared" si="21"/>
        <v>0</v>
      </c>
      <c r="M582" s="98"/>
      <c r="N582" s="117"/>
    </row>
    <row r="583" spans="1:14" ht="15.75" customHeight="1">
      <c r="A583" s="115">
        <v>46418</v>
      </c>
      <c r="B583" s="100"/>
      <c r="C583" s="98"/>
      <c r="D583" s="98"/>
      <c r="E583" s="100"/>
      <c r="F583" s="98"/>
      <c r="G583" s="98"/>
      <c r="H583" s="100"/>
      <c r="I583" s="120"/>
      <c r="J583" s="117"/>
      <c r="K583" s="116">
        <f t="shared" si="20"/>
        <v>0</v>
      </c>
      <c r="L583" s="116">
        <f t="shared" si="21"/>
        <v>0</v>
      </c>
      <c r="M583" s="98"/>
      <c r="N583" s="117"/>
    </row>
    <row r="584" spans="1:14" ht="15.75" customHeight="1">
      <c r="A584" s="115">
        <v>46419</v>
      </c>
      <c r="B584" s="100"/>
      <c r="C584" s="98"/>
      <c r="D584" s="98"/>
      <c r="E584" s="100"/>
      <c r="F584" s="98"/>
      <c r="G584" s="98"/>
      <c r="H584" s="100"/>
      <c r="I584" s="120"/>
      <c r="J584" s="117"/>
      <c r="K584" s="116">
        <f t="shared" si="20"/>
        <v>0</v>
      </c>
      <c r="L584" s="116">
        <f t="shared" si="21"/>
        <v>0</v>
      </c>
      <c r="M584" s="98"/>
      <c r="N584" s="117"/>
    </row>
    <row r="585" spans="1:14" ht="15.75" customHeight="1">
      <c r="A585" s="115">
        <v>46420</v>
      </c>
      <c r="B585" s="100"/>
      <c r="C585" s="98"/>
      <c r="D585" s="98"/>
      <c r="E585" s="100"/>
      <c r="F585" s="98"/>
      <c r="G585" s="98"/>
      <c r="H585" s="100"/>
      <c r="I585" s="120"/>
      <c r="J585" s="117"/>
      <c r="K585" s="116">
        <f t="shared" si="20"/>
        <v>0</v>
      </c>
      <c r="L585" s="116">
        <f t="shared" si="21"/>
        <v>0</v>
      </c>
      <c r="M585" s="98"/>
      <c r="N585" s="117"/>
    </row>
    <row r="586" spans="1:14" ht="15.75" customHeight="1">
      <c r="A586" s="115">
        <v>46421</v>
      </c>
      <c r="B586" s="100"/>
      <c r="C586" s="98"/>
      <c r="D586" s="98"/>
      <c r="E586" s="100"/>
      <c r="F586" s="98"/>
      <c r="G586" s="98"/>
      <c r="H586" s="100"/>
      <c r="I586" s="120"/>
      <c r="J586" s="117"/>
      <c r="K586" s="116">
        <f t="shared" si="20"/>
        <v>0</v>
      </c>
      <c r="L586" s="116">
        <f t="shared" si="21"/>
        <v>0</v>
      </c>
      <c r="M586" s="98"/>
      <c r="N586" s="117"/>
    </row>
    <row r="587" spans="1:14" ht="15.75" customHeight="1">
      <c r="A587" s="115">
        <v>46422</v>
      </c>
      <c r="B587" s="100"/>
      <c r="C587" s="98"/>
      <c r="D587" s="98"/>
      <c r="E587" s="100"/>
      <c r="F587" s="98"/>
      <c r="G587" s="98"/>
      <c r="H587" s="100"/>
      <c r="I587" s="120"/>
      <c r="J587" s="117"/>
      <c r="K587" s="116">
        <f t="shared" si="20"/>
        <v>0</v>
      </c>
      <c r="L587" s="116">
        <f t="shared" si="21"/>
        <v>0</v>
      </c>
      <c r="M587" s="98"/>
      <c r="N587" s="117"/>
    </row>
    <row r="588" spans="1:14" ht="15.75" customHeight="1">
      <c r="A588" s="115">
        <v>46423</v>
      </c>
      <c r="B588" s="100"/>
      <c r="C588" s="98"/>
      <c r="D588" s="98"/>
      <c r="E588" s="100"/>
      <c r="F588" s="98"/>
      <c r="G588" s="98"/>
      <c r="H588" s="100"/>
      <c r="I588" s="120"/>
      <c r="J588" s="117"/>
      <c r="K588" s="116">
        <f t="shared" si="20"/>
        <v>0</v>
      </c>
      <c r="L588" s="116">
        <f t="shared" si="21"/>
        <v>0</v>
      </c>
      <c r="M588" s="98"/>
      <c r="N588" s="117"/>
    </row>
    <row r="589" spans="1:14" ht="15.75" customHeight="1">
      <c r="A589" s="115">
        <v>46424</v>
      </c>
      <c r="B589" s="100"/>
      <c r="C589" s="98"/>
      <c r="D589" s="98"/>
      <c r="E589" s="100"/>
      <c r="F589" s="98"/>
      <c r="G589" s="98"/>
      <c r="H589" s="100"/>
      <c r="I589" s="120"/>
      <c r="J589" s="117"/>
      <c r="K589" s="116">
        <f t="shared" si="20"/>
        <v>0</v>
      </c>
      <c r="L589" s="116">
        <f t="shared" si="21"/>
        <v>0</v>
      </c>
      <c r="M589" s="98"/>
      <c r="N589" s="117"/>
    </row>
    <row r="590" spans="1:14" ht="15.75" customHeight="1">
      <c r="A590" s="115">
        <v>46425</v>
      </c>
      <c r="B590" s="100"/>
      <c r="C590" s="98"/>
      <c r="D590" s="98"/>
      <c r="E590" s="100"/>
      <c r="F590" s="98"/>
      <c r="G590" s="98"/>
      <c r="H590" s="100"/>
      <c r="I590" s="120"/>
      <c r="J590" s="117"/>
      <c r="K590" s="116">
        <f t="shared" si="20"/>
        <v>0</v>
      </c>
      <c r="L590" s="116">
        <f t="shared" si="21"/>
        <v>0</v>
      </c>
      <c r="M590" s="98"/>
      <c r="N590" s="117"/>
    </row>
    <row r="591" spans="1:14" ht="15.75" customHeight="1">
      <c r="A591" s="115">
        <v>46426</v>
      </c>
      <c r="B591" s="100"/>
      <c r="C591" s="98"/>
      <c r="D591" s="98"/>
      <c r="E591" s="100"/>
      <c r="F591" s="98"/>
      <c r="G591" s="98"/>
      <c r="H591" s="100"/>
      <c r="I591" s="120"/>
      <c r="J591" s="117"/>
      <c r="K591" s="116">
        <f t="shared" si="20"/>
        <v>0</v>
      </c>
      <c r="L591" s="116">
        <f t="shared" si="21"/>
        <v>0</v>
      </c>
      <c r="M591" s="98"/>
      <c r="N591" s="117"/>
    </row>
    <row r="592" spans="1:14" ht="15.75" customHeight="1">
      <c r="A592" s="115">
        <v>46427</v>
      </c>
      <c r="B592" s="100"/>
      <c r="C592" s="98"/>
      <c r="D592" s="98"/>
      <c r="E592" s="100"/>
      <c r="F592" s="98"/>
      <c r="G592" s="98"/>
      <c r="H592" s="100"/>
      <c r="I592" s="120"/>
      <c r="J592" s="117"/>
      <c r="K592" s="116">
        <f t="shared" si="20"/>
        <v>0</v>
      </c>
      <c r="L592" s="116">
        <f t="shared" si="21"/>
        <v>0</v>
      </c>
      <c r="M592" s="98"/>
      <c r="N592" s="117"/>
    </row>
    <row r="593" spans="1:14" ht="15.75" customHeight="1">
      <c r="A593" s="115">
        <v>46428</v>
      </c>
      <c r="B593" s="100"/>
      <c r="C593" s="98"/>
      <c r="D593" s="98"/>
      <c r="E593" s="100"/>
      <c r="F593" s="98"/>
      <c r="G593" s="98"/>
      <c r="H593" s="100"/>
      <c r="I593" s="120"/>
      <c r="J593" s="117"/>
      <c r="K593" s="116">
        <f t="shared" si="20"/>
        <v>0</v>
      </c>
      <c r="L593" s="116">
        <f t="shared" si="21"/>
        <v>0</v>
      </c>
      <c r="M593" s="98"/>
      <c r="N593" s="117"/>
    </row>
    <row r="594" spans="1:14" ht="15.75" customHeight="1">
      <c r="A594" s="115">
        <v>46429</v>
      </c>
      <c r="B594" s="100"/>
      <c r="C594" s="98"/>
      <c r="D594" s="98"/>
      <c r="E594" s="100"/>
      <c r="F594" s="98"/>
      <c r="G594" s="98"/>
      <c r="H594" s="100"/>
      <c r="I594" s="120"/>
      <c r="J594" s="117"/>
      <c r="K594" s="116">
        <f t="shared" si="20"/>
        <v>0</v>
      </c>
      <c r="L594" s="116">
        <f t="shared" si="21"/>
        <v>0</v>
      </c>
      <c r="M594" s="98"/>
      <c r="N594" s="117"/>
    </row>
    <row r="595" spans="1:14" ht="15.75" customHeight="1">
      <c r="A595" s="115">
        <v>46430</v>
      </c>
      <c r="B595" s="100"/>
      <c r="C595" s="98"/>
      <c r="D595" s="98"/>
      <c r="E595" s="100"/>
      <c r="F595" s="98"/>
      <c r="G595" s="98"/>
      <c r="H595" s="100"/>
      <c r="I595" s="120"/>
      <c r="J595" s="117"/>
      <c r="K595" s="116">
        <f t="shared" si="20"/>
        <v>0</v>
      </c>
      <c r="L595" s="116">
        <f t="shared" si="21"/>
        <v>0</v>
      </c>
      <c r="M595" s="98"/>
      <c r="N595" s="117"/>
    </row>
    <row r="596" spans="1:14" ht="15.75" customHeight="1">
      <c r="A596" s="115">
        <v>46431</v>
      </c>
      <c r="B596" s="100"/>
      <c r="C596" s="98"/>
      <c r="D596" s="98"/>
      <c r="E596" s="100"/>
      <c r="F596" s="98"/>
      <c r="G596" s="98"/>
      <c r="H596" s="100"/>
      <c r="I596" s="120"/>
      <c r="J596" s="117"/>
      <c r="K596" s="116">
        <f t="shared" si="20"/>
        <v>0</v>
      </c>
      <c r="L596" s="116">
        <f t="shared" si="21"/>
        <v>0</v>
      </c>
      <c r="M596" s="98"/>
      <c r="N596" s="117"/>
    </row>
    <row r="597" spans="1:14" ht="15.75" customHeight="1">
      <c r="A597" s="115">
        <v>46432</v>
      </c>
      <c r="B597" s="100"/>
      <c r="C597" s="98"/>
      <c r="D597" s="98"/>
      <c r="E597" s="100"/>
      <c r="F597" s="98"/>
      <c r="G597" s="98"/>
      <c r="H597" s="100"/>
      <c r="I597" s="120"/>
      <c r="J597" s="117"/>
      <c r="K597" s="116">
        <f t="shared" si="20"/>
        <v>0</v>
      </c>
      <c r="L597" s="116">
        <f t="shared" si="21"/>
        <v>0</v>
      </c>
      <c r="M597" s="98"/>
      <c r="N597" s="117"/>
    </row>
    <row r="598" spans="1:14" ht="15.75" customHeight="1">
      <c r="A598" s="115">
        <v>46433</v>
      </c>
      <c r="B598" s="100"/>
      <c r="C598" s="98"/>
      <c r="D598" s="98"/>
      <c r="E598" s="100"/>
      <c r="F598" s="98"/>
      <c r="G598" s="98"/>
      <c r="H598" s="100"/>
      <c r="I598" s="120"/>
      <c r="J598" s="117"/>
      <c r="K598" s="116">
        <f t="shared" ref="K598:K661" si="22">G598+I598+J598</f>
        <v>0</v>
      </c>
      <c r="L598" s="116">
        <f t="shared" ref="L598:L661" si="23">F598-K598</f>
        <v>0</v>
      </c>
      <c r="M598" s="98"/>
      <c r="N598" s="117"/>
    </row>
    <row r="599" spans="1:14" ht="15.75" customHeight="1">
      <c r="A599" s="115">
        <v>46434</v>
      </c>
      <c r="B599" s="100"/>
      <c r="C599" s="98"/>
      <c r="D599" s="98"/>
      <c r="E599" s="100"/>
      <c r="F599" s="98"/>
      <c r="G599" s="98"/>
      <c r="H599" s="100"/>
      <c r="I599" s="120"/>
      <c r="J599" s="117"/>
      <c r="K599" s="116">
        <f t="shared" si="22"/>
        <v>0</v>
      </c>
      <c r="L599" s="116">
        <f t="shared" si="23"/>
        <v>0</v>
      </c>
      <c r="M599" s="98"/>
      <c r="N599" s="117"/>
    </row>
    <row r="600" spans="1:14" ht="15.75" customHeight="1">
      <c r="A600" s="115">
        <v>46435</v>
      </c>
      <c r="B600" s="100"/>
      <c r="C600" s="98"/>
      <c r="D600" s="98"/>
      <c r="E600" s="100"/>
      <c r="F600" s="98"/>
      <c r="G600" s="98"/>
      <c r="H600" s="100"/>
      <c r="I600" s="120"/>
      <c r="J600" s="117"/>
      <c r="K600" s="116">
        <f t="shared" si="22"/>
        <v>0</v>
      </c>
      <c r="L600" s="116">
        <f t="shared" si="23"/>
        <v>0</v>
      </c>
      <c r="M600" s="98"/>
      <c r="N600" s="117"/>
    </row>
    <row r="601" spans="1:14" ht="15.75" customHeight="1">
      <c r="A601" s="115">
        <v>46436</v>
      </c>
      <c r="B601" s="100"/>
      <c r="C601" s="98"/>
      <c r="D601" s="98"/>
      <c r="E601" s="100"/>
      <c r="F601" s="98"/>
      <c r="G601" s="98"/>
      <c r="H601" s="100"/>
      <c r="I601" s="120"/>
      <c r="J601" s="117"/>
      <c r="K601" s="116">
        <f t="shared" si="22"/>
        <v>0</v>
      </c>
      <c r="L601" s="116">
        <f t="shared" si="23"/>
        <v>0</v>
      </c>
      <c r="M601" s="98"/>
      <c r="N601" s="117"/>
    </row>
    <row r="602" spans="1:14" ht="15.75" customHeight="1">
      <c r="A602" s="115">
        <v>46437</v>
      </c>
      <c r="B602" s="100"/>
      <c r="C602" s="98"/>
      <c r="D602" s="98"/>
      <c r="E602" s="100"/>
      <c r="F602" s="98"/>
      <c r="G602" s="98"/>
      <c r="H602" s="100"/>
      <c r="I602" s="120"/>
      <c r="J602" s="117"/>
      <c r="K602" s="116">
        <f t="shared" si="22"/>
        <v>0</v>
      </c>
      <c r="L602" s="116">
        <f t="shared" si="23"/>
        <v>0</v>
      </c>
      <c r="M602" s="98"/>
      <c r="N602" s="117"/>
    </row>
    <row r="603" spans="1:14" ht="15.75" customHeight="1">
      <c r="A603" s="115">
        <v>46438</v>
      </c>
      <c r="B603" s="100"/>
      <c r="C603" s="98"/>
      <c r="D603" s="98"/>
      <c r="E603" s="100"/>
      <c r="F603" s="98"/>
      <c r="G603" s="98"/>
      <c r="H603" s="100"/>
      <c r="I603" s="120"/>
      <c r="J603" s="117"/>
      <c r="K603" s="116">
        <f t="shared" si="22"/>
        <v>0</v>
      </c>
      <c r="L603" s="116">
        <f t="shared" si="23"/>
        <v>0</v>
      </c>
      <c r="M603" s="98"/>
      <c r="N603" s="117"/>
    </row>
    <row r="604" spans="1:14" ht="15.75" customHeight="1">
      <c r="A604" s="115">
        <v>46439</v>
      </c>
      <c r="B604" s="100"/>
      <c r="C604" s="98"/>
      <c r="D604" s="98"/>
      <c r="E604" s="100"/>
      <c r="F604" s="98"/>
      <c r="G604" s="98"/>
      <c r="H604" s="100"/>
      <c r="I604" s="120"/>
      <c r="J604" s="117"/>
      <c r="K604" s="116">
        <f t="shared" si="22"/>
        <v>0</v>
      </c>
      <c r="L604" s="116">
        <f t="shared" si="23"/>
        <v>0</v>
      </c>
      <c r="M604" s="98"/>
      <c r="N604" s="117"/>
    </row>
    <row r="605" spans="1:14" ht="15.75" customHeight="1">
      <c r="A605" s="115">
        <v>46440</v>
      </c>
      <c r="B605" s="100"/>
      <c r="C605" s="98"/>
      <c r="D605" s="98"/>
      <c r="E605" s="100"/>
      <c r="F605" s="98"/>
      <c r="G605" s="98"/>
      <c r="H605" s="100"/>
      <c r="I605" s="120"/>
      <c r="J605" s="117"/>
      <c r="K605" s="116">
        <f t="shared" si="22"/>
        <v>0</v>
      </c>
      <c r="L605" s="116">
        <f t="shared" si="23"/>
        <v>0</v>
      </c>
      <c r="M605" s="98"/>
      <c r="N605" s="117"/>
    </row>
    <row r="606" spans="1:14" ht="15.75" customHeight="1">
      <c r="A606" s="115">
        <v>46441</v>
      </c>
      <c r="B606" s="100"/>
      <c r="C606" s="98"/>
      <c r="D606" s="98"/>
      <c r="E606" s="100"/>
      <c r="F606" s="98"/>
      <c r="G606" s="98"/>
      <c r="H606" s="100"/>
      <c r="I606" s="120"/>
      <c r="J606" s="117"/>
      <c r="K606" s="116">
        <f t="shared" si="22"/>
        <v>0</v>
      </c>
      <c r="L606" s="116">
        <f t="shared" si="23"/>
        <v>0</v>
      </c>
      <c r="M606" s="98"/>
      <c r="N606" s="117"/>
    </row>
    <row r="607" spans="1:14" ht="15.75" customHeight="1">
      <c r="A607" s="115">
        <v>46442</v>
      </c>
      <c r="B607" s="100"/>
      <c r="C607" s="98"/>
      <c r="D607" s="98"/>
      <c r="E607" s="100"/>
      <c r="F607" s="98"/>
      <c r="G607" s="98"/>
      <c r="H607" s="100"/>
      <c r="I607" s="120"/>
      <c r="J607" s="117"/>
      <c r="K607" s="116">
        <f t="shared" si="22"/>
        <v>0</v>
      </c>
      <c r="L607" s="116">
        <f t="shared" si="23"/>
        <v>0</v>
      </c>
      <c r="M607" s="98"/>
      <c r="N607" s="117"/>
    </row>
    <row r="608" spans="1:14" ht="15.75" customHeight="1">
      <c r="A608" s="115">
        <v>46443</v>
      </c>
      <c r="B608" s="100"/>
      <c r="C608" s="98"/>
      <c r="D608" s="98"/>
      <c r="E608" s="100"/>
      <c r="F608" s="98"/>
      <c r="G608" s="98"/>
      <c r="H608" s="100"/>
      <c r="I608" s="120"/>
      <c r="J608" s="117"/>
      <c r="K608" s="116">
        <f t="shared" si="22"/>
        <v>0</v>
      </c>
      <c r="L608" s="116">
        <f t="shared" si="23"/>
        <v>0</v>
      </c>
      <c r="M608" s="98"/>
      <c r="N608" s="117"/>
    </row>
    <row r="609" spans="1:14" ht="15.75" customHeight="1">
      <c r="A609" s="115">
        <v>46444</v>
      </c>
      <c r="B609" s="100"/>
      <c r="C609" s="98"/>
      <c r="D609" s="98"/>
      <c r="E609" s="100"/>
      <c r="F609" s="98"/>
      <c r="G609" s="98"/>
      <c r="H609" s="100"/>
      <c r="I609" s="120"/>
      <c r="J609" s="117"/>
      <c r="K609" s="116">
        <f t="shared" si="22"/>
        <v>0</v>
      </c>
      <c r="L609" s="116">
        <f t="shared" si="23"/>
        <v>0</v>
      </c>
      <c r="M609" s="98"/>
      <c r="N609" s="117"/>
    </row>
    <row r="610" spans="1:14" ht="15.75" customHeight="1">
      <c r="A610" s="115">
        <v>46445</v>
      </c>
      <c r="B610" s="100"/>
      <c r="C610" s="98"/>
      <c r="D610" s="98"/>
      <c r="E610" s="100"/>
      <c r="F610" s="98"/>
      <c r="G610" s="98"/>
      <c r="H610" s="100"/>
      <c r="I610" s="120"/>
      <c r="J610" s="117"/>
      <c r="K610" s="116">
        <f t="shared" si="22"/>
        <v>0</v>
      </c>
      <c r="L610" s="116">
        <f t="shared" si="23"/>
        <v>0</v>
      </c>
      <c r="M610" s="98"/>
      <c r="N610" s="117"/>
    </row>
    <row r="611" spans="1:14" ht="15.75" customHeight="1">
      <c r="A611" s="115">
        <v>46446</v>
      </c>
      <c r="B611" s="100"/>
      <c r="C611" s="98"/>
      <c r="D611" s="98"/>
      <c r="E611" s="100"/>
      <c r="F611" s="98"/>
      <c r="G611" s="98"/>
      <c r="H611" s="100"/>
      <c r="I611" s="120"/>
      <c r="J611" s="117"/>
      <c r="K611" s="116">
        <f t="shared" si="22"/>
        <v>0</v>
      </c>
      <c r="L611" s="116">
        <f t="shared" si="23"/>
        <v>0</v>
      </c>
      <c r="M611" s="98"/>
      <c r="N611" s="117"/>
    </row>
    <row r="612" spans="1:14" ht="15.75" customHeight="1">
      <c r="A612" s="115">
        <v>46447</v>
      </c>
      <c r="B612" s="100"/>
      <c r="C612" s="98"/>
      <c r="D612" s="98"/>
      <c r="E612" s="100"/>
      <c r="F612" s="98"/>
      <c r="G612" s="98"/>
      <c r="H612" s="100"/>
      <c r="I612" s="120"/>
      <c r="J612" s="117"/>
      <c r="K612" s="116">
        <f t="shared" si="22"/>
        <v>0</v>
      </c>
      <c r="L612" s="116">
        <f t="shared" si="23"/>
        <v>0</v>
      </c>
      <c r="M612" s="98"/>
      <c r="N612" s="117"/>
    </row>
    <row r="613" spans="1:14" ht="15.75" customHeight="1">
      <c r="A613" s="115">
        <v>46448</v>
      </c>
      <c r="B613" s="100"/>
      <c r="C613" s="98"/>
      <c r="D613" s="98"/>
      <c r="E613" s="100"/>
      <c r="F613" s="98"/>
      <c r="G613" s="98"/>
      <c r="H613" s="100"/>
      <c r="I613" s="120"/>
      <c r="J613" s="117"/>
      <c r="K613" s="116">
        <f t="shared" si="22"/>
        <v>0</v>
      </c>
      <c r="L613" s="116">
        <f t="shared" si="23"/>
        <v>0</v>
      </c>
      <c r="M613" s="98"/>
      <c r="N613" s="117"/>
    </row>
    <row r="614" spans="1:14" ht="15.75" customHeight="1">
      <c r="A614" s="115">
        <v>46449</v>
      </c>
      <c r="B614" s="100"/>
      <c r="C614" s="98"/>
      <c r="D614" s="98"/>
      <c r="E614" s="100"/>
      <c r="F614" s="98"/>
      <c r="G614" s="98"/>
      <c r="H614" s="100"/>
      <c r="I614" s="120"/>
      <c r="J614" s="117"/>
      <c r="K614" s="116">
        <f t="shared" si="22"/>
        <v>0</v>
      </c>
      <c r="L614" s="116">
        <f t="shared" si="23"/>
        <v>0</v>
      </c>
      <c r="M614" s="98"/>
      <c r="N614" s="117"/>
    </row>
    <row r="615" spans="1:14" ht="15.75" customHeight="1">
      <c r="A615" s="115">
        <v>46450</v>
      </c>
      <c r="B615" s="100"/>
      <c r="C615" s="98"/>
      <c r="D615" s="98"/>
      <c r="E615" s="100"/>
      <c r="F615" s="98"/>
      <c r="G615" s="98"/>
      <c r="H615" s="100"/>
      <c r="I615" s="120"/>
      <c r="J615" s="117"/>
      <c r="K615" s="116">
        <f t="shared" si="22"/>
        <v>0</v>
      </c>
      <c r="L615" s="116">
        <f t="shared" si="23"/>
        <v>0</v>
      </c>
      <c r="M615" s="98"/>
      <c r="N615" s="117"/>
    </row>
    <row r="616" spans="1:14" ht="15.75" customHeight="1">
      <c r="A616" s="115">
        <v>46451</v>
      </c>
      <c r="B616" s="100"/>
      <c r="C616" s="98"/>
      <c r="D616" s="98"/>
      <c r="E616" s="100"/>
      <c r="F616" s="98"/>
      <c r="G616" s="98"/>
      <c r="H616" s="100"/>
      <c r="I616" s="120"/>
      <c r="J616" s="117"/>
      <c r="K616" s="116">
        <f t="shared" si="22"/>
        <v>0</v>
      </c>
      <c r="L616" s="116">
        <f t="shared" si="23"/>
        <v>0</v>
      </c>
      <c r="M616" s="98"/>
      <c r="N616" s="117"/>
    </row>
    <row r="617" spans="1:14" ht="15.75" customHeight="1">
      <c r="A617" s="115">
        <v>46452</v>
      </c>
      <c r="B617" s="100"/>
      <c r="C617" s="98"/>
      <c r="D617" s="98"/>
      <c r="E617" s="100"/>
      <c r="F617" s="98"/>
      <c r="G617" s="98"/>
      <c r="H617" s="100"/>
      <c r="I617" s="120"/>
      <c r="J617" s="117"/>
      <c r="K617" s="116">
        <f t="shared" si="22"/>
        <v>0</v>
      </c>
      <c r="L617" s="116">
        <f t="shared" si="23"/>
        <v>0</v>
      </c>
      <c r="M617" s="98"/>
      <c r="N617" s="117"/>
    </row>
    <row r="618" spans="1:14" ht="15.75" customHeight="1">
      <c r="A618" s="115">
        <v>46453</v>
      </c>
      <c r="B618" s="100"/>
      <c r="C618" s="98"/>
      <c r="D618" s="98"/>
      <c r="E618" s="100"/>
      <c r="F618" s="98"/>
      <c r="G618" s="98"/>
      <c r="H618" s="100"/>
      <c r="I618" s="120"/>
      <c r="J618" s="117"/>
      <c r="K618" s="116">
        <f t="shared" si="22"/>
        <v>0</v>
      </c>
      <c r="L618" s="116">
        <f t="shared" si="23"/>
        <v>0</v>
      </c>
      <c r="M618" s="98"/>
      <c r="N618" s="117"/>
    </row>
    <row r="619" spans="1:14" ht="15.75" customHeight="1">
      <c r="A619" s="115">
        <v>46454</v>
      </c>
      <c r="B619" s="100"/>
      <c r="C619" s="98"/>
      <c r="D619" s="98"/>
      <c r="E619" s="100"/>
      <c r="F619" s="98"/>
      <c r="G619" s="98"/>
      <c r="H619" s="100"/>
      <c r="I619" s="120"/>
      <c r="J619" s="117"/>
      <c r="K619" s="116">
        <f t="shared" si="22"/>
        <v>0</v>
      </c>
      <c r="L619" s="116">
        <f t="shared" si="23"/>
        <v>0</v>
      </c>
      <c r="M619" s="98"/>
      <c r="N619" s="117"/>
    </row>
    <row r="620" spans="1:14" ht="15.75" customHeight="1">
      <c r="A620" s="115">
        <v>46455</v>
      </c>
      <c r="B620" s="100"/>
      <c r="C620" s="98"/>
      <c r="D620" s="98"/>
      <c r="E620" s="100"/>
      <c r="F620" s="98"/>
      <c r="G620" s="98"/>
      <c r="H620" s="100"/>
      <c r="I620" s="120"/>
      <c r="J620" s="117"/>
      <c r="K620" s="116">
        <f t="shared" si="22"/>
        <v>0</v>
      </c>
      <c r="L620" s="116">
        <f t="shared" si="23"/>
        <v>0</v>
      </c>
      <c r="M620" s="98"/>
      <c r="N620" s="117"/>
    </row>
    <row r="621" spans="1:14" ht="15.75" customHeight="1">
      <c r="A621" s="115">
        <v>46456</v>
      </c>
      <c r="B621" s="100"/>
      <c r="C621" s="98"/>
      <c r="D621" s="98"/>
      <c r="E621" s="100"/>
      <c r="F621" s="98"/>
      <c r="G621" s="98"/>
      <c r="H621" s="100"/>
      <c r="I621" s="120"/>
      <c r="J621" s="117"/>
      <c r="K621" s="116">
        <f t="shared" si="22"/>
        <v>0</v>
      </c>
      <c r="L621" s="116">
        <f t="shared" si="23"/>
        <v>0</v>
      </c>
      <c r="M621" s="98"/>
      <c r="N621" s="117"/>
    </row>
    <row r="622" spans="1:14" ht="15.75" customHeight="1">
      <c r="A622" s="115">
        <v>46457</v>
      </c>
      <c r="B622" s="100"/>
      <c r="C622" s="98"/>
      <c r="D622" s="98"/>
      <c r="E622" s="100"/>
      <c r="F622" s="98"/>
      <c r="G622" s="98"/>
      <c r="H622" s="100"/>
      <c r="I622" s="120"/>
      <c r="J622" s="117"/>
      <c r="K622" s="116">
        <f t="shared" si="22"/>
        <v>0</v>
      </c>
      <c r="L622" s="116">
        <f t="shared" si="23"/>
        <v>0</v>
      </c>
      <c r="M622" s="98"/>
      <c r="N622" s="117"/>
    </row>
    <row r="623" spans="1:14" ht="15.75" customHeight="1">
      <c r="A623" s="115">
        <v>46458</v>
      </c>
      <c r="B623" s="100"/>
      <c r="C623" s="98"/>
      <c r="D623" s="98"/>
      <c r="E623" s="100"/>
      <c r="F623" s="98"/>
      <c r="G623" s="98"/>
      <c r="H623" s="100"/>
      <c r="I623" s="120"/>
      <c r="J623" s="117"/>
      <c r="K623" s="116">
        <f t="shared" si="22"/>
        <v>0</v>
      </c>
      <c r="L623" s="116">
        <f t="shared" si="23"/>
        <v>0</v>
      </c>
      <c r="M623" s="98"/>
      <c r="N623" s="117"/>
    </row>
    <row r="624" spans="1:14" ht="15.75" customHeight="1">
      <c r="A624" s="115">
        <v>46459</v>
      </c>
      <c r="B624" s="100"/>
      <c r="C624" s="98"/>
      <c r="D624" s="98"/>
      <c r="E624" s="100"/>
      <c r="F624" s="98"/>
      <c r="G624" s="98"/>
      <c r="H624" s="100"/>
      <c r="I624" s="120"/>
      <c r="J624" s="117"/>
      <c r="K624" s="116">
        <f t="shared" si="22"/>
        <v>0</v>
      </c>
      <c r="L624" s="116">
        <f t="shared" si="23"/>
        <v>0</v>
      </c>
      <c r="M624" s="98"/>
      <c r="N624" s="117"/>
    </row>
    <row r="625" spans="1:14" ht="15.75" customHeight="1">
      <c r="A625" s="115">
        <v>46460</v>
      </c>
      <c r="B625" s="100"/>
      <c r="C625" s="98"/>
      <c r="D625" s="98"/>
      <c r="E625" s="100"/>
      <c r="F625" s="98"/>
      <c r="G625" s="98"/>
      <c r="H625" s="100"/>
      <c r="I625" s="120"/>
      <c r="J625" s="117"/>
      <c r="K625" s="116">
        <f t="shared" si="22"/>
        <v>0</v>
      </c>
      <c r="L625" s="116">
        <f t="shared" si="23"/>
        <v>0</v>
      </c>
      <c r="M625" s="98"/>
      <c r="N625" s="117"/>
    </row>
    <row r="626" spans="1:14" ht="15.75" customHeight="1">
      <c r="A626" s="115">
        <v>46461</v>
      </c>
      <c r="B626" s="100"/>
      <c r="C626" s="98"/>
      <c r="D626" s="98"/>
      <c r="E626" s="100"/>
      <c r="F626" s="98"/>
      <c r="G626" s="98"/>
      <c r="H626" s="100"/>
      <c r="I626" s="120"/>
      <c r="J626" s="117"/>
      <c r="K626" s="116">
        <f t="shared" si="22"/>
        <v>0</v>
      </c>
      <c r="L626" s="116">
        <f t="shared" si="23"/>
        <v>0</v>
      </c>
      <c r="M626" s="98"/>
      <c r="N626" s="117"/>
    </row>
    <row r="627" spans="1:14" ht="15.75" customHeight="1">
      <c r="A627" s="115">
        <v>46462</v>
      </c>
      <c r="B627" s="100"/>
      <c r="C627" s="98"/>
      <c r="D627" s="98"/>
      <c r="E627" s="100"/>
      <c r="F627" s="98"/>
      <c r="G627" s="98"/>
      <c r="H627" s="100"/>
      <c r="I627" s="120"/>
      <c r="J627" s="117"/>
      <c r="K627" s="116">
        <f t="shared" si="22"/>
        <v>0</v>
      </c>
      <c r="L627" s="116">
        <f t="shared" si="23"/>
        <v>0</v>
      </c>
      <c r="M627" s="98"/>
      <c r="N627" s="117"/>
    </row>
    <row r="628" spans="1:14" ht="15.75" customHeight="1">
      <c r="A628" s="115">
        <v>46463</v>
      </c>
      <c r="B628" s="100"/>
      <c r="C628" s="98"/>
      <c r="D628" s="98"/>
      <c r="E628" s="100"/>
      <c r="F628" s="98"/>
      <c r="G628" s="98"/>
      <c r="H628" s="100"/>
      <c r="I628" s="120"/>
      <c r="J628" s="117"/>
      <c r="K628" s="116">
        <f t="shared" si="22"/>
        <v>0</v>
      </c>
      <c r="L628" s="116">
        <f t="shared" si="23"/>
        <v>0</v>
      </c>
      <c r="M628" s="98"/>
      <c r="N628" s="117"/>
    </row>
    <row r="629" spans="1:14" ht="15.75" customHeight="1">
      <c r="A629" s="115">
        <v>46464</v>
      </c>
      <c r="B629" s="100"/>
      <c r="C629" s="98"/>
      <c r="D629" s="98"/>
      <c r="E629" s="100"/>
      <c r="F629" s="98"/>
      <c r="G629" s="98"/>
      <c r="H629" s="100"/>
      <c r="I629" s="120"/>
      <c r="J629" s="117"/>
      <c r="K629" s="116">
        <f t="shared" si="22"/>
        <v>0</v>
      </c>
      <c r="L629" s="116">
        <f t="shared" si="23"/>
        <v>0</v>
      </c>
      <c r="M629" s="98"/>
      <c r="N629" s="117"/>
    </row>
    <row r="630" spans="1:14" ht="15.75" customHeight="1">
      <c r="A630" s="115">
        <v>46465</v>
      </c>
      <c r="B630" s="100"/>
      <c r="C630" s="98"/>
      <c r="D630" s="98"/>
      <c r="E630" s="100"/>
      <c r="F630" s="98"/>
      <c r="G630" s="98"/>
      <c r="H630" s="100"/>
      <c r="I630" s="120"/>
      <c r="J630" s="117"/>
      <c r="K630" s="116">
        <f t="shared" si="22"/>
        <v>0</v>
      </c>
      <c r="L630" s="116">
        <f t="shared" si="23"/>
        <v>0</v>
      </c>
      <c r="M630" s="98"/>
      <c r="N630" s="117"/>
    </row>
    <row r="631" spans="1:14" ht="15.75" customHeight="1">
      <c r="A631" s="115">
        <v>46466</v>
      </c>
      <c r="B631" s="100"/>
      <c r="C631" s="98"/>
      <c r="D631" s="98"/>
      <c r="E631" s="100"/>
      <c r="F631" s="98"/>
      <c r="G631" s="98"/>
      <c r="H631" s="100"/>
      <c r="I631" s="120"/>
      <c r="J631" s="117"/>
      <c r="K631" s="116">
        <f t="shared" si="22"/>
        <v>0</v>
      </c>
      <c r="L631" s="116">
        <f t="shared" si="23"/>
        <v>0</v>
      </c>
      <c r="M631" s="98"/>
      <c r="N631" s="117"/>
    </row>
    <row r="632" spans="1:14" ht="15.75" customHeight="1">
      <c r="A632" s="115">
        <v>46467</v>
      </c>
      <c r="B632" s="100"/>
      <c r="C632" s="98"/>
      <c r="D632" s="98"/>
      <c r="E632" s="100"/>
      <c r="F632" s="98"/>
      <c r="G632" s="98"/>
      <c r="H632" s="100"/>
      <c r="I632" s="120"/>
      <c r="J632" s="117"/>
      <c r="K632" s="116">
        <f t="shared" si="22"/>
        <v>0</v>
      </c>
      <c r="L632" s="116">
        <f t="shared" si="23"/>
        <v>0</v>
      </c>
      <c r="M632" s="98"/>
      <c r="N632" s="117"/>
    </row>
    <row r="633" spans="1:14" ht="15.75" customHeight="1">
      <c r="A633" s="115">
        <v>46468</v>
      </c>
      <c r="B633" s="100"/>
      <c r="C633" s="98"/>
      <c r="D633" s="98"/>
      <c r="E633" s="100"/>
      <c r="F633" s="98"/>
      <c r="G633" s="98"/>
      <c r="H633" s="100"/>
      <c r="I633" s="120"/>
      <c r="J633" s="117"/>
      <c r="K633" s="116">
        <f t="shared" si="22"/>
        <v>0</v>
      </c>
      <c r="L633" s="116">
        <f t="shared" si="23"/>
        <v>0</v>
      </c>
      <c r="M633" s="98"/>
      <c r="N633" s="117"/>
    </row>
    <row r="634" spans="1:14" ht="15.75" customHeight="1">
      <c r="A634" s="115">
        <v>46469</v>
      </c>
      <c r="B634" s="100"/>
      <c r="C634" s="98"/>
      <c r="D634" s="98"/>
      <c r="E634" s="100"/>
      <c r="F634" s="98"/>
      <c r="G634" s="98"/>
      <c r="H634" s="100"/>
      <c r="I634" s="120"/>
      <c r="J634" s="117"/>
      <c r="K634" s="116">
        <f t="shared" si="22"/>
        <v>0</v>
      </c>
      <c r="L634" s="116">
        <f t="shared" si="23"/>
        <v>0</v>
      </c>
      <c r="M634" s="98"/>
      <c r="N634" s="117"/>
    </row>
    <row r="635" spans="1:14" ht="15.75" customHeight="1">
      <c r="A635" s="115">
        <v>46470</v>
      </c>
      <c r="B635" s="100"/>
      <c r="C635" s="98"/>
      <c r="D635" s="98"/>
      <c r="E635" s="100"/>
      <c r="F635" s="98"/>
      <c r="G635" s="98"/>
      <c r="H635" s="100"/>
      <c r="I635" s="120"/>
      <c r="J635" s="117"/>
      <c r="K635" s="116">
        <f t="shared" si="22"/>
        <v>0</v>
      </c>
      <c r="L635" s="116">
        <f t="shared" si="23"/>
        <v>0</v>
      </c>
      <c r="M635" s="98"/>
      <c r="N635" s="117"/>
    </row>
    <row r="636" spans="1:14" ht="15.75" customHeight="1">
      <c r="A636" s="115">
        <v>46471</v>
      </c>
      <c r="B636" s="100"/>
      <c r="C636" s="98"/>
      <c r="D636" s="98"/>
      <c r="E636" s="100"/>
      <c r="F636" s="98"/>
      <c r="G636" s="98"/>
      <c r="H636" s="100"/>
      <c r="I636" s="120"/>
      <c r="J636" s="117"/>
      <c r="K636" s="116">
        <f t="shared" si="22"/>
        <v>0</v>
      </c>
      <c r="L636" s="116">
        <f t="shared" si="23"/>
        <v>0</v>
      </c>
      <c r="M636" s="98"/>
      <c r="N636" s="117"/>
    </row>
    <row r="637" spans="1:14" ht="15.75" customHeight="1">
      <c r="A637" s="115">
        <v>46472</v>
      </c>
      <c r="B637" s="100"/>
      <c r="C637" s="98"/>
      <c r="D637" s="98"/>
      <c r="E637" s="100"/>
      <c r="F637" s="98"/>
      <c r="G637" s="98"/>
      <c r="H637" s="100"/>
      <c r="I637" s="120"/>
      <c r="J637" s="117"/>
      <c r="K637" s="116">
        <f t="shared" si="22"/>
        <v>0</v>
      </c>
      <c r="L637" s="116">
        <f t="shared" si="23"/>
        <v>0</v>
      </c>
      <c r="M637" s="98"/>
      <c r="N637" s="117"/>
    </row>
    <row r="638" spans="1:14" ht="15.75" customHeight="1">
      <c r="A638" s="115">
        <v>46473</v>
      </c>
      <c r="B638" s="100"/>
      <c r="C638" s="98"/>
      <c r="D638" s="98"/>
      <c r="E638" s="100"/>
      <c r="F638" s="98"/>
      <c r="G638" s="98"/>
      <c r="H638" s="100"/>
      <c r="I638" s="120"/>
      <c r="J638" s="117"/>
      <c r="K638" s="116">
        <f t="shared" si="22"/>
        <v>0</v>
      </c>
      <c r="L638" s="116">
        <f t="shared" si="23"/>
        <v>0</v>
      </c>
      <c r="M638" s="98"/>
      <c r="N638" s="117"/>
    </row>
    <row r="639" spans="1:14" ht="15.75" customHeight="1">
      <c r="A639" s="115">
        <v>46474</v>
      </c>
      <c r="B639" s="100"/>
      <c r="C639" s="98"/>
      <c r="D639" s="98"/>
      <c r="E639" s="100"/>
      <c r="F639" s="98"/>
      <c r="G639" s="98"/>
      <c r="H639" s="100"/>
      <c r="I639" s="120"/>
      <c r="J639" s="117"/>
      <c r="K639" s="116">
        <f t="shared" si="22"/>
        <v>0</v>
      </c>
      <c r="L639" s="116">
        <f t="shared" si="23"/>
        <v>0</v>
      </c>
      <c r="M639" s="98"/>
      <c r="N639" s="117"/>
    </row>
    <row r="640" spans="1:14" ht="15.75" customHeight="1">
      <c r="A640" s="115">
        <v>46475</v>
      </c>
      <c r="B640" s="100"/>
      <c r="C640" s="98"/>
      <c r="D640" s="98"/>
      <c r="E640" s="100"/>
      <c r="F640" s="98"/>
      <c r="G640" s="98"/>
      <c r="H640" s="100"/>
      <c r="I640" s="120"/>
      <c r="J640" s="117"/>
      <c r="K640" s="116">
        <f t="shared" si="22"/>
        <v>0</v>
      </c>
      <c r="L640" s="116">
        <f t="shared" si="23"/>
        <v>0</v>
      </c>
      <c r="M640" s="98"/>
      <c r="N640" s="117"/>
    </row>
    <row r="641" spans="1:14" ht="15.75" customHeight="1">
      <c r="A641" s="115">
        <v>46476</v>
      </c>
      <c r="B641" s="100"/>
      <c r="C641" s="98"/>
      <c r="D641" s="98"/>
      <c r="E641" s="100"/>
      <c r="F641" s="98"/>
      <c r="G641" s="98"/>
      <c r="H641" s="100"/>
      <c r="I641" s="120"/>
      <c r="J641" s="117"/>
      <c r="K641" s="116">
        <f t="shared" si="22"/>
        <v>0</v>
      </c>
      <c r="L641" s="116">
        <f t="shared" si="23"/>
        <v>0</v>
      </c>
      <c r="M641" s="98"/>
      <c r="N641" s="117"/>
    </row>
    <row r="642" spans="1:14" ht="15.75" customHeight="1">
      <c r="A642" s="115">
        <v>46477</v>
      </c>
      <c r="B642" s="100"/>
      <c r="C642" s="98"/>
      <c r="D642" s="98"/>
      <c r="E642" s="100"/>
      <c r="F642" s="98"/>
      <c r="G642" s="98"/>
      <c r="H642" s="100"/>
      <c r="I642" s="120"/>
      <c r="J642" s="117"/>
      <c r="K642" s="116">
        <f t="shared" si="22"/>
        <v>0</v>
      </c>
      <c r="L642" s="116">
        <f t="shared" si="23"/>
        <v>0</v>
      </c>
      <c r="M642" s="98"/>
      <c r="N642" s="117"/>
    </row>
    <row r="643" spans="1:14" ht="15.75" customHeight="1">
      <c r="A643" s="115">
        <v>46478</v>
      </c>
      <c r="B643" s="100"/>
      <c r="C643" s="98"/>
      <c r="D643" s="98"/>
      <c r="E643" s="100"/>
      <c r="F643" s="98"/>
      <c r="G643" s="98"/>
      <c r="H643" s="100"/>
      <c r="I643" s="120"/>
      <c r="J643" s="117"/>
      <c r="K643" s="116">
        <f t="shared" si="22"/>
        <v>0</v>
      </c>
      <c r="L643" s="116">
        <f t="shared" si="23"/>
        <v>0</v>
      </c>
      <c r="M643" s="98"/>
      <c r="N643" s="117"/>
    </row>
    <row r="644" spans="1:14" ht="15.75" customHeight="1">
      <c r="A644" s="115">
        <v>46479</v>
      </c>
      <c r="B644" s="100"/>
      <c r="C644" s="98"/>
      <c r="D644" s="98"/>
      <c r="E644" s="100"/>
      <c r="F644" s="98"/>
      <c r="G644" s="98"/>
      <c r="H644" s="100"/>
      <c r="I644" s="120"/>
      <c r="J644" s="117"/>
      <c r="K644" s="116">
        <f t="shared" si="22"/>
        <v>0</v>
      </c>
      <c r="L644" s="116">
        <f t="shared" si="23"/>
        <v>0</v>
      </c>
      <c r="M644" s="98"/>
      <c r="N644" s="117"/>
    </row>
    <row r="645" spans="1:14" ht="15.75" customHeight="1">
      <c r="A645" s="115">
        <v>46480</v>
      </c>
      <c r="B645" s="100"/>
      <c r="C645" s="98"/>
      <c r="D645" s="98"/>
      <c r="E645" s="100"/>
      <c r="F645" s="98"/>
      <c r="G645" s="98"/>
      <c r="H645" s="100"/>
      <c r="I645" s="120"/>
      <c r="J645" s="117"/>
      <c r="K645" s="116">
        <f t="shared" si="22"/>
        <v>0</v>
      </c>
      <c r="L645" s="116">
        <f t="shared" si="23"/>
        <v>0</v>
      </c>
      <c r="M645" s="98"/>
      <c r="N645" s="117"/>
    </row>
    <row r="646" spans="1:14" ht="15.75" customHeight="1">
      <c r="A646" s="115">
        <v>46481</v>
      </c>
      <c r="B646" s="100"/>
      <c r="C646" s="98"/>
      <c r="D646" s="98"/>
      <c r="E646" s="100"/>
      <c r="F646" s="98"/>
      <c r="G646" s="98"/>
      <c r="H646" s="100"/>
      <c r="I646" s="120"/>
      <c r="J646" s="117"/>
      <c r="K646" s="116">
        <f t="shared" si="22"/>
        <v>0</v>
      </c>
      <c r="L646" s="116">
        <f t="shared" si="23"/>
        <v>0</v>
      </c>
      <c r="M646" s="98"/>
      <c r="N646" s="117"/>
    </row>
    <row r="647" spans="1:14" ht="15.75" customHeight="1">
      <c r="A647" s="115">
        <v>46482</v>
      </c>
      <c r="B647" s="100"/>
      <c r="C647" s="98"/>
      <c r="D647" s="98"/>
      <c r="E647" s="100"/>
      <c r="F647" s="98"/>
      <c r="G647" s="98"/>
      <c r="H647" s="100"/>
      <c r="I647" s="120"/>
      <c r="J647" s="117"/>
      <c r="K647" s="116">
        <f t="shared" si="22"/>
        <v>0</v>
      </c>
      <c r="L647" s="116">
        <f t="shared" si="23"/>
        <v>0</v>
      </c>
      <c r="M647" s="98"/>
      <c r="N647" s="117"/>
    </row>
    <row r="648" spans="1:14" ht="15.75" customHeight="1">
      <c r="A648" s="115">
        <v>46483</v>
      </c>
      <c r="B648" s="100"/>
      <c r="C648" s="98"/>
      <c r="D648" s="98"/>
      <c r="E648" s="100"/>
      <c r="F648" s="98"/>
      <c r="G648" s="98"/>
      <c r="H648" s="100"/>
      <c r="I648" s="120"/>
      <c r="J648" s="117"/>
      <c r="K648" s="116">
        <f t="shared" si="22"/>
        <v>0</v>
      </c>
      <c r="L648" s="116">
        <f t="shared" si="23"/>
        <v>0</v>
      </c>
      <c r="M648" s="98"/>
      <c r="N648" s="117"/>
    </row>
    <row r="649" spans="1:14" ht="15.75" customHeight="1">
      <c r="A649" s="115">
        <v>46484</v>
      </c>
      <c r="B649" s="100"/>
      <c r="C649" s="98"/>
      <c r="D649" s="98"/>
      <c r="E649" s="100"/>
      <c r="F649" s="98"/>
      <c r="G649" s="98"/>
      <c r="H649" s="100"/>
      <c r="I649" s="120"/>
      <c r="J649" s="117"/>
      <c r="K649" s="116">
        <f t="shared" si="22"/>
        <v>0</v>
      </c>
      <c r="L649" s="116">
        <f t="shared" si="23"/>
        <v>0</v>
      </c>
      <c r="M649" s="98"/>
      <c r="N649" s="117"/>
    </row>
    <row r="650" spans="1:14" ht="15.75" customHeight="1">
      <c r="A650" s="115">
        <v>46485</v>
      </c>
      <c r="B650" s="100"/>
      <c r="C650" s="98"/>
      <c r="D650" s="98"/>
      <c r="E650" s="100"/>
      <c r="F650" s="98"/>
      <c r="G650" s="98"/>
      <c r="H650" s="100"/>
      <c r="I650" s="120"/>
      <c r="J650" s="117"/>
      <c r="K650" s="116">
        <f t="shared" si="22"/>
        <v>0</v>
      </c>
      <c r="L650" s="116">
        <f t="shared" si="23"/>
        <v>0</v>
      </c>
      <c r="M650" s="98"/>
      <c r="N650" s="117"/>
    </row>
    <row r="651" spans="1:14" ht="15.75" customHeight="1">
      <c r="A651" s="115">
        <v>46486</v>
      </c>
      <c r="B651" s="100"/>
      <c r="C651" s="98"/>
      <c r="D651" s="98"/>
      <c r="E651" s="100"/>
      <c r="F651" s="98"/>
      <c r="G651" s="98"/>
      <c r="H651" s="100"/>
      <c r="I651" s="120"/>
      <c r="J651" s="117"/>
      <c r="K651" s="116">
        <f t="shared" si="22"/>
        <v>0</v>
      </c>
      <c r="L651" s="116">
        <f t="shared" si="23"/>
        <v>0</v>
      </c>
      <c r="M651" s="98"/>
      <c r="N651" s="117"/>
    </row>
    <row r="652" spans="1:14" ht="15.75" customHeight="1">
      <c r="A652" s="115">
        <v>46487</v>
      </c>
      <c r="B652" s="100"/>
      <c r="C652" s="98"/>
      <c r="D652" s="98"/>
      <c r="E652" s="100"/>
      <c r="F652" s="98"/>
      <c r="G652" s="98"/>
      <c r="H652" s="100"/>
      <c r="I652" s="120"/>
      <c r="J652" s="117"/>
      <c r="K652" s="116">
        <f t="shared" si="22"/>
        <v>0</v>
      </c>
      <c r="L652" s="116">
        <f t="shared" si="23"/>
        <v>0</v>
      </c>
      <c r="M652" s="98"/>
      <c r="N652" s="117"/>
    </row>
    <row r="653" spans="1:14" ht="15.75" customHeight="1">
      <c r="A653" s="115">
        <v>46488</v>
      </c>
      <c r="B653" s="100"/>
      <c r="C653" s="98"/>
      <c r="D653" s="98"/>
      <c r="E653" s="100"/>
      <c r="F653" s="98"/>
      <c r="G653" s="98"/>
      <c r="H653" s="100"/>
      <c r="I653" s="120"/>
      <c r="J653" s="117"/>
      <c r="K653" s="116">
        <f t="shared" si="22"/>
        <v>0</v>
      </c>
      <c r="L653" s="116">
        <f t="shared" si="23"/>
        <v>0</v>
      </c>
      <c r="M653" s="98"/>
      <c r="N653" s="117"/>
    </row>
    <row r="654" spans="1:14" ht="15.75" customHeight="1">
      <c r="A654" s="115">
        <v>46489</v>
      </c>
      <c r="B654" s="100"/>
      <c r="C654" s="98"/>
      <c r="D654" s="98"/>
      <c r="E654" s="100"/>
      <c r="F654" s="98"/>
      <c r="G654" s="98"/>
      <c r="H654" s="100"/>
      <c r="I654" s="120"/>
      <c r="J654" s="117"/>
      <c r="K654" s="116">
        <f t="shared" si="22"/>
        <v>0</v>
      </c>
      <c r="L654" s="116">
        <f t="shared" si="23"/>
        <v>0</v>
      </c>
      <c r="M654" s="98"/>
      <c r="N654" s="117"/>
    </row>
    <row r="655" spans="1:14" ht="15.75" customHeight="1">
      <c r="A655" s="115">
        <v>46490</v>
      </c>
      <c r="B655" s="100"/>
      <c r="C655" s="98"/>
      <c r="D655" s="98"/>
      <c r="E655" s="100"/>
      <c r="F655" s="98"/>
      <c r="G655" s="98"/>
      <c r="H655" s="100"/>
      <c r="I655" s="120"/>
      <c r="J655" s="117"/>
      <c r="K655" s="116">
        <f t="shared" si="22"/>
        <v>0</v>
      </c>
      <c r="L655" s="116">
        <f t="shared" si="23"/>
        <v>0</v>
      </c>
      <c r="M655" s="98"/>
      <c r="N655" s="117"/>
    </row>
    <row r="656" spans="1:14" ht="15.75" customHeight="1">
      <c r="A656" s="115">
        <v>46491</v>
      </c>
      <c r="B656" s="100"/>
      <c r="C656" s="98"/>
      <c r="D656" s="98"/>
      <c r="E656" s="100"/>
      <c r="F656" s="98"/>
      <c r="G656" s="98"/>
      <c r="H656" s="100"/>
      <c r="I656" s="120"/>
      <c r="J656" s="117"/>
      <c r="K656" s="116">
        <f t="shared" si="22"/>
        <v>0</v>
      </c>
      <c r="L656" s="116">
        <f t="shared" si="23"/>
        <v>0</v>
      </c>
      <c r="M656" s="98"/>
      <c r="N656" s="117"/>
    </row>
    <row r="657" spans="1:14" ht="15.75" customHeight="1">
      <c r="A657" s="115">
        <v>46492</v>
      </c>
      <c r="B657" s="100"/>
      <c r="C657" s="98"/>
      <c r="D657" s="98"/>
      <c r="E657" s="100"/>
      <c r="F657" s="98"/>
      <c r="G657" s="98"/>
      <c r="H657" s="100"/>
      <c r="I657" s="120"/>
      <c r="J657" s="117"/>
      <c r="K657" s="116">
        <f t="shared" si="22"/>
        <v>0</v>
      </c>
      <c r="L657" s="116">
        <f t="shared" si="23"/>
        <v>0</v>
      </c>
      <c r="M657" s="98"/>
      <c r="N657" s="117"/>
    </row>
    <row r="658" spans="1:14" ht="15.75" customHeight="1">
      <c r="A658" s="115">
        <v>46493</v>
      </c>
      <c r="B658" s="100"/>
      <c r="C658" s="98"/>
      <c r="D658" s="98"/>
      <c r="E658" s="100"/>
      <c r="F658" s="98"/>
      <c r="G658" s="98"/>
      <c r="H658" s="100"/>
      <c r="I658" s="120"/>
      <c r="J658" s="117"/>
      <c r="K658" s="116">
        <f t="shared" si="22"/>
        <v>0</v>
      </c>
      <c r="L658" s="116">
        <f t="shared" si="23"/>
        <v>0</v>
      </c>
      <c r="M658" s="98"/>
      <c r="N658" s="117"/>
    </row>
    <row r="659" spans="1:14" ht="15.75" customHeight="1">
      <c r="A659" s="115">
        <v>46494</v>
      </c>
      <c r="B659" s="100"/>
      <c r="C659" s="98"/>
      <c r="D659" s="98"/>
      <c r="E659" s="100"/>
      <c r="F659" s="98"/>
      <c r="G659" s="98"/>
      <c r="H659" s="100"/>
      <c r="I659" s="120"/>
      <c r="J659" s="117"/>
      <c r="K659" s="116">
        <f t="shared" si="22"/>
        <v>0</v>
      </c>
      <c r="L659" s="116">
        <f t="shared" si="23"/>
        <v>0</v>
      </c>
      <c r="M659" s="98"/>
      <c r="N659" s="117"/>
    </row>
    <row r="660" spans="1:14" ht="15.75" customHeight="1">
      <c r="A660" s="115">
        <v>46495</v>
      </c>
      <c r="B660" s="100"/>
      <c r="C660" s="98"/>
      <c r="D660" s="98"/>
      <c r="E660" s="100"/>
      <c r="F660" s="98"/>
      <c r="G660" s="98"/>
      <c r="H660" s="100"/>
      <c r="I660" s="120"/>
      <c r="J660" s="117"/>
      <c r="K660" s="116">
        <f t="shared" si="22"/>
        <v>0</v>
      </c>
      <c r="L660" s="116">
        <f t="shared" si="23"/>
        <v>0</v>
      </c>
      <c r="M660" s="98"/>
      <c r="N660" s="117"/>
    </row>
    <row r="661" spans="1:14" ht="15.75" customHeight="1">
      <c r="A661" s="115">
        <v>46496</v>
      </c>
      <c r="B661" s="100"/>
      <c r="C661" s="98"/>
      <c r="D661" s="98"/>
      <c r="E661" s="100"/>
      <c r="F661" s="98"/>
      <c r="G661" s="98"/>
      <c r="H661" s="100"/>
      <c r="I661" s="120"/>
      <c r="J661" s="117"/>
      <c r="K661" s="116">
        <f t="shared" si="22"/>
        <v>0</v>
      </c>
      <c r="L661" s="116">
        <f t="shared" si="23"/>
        <v>0</v>
      </c>
      <c r="M661" s="98"/>
      <c r="N661" s="117"/>
    </row>
    <row r="662" spans="1:14" ht="15.75" customHeight="1">
      <c r="A662" s="115">
        <v>46497</v>
      </c>
      <c r="B662" s="100"/>
      <c r="C662" s="98"/>
      <c r="D662" s="98"/>
      <c r="E662" s="100"/>
      <c r="F662" s="98"/>
      <c r="G662" s="98"/>
      <c r="H662" s="100"/>
      <c r="I662" s="120"/>
      <c r="J662" s="117"/>
      <c r="K662" s="116">
        <f t="shared" ref="K662:K725" si="24">G662+I662+J662</f>
        <v>0</v>
      </c>
      <c r="L662" s="116">
        <f t="shared" ref="L662:L725" si="25">F662-K662</f>
        <v>0</v>
      </c>
      <c r="M662" s="98"/>
      <c r="N662" s="117"/>
    </row>
    <row r="663" spans="1:14" ht="15.75" customHeight="1">
      <c r="A663" s="115">
        <v>46498</v>
      </c>
      <c r="B663" s="100"/>
      <c r="C663" s="98"/>
      <c r="D663" s="98"/>
      <c r="E663" s="100"/>
      <c r="F663" s="98"/>
      <c r="G663" s="98"/>
      <c r="H663" s="100"/>
      <c r="I663" s="120"/>
      <c r="J663" s="117"/>
      <c r="K663" s="116">
        <f t="shared" si="24"/>
        <v>0</v>
      </c>
      <c r="L663" s="116">
        <f t="shared" si="25"/>
        <v>0</v>
      </c>
      <c r="M663" s="98"/>
      <c r="N663" s="117"/>
    </row>
    <row r="664" spans="1:14" ht="15.75" customHeight="1">
      <c r="A664" s="115">
        <v>46499</v>
      </c>
      <c r="B664" s="100"/>
      <c r="C664" s="98"/>
      <c r="D664" s="98"/>
      <c r="E664" s="100"/>
      <c r="F664" s="98"/>
      <c r="G664" s="98"/>
      <c r="H664" s="100"/>
      <c r="I664" s="120"/>
      <c r="J664" s="117"/>
      <c r="K664" s="116">
        <f t="shared" si="24"/>
        <v>0</v>
      </c>
      <c r="L664" s="116">
        <f t="shared" si="25"/>
        <v>0</v>
      </c>
      <c r="M664" s="98"/>
      <c r="N664" s="117"/>
    </row>
    <row r="665" spans="1:14" ht="15.75" customHeight="1">
      <c r="A665" s="115">
        <v>46500</v>
      </c>
      <c r="B665" s="100"/>
      <c r="C665" s="98"/>
      <c r="D665" s="98"/>
      <c r="E665" s="100"/>
      <c r="F665" s="98"/>
      <c r="G665" s="98"/>
      <c r="H665" s="100"/>
      <c r="I665" s="120"/>
      <c r="J665" s="117"/>
      <c r="K665" s="116">
        <f t="shared" si="24"/>
        <v>0</v>
      </c>
      <c r="L665" s="116">
        <f t="shared" si="25"/>
        <v>0</v>
      </c>
      <c r="M665" s="98"/>
      <c r="N665" s="117"/>
    </row>
    <row r="666" spans="1:14" ht="15.75" customHeight="1">
      <c r="A666" s="115">
        <v>46501</v>
      </c>
      <c r="B666" s="100"/>
      <c r="C666" s="98"/>
      <c r="D666" s="98"/>
      <c r="E666" s="100"/>
      <c r="F666" s="98"/>
      <c r="G666" s="98"/>
      <c r="H666" s="100"/>
      <c r="I666" s="120"/>
      <c r="J666" s="117"/>
      <c r="K666" s="116">
        <f t="shared" si="24"/>
        <v>0</v>
      </c>
      <c r="L666" s="116">
        <f t="shared" si="25"/>
        <v>0</v>
      </c>
      <c r="M666" s="98"/>
      <c r="N666" s="117"/>
    </row>
    <row r="667" spans="1:14" ht="15.75" customHeight="1">
      <c r="A667" s="115">
        <v>46502</v>
      </c>
      <c r="B667" s="100"/>
      <c r="C667" s="98"/>
      <c r="D667" s="98"/>
      <c r="E667" s="100"/>
      <c r="F667" s="98"/>
      <c r="G667" s="98"/>
      <c r="H667" s="100"/>
      <c r="I667" s="120"/>
      <c r="J667" s="117"/>
      <c r="K667" s="116">
        <f t="shared" si="24"/>
        <v>0</v>
      </c>
      <c r="L667" s="116">
        <f t="shared" si="25"/>
        <v>0</v>
      </c>
      <c r="M667" s="98"/>
      <c r="N667" s="117"/>
    </row>
    <row r="668" spans="1:14" ht="15.75" customHeight="1">
      <c r="A668" s="115">
        <v>46503</v>
      </c>
      <c r="B668" s="100"/>
      <c r="C668" s="98"/>
      <c r="D668" s="98"/>
      <c r="E668" s="100"/>
      <c r="F668" s="98"/>
      <c r="G668" s="98"/>
      <c r="H668" s="100"/>
      <c r="I668" s="120"/>
      <c r="J668" s="117"/>
      <c r="K668" s="116">
        <f t="shared" si="24"/>
        <v>0</v>
      </c>
      <c r="L668" s="116">
        <f t="shared" si="25"/>
        <v>0</v>
      </c>
      <c r="M668" s="98"/>
      <c r="N668" s="117"/>
    </row>
    <row r="669" spans="1:14" ht="15.75" customHeight="1">
      <c r="A669" s="115">
        <v>46504</v>
      </c>
      <c r="B669" s="100"/>
      <c r="C669" s="98"/>
      <c r="D669" s="98"/>
      <c r="E669" s="100"/>
      <c r="F669" s="98"/>
      <c r="G669" s="98"/>
      <c r="H669" s="100"/>
      <c r="I669" s="120"/>
      <c r="J669" s="117"/>
      <c r="K669" s="116">
        <f t="shared" si="24"/>
        <v>0</v>
      </c>
      <c r="L669" s="116">
        <f t="shared" si="25"/>
        <v>0</v>
      </c>
      <c r="M669" s="98"/>
      <c r="N669" s="117"/>
    </row>
    <row r="670" spans="1:14" ht="15.75" customHeight="1">
      <c r="A670" s="115">
        <v>46505</v>
      </c>
      <c r="B670" s="100"/>
      <c r="C670" s="98"/>
      <c r="D670" s="98"/>
      <c r="E670" s="100"/>
      <c r="F670" s="98"/>
      <c r="G670" s="98"/>
      <c r="H670" s="100"/>
      <c r="I670" s="120"/>
      <c r="J670" s="117"/>
      <c r="K670" s="116">
        <f t="shared" si="24"/>
        <v>0</v>
      </c>
      <c r="L670" s="116">
        <f t="shared" si="25"/>
        <v>0</v>
      </c>
      <c r="M670" s="98"/>
      <c r="N670" s="117"/>
    </row>
    <row r="671" spans="1:14" ht="15.75" customHeight="1">
      <c r="A671" s="115">
        <v>46506</v>
      </c>
      <c r="B671" s="100"/>
      <c r="C671" s="98"/>
      <c r="D671" s="98"/>
      <c r="E671" s="100"/>
      <c r="F671" s="98"/>
      <c r="G671" s="98"/>
      <c r="H671" s="100"/>
      <c r="I671" s="120"/>
      <c r="J671" s="117"/>
      <c r="K671" s="116">
        <f t="shared" si="24"/>
        <v>0</v>
      </c>
      <c r="L671" s="116">
        <f t="shared" si="25"/>
        <v>0</v>
      </c>
      <c r="M671" s="98"/>
      <c r="N671" s="117"/>
    </row>
    <row r="672" spans="1:14" ht="15.75" customHeight="1">
      <c r="A672" s="115">
        <v>46507</v>
      </c>
      <c r="B672" s="100"/>
      <c r="C672" s="98"/>
      <c r="D672" s="98"/>
      <c r="E672" s="100"/>
      <c r="F672" s="98"/>
      <c r="G672" s="98"/>
      <c r="H672" s="100"/>
      <c r="I672" s="120"/>
      <c r="J672" s="117"/>
      <c r="K672" s="116">
        <f t="shared" si="24"/>
        <v>0</v>
      </c>
      <c r="L672" s="116">
        <f t="shared" si="25"/>
        <v>0</v>
      </c>
      <c r="M672" s="98"/>
      <c r="N672" s="117"/>
    </row>
    <row r="673" spans="1:14" ht="15.75" customHeight="1">
      <c r="A673" s="115">
        <v>46508</v>
      </c>
      <c r="B673" s="100"/>
      <c r="C673" s="98"/>
      <c r="D673" s="98"/>
      <c r="E673" s="100"/>
      <c r="F673" s="98"/>
      <c r="G673" s="98"/>
      <c r="H673" s="100"/>
      <c r="I673" s="120"/>
      <c r="J673" s="117"/>
      <c r="K673" s="116">
        <f t="shared" si="24"/>
        <v>0</v>
      </c>
      <c r="L673" s="116">
        <f t="shared" si="25"/>
        <v>0</v>
      </c>
      <c r="M673" s="98"/>
      <c r="N673" s="117"/>
    </row>
    <row r="674" spans="1:14" ht="15.75" customHeight="1">
      <c r="A674" s="115">
        <v>46509</v>
      </c>
      <c r="B674" s="100"/>
      <c r="C674" s="98"/>
      <c r="D674" s="98"/>
      <c r="E674" s="100"/>
      <c r="F674" s="98"/>
      <c r="G674" s="98"/>
      <c r="H674" s="100"/>
      <c r="I674" s="120"/>
      <c r="J674" s="117"/>
      <c r="K674" s="116">
        <f t="shared" si="24"/>
        <v>0</v>
      </c>
      <c r="L674" s="116">
        <f t="shared" si="25"/>
        <v>0</v>
      </c>
      <c r="M674" s="98"/>
      <c r="N674" s="117"/>
    </row>
    <row r="675" spans="1:14" ht="15.75" customHeight="1">
      <c r="A675" s="115">
        <v>46510</v>
      </c>
      <c r="B675" s="100"/>
      <c r="C675" s="98"/>
      <c r="D675" s="98"/>
      <c r="E675" s="100"/>
      <c r="F675" s="98"/>
      <c r="G675" s="98"/>
      <c r="H675" s="100"/>
      <c r="I675" s="120"/>
      <c r="J675" s="117"/>
      <c r="K675" s="116">
        <f t="shared" si="24"/>
        <v>0</v>
      </c>
      <c r="L675" s="116">
        <f t="shared" si="25"/>
        <v>0</v>
      </c>
      <c r="M675" s="98"/>
      <c r="N675" s="117"/>
    </row>
    <row r="676" spans="1:14" ht="15.75" customHeight="1">
      <c r="A676" s="115">
        <v>46511</v>
      </c>
      <c r="B676" s="100"/>
      <c r="C676" s="98"/>
      <c r="D676" s="98"/>
      <c r="E676" s="100"/>
      <c r="F676" s="98"/>
      <c r="G676" s="98"/>
      <c r="H676" s="100"/>
      <c r="I676" s="120"/>
      <c r="J676" s="117"/>
      <c r="K676" s="116">
        <f t="shared" si="24"/>
        <v>0</v>
      </c>
      <c r="L676" s="116">
        <f t="shared" si="25"/>
        <v>0</v>
      </c>
      <c r="M676" s="98"/>
      <c r="N676" s="117"/>
    </row>
    <row r="677" spans="1:14" ht="15.75" customHeight="1">
      <c r="A677" s="115">
        <v>46512</v>
      </c>
      <c r="B677" s="100"/>
      <c r="C677" s="98"/>
      <c r="D677" s="98"/>
      <c r="E677" s="100"/>
      <c r="F677" s="98"/>
      <c r="G677" s="98"/>
      <c r="H677" s="100"/>
      <c r="I677" s="120"/>
      <c r="J677" s="117"/>
      <c r="K677" s="116">
        <f t="shared" si="24"/>
        <v>0</v>
      </c>
      <c r="L677" s="116">
        <f t="shared" si="25"/>
        <v>0</v>
      </c>
      <c r="M677" s="98"/>
      <c r="N677" s="117"/>
    </row>
    <row r="678" spans="1:14" ht="15.75" customHeight="1">
      <c r="A678" s="115">
        <v>46513</v>
      </c>
      <c r="B678" s="100"/>
      <c r="C678" s="98"/>
      <c r="D678" s="98"/>
      <c r="E678" s="100"/>
      <c r="F678" s="98"/>
      <c r="G678" s="98"/>
      <c r="H678" s="100"/>
      <c r="I678" s="120"/>
      <c r="J678" s="117"/>
      <c r="K678" s="116">
        <f t="shared" si="24"/>
        <v>0</v>
      </c>
      <c r="L678" s="116">
        <f t="shared" si="25"/>
        <v>0</v>
      </c>
      <c r="M678" s="98"/>
      <c r="N678" s="117"/>
    </row>
    <row r="679" spans="1:14" ht="15.75" customHeight="1">
      <c r="A679" s="115">
        <v>46514</v>
      </c>
      <c r="B679" s="100"/>
      <c r="C679" s="98"/>
      <c r="D679" s="98"/>
      <c r="E679" s="100"/>
      <c r="F679" s="98"/>
      <c r="G679" s="98"/>
      <c r="H679" s="100"/>
      <c r="I679" s="120"/>
      <c r="J679" s="117"/>
      <c r="K679" s="116">
        <f t="shared" si="24"/>
        <v>0</v>
      </c>
      <c r="L679" s="116">
        <f t="shared" si="25"/>
        <v>0</v>
      </c>
      <c r="M679" s="98"/>
      <c r="N679" s="117"/>
    </row>
    <row r="680" spans="1:14" ht="15.75" customHeight="1">
      <c r="A680" s="115">
        <v>46515</v>
      </c>
      <c r="B680" s="100"/>
      <c r="C680" s="98"/>
      <c r="D680" s="98"/>
      <c r="E680" s="100"/>
      <c r="F680" s="98"/>
      <c r="G680" s="98"/>
      <c r="H680" s="100"/>
      <c r="I680" s="120"/>
      <c r="J680" s="117"/>
      <c r="K680" s="116">
        <f t="shared" si="24"/>
        <v>0</v>
      </c>
      <c r="L680" s="116">
        <f t="shared" si="25"/>
        <v>0</v>
      </c>
      <c r="M680" s="98"/>
      <c r="N680" s="117"/>
    </row>
    <row r="681" spans="1:14" ht="15.75" customHeight="1">
      <c r="A681" s="115">
        <v>46516</v>
      </c>
      <c r="B681" s="100"/>
      <c r="C681" s="98"/>
      <c r="D681" s="98"/>
      <c r="E681" s="100"/>
      <c r="F681" s="98"/>
      <c r="G681" s="98"/>
      <c r="H681" s="100"/>
      <c r="I681" s="120"/>
      <c r="J681" s="117"/>
      <c r="K681" s="116">
        <f t="shared" si="24"/>
        <v>0</v>
      </c>
      <c r="L681" s="116">
        <f t="shared" si="25"/>
        <v>0</v>
      </c>
      <c r="M681" s="98"/>
      <c r="N681" s="117"/>
    </row>
    <row r="682" spans="1:14" ht="15.75" customHeight="1">
      <c r="A682" s="115">
        <v>46517</v>
      </c>
      <c r="B682" s="100"/>
      <c r="C682" s="98"/>
      <c r="D682" s="98"/>
      <c r="E682" s="100"/>
      <c r="F682" s="98"/>
      <c r="G682" s="98"/>
      <c r="H682" s="100"/>
      <c r="I682" s="120"/>
      <c r="J682" s="117"/>
      <c r="K682" s="116">
        <f t="shared" si="24"/>
        <v>0</v>
      </c>
      <c r="L682" s="116">
        <f t="shared" si="25"/>
        <v>0</v>
      </c>
      <c r="M682" s="98"/>
      <c r="N682" s="117"/>
    </row>
    <row r="683" spans="1:14" ht="15.75" customHeight="1">
      <c r="A683" s="115">
        <v>46518</v>
      </c>
      <c r="B683" s="100"/>
      <c r="C683" s="98"/>
      <c r="D683" s="98"/>
      <c r="E683" s="100"/>
      <c r="F683" s="98"/>
      <c r="G683" s="98"/>
      <c r="H683" s="100"/>
      <c r="I683" s="120"/>
      <c r="J683" s="117"/>
      <c r="K683" s="116">
        <f t="shared" si="24"/>
        <v>0</v>
      </c>
      <c r="L683" s="116">
        <f t="shared" si="25"/>
        <v>0</v>
      </c>
      <c r="M683" s="98"/>
      <c r="N683" s="117"/>
    </row>
    <row r="684" spans="1:14" ht="15.75" customHeight="1">
      <c r="A684" s="115">
        <v>46519</v>
      </c>
      <c r="B684" s="100"/>
      <c r="C684" s="98"/>
      <c r="D684" s="98"/>
      <c r="E684" s="100"/>
      <c r="F684" s="98"/>
      <c r="G684" s="98"/>
      <c r="H684" s="100"/>
      <c r="I684" s="120"/>
      <c r="J684" s="117"/>
      <c r="K684" s="116">
        <f t="shared" si="24"/>
        <v>0</v>
      </c>
      <c r="L684" s="116">
        <f t="shared" si="25"/>
        <v>0</v>
      </c>
      <c r="M684" s="98"/>
      <c r="N684" s="117"/>
    </row>
    <row r="685" spans="1:14" ht="15.75" customHeight="1">
      <c r="A685" s="115">
        <v>46520</v>
      </c>
      <c r="B685" s="100"/>
      <c r="C685" s="98"/>
      <c r="D685" s="98"/>
      <c r="E685" s="100"/>
      <c r="F685" s="98"/>
      <c r="G685" s="98"/>
      <c r="H685" s="100"/>
      <c r="I685" s="120"/>
      <c r="J685" s="117"/>
      <c r="K685" s="116">
        <f t="shared" si="24"/>
        <v>0</v>
      </c>
      <c r="L685" s="116">
        <f t="shared" si="25"/>
        <v>0</v>
      </c>
      <c r="M685" s="98"/>
      <c r="N685" s="117"/>
    </row>
    <row r="686" spans="1:14" ht="15.75" customHeight="1">
      <c r="A686" s="115">
        <v>46521</v>
      </c>
      <c r="B686" s="100"/>
      <c r="C686" s="98"/>
      <c r="D686" s="98"/>
      <c r="E686" s="100"/>
      <c r="F686" s="98"/>
      <c r="G686" s="98"/>
      <c r="H686" s="100"/>
      <c r="I686" s="120"/>
      <c r="J686" s="117"/>
      <c r="K686" s="116">
        <f t="shared" si="24"/>
        <v>0</v>
      </c>
      <c r="L686" s="116">
        <f t="shared" si="25"/>
        <v>0</v>
      </c>
      <c r="M686" s="98"/>
      <c r="N686" s="117"/>
    </row>
    <row r="687" spans="1:14" ht="15.75" customHeight="1">
      <c r="A687" s="115">
        <v>46522</v>
      </c>
      <c r="B687" s="100"/>
      <c r="C687" s="98"/>
      <c r="D687" s="98"/>
      <c r="E687" s="100"/>
      <c r="F687" s="98"/>
      <c r="G687" s="98"/>
      <c r="H687" s="100"/>
      <c r="I687" s="120"/>
      <c r="J687" s="117"/>
      <c r="K687" s="116">
        <f t="shared" si="24"/>
        <v>0</v>
      </c>
      <c r="L687" s="116">
        <f t="shared" si="25"/>
        <v>0</v>
      </c>
      <c r="M687" s="98"/>
      <c r="N687" s="117"/>
    </row>
    <row r="688" spans="1:14" ht="15.75" customHeight="1">
      <c r="A688" s="115">
        <v>46523</v>
      </c>
      <c r="B688" s="100"/>
      <c r="C688" s="98"/>
      <c r="D688" s="98"/>
      <c r="E688" s="100"/>
      <c r="F688" s="98"/>
      <c r="G688" s="98"/>
      <c r="H688" s="100"/>
      <c r="I688" s="120"/>
      <c r="J688" s="117"/>
      <c r="K688" s="116">
        <f t="shared" si="24"/>
        <v>0</v>
      </c>
      <c r="L688" s="116">
        <f t="shared" si="25"/>
        <v>0</v>
      </c>
      <c r="M688" s="98"/>
      <c r="N688" s="117"/>
    </row>
    <row r="689" spans="1:14" ht="15.75" customHeight="1">
      <c r="A689" s="115">
        <v>46524</v>
      </c>
      <c r="B689" s="100"/>
      <c r="C689" s="98"/>
      <c r="D689" s="98"/>
      <c r="E689" s="100"/>
      <c r="F689" s="98"/>
      <c r="G689" s="98"/>
      <c r="H689" s="100"/>
      <c r="I689" s="120"/>
      <c r="J689" s="117"/>
      <c r="K689" s="116">
        <f t="shared" si="24"/>
        <v>0</v>
      </c>
      <c r="L689" s="116">
        <f t="shared" si="25"/>
        <v>0</v>
      </c>
      <c r="M689" s="98"/>
      <c r="N689" s="117"/>
    </row>
    <row r="690" spans="1:14" ht="15.75" customHeight="1">
      <c r="A690" s="115">
        <v>46525</v>
      </c>
      <c r="B690" s="100"/>
      <c r="C690" s="98"/>
      <c r="D690" s="98"/>
      <c r="E690" s="100"/>
      <c r="F690" s="98"/>
      <c r="G690" s="98"/>
      <c r="H690" s="100"/>
      <c r="I690" s="120"/>
      <c r="J690" s="117"/>
      <c r="K690" s="116">
        <f t="shared" si="24"/>
        <v>0</v>
      </c>
      <c r="L690" s="116">
        <f t="shared" si="25"/>
        <v>0</v>
      </c>
      <c r="M690" s="98"/>
      <c r="N690" s="117"/>
    </row>
    <row r="691" spans="1:14" ht="15.75" customHeight="1">
      <c r="A691" s="115">
        <v>46526</v>
      </c>
      <c r="B691" s="100"/>
      <c r="C691" s="98"/>
      <c r="D691" s="98"/>
      <c r="E691" s="100"/>
      <c r="F691" s="98"/>
      <c r="G691" s="98"/>
      <c r="H691" s="100"/>
      <c r="I691" s="120"/>
      <c r="J691" s="117"/>
      <c r="K691" s="116">
        <f t="shared" si="24"/>
        <v>0</v>
      </c>
      <c r="L691" s="116">
        <f t="shared" si="25"/>
        <v>0</v>
      </c>
      <c r="M691" s="98"/>
      <c r="N691" s="117"/>
    </row>
    <row r="692" spans="1:14" ht="15.75" customHeight="1">
      <c r="A692" s="115">
        <v>46527</v>
      </c>
      <c r="B692" s="100"/>
      <c r="C692" s="98"/>
      <c r="D692" s="98"/>
      <c r="E692" s="100"/>
      <c r="F692" s="98"/>
      <c r="G692" s="98"/>
      <c r="H692" s="100"/>
      <c r="I692" s="120"/>
      <c r="J692" s="117"/>
      <c r="K692" s="116">
        <f t="shared" si="24"/>
        <v>0</v>
      </c>
      <c r="L692" s="116">
        <f t="shared" si="25"/>
        <v>0</v>
      </c>
      <c r="M692" s="98"/>
      <c r="N692" s="117"/>
    </row>
    <row r="693" spans="1:14" ht="15.75" customHeight="1">
      <c r="A693" s="115">
        <v>46528</v>
      </c>
      <c r="B693" s="100"/>
      <c r="C693" s="98"/>
      <c r="D693" s="98"/>
      <c r="E693" s="100"/>
      <c r="F693" s="98"/>
      <c r="G693" s="98"/>
      <c r="H693" s="100"/>
      <c r="I693" s="120"/>
      <c r="J693" s="117"/>
      <c r="K693" s="116">
        <f t="shared" si="24"/>
        <v>0</v>
      </c>
      <c r="L693" s="116">
        <f t="shared" si="25"/>
        <v>0</v>
      </c>
      <c r="M693" s="98"/>
      <c r="N693" s="117"/>
    </row>
    <row r="694" spans="1:14" ht="15.75" customHeight="1">
      <c r="A694" s="115">
        <v>46529</v>
      </c>
      <c r="B694" s="100"/>
      <c r="C694" s="98"/>
      <c r="D694" s="98"/>
      <c r="E694" s="100"/>
      <c r="F694" s="98"/>
      <c r="G694" s="98"/>
      <c r="H694" s="100"/>
      <c r="I694" s="120"/>
      <c r="J694" s="117"/>
      <c r="K694" s="116">
        <f t="shared" si="24"/>
        <v>0</v>
      </c>
      <c r="L694" s="116">
        <f t="shared" si="25"/>
        <v>0</v>
      </c>
      <c r="M694" s="98"/>
      <c r="N694" s="117"/>
    </row>
    <row r="695" spans="1:14" ht="15.75" customHeight="1">
      <c r="A695" s="115">
        <v>46530</v>
      </c>
      <c r="B695" s="100"/>
      <c r="C695" s="98"/>
      <c r="D695" s="98"/>
      <c r="E695" s="100"/>
      <c r="F695" s="98"/>
      <c r="G695" s="98"/>
      <c r="H695" s="100"/>
      <c r="I695" s="120"/>
      <c r="J695" s="117"/>
      <c r="K695" s="116">
        <f t="shared" si="24"/>
        <v>0</v>
      </c>
      <c r="L695" s="116">
        <f t="shared" si="25"/>
        <v>0</v>
      </c>
      <c r="M695" s="98"/>
      <c r="N695" s="117"/>
    </row>
    <row r="696" spans="1:14" ht="15.75" customHeight="1">
      <c r="A696" s="115">
        <v>46531</v>
      </c>
      <c r="B696" s="100"/>
      <c r="C696" s="98"/>
      <c r="D696" s="98"/>
      <c r="E696" s="100"/>
      <c r="F696" s="98"/>
      <c r="G696" s="98"/>
      <c r="H696" s="100"/>
      <c r="I696" s="120"/>
      <c r="J696" s="117"/>
      <c r="K696" s="116">
        <f t="shared" si="24"/>
        <v>0</v>
      </c>
      <c r="L696" s="116">
        <f t="shared" si="25"/>
        <v>0</v>
      </c>
      <c r="M696" s="98"/>
      <c r="N696" s="117"/>
    </row>
    <row r="697" spans="1:14" ht="15.75" customHeight="1">
      <c r="A697" s="115">
        <v>46532</v>
      </c>
      <c r="B697" s="100"/>
      <c r="C697" s="98"/>
      <c r="D697" s="98"/>
      <c r="E697" s="100"/>
      <c r="F697" s="98"/>
      <c r="G697" s="98"/>
      <c r="H697" s="100"/>
      <c r="I697" s="120"/>
      <c r="J697" s="117"/>
      <c r="K697" s="116">
        <f t="shared" si="24"/>
        <v>0</v>
      </c>
      <c r="L697" s="116">
        <f t="shared" si="25"/>
        <v>0</v>
      </c>
      <c r="M697" s="98"/>
      <c r="N697" s="117"/>
    </row>
    <row r="698" spans="1:14" ht="15.75" customHeight="1">
      <c r="A698" s="115">
        <v>46533</v>
      </c>
      <c r="B698" s="100"/>
      <c r="C698" s="98"/>
      <c r="D698" s="98"/>
      <c r="E698" s="100"/>
      <c r="F698" s="98"/>
      <c r="G698" s="98"/>
      <c r="H698" s="100"/>
      <c r="I698" s="120"/>
      <c r="J698" s="117"/>
      <c r="K698" s="116">
        <f t="shared" si="24"/>
        <v>0</v>
      </c>
      <c r="L698" s="116">
        <f t="shared" si="25"/>
        <v>0</v>
      </c>
      <c r="M698" s="98"/>
      <c r="N698" s="117"/>
    </row>
    <row r="699" spans="1:14" ht="15.75" customHeight="1">
      <c r="A699" s="115">
        <v>46534</v>
      </c>
      <c r="B699" s="100"/>
      <c r="C699" s="98"/>
      <c r="D699" s="98"/>
      <c r="E699" s="100"/>
      <c r="F699" s="98"/>
      <c r="G699" s="98"/>
      <c r="H699" s="100"/>
      <c r="I699" s="120"/>
      <c r="J699" s="117"/>
      <c r="K699" s="116">
        <f t="shared" si="24"/>
        <v>0</v>
      </c>
      <c r="L699" s="116">
        <f t="shared" si="25"/>
        <v>0</v>
      </c>
      <c r="M699" s="98"/>
      <c r="N699" s="117"/>
    </row>
    <row r="700" spans="1:14" ht="15.75" customHeight="1">
      <c r="A700" s="115">
        <v>46535</v>
      </c>
      <c r="B700" s="100"/>
      <c r="C700" s="98"/>
      <c r="D700" s="98"/>
      <c r="E700" s="100"/>
      <c r="F700" s="98"/>
      <c r="G700" s="98"/>
      <c r="H700" s="100"/>
      <c r="I700" s="120"/>
      <c r="J700" s="117"/>
      <c r="K700" s="116">
        <f t="shared" si="24"/>
        <v>0</v>
      </c>
      <c r="L700" s="116">
        <f t="shared" si="25"/>
        <v>0</v>
      </c>
      <c r="M700" s="98"/>
      <c r="N700" s="117"/>
    </row>
    <row r="701" spans="1:14" ht="15.75" customHeight="1">
      <c r="A701" s="115">
        <v>46536</v>
      </c>
      <c r="B701" s="100"/>
      <c r="C701" s="98"/>
      <c r="D701" s="98"/>
      <c r="E701" s="100"/>
      <c r="F701" s="98"/>
      <c r="G701" s="98"/>
      <c r="H701" s="100"/>
      <c r="I701" s="120"/>
      <c r="J701" s="117"/>
      <c r="K701" s="116">
        <f t="shared" si="24"/>
        <v>0</v>
      </c>
      <c r="L701" s="116">
        <f t="shared" si="25"/>
        <v>0</v>
      </c>
      <c r="M701" s="98"/>
      <c r="N701" s="117"/>
    </row>
    <row r="702" spans="1:14" ht="15.75" customHeight="1">
      <c r="A702" s="115">
        <v>46537</v>
      </c>
      <c r="B702" s="100"/>
      <c r="C702" s="98"/>
      <c r="D702" s="98"/>
      <c r="E702" s="100"/>
      <c r="F702" s="98"/>
      <c r="G702" s="98"/>
      <c r="H702" s="100"/>
      <c r="I702" s="120"/>
      <c r="J702" s="117"/>
      <c r="K702" s="116">
        <f t="shared" si="24"/>
        <v>0</v>
      </c>
      <c r="L702" s="116">
        <f t="shared" si="25"/>
        <v>0</v>
      </c>
      <c r="M702" s="98"/>
      <c r="N702" s="117"/>
    </row>
    <row r="703" spans="1:14" ht="15.75" customHeight="1">
      <c r="A703" s="115">
        <v>46538</v>
      </c>
      <c r="B703" s="100"/>
      <c r="C703" s="98"/>
      <c r="D703" s="98"/>
      <c r="E703" s="100"/>
      <c r="F703" s="98"/>
      <c r="G703" s="98"/>
      <c r="H703" s="100"/>
      <c r="I703" s="120"/>
      <c r="J703" s="117"/>
      <c r="K703" s="116">
        <f t="shared" si="24"/>
        <v>0</v>
      </c>
      <c r="L703" s="116">
        <f t="shared" si="25"/>
        <v>0</v>
      </c>
      <c r="M703" s="98"/>
      <c r="N703" s="117"/>
    </row>
    <row r="704" spans="1:14" ht="15.75" customHeight="1">
      <c r="A704" s="115">
        <v>46539</v>
      </c>
      <c r="B704" s="100"/>
      <c r="C704" s="98"/>
      <c r="D704" s="98"/>
      <c r="E704" s="100"/>
      <c r="F704" s="98"/>
      <c r="G704" s="98"/>
      <c r="H704" s="100"/>
      <c r="I704" s="120"/>
      <c r="J704" s="117"/>
      <c r="K704" s="116">
        <f t="shared" si="24"/>
        <v>0</v>
      </c>
      <c r="L704" s="116">
        <f t="shared" si="25"/>
        <v>0</v>
      </c>
      <c r="M704" s="98"/>
      <c r="N704" s="117"/>
    </row>
    <row r="705" spans="1:14" ht="15.75" customHeight="1">
      <c r="A705" s="115">
        <v>46540</v>
      </c>
      <c r="B705" s="100"/>
      <c r="C705" s="98"/>
      <c r="D705" s="98"/>
      <c r="E705" s="100"/>
      <c r="F705" s="98"/>
      <c r="G705" s="98"/>
      <c r="H705" s="100"/>
      <c r="I705" s="120"/>
      <c r="J705" s="117"/>
      <c r="K705" s="116">
        <f t="shared" si="24"/>
        <v>0</v>
      </c>
      <c r="L705" s="116">
        <f t="shared" si="25"/>
        <v>0</v>
      </c>
      <c r="M705" s="98"/>
      <c r="N705" s="117"/>
    </row>
    <row r="706" spans="1:14" ht="15.75" customHeight="1">
      <c r="A706" s="115">
        <v>46541</v>
      </c>
      <c r="B706" s="100"/>
      <c r="C706" s="98"/>
      <c r="D706" s="98"/>
      <c r="E706" s="100"/>
      <c r="F706" s="98"/>
      <c r="G706" s="98"/>
      <c r="H706" s="100"/>
      <c r="I706" s="120"/>
      <c r="J706" s="117"/>
      <c r="K706" s="116">
        <f t="shared" si="24"/>
        <v>0</v>
      </c>
      <c r="L706" s="116">
        <f t="shared" si="25"/>
        <v>0</v>
      </c>
      <c r="M706" s="98"/>
      <c r="N706" s="117"/>
    </row>
    <row r="707" spans="1:14" ht="15.75" customHeight="1">
      <c r="A707" s="115">
        <v>46542</v>
      </c>
      <c r="B707" s="100"/>
      <c r="C707" s="98"/>
      <c r="D707" s="98"/>
      <c r="E707" s="100"/>
      <c r="F707" s="98"/>
      <c r="G707" s="98"/>
      <c r="H707" s="100"/>
      <c r="I707" s="120"/>
      <c r="J707" s="117"/>
      <c r="K707" s="116">
        <f t="shared" si="24"/>
        <v>0</v>
      </c>
      <c r="L707" s="116">
        <f t="shared" si="25"/>
        <v>0</v>
      </c>
      <c r="M707" s="98"/>
      <c r="N707" s="117"/>
    </row>
    <row r="708" spans="1:14" ht="15.75" customHeight="1">
      <c r="A708" s="115">
        <v>46543</v>
      </c>
      <c r="B708" s="100"/>
      <c r="C708" s="98"/>
      <c r="D708" s="98"/>
      <c r="E708" s="100"/>
      <c r="F708" s="98"/>
      <c r="G708" s="98"/>
      <c r="H708" s="100"/>
      <c r="I708" s="120"/>
      <c r="J708" s="117"/>
      <c r="K708" s="116">
        <f t="shared" si="24"/>
        <v>0</v>
      </c>
      <c r="L708" s="116">
        <f t="shared" si="25"/>
        <v>0</v>
      </c>
      <c r="M708" s="98"/>
      <c r="N708" s="117"/>
    </row>
    <row r="709" spans="1:14" ht="15.75" customHeight="1">
      <c r="A709" s="115">
        <v>46544</v>
      </c>
      <c r="B709" s="100"/>
      <c r="C709" s="98"/>
      <c r="D709" s="98"/>
      <c r="E709" s="100"/>
      <c r="F709" s="98"/>
      <c r="G709" s="98"/>
      <c r="H709" s="100"/>
      <c r="I709" s="120"/>
      <c r="J709" s="117"/>
      <c r="K709" s="116">
        <f t="shared" si="24"/>
        <v>0</v>
      </c>
      <c r="L709" s="116">
        <f t="shared" si="25"/>
        <v>0</v>
      </c>
      <c r="M709" s="98"/>
      <c r="N709" s="117"/>
    </row>
    <row r="710" spans="1:14" ht="15.75" customHeight="1">
      <c r="A710" s="115">
        <v>46545</v>
      </c>
      <c r="B710" s="100"/>
      <c r="C710" s="98"/>
      <c r="D710" s="98"/>
      <c r="E710" s="100"/>
      <c r="F710" s="98"/>
      <c r="G710" s="98"/>
      <c r="H710" s="100"/>
      <c r="I710" s="120"/>
      <c r="J710" s="117"/>
      <c r="K710" s="116">
        <f t="shared" si="24"/>
        <v>0</v>
      </c>
      <c r="L710" s="116">
        <f t="shared" si="25"/>
        <v>0</v>
      </c>
      <c r="M710" s="98"/>
      <c r="N710" s="117"/>
    </row>
    <row r="711" spans="1:14" ht="15.75" customHeight="1">
      <c r="A711" s="115">
        <v>46546</v>
      </c>
      <c r="B711" s="100"/>
      <c r="C711" s="98"/>
      <c r="D711" s="98"/>
      <c r="E711" s="100"/>
      <c r="F711" s="98"/>
      <c r="G711" s="98"/>
      <c r="H711" s="100"/>
      <c r="I711" s="120"/>
      <c r="J711" s="117"/>
      <c r="K711" s="116">
        <f t="shared" si="24"/>
        <v>0</v>
      </c>
      <c r="L711" s="116">
        <f t="shared" si="25"/>
        <v>0</v>
      </c>
      <c r="M711" s="98"/>
      <c r="N711" s="117"/>
    </row>
    <row r="712" spans="1:14" ht="15.75" customHeight="1">
      <c r="A712" s="115">
        <v>46547</v>
      </c>
      <c r="B712" s="100"/>
      <c r="C712" s="98"/>
      <c r="D712" s="98"/>
      <c r="E712" s="100"/>
      <c r="F712" s="98"/>
      <c r="G712" s="98"/>
      <c r="H712" s="100"/>
      <c r="I712" s="120"/>
      <c r="J712" s="117"/>
      <c r="K712" s="116">
        <f t="shared" si="24"/>
        <v>0</v>
      </c>
      <c r="L712" s="116">
        <f t="shared" si="25"/>
        <v>0</v>
      </c>
      <c r="M712" s="98"/>
      <c r="N712" s="117"/>
    </row>
    <row r="713" spans="1:14" ht="15.75" customHeight="1">
      <c r="A713" s="115">
        <v>46548</v>
      </c>
      <c r="B713" s="100"/>
      <c r="C713" s="98"/>
      <c r="D713" s="98"/>
      <c r="E713" s="100"/>
      <c r="F713" s="98"/>
      <c r="G713" s="98"/>
      <c r="H713" s="100"/>
      <c r="I713" s="120"/>
      <c r="J713" s="117"/>
      <c r="K713" s="116">
        <f t="shared" si="24"/>
        <v>0</v>
      </c>
      <c r="L713" s="116">
        <f t="shared" si="25"/>
        <v>0</v>
      </c>
      <c r="M713" s="98"/>
      <c r="N713" s="117"/>
    </row>
    <row r="714" spans="1:14" ht="15.75" customHeight="1">
      <c r="A714" s="115">
        <v>46549</v>
      </c>
      <c r="B714" s="100"/>
      <c r="C714" s="98"/>
      <c r="D714" s="98"/>
      <c r="E714" s="100"/>
      <c r="F714" s="98"/>
      <c r="G714" s="98"/>
      <c r="H714" s="100"/>
      <c r="I714" s="120"/>
      <c r="J714" s="117"/>
      <c r="K714" s="116">
        <f t="shared" si="24"/>
        <v>0</v>
      </c>
      <c r="L714" s="116">
        <f t="shared" si="25"/>
        <v>0</v>
      </c>
      <c r="M714" s="98"/>
      <c r="N714" s="117"/>
    </row>
    <row r="715" spans="1:14" ht="15.75" customHeight="1">
      <c r="A715" s="115">
        <v>46550</v>
      </c>
      <c r="B715" s="100"/>
      <c r="C715" s="98"/>
      <c r="D715" s="98"/>
      <c r="E715" s="100"/>
      <c r="F715" s="98"/>
      <c r="G715" s="98"/>
      <c r="H715" s="100"/>
      <c r="I715" s="120"/>
      <c r="J715" s="117"/>
      <c r="K715" s="116">
        <f t="shared" si="24"/>
        <v>0</v>
      </c>
      <c r="L715" s="116">
        <f t="shared" si="25"/>
        <v>0</v>
      </c>
      <c r="M715" s="98"/>
      <c r="N715" s="117"/>
    </row>
    <row r="716" spans="1:14" ht="15.75" customHeight="1">
      <c r="A716" s="115">
        <v>46551</v>
      </c>
      <c r="B716" s="100"/>
      <c r="C716" s="98"/>
      <c r="D716" s="98"/>
      <c r="E716" s="100"/>
      <c r="F716" s="98"/>
      <c r="G716" s="98"/>
      <c r="H716" s="100"/>
      <c r="I716" s="120"/>
      <c r="J716" s="117"/>
      <c r="K716" s="116">
        <f t="shared" si="24"/>
        <v>0</v>
      </c>
      <c r="L716" s="116">
        <f t="shared" si="25"/>
        <v>0</v>
      </c>
      <c r="M716" s="98"/>
      <c r="N716" s="117"/>
    </row>
    <row r="717" spans="1:14" ht="15.75" customHeight="1">
      <c r="A717" s="115">
        <v>46552</v>
      </c>
      <c r="B717" s="100"/>
      <c r="C717" s="98"/>
      <c r="D717" s="98"/>
      <c r="E717" s="100"/>
      <c r="F717" s="98"/>
      <c r="G717" s="98"/>
      <c r="H717" s="100"/>
      <c r="I717" s="120"/>
      <c r="J717" s="117"/>
      <c r="K717" s="116">
        <f t="shared" si="24"/>
        <v>0</v>
      </c>
      <c r="L717" s="116">
        <f t="shared" si="25"/>
        <v>0</v>
      </c>
      <c r="M717" s="98"/>
      <c r="N717" s="117"/>
    </row>
    <row r="718" spans="1:14" ht="15.75" customHeight="1">
      <c r="A718" s="115">
        <v>46553</v>
      </c>
      <c r="B718" s="100"/>
      <c r="C718" s="98"/>
      <c r="D718" s="98"/>
      <c r="E718" s="100"/>
      <c r="F718" s="98"/>
      <c r="G718" s="98"/>
      <c r="H718" s="100"/>
      <c r="I718" s="120"/>
      <c r="J718" s="117"/>
      <c r="K718" s="116">
        <f t="shared" si="24"/>
        <v>0</v>
      </c>
      <c r="L718" s="116">
        <f t="shared" si="25"/>
        <v>0</v>
      </c>
      <c r="M718" s="98"/>
      <c r="N718" s="117"/>
    </row>
    <row r="719" spans="1:14" ht="15.75" customHeight="1">
      <c r="A719" s="115">
        <v>46554</v>
      </c>
      <c r="B719" s="100"/>
      <c r="C719" s="98"/>
      <c r="D719" s="98"/>
      <c r="E719" s="100"/>
      <c r="F719" s="98"/>
      <c r="G719" s="98"/>
      <c r="H719" s="100"/>
      <c r="I719" s="120"/>
      <c r="J719" s="117"/>
      <c r="K719" s="116">
        <f t="shared" si="24"/>
        <v>0</v>
      </c>
      <c r="L719" s="116">
        <f t="shared" si="25"/>
        <v>0</v>
      </c>
      <c r="M719" s="98"/>
      <c r="N719" s="117"/>
    </row>
    <row r="720" spans="1:14" ht="15.75" customHeight="1">
      <c r="A720" s="115">
        <v>46555</v>
      </c>
      <c r="B720" s="100"/>
      <c r="C720" s="98"/>
      <c r="D720" s="98"/>
      <c r="E720" s="100"/>
      <c r="F720" s="98"/>
      <c r="G720" s="98"/>
      <c r="H720" s="100"/>
      <c r="I720" s="120"/>
      <c r="J720" s="117"/>
      <c r="K720" s="116">
        <f t="shared" si="24"/>
        <v>0</v>
      </c>
      <c r="L720" s="116">
        <f t="shared" si="25"/>
        <v>0</v>
      </c>
      <c r="M720" s="98"/>
      <c r="N720" s="117"/>
    </row>
    <row r="721" spans="1:14" ht="15.75" customHeight="1">
      <c r="A721" s="115">
        <v>46556</v>
      </c>
      <c r="B721" s="100"/>
      <c r="C721" s="98"/>
      <c r="D721" s="98"/>
      <c r="E721" s="100"/>
      <c r="F721" s="98"/>
      <c r="G721" s="98"/>
      <c r="H721" s="100"/>
      <c r="I721" s="120"/>
      <c r="J721" s="117"/>
      <c r="K721" s="116">
        <f t="shared" si="24"/>
        <v>0</v>
      </c>
      <c r="L721" s="116">
        <f t="shared" si="25"/>
        <v>0</v>
      </c>
      <c r="M721" s="98"/>
      <c r="N721" s="117"/>
    </row>
    <row r="722" spans="1:14" ht="15.75" customHeight="1">
      <c r="A722" s="115">
        <v>46557</v>
      </c>
      <c r="B722" s="100"/>
      <c r="C722" s="98"/>
      <c r="D722" s="98"/>
      <c r="E722" s="100"/>
      <c r="F722" s="98"/>
      <c r="G722" s="98"/>
      <c r="H722" s="100"/>
      <c r="I722" s="120"/>
      <c r="J722" s="117"/>
      <c r="K722" s="116">
        <f t="shared" si="24"/>
        <v>0</v>
      </c>
      <c r="L722" s="116">
        <f t="shared" si="25"/>
        <v>0</v>
      </c>
      <c r="M722" s="98"/>
      <c r="N722" s="117"/>
    </row>
    <row r="723" spans="1:14" ht="15.75" customHeight="1">
      <c r="A723" s="115">
        <v>46558</v>
      </c>
      <c r="B723" s="100"/>
      <c r="C723" s="98"/>
      <c r="D723" s="98"/>
      <c r="E723" s="100"/>
      <c r="F723" s="98"/>
      <c r="G723" s="98"/>
      <c r="H723" s="100"/>
      <c r="I723" s="120"/>
      <c r="J723" s="117"/>
      <c r="K723" s="116">
        <f t="shared" si="24"/>
        <v>0</v>
      </c>
      <c r="L723" s="116">
        <f t="shared" si="25"/>
        <v>0</v>
      </c>
      <c r="M723" s="98"/>
      <c r="N723" s="117"/>
    </row>
    <row r="724" spans="1:14" ht="15.75" customHeight="1">
      <c r="A724" s="115">
        <v>46559</v>
      </c>
      <c r="B724" s="100"/>
      <c r="C724" s="98"/>
      <c r="D724" s="98"/>
      <c r="E724" s="100"/>
      <c r="F724" s="98"/>
      <c r="G724" s="98"/>
      <c r="H724" s="100"/>
      <c r="I724" s="120"/>
      <c r="J724" s="117"/>
      <c r="K724" s="116">
        <f t="shared" si="24"/>
        <v>0</v>
      </c>
      <c r="L724" s="116">
        <f t="shared" si="25"/>
        <v>0</v>
      </c>
      <c r="M724" s="98"/>
      <c r="N724" s="117"/>
    </row>
    <row r="725" spans="1:14" ht="15.75" customHeight="1">
      <c r="A725" s="115">
        <v>46560</v>
      </c>
      <c r="B725" s="100"/>
      <c r="C725" s="98"/>
      <c r="D725" s="98"/>
      <c r="E725" s="100"/>
      <c r="F725" s="98"/>
      <c r="G725" s="98"/>
      <c r="H725" s="100"/>
      <c r="I725" s="120"/>
      <c r="J725" s="117"/>
      <c r="K725" s="116">
        <f t="shared" si="24"/>
        <v>0</v>
      </c>
      <c r="L725" s="116">
        <f t="shared" si="25"/>
        <v>0</v>
      </c>
      <c r="M725" s="98"/>
      <c r="N725" s="117"/>
    </row>
    <row r="726" spans="1:14" ht="15.75" customHeight="1">
      <c r="A726" s="115">
        <v>46561</v>
      </c>
      <c r="B726" s="100"/>
      <c r="C726" s="98"/>
      <c r="D726" s="98"/>
      <c r="E726" s="100"/>
      <c r="F726" s="98"/>
      <c r="G726" s="98"/>
      <c r="H726" s="100"/>
      <c r="I726" s="120"/>
      <c r="J726" s="117"/>
      <c r="K726" s="116">
        <f t="shared" ref="K726:K789" si="26">G726+I726+J726</f>
        <v>0</v>
      </c>
      <c r="L726" s="116">
        <f t="shared" ref="L726:L789" si="27">F726-K726</f>
        <v>0</v>
      </c>
      <c r="M726" s="98"/>
      <c r="N726" s="117"/>
    </row>
    <row r="727" spans="1:14" ht="15.75" customHeight="1">
      <c r="A727" s="115">
        <v>46562</v>
      </c>
      <c r="B727" s="100"/>
      <c r="C727" s="98"/>
      <c r="D727" s="98"/>
      <c r="E727" s="100"/>
      <c r="F727" s="98"/>
      <c r="G727" s="98"/>
      <c r="H727" s="100"/>
      <c r="I727" s="120"/>
      <c r="J727" s="117"/>
      <c r="K727" s="116">
        <f t="shared" si="26"/>
        <v>0</v>
      </c>
      <c r="L727" s="116">
        <f t="shared" si="27"/>
        <v>0</v>
      </c>
      <c r="M727" s="98"/>
      <c r="N727" s="117"/>
    </row>
    <row r="728" spans="1:14" ht="15.75" customHeight="1">
      <c r="A728" s="115">
        <v>46563</v>
      </c>
      <c r="B728" s="100"/>
      <c r="C728" s="98"/>
      <c r="D728" s="98"/>
      <c r="E728" s="100"/>
      <c r="F728" s="98"/>
      <c r="G728" s="98"/>
      <c r="H728" s="100"/>
      <c r="I728" s="120"/>
      <c r="J728" s="117"/>
      <c r="K728" s="116">
        <f t="shared" si="26"/>
        <v>0</v>
      </c>
      <c r="L728" s="116">
        <f t="shared" si="27"/>
        <v>0</v>
      </c>
      <c r="M728" s="98"/>
      <c r="N728" s="117"/>
    </row>
    <row r="729" spans="1:14" ht="15.75" customHeight="1">
      <c r="A729" s="115">
        <v>46564</v>
      </c>
      <c r="B729" s="100"/>
      <c r="C729" s="98"/>
      <c r="D729" s="98"/>
      <c r="E729" s="100"/>
      <c r="F729" s="98"/>
      <c r="G729" s="98"/>
      <c r="H729" s="100"/>
      <c r="I729" s="120"/>
      <c r="J729" s="117"/>
      <c r="K729" s="116">
        <f t="shared" si="26"/>
        <v>0</v>
      </c>
      <c r="L729" s="116">
        <f t="shared" si="27"/>
        <v>0</v>
      </c>
      <c r="M729" s="98"/>
      <c r="N729" s="117"/>
    </row>
    <row r="730" spans="1:14" ht="15.75" customHeight="1">
      <c r="A730" s="115">
        <v>46565</v>
      </c>
      <c r="B730" s="100"/>
      <c r="C730" s="98"/>
      <c r="D730" s="98"/>
      <c r="E730" s="100"/>
      <c r="F730" s="98"/>
      <c r="G730" s="98"/>
      <c r="H730" s="100"/>
      <c r="I730" s="120"/>
      <c r="J730" s="117"/>
      <c r="K730" s="116">
        <f t="shared" si="26"/>
        <v>0</v>
      </c>
      <c r="L730" s="116">
        <f t="shared" si="27"/>
        <v>0</v>
      </c>
      <c r="M730" s="98"/>
      <c r="N730" s="117"/>
    </row>
    <row r="731" spans="1:14" ht="15.75" customHeight="1">
      <c r="A731" s="115">
        <v>46566</v>
      </c>
      <c r="B731" s="100"/>
      <c r="C731" s="98"/>
      <c r="D731" s="98"/>
      <c r="E731" s="100"/>
      <c r="F731" s="98"/>
      <c r="G731" s="98"/>
      <c r="H731" s="100"/>
      <c r="I731" s="120"/>
      <c r="J731" s="117"/>
      <c r="K731" s="116">
        <f t="shared" si="26"/>
        <v>0</v>
      </c>
      <c r="L731" s="116">
        <f t="shared" si="27"/>
        <v>0</v>
      </c>
      <c r="M731" s="98"/>
      <c r="N731" s="117"/>
    </row>
    <row r="732" spans="1:14" ht="15.75" customHeight="1">
      <c r="A732" s="115">
        <v>46567</v>
      </c>
      <c r="B732" s="100"/>
      <c r="C732" s="98"/>
      <c r="D732" s="98"/>
      <c r="E732" s="100"/>
      <c r="F732" s="98"/>
      <c r="G732" s="98"/>
      <c r="H732" s="100"/>
      <c r="I732" s="120"/>
      <c r="J732" s="117"/>
      <c r="K732" s="116">
        <f t="shared" si="26"/>
        <v>0</v>
      </c>
      <c r="L732" s="116">
        <f t="shared" si="27"/>
        <v>0</v>
      </c>
      <c r="M732" s="98"/>
      <c r="N732" s="117"/>
    </row>
    <row r="733" spans="1:14" ht="15.75" customHeight="1">
      <c r="A733" s="115">
        <v>46568</v>
      </c>
      <c r="B733" s="100"/>
      <c r="C733" s="98"/>
      <c r="D733" s="98"/>
      <c r="E733" s="100"/>
      <c r="F733" s="98"/>
      <c r="G733" s="98"/>
      <c r="H733" s="100"/>
      <c r="I733" s="120"/>
      <c r="J733" s="117"/>
      <c r="K733" s="116">
        <f t="shared" si="26"/>
        <v>0</v>
      </c>
      <c r="L733" s="116">
        <f t="shared" si="27"/>
        <v>0</v>
      </c>
      <c r="M733" s="98"/>
      <c r="N733" s="117"/>
    </row>
    <row r="734" spans="1:14" ht="15.75" customHeight="1">
      <c r="A734" s="115">
        <v>46569</v>
      </c>
      <c r="B734" s="100"/>
      <c r="C734" s="98"/>
      <c r="D734" s="98"/>
      <c r="E734" s="100"/>
      <c r="F734" s="98"/>
      <c r="G734" s="98"/>
      <c r="H734" s="100"/>
      <c r="I734" s="120"/>
      <c r="J734" s="117"/>
      <c r="K734" s="116">
        <f t="shared" si="26"/>
        <v>0</v>
      </c>
      <c r="L734" s="116">
        <f t="shared" si="27"/>
        <v>0</v>
      </c>
      <c r="M734" s="98"/>
      <c r="N734" s="117"/>
    </row>
    <row r="735" spans="1:14" ht="15.75" customHeight="1">
      <c r="A735" s="115">
        <v>46570</v>
      </c>
      <c r="B735" s="100"/>
      <c r="C735" s="98"/>
      <c r="D735" s="98"/>
      <c r="E735" s="100"/>
      <c r="F735" s="98"/>
      <c r="G735" s="98"/>
      <c r="H735" s="100"/>
      <c r="I735" s="120"/>
      <c r="J735" s="117"/>
      <c r="K735" s="116">
        <f t="shared" si="26"/>
        <v>0</v>
      </c>
      <c r="L735" s="116">
        <f t="shared" si="27"/>
        <v>0</v>
      </c>
      <c r="M735" s="98"/>
      <c r="N735" s="117"/>
    </row>
    <row r="736" spans="1:14" ht="15.75" customHeight="1">
      <c r="A736" s="115">
        <v>46571</v>
      </c>
      <c r="B736" s="100"/>
      <c r="C736" s="98"/>
      <c r="D736" s="98"/>
      <c r="E736" s="100"/>
      <c r="F736" s="98"/>
      <c r="G736" s="98"/>
      <c r="H736" s="100"/>
      <c r="I736" s="120"/>
      <c r="J736" s="117"/>
      <c r="K736" s="116">
        <f t="shared" si="26"/>
        <v>0</v>
      </c>
      <c r="L736" s="116">
        <f t="shared" si="27"/>
        <v>0</v>
      </c>
      <c r="M736" s="98"/>
      <c r="N736" s="117"/>
    </row>
    <row r="737" spans="1:14" ht="15.75" customHeight="1">
      <c r="A737" s="115">
        <v>46572</v>
      </c>
      <c r="B737" s="100"/>
      <c r="C737" s="98"/>
      <c r="D737" s="98"/>
      <c r="E737" s="100"/>
      <c r="F737" s="98"/>
      <c r="G737" s="98"/>
      <c r="H737" s="100"/>
      <c r="I737" s="120"/>
      <c r="J737" s="117"/>
      <c r="K737" s="116">
        <f t="shared" si="26"/>
        <v>0</v>
      </c>
      <c r="L737" s="116">
        <f t="shared" si="27"/>
        <v>0</v>
      </c>
      <c r="M737" s="98"/>
      <c r="N737" s="117"/>
    </row>
    <row r="738" spans="1:14" ht="15.75" customHeight="1">
      <c r="A738" s="115">
        <v>46573</v>
      </c>
      <c r="B738" s="100"/>
      <c r="C738" s="98"/>
      <c r="D738" s="98"/>
      <c r="E738" s="100"/>
      <c r="F738" s="98"/>
      <c r="G738" s="98"/>
      <c r="H738" s="100"/>
      <c r="I738" s="120"/>
      <c r="J738" s="117"/>
      <c r="K738" s="116">
        <f t="shared" si="26"/>
        <v>0</v>
      </c>
      <c r="L738" s="116">
        <f t="shared" si="27"/>
        <v>0</v>
      </c>
      <c r="M738" s="98"/>
      <c r="N738" s="117"/>
    </row>
    <row r="739" spans="1:14" ht="15.75" customHeight="1">
      <c r="A739" s="115">
        <v>46574</v>
      </c>
      <c r="B739" s="100"/>
      <c r="C739" s="98"/>
      <c r="D739" s="98"/>
      <c r="E739" s="100"/>
      <c r="F739" s="98"/>
      <c r="G739" s="98"/>
      <c r="H739" s="100"/>
      <c r="I739" s="120"/>
      <c r="J739" s="117"/>
      <c r="K739" s="116">
        <f t="shared" si="26"/>
        <v>0</v>
      </c>
      <c r="L739" s="116">
        <f t="shared" si="27"/>
        <v>0</v>
      </c>
      <c r="M739" s="98"/>
      <c r="N739" s="117"/>
    </row>
    <row r="740" spans="1:14" ht="15.75" customHeight="1">
      <c r="A740" s="115">
        <v>46575</v>
      </c>
      <c r="B740" s="100"/>
      <c r="C740" s="98"/>
      <c r="D740" s="98"/>
      <c r="E740" s="100"/>
      <c r="F740" s="98"/>
      <c r="G740" s="98"/>
      <c r="H740" s="100"/>
      <c r="I740" s="120"/>
      <c r="J740" s="117"/>
      <c r="K740" s="116">
        <f t="shared" si="26"/>
        <v>0</v>
      </c>
      <c r="L740" s="116">
        <f t="shared" si="27"/>
        <v>0</v>
      </c>
      <c r="M740" s="98"/>
      <c r="N740" s="117"/>
    </row>
    <row r="741" spans="1:14" ht="15.75" customHeight="1">
      <c r="A741" s="115">
        <v>46576</v>
      </c>
      <c r="B741" s="100"/>
      <c r="C741" s="98"/>
      <c r="D741" s="98"/>
      <c r="E741" s="100"/>
      <c r="F741" s="98"/>
      <c r="G741" s="98"/>
      <c r="H741" s="100"/>
      <c r="I741" s="120"/>
      <c r="J741" s="117"/>
      <c r="K741" s="116">
        <f t="shared" si="26"/>
        <v>0</v>
      </c>
      <c r="L741" s="116">
        <f t="shared" si="27"/>
        <v>0</v>
      </c>
      <c r="M741" s="98"/>
      <c r="N741" s="117"/>
    </row>
    <row r="742" spans="1:14" ht="15.75" customHeight="1">
      <c r="A742" s="115">
        <v>46577</v>
      </c>
      <c r="B742" s="100"/>
      <c r="C742" s="98"/>
      <c r="D742" s="98"/>
      <c r="E742" s="100"/>
      <c r="F742" s="98"/>
      <c r="G742" s="98"/>
      <c r="H742" s="100"/>
      <c r="I742" s="120"/>
      <c r="J742" s="117"/>
      <c r="K742" s="116">
        <f t="shared" si="26"/>
        <v>0</v>
      </c>
      <c r="L742" s="116">
        <f t="shared" si="27"/>
        <v>0</v>
      </c>
      <c r="M742" s="98"/>
      <c r="N742" s="117"/>
    </row>
    <row r="743" spans="1:14" ht="15.75" customHeight="1">
      <c r="A743" s="115">
        <v>46578</v>
      </c>
      <c r="B743" s="100"/>
      <c r="C743" s="98"/>
      <c r="D743" s="98"/>
      <c r="E743" s="100"/>
      <c r="F743" s="98"/>
      <c r="G743" s="98"/>
      <c r="H743" s="100"/>
      <c r="I743" s="120"/>
      <c r="J743" s="117"/>
      <c r="K743" s="116">
        <f t="shared" si="26"/>
        <v>0</v>
      </c>
      <c r="L743" s="116">
        <f t="shared" si="27"/>
        <v>0</v>
      </c>
      <c r="M743" s="98"/>
      <c r="N743" s="117"/>
    </row>
    <row r="744" spans="1:14" ht="15.75" customHeight="1">
      <c r="A744" s="115">
        <v>46579</v>
      </c>
      <c r="B744" s="100"/>
      <c r="C744" s="98"/>
      <c r="D744" s="98"/>
      <c r="E744" s="100"/>
      <c r="F744" s="98"/>
      <c r="G744" s="98"/>
      <c r="H744" s="100"/>
      <c r="I744" s="120"/>
      <c r="J744" s="117"/>
      <c r="K744" s="116">
        <f t="shared" si="26"/>
        <v>0</v>
      </c>
      <c r="L744" s="116">
        <f t="shared" si="27"/>
        <v>0</v>
      </c>
      <c r="M744" s="98"/>
      <c r="N744" s="117"/>
    </row>
    <row r="745" spans="1:14" ht="15.75" customHeight="1">
      <c r="A745" s="115">
        <v>46580</v>
      </c>
      <c r="B745" s="100"/>
      <c r="C745" s="98"/>
      <c r="D745" s="98"/>
      <c r="E745" s="100"/>
      <c r="F745" s="98"/>
      <c r="G745" s="98"/>
      <c r="H745" s="100"/>
      <c r="I745" s="120"/>
      <c r="J745" s="117"/>
      <c r="K745" s="116">
        <f t="shared" si="26"/>
        <v>0</v>
      </c>
      <c r="L745" s="116">
        <f t="shared" si="27"/>
        <v>0</v>
      </c>
      <c r="M745" s="98"/>
      <c r="N745" s="117"/>
    </row>
    <row r="746" spans="1:14" ht="15.75" customHeight="1">
      <c r="A746" s="115">
        <v>46581</v>
      </c>
      <c r="B746" s="100"/>
      <c r="C746" s="98"/>
      <c r="D746" s="98"/>
      <c r="E746" s="100"/>
      <c r="F746" s="98"/>
      <c r="G746" s="98"/>
      <c r="H746" s="100"/>
      <c r="I746" s="120"/>
      <c r="J746" s="117"/>
      <c r="K746" s="116">
        <f t="shared" si="26"/>
        <v>0</v>
      </c>
      <c r="L746" s="116">
        <f t="shared" si="27"/>
        <v>0</v>
      </c>
      <c r="M746" s="98"/>
      <c r="N746" s="117"/>
    </row>
    <row r="747" spans="1:14" ht="15.75" customHeight="1">
      <c r="A747" s="115">
        <v>46582</v>
      </c>
      <c r="B747" s="100"/>
      <c r="C747" s="98"/>
      <c r="D747" s="98"/>
      <c r="E747" s="100"/>
      <c r="F747" s="98"/>
      <c r="G747" s="98"/>
      <c r="H747" s="100"/>
      <c r="I747" s="120"/>
      <c r="J747" s="117"/>
      <c r="K747" s="116">
        <f t="shared" si="26"/>
        <v>0</v>
      </c>
      <c r="L747" s="116">
        <f t="shared" si="27"/>
        <v>0</v>
      </c>
      <c r="M747" s="98"/>
      <c r="N747" s="117"/>
    </row>
    <row r="748" spans="1:14" ht="15.75" customHeight="1">
      <c r="A748" s="115">
        <v>46583</v>
      </c>
      <c r="B748" s="100"/>
      <c r="C748" s="98"/>
      <c r="D748" s="98"/>
      <c r="E748" s="100"/>
      <c r="F748" s="98"/>
      <c r="G748" s="98"/>
      <c r="H748" s="100"/>
      <c r="I748" s="120"/>
      <c r="J748" s="117"/>
      <c r="K748" s="116">
        <f t="shared" si="26"/>
        <v>0</v>
      </c>
      <c r="L748" s="116">
        <f t="shared" si="27"/>
        <v>0</v>
      </c>
      <c r="M748" s="98"/>
      <c r="N748" s="117"/>
    </row>
    <row r="749" spans="1:14" ht="15.75" customHeight="1">
      <c r="A749" s="115">
        <v>46584</v>
      </c>
      <c r="B749" s="100"/>
      <c r="C749" s="98"/>
      <c r="D749" s="98"/>
      <c r="E749" s="100"/>
      <c r="F749" s="98"/>
      <c r="G749" s="98"/>
      <c r="H749" s="100"/>
      <c r="I749" s="120"/>
      <c r="J749" s="117"/>
      <c r="K749" s="116">
        <f t="shared" si="26"/>
        <v>0</v>
      </c>
      <c r="L749" s="116">
        <f t="shared" si="27"/>
        <v>0</v>
      </c>
      <c r="M749" s="98"/>
      <c r="N749" s="117"/>
    </row>
    <row r="750" spans="1:14" ht="15.75" customHeight="1">
      <c r="A750" s="115">
        <v>46585</v>
      </c>
      <c r="B750" s="100"/>
      <c r="C750" s="98"/>
      <c r="D750" s="98"/>
      <c r="E750" s="100"/>
      <c r="F750" s="98"/>
      <c r="G750" s="98"/>
      <c r="H750" s="100"/>
      <c r="I750" s="120"/>
      <c r="J750" s="117"/>
      <c r="K750" s="116">
        <f t="shared" si="26"/>
        <v>0</v>
      </c>
      <c r="L750" s="116">
        <f t="shared" si="27"/>
        <v>0</v>
      </c>
      <c r="M750" s="98"/>
      <c r="N750" s="117"/>
    </row>
    <row r="751" spans="1:14" ht="15.75" customHeight="1">
      <c r="A751" s="115">
        <v>46586</v>
      </c>
      <c r="B751" s="100"/>
      <c r="C751" s="98"/>
      <c r="D751" s="98"/>
      <c r="E751" s="100"/>
      <c r="F751" s="98"/>
      <c r="G751" s="98"/>
      <c r="H751" s="100"/>
      <c r="I751" s="120"/>
      <c r="J751" s="117"/>
      <c r="K751" s="116">
        <f t="shared" si="26"/>
        <v>0</v>
      </c>
      <c r="L751" s="116">
        <f t="shared" si="27"/>
        <v>0</v>
      </c>
      <c r="M751" s="98"/>
      <c r="N751" s="117"/>
    </row>
    <row r="752" spans="1:14" ht="15.75" customHeight="1">
      <c r="A752" s="115">
        <v>46587</v>
      </c>
      <c r="B752" s="100"/>
      <c r="C752" s="98"/>
      <c r="D752" s="98"/>
      <c r="E752" s="100"/>
      <c r="F752" s="98"/>
      <c r="G752" s="98"/>
      <c r="H752" s="100"/>
      <c r="I752" s="120"/>
      <c r="J752" s="117"/>
      <c r="K752" s="116">
        <f t="shared" si="26"/>
        <v>0</v>
      </c>
      <c r="L752" s="116">
        <f t="shared" si="27"/>
        <v>0</v>
      </c>
      <c r="M752" s="98"/>
      <c r="N752" s="117"/>
    </row>
    <row r="753" spans="1:14" ht="15.75" customHeight="1">
      <c r="A753" s="115">
        <v>46588</v>
      </c>
      <c r="B753" s="100"/>
      <c r="C753" s="98"/>
      <c r="D753" s="98"/>
      <c r="E753" s="100"/>
      <c r="F753" s="98"/>
      <c r="G753" s="98"/>
      <c r="H753" s="100"/>
      <c r="I753" s="120"/>
      <c r="J753" s="117"/>
      <c r="K753" s="116">
        <f t="shared" si="26"/>
        <v>0</v>
      </c>
      <c r="L753" s="116">
        <f t="shared" si="27"/>
        <v>0</v>
      </c>
      <c r="M753" s="98"/>
      <c r="N753" s="117"/>
    </row>
    <row r="754" spans="1:14" ht="15.75" customHeight="1">
      <c r="A754" s="115">
        <v>46589</v>
      </c>
      <c r="B754" s="100"/>
      <c r="C754" s="98"/>
      <c r="D754" s="98"/>
      <c r="E754" s="100"/>
      <c r="F754" s="98"/>
      <c r="G754" s="98"/>
      <c r="H754" s="100"/>
      <c r="I754" s="120"/>
      <c r="J754" s="117"/>
      <c r="K754" s="116">
        <f t="shared" si="26"/>
        <v>0</v>
      </c>
      <c r="L754" s="116">
        <f t="shared" si="27"/>
        <v>0</v>
      </c>
      <c r="M754" s="98"/>
      <c r="N754" s="117"/>
    </row>
    <row r="755" spans="1:14" ht="15.75" customHeight="1">
      <c r="A755" s="115">
        <v>46590</v>
      </c>
      <c r="B755" s="100"/>
      <c r="C755" s="98"/>
      <c r="D755" s="98"/>
      <c r="E755" s="100"/>
      <c r="F755" s="98"/>
      <c r="G755" s="98"/>
      <c r="H755" s="100"/>
      <c r="I755" s="120"/>
      <c r="J755" s="117"/>
      <c r="K755" s="116">
        <f t="shared" si="26"/>
        <v>0</v>
      </c>
      <c r="L755" s="116">
        <f t="shared" si="27"/>
        <v>0</v>
      </c>
      <c r="M755" s="98"/>
      <c r="N755" s="117"/>
    </row>
    <row r="756" spans="1:14" ht="15.75" customHeight="1">
      <c r="A756" s="115">
        <v>46591</v>
      </c>
      <c r="B756" s="100"/>
      <c r="C756" s="98"/>
      <c r="D756" s="98"/>
      <c r="E756" s="100"/>
      <c r="F756" s="98"/>
      <c r="G756" s="98"/>
      <c r="H756" s="100"/>
      <c r="I756" s="120"/>
      <c r="J756" s="117"/>
      <c r="K756" s="116">
        <f t="shared" si="26"/>
        <v>0</v>
      </c>
      <c r="L756" s="116">
        <f t="shared" si="27"/>
        <v>0</v>
      </c>
      <c r="M756" s="98"/>
      <c r="N756" s="117"/>
    </row>
    <row r="757" spans="1:14" ht="15.75" customHeight="1">
      <c r="A757" s="115">
        <v>46592</v>
      </c>
      <c r="B757" s="100"/>
      <c r="C757" s="98"/>
      <c r="D757" s="98"/>
      <c r="E757" s="100"/>
      <c r="F757" s="98"/>
      <c r="G757" s="98"/>
      <c r="H757" s="100"/>
      <c r="I757" s="120"/>
      <c r="J757" s="117"/>
      <c r="K757" s="116">
        <f t="shared" si="26"/>
        <v>0</v>
      </c>
      <c r="L757" s="116">
        <f t="shared" si="27"/>
        <v>0</v>
      </c>
      <c r="M757" s="98"/>
      <c r="N757" s="117"/>
    </row>
    <row r="758" spans="1:14" ht="15.75" customHeight="1">
      <c r="A758" s="115">
        <v>46593</v>
      </c>
      <c r="B758" s="100"/>
      <c r="C758" s="98"/>
      <c r="D758" s="98"/>
      <c r="E758" s="100"/>
      <c r="F758" s="98"/>
      <c r="G758" s="98"/>
      <c r="H758" s="100"/>
      <c r="I758" s="120"/>
      <c r="J758" s="117"/>
      <c r="K758" s="116">
        <f t="shared" si="26"/>
        <v>0</v>
      </c>
      <c r="L758" s="116">
        <f t="shared" si="27"/>
        <v>0</v>
      </c>
      <c r="M758" s="98"/>
      <c r="N758" s="117"/>
    </row>
    <row r="759" spans="1:14" ht="15.75" customHeight="1">
      <c r="A759" s="115">
        <v>46594</v>
      </c>
      <c r="B759" s="100"/>
      <c r="C759" s="98"/>
      <c r="D759" s="98"/>
      <c r="E759" s="100"/>
      <c r="F759" s="98"/>
      <c r="G759" s="98"/>
      <c r="H759" s="100"/>
      <c r="I759" s="120"/>
      <c r="J759" s="117"/>
      <c r="K759" s="116">
        <f t="shared" si="26"/>
        <v>0</v>
      </c>
      <c r="L759" s="116">
        <f t="shared" si="27"/>
        <v>0</v>
      </c>
      <c r="M759" s="98"/>
      <c r="N759" s="117"/>
    </row>
    <row r="760" spans="1:14" ht="15.75" customHeight="1">
      <c r="A760" s="115">
        <v>46595</v>
      </c>
      <c r="B760" s="100"/>
      <c r="C760" s="98"/>
      <c r="D760" s="98"/>
      <c r="E760" s="100"/>
      <c r="F760" s="98"/>
      <c r="G760" s="98"/>
      <c r="H760" s="100"/>
      <c r="I760" s="120"/>
      <c r="J760" s="117"/>
      <c r="K760" s="116">
        <f t="shared" si="26"/>
        <v>0</v>
      </c>
      <c r="L760" s="116">
        <f t="shared" si="27"/>
        <v>0</v>
      </c>
      <c r="M760" s="98"/>
      <c r="N760" s="117"/>
    </row>
    <row r="761" spans="1:14" ht="15.75" customHeight="1">
      <c r="A761" s="115">
        <v>46596</v>
      </c>
      <c r="B761" s="100"/>
      <c r="C761" s="98"/>
      <c r="D761" s="98"/>
      <c r="E761" s="100"/>
      <c r="F761" s="98"/>
      <c r="G761" s="98"/>
      <c r="H761" s="100"/>
      <c r="I761" s="120"/>
      <c r="J761" s="117"/>
      <c r="K761" s="116">
        <f t="shared" si="26"/>
        <v>0</v>
      </c>
      <c r="L761" s="116">
        <f t="shared" si="27"/>
        <v>0</v>
      </c>
      <c r="M761" s="98"/>
      <c r="N761" s="117"/>
    </row>
    <row r="762" spans="1:14" ht="15.75" customHeight="1">
      <c r="A762" s="115">
        <v>46597</v>
      </c>
      <c r="B762" s="100"/>
      <c r="C762" s="98"/>
      <c r="D762" s="98"/>
      <c r="E762" s="100"/>
      <c r="F762" s="98"/>
      <c r="G762" s="98"/>
      <c r="H762" s="100"/>
      <c r="I762" s="120"/>
      <c r="J762" s="117"/>
      <c r="K762" s="116">
        <f t="shared" si="26"/>
        <v>0</v>
      </c>
      <c r="L762" s="116">
        <f t="shared" si="27"/>
        <v>0</v>
      </c>
      <c r="M762" s="98"/>
      <c r="N762" s="117"/>
    </row>
    <row r="763" spans="1:14" ht="15.75" customHeight="1">
      <c r="A763" s="115">
        <v>46598</v>
      </c>
      <c r="B763" s="100"/>
      <c r="C763" s="98"/>
      <c r="D763" s="98"/>
      <c r="E763" s="100"/>
      <c r="F763" s="98"/>
      <c r="G763" s="98"/>
      <c r="H763" s="100"/>
      <c r="I763" s="120"/>
      <c r="J763" s="117"/>
      <c r="K763" s="116">
        <f t="shared" si="26"/>
        <v>0</v>
      </c>
      <c r="L763" s="116">
        <f t="shared" si="27"/>
        <v>0</v>
      </c>
      <c r="M763" s="98"/>
      <c r="N763" s="117"/>
    </row>
    <row r="764" spans="1:14" ht="15.75" customHeight="1">
      <c r="A764" s="115">
        <v>46599</v>
      </c>
      <c r="B764" s="100"/>
      <c r="C764" s="98"/>
      <c r="D764" s="98"/>
      <c r="E764" s="100"/>
      <c r="F764" s="98"/>
      <c r="G764" s="98"/>
      <c r="H764" s="100"/>
      <c r="I764" s="120"/>
      <c r="J764" s="117"/>
      <c r="K764" s="116">
        <f t="shared" si="26"/>
        <v>0</v>
      </c>
      <c r="L764" s="116">
        <f t="shared" si="27"/>
        <v>0</v>
      </c>
      <c r="M764" s="98"/>
      <c r="N764" s="117"/>
    </row>
    <row r="765" spans="1:14" ht="15.75" customHeight="1">
      <c r="A765" s="115">
        <v>46600</v>
      </c>
      <c r="B765" s="100"/>
      <c r="C765" s="98"/>
      <c r="D765" s="98"/>
      <c r="E765" s="100"/>
      <c r="F765" s="98"/>
      <c r="G765" s="98"/>
      <c r="H765" s="100"/>
      <c r="I765" s="120"/>
      <c r="J765" s="117"/>
      <c r="K765" s="116">
        <f t="shared" si="26"/>
        <v>0</v>
      </c>
      <c r="L765" s="116">
        <f t="shared" si="27"/>
        <v>0</v>
      </c>
      <c r="M765" s="98"/>
      <c r="N765" s="117"/>
    </row>
    <row r="766" spans="1:14" ht="15.75" customHeight="1">
      <c r="A766" s="115">
        <v>46601</v>
      </c>
      <c r="B766" s="100"/>
      <c r="C766" s="98"/>
      <c r="D766" s="98"/>
      <c r="E766" s="100"/>
      <c r="F766" s="98"/>
      <c r="G766" s="98"/>
      <c r="H766" s="100"/>
      <c r="I766" s="120"/>
      <c r="J766" s="117"/>
      <c r="K766" s="116">
        <f t="shared" si="26"/>
        <v>0</v>
      </c>
      <c r="L766" s="116">
        <f t="shared" si="27"/>
        <v>0</v>
      </c>
      <c r="M766" s="98"/>
      <c r="N766" s="117"/>
    </row>
    <row r="767" spans="1:14" ht="15.75" customHeight="1">
      <c r="A767" s="115">
        <v>46602</v>
      </c>
      <c r="B767" s="100"/>
      <c r="C767" s="98"/>
      <c r="D767" s="98"/>
      <c r="E767" s="100"/>
      <c r="F767" s="98"/>
      <c r="G767" s="98"/>
      <c r="H767" s="100"/>
      <c r="I767" s="120"/>
      <c r="J767" s="117"/>
      <c r="K767" s="116">
        <f t="shared" si="26"/>
        <v>0</v>
      </c>
      <c r="L767" s="116">
        <f t="shared" si="27"/>
        <v>0</v>
      </c>
      <c r="M767" s="98"/>
      <c r="N767" s="117"/>
    </row>
    <row r="768" spans="1:14" ht="15.75" customHeight="1">
      <c r="A768" s="115">
        <v>46603</v>
      </c>
      <c r="B768" s="100"/>
      <c r="C768" s="98"/>
      <c r="D768" s="98"/>
      <c r="E768" s="100"/>
      <c r="F768" s="98"/>
      <c r="G768" s="98"/>
      <c r="H768" s="100"/>
      <c r="I768" s="120"/>
      <c r="J768" s="117"/>
      <c r="K768" s="116">
        <f t="shared" si="26"/>
        <v>0</v>
      </c>
      <c r="L768" s="116">
        <f t="shared" si="27"/>
        <v>0</v>
      </c>
      <c r="M768" s="98"/>
      <c r="N768" s="117"/>
    </row>
    <row r="769" spans="1:14" ht="15.75" customHeight="1">
      <c r="A769" s="115">
        <v>46604</v>
      </c>
      <c r="B769" s="100"/>
      <c r="C769" s="98"/>
      <c r="D769" s="98"/>
      <c r="E769" s="100"/>
      <c r="F769" s="98"/>
      <c r="G769" s="98"/>
      <c r="H769" s="100"/>
      <c r="I769" s="120"/>
      <c r="J769" s="117"/>
      <c r="K769" s="116">
        <f t="shared" si="26"/>
        <v>0</v>
      </c>
      <c r="L769" s="116">
        <f t="shared" si="27"/>
        <v>0</v>
      </c>
      <c r="M769" s="98"/>
      <c r="N769" s="117"/>
    </row>
    <row r="770" spans="1:14" ht="15.75" customHeight="1">
      <c r="A770" s="115">
        <v>46605</v>
      </c>
      <c r="B770" s="100"/>
      <c r="C770" s="98"/>
      <c r="D770" s="98"/>
      <c r="E770" s="100"/>
      <c r="F770" s="98"/>
      <c r="G770" s="98"/>
      <c r="H770" s="100"/>
      <c r="I770" s="120"/>
      <c r="J770" s="117"/>
      <c r="K770" s="116">
        <f t="shared" si="26"/>
        <v>0</v>
      </c>
      <c r="L770" s="116">
        <f t="shared" si="27"/>
        <v>0</v>
      </c>
      <c r="M770" s="98"/>
      <c r="N770" s="117"/>
    </row>
    <row r="771" spans="1:14" ht="15.75" customHeight="1">
      <c r="A771" s="115">
        <v>46606</v>
      </c>
      <c r="B771" s="100"/>
      <c r="C771" s="98"/>
      <c r="D771" s="98"/>
      <c r="E771" s="100"/>
      <c r="F771" s="98"/>
      <c r="G771" s="98"/>
      <c r="H771" s="100"/>
      <c r="I771" s="120"/>
      <c r="J771" s="117"/>
      <c r="K771" s="116">
        <f t="shared" si="26"/>
        <v>0</v>
      </c>
      <c r="L771" s="116">
        <f t="shared" si="27"/>
        <v>0</v>
      </c>
      <c r="M771" s="98"/>
      <c r="N771" s="117"/>
    </row>
    <row r="772" spans="1:14" ht="15.75" customHeight="1">
      <c r="A772" s="115">
        <v>46607</v>
      </c>
      <c r="B772" s="100"/>
      <c r="C772" s="98"/>
      <c r="D772" s="98"/>
      <c r="E772" s="100"/>
      <c r="F772" s="98"/>
      <c r="G772" s="98"/>
      <c r="H772" s="100"/>
      <c r="I772" s="120"/>
      <c r="J772" s="117"/>
      <c r="K772" s="116">
        <f t="shared" si="26"/>
        <v>0</v>
      </c>
      <c r="L772" s="116">
        <f t="shared" si="27"/>
        <v>0</v>
      </c>
      <c r="M772" s="98"/>
      <c r="N772" s="117"/>
    </row>
    <row r="773" spans="1:14" ht="15.75" customHeight="1">
      <c r="A773" s="115">
        <v>46608</v>
      </c>
      <c r="B773" s="100"/>
      <c r="C773" s="98"/>
      <c r="D773" s="98"/>
      <c r="E773" s="100"/>
      <c r="F773" s="98"/>
      <c r="G773" s="98"/>
      <c r="H773" s="100"/>
      <c r="I773" s="120"/>
      <c r="J773" s="117"/>
      <c r="K773" s="116">
        <f t="shared" si="26"/>
        <v>0</v>
      </c>
      <c r="L773" s="116">
        <f t="shared" si="27"/>
        <v>0</v>
      </c>
      <c r="M773" s="98"/>
      <c r="N773" s="117"/>
    </row>
    <row r="774" spans="1:14" ht="15.75" customHeight="1">
      <c r="A774" s="115">
        <v>46609</v>
      </c>
      <c r="B774" s="100"/>
      <c r="C774" s="98"/>
      <c r="D774" s="98"/>
      <c r="E774" s="100"/>
      <c r="F774" s="98"/>
      <c r="G774" s="98"/>
      <c r="H774" s="100"/>
      <c r="I774" s="120"/>
      <c r="J774" s="117"/>
      <c r="K774" s="116">
        <f t="shared" si="26"/>
        <v>0</v>
      </c>
      <c r="L774" s="116">
        <f t="shared" si="27"/>
        <v>0</v>
      </c>
      <c r="M774" s="98"/>
      <c r="N774" s="117"/>
    </row>
    <row r="775" spans="1:14" ht="15.75" customHeight="1">
      <c r="A775" s="115">
        <v>46610</v>
      </c>
      <c r="B775" s="100"/>
      <c r="C775" s="98"/>
      <c r="D775" s="98"/>
      <c r="E775" s="100"/>
      <c r="F775" s="98"/>
      <c r="G775" s="98"/>
      <c r="H775" s="100"/>
      <c r="I775" s="120"/>
      <c r="J775" s="117"/>
      <c r="K775" s="116">
        <f t="shared" si="26"/>
        <v>0</v>
      </c>
      <c r="L775" s="116">
        <f t="shared" si="27"/>
        <v>0</v>
      </c>
      <c r="M775" s="98"/>
      <c r="N775" s="117"/>
    </row>
    <row r="776" spans="1:14" ht="15.75" customHeight="1">
      <c r="A776" s="115">
        <v>46611</v>
      </c>
      <c r="B776" s="100"/>
      <c r="C776" s="98"/>
      <c r="D776" s="98"/>
      <c r="E776" s="100"/>
      <c r="F776" s="98"/>
      <c r="G776" s="98"/>
      <c r="H776" s="100"/>
      <c r="I776" s="120"/>
      <c r="J776" s="117"/>
      <c r="K776" s="116">
        <f t="shared" si="26"/>
        <v>0</v>
      </c>
      <c r="L776" s="116">
        <f t="shared" si="27"/>
        <v>0</v>
      </c>
      <c r="M776" s="98"/>
      <c r="N776" s="117"/>
    </row>
    <row r="777" spans="1:14" ht="15.75" customHeight="1">
      <c r="A777" s="115">
        <v>46612</v>
      </c>
      <c r="B777" s="100"/>
      <c r="C777" s="98"/>
      <c r="D777" s="98"/>
      <c r="E777" s="100"/>
      <c r="F777" s="98"/>
      <c r="G777" s="98"/>
      <c r="H777" s="100"/>
      <c r="I777" s="120"/>
      <c r="J777" s="117"/>
      <c r="K777" s="116">
        <f t="shared" si="26"/>
        <v>0</v>
      </c>
      <c r="L777" s="116">
        <f t="shared" si="27"/>
        <v>0</v>
      </c>
      <c r="M777" s="98"/>
      <c r="N777" s="117"/>
    </row>
    <row r="778" spans="1:14" ht="15.75" customHeight="1">
      <c r="A778" s="115">
        <v>46613</v>
      </c>
      <c r="B778" s="100"/>
      <c r="C778" s="98"/>
      <c r="D778" s="98"/>
      <c r="E778" s="100"/>
      <c r="F778" s="98"/>
      <c r="G778" s="98"/>
      <c r="H778" s="100"/>
      <c r="I778" s="120"/>
      <c r="J778" s="117"/>
      <c r="K778" s="116">
        <f t="shared" si="26"/>
        <v>0</v>
      </c>
      <c r="L778" s="116">
        <f t="shared" si="27"/>
        <v>0</v>
      </c>
      <c r="M778" s="98"/>
      <c r="N778" s="117"/>
    </row>
    <row r="779" spans="1:14" ht="15.75" customHeight="1">
      <c r="A779" s="115">
        <v>46614</v>
      </c>
      <c r="B779" s="100"/>
      <c r="C779" s="98"/>
      <c r="D779" s="98"/>
      <c r="E779" s="100"/>
      <c r="F779" s="98"/>
      <c r="G779" s="98"/>
      <c r="H779" s="100"/>
      <c r="I779" s="120"/>
      <c r="J779" s="117"/>
      <c r="K779" s="116">
        <f t="shared" si="26"/>
        <v>0</v>
      </c>
      <c r="L779" s="116">
        <f t="shared" si="27"/>
        <v>0</v>
      </c>
      <c r="M779" s="98"/>
      <c r="N779" s="117"/>
    </row>
    <row r="780" spans="1:14" ht="15.75" customHeight="1">
      <c r="A780" s="115">
        <v>46615</v>
      </c>
      <c r="B780" s="100"/>
      <c r="C780" s="98"/>
      <c r="D780" s="98"/>
      <c r="E780" s="100"/>
      <c r="F780" s="98"/>
      <c r="G780" s="98"/>
      <c r="H780" s="100"/>
      <c r="I780" s="120"/>
      <c r="J780" s="117"/>
      <c r="K780" s="116">
        <f t="shared" si="26"/>
        <v>0</v>
      </c>
      <c r="L780" s="116">
        <f t="shared" si="27"/>
        <v>0</v>
      </c>
      <c r="M780" s="98"/>
      <c r="N780" s="117"/>
    </row>
    <row r="781" spans="1:14" ht="15.75" customHeight="1">
      <c r="A781" s="115">
        <v>46616</v>
      </c>
      <c r="B781" s="100"/>
      <c r="C781" s="98"/>
      <c r="D781" s="98"/>
      <c r="E781" s="100"/>
      <c r="F781" s="98"/>
      <c r="G781" s="98"/>
      <c r="H781" s="100"/>
      <c r="I781" s="120"/>
      <c r="J781" s="117"/>
      <c r="K781" s="116">
        <f t="shared" si="26"/>
        <v>0</v>
      </c>
      <c r="L781" s="116">
        <f t="shared" si="27"/>
        <v>0</v>
      </c>
      <c r="M781" s="98"/>
      <c r="N781" s="117"/>
    </row>
    <row r="782" spans="1:14" ht="15.75" customHeight="1">
      <c r="A782" s="115">
        <v>46617</v>
      </c>
      <c r="B782" s="100"/>
      <c r="C782" s="98"/>
      <c r="D782" s="98"/>
      <c r="E782" s="100"/>
      <c r="F782" s="98"/>
      <c r="G782" s="98"/>
      <c r="H782" s="100"/>
      <c r="I782" s="120"/>
      <c r="J782" s="117"/>
      <c r="K782" s="116">
        <f t="shared" si="26"/>
        <v>0</v>
      </c>
      <c r="L782" s="116">
        <f t="shared" si="27"/>
        <v>0</v>
      </c>
      <c r="M782" s="98"/>
      <c r="N782" s="117"/>
    </row>
    <row r="783" spans="1:14" ht="15.75" customHeight="1">
      <c r="A783" s="115">
        <v>46618</v>
      </c>
      <c r="B783" s="100"/>
      <c r="C783" s="98"/>
      <c r="D783" s="98"/>
      <c r="E783" s="100"/>
      <c r="F783" s="98"/>
      <c r="G783" s="98"/>
      <c r="H783" s="100"/>
      <c r="I783" s="120"/>
      <c r="J783" s="117"/>
      <c r="K783" s="116">
        <f t="shared" si="26"/>
        <v>0</v>
      </c>
      <c r="L783" s="116">
        <f t="shared" si="27"/>
        <v>0</v>
      </c>
      <c r="M783" s="98"/>
      <c r="N783" s="117"/>
    </row>
    <row r="784" spans="1:14" ht="15.75" customHeight="1">
      <c r="A784" s="115">
        <v>46619</v>
      </c>
      <c r="B784" s="100"/>
      <c r="C784" s="98"/>
      <c r="D784" s="98"/>
      <c r="E784" s="100"/>
      <c r="F784" s="98"/>
      <c r="G784" s="98"/>
      <c r="H784" s="100"/>
      <c r="I784" s="120"/>
      <c r="J784" s="117"/>
      <c r="K784" s="116">
        <f t="shared" si="26"/>
        <v>0</v>
      </c>
      <c r="L784" s="116">
        <f t="shared" si="27"/>
        <v>0</v>
      </c>
      <c r="M784" s="98"/>
      <c r="N784" s="117"/>
    </row>
    <row r="785" spans="1:14" ht="15.75" customHeight="1">
      <c r="A785" s="115">
        <v>46620</v>
      </c>
      <c r="B785" s="100"/>
      <c r="C785" s="98"/>
      <c r="D785" s="98"/>
      <c r="E785" s="100"/>
      <c r="F785" s="98"/>
      <c r="G785" s="98"/>
      <c r="H785" s="100"/>
      <c r="I785" s="120"/>
      <c r="J785" s="117"/>
      <c r="K785" s="116">
        <f t="shared" si="26"/>
        <v>0</v>
      </c>
      <c r="L785" s="116">
        <f t="shared" si="27"/>
        <v>0</v>
      </c>
      <c r="M785" s="98"/>
      <c r="N785" s="117"/>
    </row>
    <row r="786" spans="1:14" ht="15.75" customHeight="1">
      <c r="A786" s="115">
        <v>46621</v>
      </c>
      <c r="B786" s="100"/>
      <c r="C786" s="98"/>
      <c r="D786" s="98"/>
      <c r="E786" s="100"/>
      <c r="F786" s="98"/>
      <c r="G786" s="98"/>
      <c r="H786" s="100"/>
      <c r="I786" s="120"/>
      <c r="J786" s="117"/>
      <c r="K786" s="116">
        <f t="shared" si="26"/>
        <v>0</v>
      </c>
      <c r="L786" s="116">
        <f t="shared" si="27"/>
        <v>0</v>
      </c>
      <c r="M786" s="98"/>
      <c r="N786" s="117"/>
    </row>
    <row r="787" spans="1:14" ht="15.75" customHeight="1">
      <c r="A787" s="115">
        <v>46622</v>
      </c>
      <c r="B787" s="100"/>
      <c r="C787" s="98"/>
      <c r="D787" s="98"/>
      <c r="E787" s="100"/>
      <c r="F787" s="98"/>
      <c r="G787" s="98"/>
      <c r="H787" s="100"/>
      <c r="I787" s="120"/>
      <c r="J787" s="117"/>
      <c r="K787" s="116">
        <f t="shared" si="26"/>
        <v>0</v>
      </c>
      <c r="L787" s="116">
        <f t="shared" si="27"/>
        <v>0</v>
      </c>
      <c r="M787" s="98"/>
      <c r="N787" s="117"/>
    </row>
    <row r="788" spans="1:14" ht="15.75" customHeight="1">
      <c r="A788" s="115">
        <v>46623</v>
      </c>
      <c r="B788" s="100"/>
      <c r="C788" s="98"/>
      <c r="D788" s="98"/>
      <c r="E788" s="100"/>
      <c r="F788" s="98"/>
      <c r="G788" s="98"/>
      <c r="H788" s="100"/>
      <c r="I788" s="120"/>
      <c r="J788" s="117"/>
      <c r="K788" s="116">
        <f t="shared" si="26"/>
        <v>0</v>
      </c>
      <c r="L788" s="116">
        <f t="shared" si="27"/>
        <v>0</v>
      </c>
      <c r="M788" s="98"/>
      <c r="N788" s="117"/>
    </row>
    <row r="789" spans="1:14" ht="15.75" customHeight="1">
      <c r="A789" s="115">
        <v>46624</v>
      </c>
      <c r="B789" s="100"/>
      <c r="C789" s="98"/>
      <c r="D789" s="98"/>
      <c r="E789" s="100"/>
      <c r="F789" s="98"/>
      <c r="G789" s="98"/>
      <c r="H789" s="100"/>
      <c r="I789" s="120"/>
      <c r="J789" s="117"/>
      <c r="K789" s="116">
        <f t="shared" si="26"/>
        <v>0</v>
      </c>
      <c r="L789" s="116">
        <f t="shared" si="27"/>
        <v>0</v>
      </c>
      <c r="M789" s="98"/>
      <c r="N789" s="117"/>
    </row>
    <row r="790" spans="1:14" ht="15.75" customHeight="1">
      <c r="A790" s="115">
        <v>46625</v>
      </c>
      <c r="B790" s="100"/>
      <c r="C790" s="98"/>
      <c r="D790" s="98"/>
      <c r="E790" s="100"/>
      <c r="F790" s="98"/>
      <c r="G790" s="98"/>
      <c r="H790" s="100"/>
      <c r="I790" s="120"/>
      <c r="J790" s="117"/>
      <c r="K790" s="116">
        <f t="shared" ref="K790:K808" si="28">G790+I790+J790</f>
        <v>0</v>
      </c>
      <c r="L790" s="116">
        <f t="shared" ref="L790:L808" si="29">F790-K790</f>
        <v>0</v>
      </c>
      <c r="M790" s="98"/>
      <c r="N790" s="117"/>
    </row>
    <row r="791" spans="1:14" ht="15.75" customHeight="1">
      <c r="A791" s="115">
        <v>46626</v>
      </c>
      <c r="B791" s="100"/>
      <c r="C791" s="98"/>
      <c r="D791" s="98"/>
      <c r="E791" s="100"/>
      <c r="F791" s="98"/>
      <c r="G791" s="98"/>
      <c r="H791" s="100"/>
      <c r="I791" s="120"/>
      <c r="J791" s="117"/>
      <c r="K791" s="116">
        <f t="shared" si="28"/>
        <v>0</v>
      </c>
      <c r="L791" s="116">
        <f t="shared" si="29"/>
        <v>0</v>
      </c>
      <c r="M791" s="98"/>
      <c r="N791" s="117"/>
    </row>
    <row r="792" spans="1:14" ht="15.75" customHeight="1">
      <c r="A792" s="115">
        <v>46627</v>
      </c>
      <c r="B792" s="100"/>
      <c r="C792" s="98"/>
      <c r="D792" s="98"/>
      <c r="E792" s="100"/>
      <c r="F792" s="98"/>
      <c r="G792" s="98"/>
      <c r="H792" s="100"/>
      <c r="I792" s="120"/>
      <c r="J792" s="117"/>
      <c r="K792" s="116">
        <f t="shared" si="28"/>
        <v>0</v>
      </c>
      <c r="L792" s="116">
        <f t="shared" si="29"/>
        <v>0</v>
      </c>
      <c r="M792" s="98"/>
      <c r="N792" s="117"/>
    </row>
    <row r="793" spans="1:14" ht="15.75" customHeight="1">
      <c r="A793" s="115">
        <v>46628</v>
      </c>
      <c r="B793" s="100"/>
      <c r="C793" s="98"/>
      <c r="D793" s="98"/>
      <c r="E793" s="100"/>
      <c r="F793" s="98"/>
      <c r="G793" s="98"/>
      <c r="H793" s="100"/>
      <c r="I793" s="120"/>
      <c r="J793" s="117"/>
      <c r="K793" s="116">
        <f t="shared" si="28"/>
        <v>0</v>
      </c>
      <c r="L793" s="116">
        <f t="shared" si="29"/>
        <v>0</v>
      </c>
      <c r="M793" s="98"/>
      <c r="N793" s="117"/>
    </row>
    <row r="794" spans="1:14" ht="15.75" customHeight="1">
      <c r="A794" s="115">
        <v>46629</v>
      </c>
      <c r="B794" s="100"/>
      <c r="C794" s="98"/>
      <c r="D794" s="98"/>
      <c r="E794" s="100"/>
      <c r="F794" s="98"/>
      <c r="G794" s="98"/>
      <c r="H794" s="100"/>
      <c r="I794" s="120"/>
      <c r="J794" s="117"/>
      <c r="K794" s="116">
        <f t="shared" si="28"/>
        <v>0</v>
      </c>
      <c r="L794" s="116">
        <f t="shared" si="29"/>
        <v>0</v>
      </c>
      <c r="M794" s="98"/>
      <c r="N794" s="117"/>
    </row>
    <row r="795" spans="1:14" ht="15.75" customHeight="1">
      <c r="A795" s="115">
        <v>46630</v>
      </c>
      <c r="B795" s="100"/>
      <c r="C795" s="98"/>
      <c r="D795" s="98"/>
      <c r="E795" s="100"/>
      <c r="F795" s="98"/>
      <c r="G795" s="98"/>
      <c r="H795" s="100"/>
      <c r="I795" s="120"/>
      <c r="J795" s="117"/>
      <c r="K795" s="116">
        <f t="shared" si="28"/>
        <v>0</v>
      </c>
      <c r="L795" s="116">
        <f t="shared" si="29"/>
        <v>0</v>
      </c>
      <c r="M795" s="98"/>
      <c r="N795" s="117"/>
    </row>
    <row r="796" spans="1:14" ht="15.75" customHeight="1">
      <c r="A796" s="115">
        <v>46631</v>
      </c>
      <c r="B796" s="100"/>
      <c r="C796" s="98"/>
      <c r="D796" s="98"/>
      <c r="E796" s="100"/>
      <c r="F796" s="98"/>
      <c r="G796" s="98"/>
      <c r="H796" s="100"/>
      <c r="I796" s="120"/>
      <c r="J796" s="117"/>
      <c r="K796" s="116">
        <f t="shared" si="28"/>
        <v>0</v>
      </c>
      <c r="L796" s="116">
        <f t="shared" si="29"/>
        <v>0</v>
      </c>
      <c r="M796" s="98"/>
      <c r="N796" s="117"/>
    </row>
    <row r="797" spans="1:14" ht="15.75" customHeight="1">
      <c r="A797" s="115">
        <v>46632</v>
      </c>
      <c r="B797" s="100"/>
      <c r="C797" s="98"/>
      <c r="D797" s="98"/>
      <c r="E797" s="100"/>
      <c r="F797" s="98"/>
      <c r="G797" s="98"/>
      <c r="H797" s="100"/>
      <c r="I797" s="120"/>
      <c r="J797" s="117"/>
      <c r="K797" s="116">
        <f t="shared" si="28"/>
        <v>0</v>
      </c>
      <c r="L797" s="116">
        <f t="shared" si="29"/>
        <v>0</v>
      </c>
      <c r="M797" s="98"/>
      <c r="N797" s="117"/>
    </row>
    <row r="798" spans="1:14" ht="15.75" customHeight="1">
      <c r="A798" s="115">
        <v>46633</v>
      </c>
      <c r="B798" s="100"/>
      <c r="C798" s="98"/>
      <c r="D798" s="98"/>
      <c r="E798" s="100"/>
      <c r="F798" s="98"/>
      <c r="G798" s="98"/>
      <c r="H798" s="100"/>
      <c r="I798" s="120"/>
      <c r="J798" s="117"/>
      <c r="K798" s="116">
        <f t="shared" si="28"/>
        <v>0</v>
      </c>
      <c r="L798" s="116">
        <f t="shared" si="29"/>
        <v>0</v>
      </c>
      <c r="M798" s="98"/>
      <c r="N798" s="117"/>
    </row>
    <row r="799" spans="1:14" ht="15.75" customHeight="1">
      <c r="A799" s="115">
        <v>46634</v>
      </c>
      <c r="B799" s="100"/>
      <c r="C799" s="98"/>
      <c r="D799" s="98"/>
      <c r="E799" s="100"/>
      <c r="F799" s="98"/>
      <c r="G799" s="98"/>
      <c r="H799" s="100"/>
      <c r="I799" s="120"/>
      <c r="J799" s="117"/>
      <c r="K799" s="116">
        <f t="shared" si="28"/>
        <v>0</v>
      </c>
      <c r="L799" s="116">
        <f t="shared" si="29"/>
        <v>0</v>
      </c>
      <c r="M799" s="98"/>
      <c r="N799" s="117"/>
    </row>
    <row r="800" spans="1:14" ht="15.75" customHeight="1">
      <c r="A800" s="115">
        <v>46635</v>
      </c>
      <c r="B800" s="100"/>
      <c r="C800" s="98"/>
      <c r="D800" s="98"/>
      <c r="E800" s="100"/>
      <c r="F800" s="98"/>
      <c r="G800" s="98"/>
      <c r="H800" s="100"/>
      <c r="I800" s="120"/>
      <c r="J800" s="117"/>
      <c r="K800" s="116">
        <f t="shared" si="28"/>
        <v>0</v>
      </c>
      <c r="L800" s="116">
        <f t="shared" si="29"/>
        <v>0</v>
      </c>
      <c r="M800" s="98"/>
      <c r="N800" s="117"/>
    </row>
    <row r="801" spans="1:14" ht="15.75" customHeight="1">
      <c r="A801" s="115">
        <v>46636</v>
      </c>
      <c r="B801" s="100"/>
      <c r="C801" s="98"/>
      <c r="D801" s="98"/>
      <c r="E801" s="100"/>
      <c r="F801" s="98"/>
      <c r="G801" s="98"/>
      <c r="H801" s="100"/>
      <c r="I801" s="120"/>
      <c r="J801" s="117"/>
      <c r="K801" s="116">
        <f t="shared" si="28"/>
        <v>0</v>
      </c>
      <c r="L801" s="116">
        <f t="shared" si="29"/>
        <v>0</v>
      </c>
      <c r="M801" s="98"/>
      <c r="N801" s="117"/>
    </row>
    <row r="802" spans="1:14" ht="15.75" customHeight="1">
      <c r="A802" s="115">
        <v>46637</v>
      </c>
      <c r="B802" s="100"/>
      <c r="C802" s="98"/>
      <c r="D802" s="98"/>
      <c r="E802" s="100"/>
      <c r="F802" s="98"/>
      <c r="G802" s="98"/>
      <c r="H802" s="100"/>
      <c r="I802" s="120"/>
      <c r="J802" s="117"/>
      <c r="K802" s="116">
        <f t="shared" si="28"/>
        <v>0</v>
      </c>
      <c r="L802" s="116">
        <f t="shared" si="29"/>
        <v>0</v>
      </c>
      <c r="M802" s="98"/>
      <c r="N802" s="117"/>
    </row>
    <row r="803" spans="1:14" ht="15.75" customHeight="1">
      <c r="A803" s="115">
        <v>46638</v>
      </c>
      <c r="B803" s="100"/>
      <c r="C803" s="98"/>
      <c r="D803" s="98"/>
      <c r="E803" s="100"/>
      <c r="F803" s="98"/>
      <c r="G803" s="98"/>
      <c r="H803" s="100"/>
      <c r="I803" s="120"/>
      <c r="J803" s="117"/>
      <c r="K803" s="116">
        <f t="shared" si="28"/>
        <v>0</v>
      </c>
      <c r="L803" s="116">
        <f t="shared" si="29"/>
        <v>0</v>
      </c>
      <c r="M803" s="98"/>
      <c r="N803" s="117"/>
    </row>
    <row r="804" spans="1:14" ht="15.75" customHeight="1">
      <c r="A804" s="115">
        <v>46639</v>
      </c>
      <c r="B804" s="100"/>
      <c r="C804" s="98"/>
      <c r="D804" s="98"/>
      <c r="E804" s="100"/>
      <c r="F804" s="98"/>
      <c r="G804" s="98"/>
      <c r="H804" s="100"/>
      <c r="I804" s="120"/>
      <c r="J804" s="117"/>
      <c r="K804" s="116">
        <f t="shared" si="28"/>
        <v>0</v>
      </c>
      <c r="L804" s="116">
        <f t="shared" si="29"/>
        <v>0</v>
      </c>
      <c r="M804" s="98"/>
      <c r="N804" s="117"/>
    </row>
    <row r="805" spans="1:14" ht="15.75" customHeight="1">
      <c r="A805" s="115">
        <v>46640</v>
      </c>
      <c r="B805" s="100"/>
      <c r="C805" s="98"/>
      <c r="D805" s="98"/>
      <c r="E805" s="100"/>
      <c r="F805" s="98"/>
      <c r="G805" s="98"/>
      <c r="H805" s="100"/>
      <c r="I805" s="120"/>
      <c r="J805" s="117"/>
      <c r="K805" s="116">
        <f t="shared" si="28"/>
        <v>0</v>
      </c>
      <c r="L805" s="116">
        <f t="shared" si="29"/>
        <v>0</v>
      </c>
      <c r="M805" s="98"/>
      <c r="N805" s="117"/>
    </row>
    <row r="806" spans="1:14" ht="15.75" customHeight="1">
      <c r="A806" s="115">
        <v>46641</v>
      </c>
      <c r="B806" s="100"/>
      <c r="C806" s="98"/>
      <c r="D806" s="98"/>
      <c r="E806" s="100"/>
      <c r="F806" s="98"/>
      <c r="G806" s="98"/>
      <c r="H806" s="100"/>
      <c r="I806" s="120"/>
      <c r="J806" s="117"/>
      <c r="K806" s="116">
        <f t="shared" si="28"/>
        <v>0</v>
      </c>
      <c r="L806" s="116">
        <f t="shared" si="29"/>
        <v>0</v>
      </c>
      <c r="M806" s="98"/>
      <c r="N806" s="117"/>
    </row>
    <row r="807" spans="1:14" ht="15.75" customHeight="1">
      <c r="A807" s="115">
        <v>46642</v>
      </c>
      <c r="B807" s="100"/>
      <c r="C807" s="98"/>
      <c r="D807" s="98"/>
      <c r="E807" s="100"/>
      <c r="F807" s="98"/>
      <c r="G807" s="98"/>
      <c r="H807" s="100"/>
      <c r="I807" s="120"/>
      <c r="J807" s="117"/>
      <c r="K807" s="116">
        <f t="shared" si="28"/>
        <v>0</v>
      </c>
      <c r="L807" s="116">
        <f t="shared" si="29"/>
        <v>0</v>
      </c>
      <c r="M807" s="98"/>
      <c r="N807" s="117"/>
    </row>
    <row r="808" spans="1:14" ht="15.75" customHeight="1">
      <c r="A808" s="115">
        <v>46643</v>
      </c>
      <c r="B808" s="100"/>
      <c r="C808" s="98"/>
      <c r="D808" s="98"/>
      <c r="E808" s="100"/>
      <c r="F808" s="98"/>
      <c r="G808" s="98"/>
      <c r="H808" s="100"/>
      <c r="I808" s="120"/>
      <c r="J808" s="117"/>
      <c r="K808" s="116">
        <f t="shared" si="28"/>
        <v>0</v>
      </c>
      <c r="L808" s="116">
        <f t="shared" si="29"/>
        <v>0</v>
      </c>
      <c r="M808" s="98"/>
      <c r="N808" s="117"/>
    </row>
  </sheetData>
  <mergeCells count="1">
    <mergeCell ref="A1:N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F1EA-2A4D-3641-8F81-651900F932C3}">
  <sheetPr codeName="Sheet2" filterMode="1"/>
  <dimension ref="A1:F208"/>
  <sheetViews>
    <sheetView workbookViewId="0">
      <pane ySplit="4" topLeftCell="A183" activePane="bottomLeft" state="frozen"/>
      <selection pane="bottomLeft" activeCell="A166" sqref="A166"/>
    </sheetView>
  </sheetViews>
  <sheetFormatPr defaultColWidth="11" defaultRowHeight="15.95"/>
  <cols>
    <col min="2" max="3" width="14.375" style="43" bestFit="1" customWidth="1"/>
    <col min="8" max="8" width="20" bestFit="1" customWidth="1"/>
    <col min="9" max="10" width="16" bestFit="1" customWidth="1"/>
    <col min="11" max="12" width="12.125" bestFit="1" customWidth="1"/>
    <col min="13" max="13" width="17" bestFit="1" customWidth="1"/>
    <col min="14" max="14" width="7.625" bestFit="1" customWidth="1"/>
    <col min="15" max="30" width="16" bestFit="1" customWidth="1"/>
    <col min="31" max="32" width="10.5" bestFit="1" customWidth="1"/>
  </cols>
  <sheetData>
    <row r="1" spans="1:6" ht="30" customHeight="1">
      <c r="A1" s="304" t="s">
        <v>68</v>
      </c>
      <c r="B1" s="305"/>
      <c r="C1" s="305"/>
      <c r="D1" s="305"/>
      <c r="E1" s="305"/>
      <c r="F1" s="305"/>
    </row>
    <row r="2" spans="1:6" hidden="1">
      <c r="A2" s="57">
        <f>Efficiencies!A2</f>
        <v>0</v>
      </c>
      <c r="B2" s="63" t="str">
        <f>Efficiencies!B2</f>
        <v>UREA REACTOR</v>
      </c>
      <c r="C2" s="65">
        <f>Efficiencies!C2</f>
        <v>0</v>
      </c>
      <c r="D2" s="45">
        <f>Efficiencies!D2</f>
        <v>0</v>
      </c>
      <c r="E2" s="45">
        <f>Efficiencies!E2</f>
        <v>0</v>
      </c>
      <c r="F2" s="46">
        <f>Efficiencies!F2</f>
        <v>0</v>
      </c>
    </row>
    <row r="3" spans="1:6">
      <c r="A3" s="57" t="str">
        <f>Efficiencies!A3</f>
        <v>Design Values</v>
      </c>
      <c r="B3" s="63">
        <f>Efficiencies!B3</f>
        <v>0.57999999999999996</v>
      </c>
      <c r="C3" s="65">
        <f>Efficiencies!C3</f>
        <v>0.37</v>
      </c>
      <c r="D3" s="45">
        <f>Efficiencies!D3</f>
        <v>3.11</v>
      </c>
      <c r="E3" s="45">
        <f>Efficiencies!E3</f>
        <v>0.52</v>
      </c>
      <c r="F3" s="46">
        <f>Efficiencies!F3</f>
        <v>1.899</v>
      </c>
    </row>
    <row r="4" spans="1:6">
      <c r="A4" s="58" t="str">
        <f>Efficiencies!A4</f>
        <v>Date</v>
      </c>
      <c r="B4" s="64" t="str">
        <f>Efficiencies!B4</f>
        <v>CO2 Conversion</v>
      </c>
      <c r="C4" s="66" t="str">
        <f>Efficiencies!C4</f>
        <v>NH3 Conversion</v>
      </c>
      <c r="D4" s="48" t="str">
        <f>Efficiencies!D4</f>
        <v>N/C</v>
      </c>
      <c r="E4" s="48" t="str">
        <f>Efficiencies!E4</f>
        <v>H/C</v>
      </c>
      <c r="F4" s="49" t="str">
        <f>Efficiencies!F4</f>
        <v>H/U</v>
      </c>
    </row>
    <row r="5" spans="1:6">
      <c r="A5" s="59">
        <f>Efficiencies!A5</f>
        <v>45819</v>
      </c>
      <c r="B5" s="61">
        <f>Efficiencies!B5</f>
        <v>0.56087766525185256</v>
      </c>
      <c r="C5" s="62">
        <f>Efficiencies!C5</f>
        <v>0.37927754688501542</v>
      </c>
      <c r="D5" s="51">
        <f>Efficiencies!D5</f>
        <v>2.957956981176137</v>
      </c>
      <c r="E5" s="51">
        <f>Efficiencies!E5</f>
        <v>0.53829996166590532</v>
      </c>
      <c r="F5" s="52">
        <f>Efficiencies!F5</f>
        <v>1.9596334054165381</v>
      </c>
    </row>
    <row r="6" spans="1:6">
      <c r="A6" s="59">
        <f>Efficiencies!A6</f>
        <v>45820</v>
      </c>
      <c r="B6" s="61">
        <f>Efficiencies!B6</f>
        <v>0.55258555979048529</v>
      </c>
      <c r="C6" s="62">
        <f>Efficiencies!C6</f>
        <v>0.37483146999647377</v>
      </c>
      <c r="D6" s="51">
        <f>Efficiencies!D6</f>
        <v>2.9487997864804303</v>
      </c>
      <c r="E6" s="51">
        <f>Efficiencies!E6</f>
        <v>0.54722143449811422</v>
      </c>
      <c r="F6" s="52">
        <f>Efficiencies!F6</f>
        <v>1.9901745583777559</v>
      </c>
    </row>
    <row r="7" spans="1:6">
      <c r="A7" s="59">
        <f>Efficiencies!A7</f>
        <v>45821</v>
      </c>
      <c r="B7" s="61">
        <f>Efficiencies!B7</f>
        <v>0.54558797968288297</v>
      </c>
      <c r="C7" s="62">
        <f>Efficiencies!C7</f>
        <v>0.37275637915979432</v>
      </c>
      <c r="D7" s="51">
        <f>Efficiencies!D7</f>
        <v>2.9276713319217063</v>
      </c>
      <c r="E7" s="51">
        <f>Efficiencies!E7</f>
        <v>0.53910071491283107</v>
      </c>
      <c r="F7" s="52">
        <f>Efficiencies!F7</f>
        <v>1.9879898862199752</v>
      </c>
    </row>
    <row r="8" spans="1:6" hidden="1">
      <c r="A8" s="59">
        <f>Efficiencies!A8</f>
        <v>45822</v>
      </c>
      <c r="B8" s="61" t="str">
        <f>Efficiencies!B8</f>
        <v>0</v>
      </c>
      <c r="C8" s="62" t="str">
        <f>Efficiencies!C8</f>
        <v>0</v>
      </c>
      <c r="D8" s="51" t="str">
        <f>Efficiencies!D8</f>
        <v>0</v>
      </c>
      <c r="E8" s="51" t="str">
        <f>Efficiencies!E8</f>
        <v>0</v>
      </c>
      <c r="F8" s="52" t="str">
        <f>Efficiencies!F8</f>
        <v>0</v>
      </c>
    </row>
    <row r="9" spans="1:6" hidden="1">
      <c r="A9" s="59">
        <f>Efficiencies!A9</f>
        <v>45823</v>
      </c>
      <c r="B9" s="61" t="str">
        <f>Efficiencies!B9</f>
        <v>0</v>
      </c>
      <c r="C9" s="62" t="str">
        <f>Efficiencies!C9</f>
        <v>0</v>
      </c>
      <c r="D9" s="51" t="str">
        <f>Efficiencies!D9</f>
        <v>0</v>
      </c>
      <c r="E9" s="51" t="str">
        <f>Efficiencies!E9</f>
        <v>0</v>
      </c>
      <c r="F9" s="52" t="str">
        <f>Efficiencies!F9</f>
        <v>0</v>
      </c>
    </row>
    <row r="10" spans="1:6">
      <c r="A10" s="59">
        <f>Efficiencies!A10</f>
        <v>45824</v>
      </c>
      <c r="B10" s="61">
        <f>Efficiencies!B10</f>
        <v>0.53433276137150421</v>
      </c>
      <c r="C10" s="62">
        <f>Efficiencies!C10</f>
        <v>0.36513393102689617</v>
      </c>
      <c r="D10" s="51">
        <f>Efficiencies!D10</f>
        <v>2.9271402016890358</v>
      </c>
      <c r="E10" s="51">
        <f>Efficiencies!E10</f>
        <v>0.49311603218047589</v>
      </c>
      <c r="F10" s="52">
        <f>Efficiencies!F10</f>
        <v>1.9227486128894578</v>
      </c>
    </row>
    <row r="11" spans="1:6">
      <c r="A11" s="59">
        <f>Efficiencies!A11</f>
        <v>45825</v>
      </c>
      <c r="B11" s="61">
        <f>Efficiencies!B11</f>
        <v>0.54443232690753529</v>
      </c>
      <c r="C11" s="62">
        <f>Efficiencies!C11</f>
        <v>0.37094348175468234</v>
      </c>
      <c r="D11" s="51">
        <f>Efficiencies!D11</f>
        <v>2.9357488905630498</v>
      </c>
      <c r="E11" s="51">
        <f>Efficiencies!E11</f>
        <v>0.49582437443520044</v>
      </c>
      <c r="F11" s="52">
        <f>Efficiencies!F11</f>
        <v>1.9106074913440363</v>
      </c>
    </row>
    <row r="12" spans="1:6">
      <c r="A12" s="59">
        <f>Efficiencies!A12</f>
        <v>45826</v>
      </c>
      <c r="B12" s="61">
        <f>Efficiencies!B12</f>
        <v>0.54230195016303318</v>
      </c>
      <c r="C12" s="62">
        <f>Efficiencies!C12</f>
        <v>0.37674119079951279</v>
      </c>
      <c r="D12" s="51">
        <f>Efficiencies!D12</f>
        <v>2.8792611124903469</v>
      </c>
      <c r="E12" s="51">
        <f>Efficiencies!E12</f>
        <v>0.54659378195843966</v>
      </c>
      <c r="F12" s="52">
        <f>Efficiencies!F12</f>
        <v>2.0077911139187208</v>
      </c>
    </row>
    <row r="13" spans="1:6">
      <c r="A13" s="59">
        <f>Efficiencies!A13</f>
        <v>45827</v>
      </c>
      <c r="B13" s="61">
        <f>Efficiencies!B13</f>
        <v>0.55009440881690674</v>
      </c>
      <c r="C13" s="62">
        <f>Efficiencies!C13</f>
        <v>0.35770811606649905</v>
      </c>
      <c r="D13" s="51">
        <f>Efficiencies!D13</f>
        <v>3.0760297119722773</v>
      </c>
      <c r="E13" s="51">
        <f>Efficiencies!E13</f>
        <v>0.59103183089768041</v>
      </c>
      <c r="F13" s="52">
        <f>Efficiencies!F13</f>
        <v>2.074290033473706</v>
      </c>
    </row>
    <row r="14" spans="1:6">
      <c r="A14" s="59">
        <f>Efficiencies!A14</f>
        <v>45828</v>
      </c>
      <c r="B14" s="61">
        <f>Efficiencies!B14</f>
        <v>0.54068077327487263</v>
      </c>
      <c r="C14" s="62">
        <f>Efficiencies!C14</f>
        <v>0.37010978975987374</v>
      </c>
      <c r="D14" s="51">
        <f>Efficiencies!D14</f>
        <v>2.9220896287658884</v>
      </c>
      <c r="E14" s="51">
        <f>Efficiencies!E14</f>
        <v>0.52344950039312466</v>
      </c>
      <c r="F14" s="52">
        <f>Efficiencies!F14</f>
        <v>1.96801186315009</v>
      </c>
    </row>
    <row r="15" spans="1:6" hidden="1">
      <c r="A15" s="59">
        <f>Efficiencies!A15</f>
        <v>45829</v>
      </c>
      <c r="B15" s="61" t="str">
        <f>Efficiencies!B15</f>
        <v>0</v>
      </c>
      <c r="C15" s="62" t="str">
        <f>Efficiencies!C15</f>
        <v>0</v>
      </c>
      <c r="D15" s="51" t="str">
        <f>Efficiencies!D15</f>
        <v>0</v>
      </c>
      <c r="E15" s="51" t="str">
        <f>Efficiencies!E15</f>
        <v>0</v>
      </c>
      <c r="F15" s="52" t="str">
        <f>Efficiencies!F15</f>
        <v>0</v>
      </c>
    </row>
    <row r="16" spans="1:6" hidden="1">
      <c r="A16" s="59">
        <f>Efficiencies!A16</f>
        <v>45830</v>
      </c>
      <c r="B16" s="61" t="str">
        <f>Efficiencies!B16</f>
        <v>0</v>
      </c>
      <c r="C16" s="62" t="str">
        <f>Efficiencies!C16</f>
        <v>0</v>
      </c>
      <c r="D16" s="51" t="str">
        <f>Efficiencies!D16</f>
        <v>0</v>
      </c>
      <c r="E16" s="51" t="str">
        <f>Efficiencies!E16</f>
        <v>0</v>
      </c>
      <c r="F16" s="52" t="str">
        <f>Efficiencies!F16</f>
        <v>0</v>
      </c>
    </row>
    <row r="17" spans="1:6">
      <c r="A17" s="59">
        <f>Efficiencies!A17</f>
        <v>45831</v>
      </c>
      <c r="B17" s="61">
        <f>Efficiencies!B17</f>
        <v>0.53465113671480802</v>
      </c>
      <c r="C17" s="62">
        <f>Efficiencies!C17</f>
        <v>0.35804896442134182</v>
      </c>
      <c r="D17" s="51">
        <f>Efficiencies!D17</f>
        <v>2.9868399401782217</v>
      </c>
      <c r="E17" s="51">
        <f>Efficiencies!E17</f>
        <v>0.43283396531360668</v>
      </c>
      <c r="F17" s="52">
        <f>Efficiencies!F17</f>
        <v>1.809462915601022</v>
      </c>
    </row>
    <row r="18" spans="1:6">
      <c r="A18" s="59">
        <f>Efficiencies!A18</f>
        <v>45832</v>
      </c>
      <c r="B18" s="61">
        <f>Efficiencies!B18</f>
        <v>0.54840130715875823</v>
      </c>
      <c r="C18" s="62">
        <f>Efficiencies!C18</f>
        <v>0.36899026105312216</v>
      </c>
      <c r="D18" s="51">
        <f>Efficiencies!D18</f>
        <v>2.9728011676355286</v>
      </c>
      <c r="E18" s="51">
        <f>Efficiencies!E18</f>
        <v>0.52064276755304328</v>
      </c>
      <c r="F18" s="52">
        <f>Efficiencies!F18</f>
        <v>1.9492684980528361</v>
      </c>
    </row>
    <row r="19" spans="1:6">
      <c r="A19" s="59">
        <f>Efficiencies!A19</f>
        <v>45833</v>
      </c>
      <c r="B19" s="61">
        <f>Efficiencies!B19</f>
        <v>0.55118004484368321</v>
      </c>
      <c r="C19" s="62">
        <f>Efficiencies!C19</f>
        <v>0.37213562319715332</v>
      </c>
      <c r="D19" s="51">
        <f>Efficiencies!D19</f>
        <v>2.9626080866640265</v>
      </c>
      <c r="E19" s="51">
        <f>Efficiencies!E19</f>
        <v>0.64880541139799808</v>
      </c>
      <c r="F19" s="52">
        <f>Efficiencies!F19</f>
        <v>2.1769798012183394</v>
      </c>
    </row>
    <row r="20" spans="1:6">
      <c r="A20" s="59">
        <f>Efficiencies!A20</f>
        <v>45834</v>
      </c>
      <c r="B20" s="61">
        <f>Efficiencies!B20</f>
        <v>0.54441335411447611</v>
      </c>
      <c r="C20" s="62">
        <f>Efficiencies!C20</f>
        <v>0.36043720942989971</v>
      </c>
      <c r="D20" s="51">
        <f>Efficiencies!D20</f>
        <v>3.0212168495553891</v>
      </c>
      <c r="E20" s="51">
        <f>Efficiencies!E20</f>
        <v>0.57194998959450571</v>
      </c>
      <c r="F20" s="52">
        <f>Efficiencies!F20</f>
        <v>2.0504527813712805</v>
      </c>
    </row>
    <row r="21" spans="1:6">
      <c r="A21" s="59">
        <f>Efficiencies!A21</f>
        <v>45835</v>
      </c>
      <c r="B21" s="61">
        <f>Efficiencies!B21</f>
        <v>0.54213145991506428</v>
      </c>
      <c r="C21" s="62">
        <f>Efficiencies!C21</f>
        <v>0.36672629695885506</v>
      </c>
      <c r="D21" s="51">
        <f>Efficiencies!D21</f>
        <v>2.9569608078865115</v>
      </c>
      <c r="E21" s="51">
        <f>Efficiencies!E21</f>
        <v>0.64035158024097705</v>
      </c>
      <c r="F21" s="52">
        <f>Efficiencies!F21</f>
        <v>2.1810298102981034</v>
      </c>
    </row>
    <row r="22" spans="1:6" hidden="1">
      <c r="A22" s="59">
        <f>Efficiencies!A22</f>
        <v>45836</v>
      </c>
      <c r="B22" s="61" t="str">
        <f>Efficiencies!B22</f>
        <v>0</v>
      </c>
      <c r="C22" s="62" t="str">
        <f>Efficiencies!C22</f>
        <v>0</v>
      </c>
      <c r="D22" s="51" t="str">
        <f>Efficiencies!D22</f>
        <v>0</v>
      </c>
      <c r="E22" s="51" t="str">
        <f>Efficiencies!E22</f>
        <v>0</v>
      </c>
      <c r="F22" s="52" t="str">
        <f>Efficiencies!F22</f>
        <v>0</v>
      </c>
    </row>
    <row r="23" spans="1:6" hidden="1">
      <c r="A23" s="59">
        <f>Efficiencies!A23</f>
        <v>45837</v>
      </c>
      <c r="B23" s="61" t="str">
        <f>Efficiencies!B23</f>
        <v>0</v>
      </c>
      <c r="C23" s="62" t="str">
        <f>Efficiencies!C23</f>
        <v>0</v>
      </c>
      <c r="D23" s="51" t="str">
        <f>Efficiencies!D23</f>
        <v>0</v>
      </c>
      <c r="E23" s="51" t="str">
        <f>Efficiencies!E23</f>
        <v>0</v>
      </c>
      <c r="F23" s="52" t="str">
        <f>Efficiencies!F23</f>
        <v>0</v>
      </c>
    </row>
    <row r="24" spans="1:6">
      <c r="A24" s="59">
        <f>Efficiencies!A24</f>
        <v>45838</v>
      </c>
      <c r="B24" s="61">
        <f>Efficiencies!B24</f>
        <v>0.54045372975916994</v>
      </c>
      <c r="C24" s="62">
        <f>Efficiencies!C24</f>
        <v>0.3608836960546345</v>
      </c>
      <c r="D24" s="51">
        <f>Efficiencies!D24</f>
        <v>2.9955354392018685</v>
      </c>
      <c r="E24" s="51">
        <f>Efficiencies!E24</f>
        <v>0.5459903289633784</v>
      </c>
      <c r="F24" s="52">
        <f>Efficiencies!F24</f>
        <v>2.0101205857019799</v>
      </c>
    </row>
    <row r="25" spans="1:6">
      <c r="A25" s="59">
        <f>Efficiencies!A25</f>
        <v>45839</v>
      </c>
      <c r="B25" s="61">
        <f>Efficiencies!B25</f>
        <v>0.54482551962733927</v>
      </c>
      <c r="C25" s="62">
        <f>Efficiencies!C25</f>
        <v>0.37096097356273605</v>
      </c>
      <c r="D25" s="51">
        <f>Efficiencies!D25</f>
        <v>2.9377302719134808</v>
      </c>
      <c r="E25" s="51">
        <f>Efficiencies!E25</f>
        <v>0.6025244105739459</v>
      </c>
      <c r="F25" s="52">
        <f>Efficiencies!F25</f>
        <v>2.1057692307692304</v>
      </c>
    </row>
    <row r="26" spans="1:6">
      <c r="A26" s="59">
        <f>Efficiencies!A26</f>
        <v>45840</v>
      </c>
      <c r="B26" s="61">
        <f>Efficiencies!B26</f>
        <v>0.53854982099727644</v>
      </c>
      <c r="C26" s="62">
        <f>Efficiencies!C26</f>
        <v>0.37321937321937326</v>
      </c>
      <c r="D26" s="51">
        <f>Efficiencies!D26</f>
        <v>2.8863243470541509</v>
      </c>
      <c r="E26" s="51">
        <f>Efficiencies!E26</f>
        <v>0.54010081660411047</v>
      </c>
      <c r="F26" s="52">
        <f>Efficiencies!F26</f>
        <v>2.0027565733672601</v>
      </c>
    </row>
    <row r="27" spans="1:6">
      <c r="A27" s="59">
        <f>Efficiencies!A27</f>
        <v>45841</v>
      </c>
      <c r="B27" s="61">
        <f>Efficiencies!B27</f>
        <v>0.54157327035036784</v>
      </c>
      <c r="C27" s="62">
        <f>Efficiencies!C27</f>
        <v>0.36755251627697472</v>
      </c>
      <c r="D27" s="51">
        <f>Efficiencies!D27</f>
        <v>2.9472766071830208</v>
      </c>
      <c r="E27" s="51">
        <f>Efficiencies!E27</f>
        <v>0.47108499901561601</v>
      </c>
      <c r="F27" s="52">
        <f>Efficiencies!F27</f>
        <v>1.8697390572390582</v>
      </c>
    </row>
    <row r="28" spans="1:6">
      <c r="A28" s="59">
        <f>Efficiencies!A28</f>
        <v>45842</v>
      </c>
      <c r="B28" s="61">
        <f>Efficiencies!B28</f>
        <v>0.55346618368360223</v>
      </c>
      <c r="C28" s="62">
        <f>Efficiencies!C28</f>
        <v>0.36228077776814932</v>
      </c>
      <c r="D28" s="51">
        <f>Efficiencies!D28</f>
        <v>3.055818096299781</v>
      </c>
      <c r="E28" s="51">
        <f>Efficiencies!E28</f>
        <v>0.44087493966295233</v>
      </c>
      <c r="F28" s="52">
        <f>Efficiencies!F28</f>
        <v>1.7964758627880311</v>
      </c>
    </row>
    <row r="29" spans="1:6" hidden="1">
      <c r="A29" s="59">
        <f>Efficiencies!A29</f>
        <v>45843</v>
      </c>
      <c r="B29" s="61" t="str">
        <f>Efficiencies!B29</f>
        <v>0</v>
      </c>
      <c r="C29" s="62" t="str">
        <f>Efficiencies!C29</f>
        <v>0</v>
      </c>
      <c r="D29" s="51" t="str">
        <f>Efficiencies!D29</f>
        <v>0</v>
      </c>
      <c r="E29" s="51" t="str">
        <f>Efficiencies!E29</f>
        <v>0</v>
      </c>
      <c r="F29" s="52" t="str">
        <f>Efficiencies!F29</f>
        <v>0</v>
      </c>
    </row>
    <row r="30" spans="1:6" hidden="1">
      <c r="A30" s="59">
        <f>Efficiencies!A30</f>
        <v>45844</v>
      </c>
      <c r="B30" s="61" t="str">
        <f>Efficiencies!B30</f>
        <v>0</v>
      </c>
      <c r="C30" s="62" t="str">
        <f>Efficiencies!C30</f>
        <v>0</v>
      </c>
      <c r="D30" s="51" t="str">
        <f>Efficiencies!D30</f>
        <v>0</v>
      </c>
      <c r="E30" s="51" t="str">
        <f>Efficiencies!E30</f>
        <v>0</v>
      </c>
      <c r="F30" s="52" t="str">
        <f>Efficiencies!F30</f>
        <v>0</v>
      </c>
    </row>
    <row r="31" spans="1:6" hidden="1">
      <c r="A31" s="59">
        <f>Efficiencies!A31</f>
        <v>45845</v>
      </c>
      <c r="B31" s="61" t="str">
        <f>Efficiencies!B31</f>
        <v>0</v>
      </c>
      <c r="C31" s="62" t="str">
        <f>Efficiencies!C31</f>
        <v>0</v>
      </c>
      <c r="D31" s="51" t="str">
        <f>Efficiencies!D31</f>
        <v>0</v>
      </c>
      <c r="E31" s="51" t="str">
        <f>Efficiencies!E31</f>
        <v>0</v>
      </c>
      <c r="F31" s="52" t="str">
        <f>Efficiencies!F31</f>
        <v>0</v>
      </c>
    </row>
    <row r="32" spans="1:6">
      <c r="A32" s="59">
        <f>Efficiencies!A32</f>
        <v>45846</v>
      </c>
      <c r="B32" s="61">
        <f>Efficiencies!B32</f>
        <v>0.53771376758113154</v>
      </c>
      <c r="C32" s="62">
        <f>Efficiencies!C32</f>
        <v>0.36923013517969011</v>
      </c>
      <c r="D32" s="51">
        <f>Efficiencies!D32</f>
        <v>2.9129802484563561</v>
      </c>
      <c r="E32" s="51">
        <f>Efficiencies!E32</f>
        <v>0.47360473326427233</v>
      </c>
      <c r="F32" s="52">
        <f>Efficiencies!F32</f>
        <v>1.880666244992621</v>
      </c>
    </row>
    <row r="33" spans="1:6">
      <c r="A33" s="59">
        <f>Efficiencies!A33</f>
        <v>45847</v>
      </c>
      <c r="B33" s="61">
        <f>Efficiencies!B33</f>
        <v>0.54169958243990513</v>
      </c>
      <c r="C33" s="62">
        <f>Efficiencies!C33</f>
        <v>0.37539207895947474</v>
      </c>
      <c r="D33" s="51">
        <f>Efficiencies!D33</f>
        <v>2.8863996137142416</v>
      </c>
      <c r="E33" s="51">
        <f>Efficiencies!E33</f>
        <v>0.52990894910581565</v>
      </c>
      <c r="F33" s="52">
        <f>Efficiencies!F33</f>
        <v>1.9781144781144795</v>
      </c>
    </row>
    <row r="34" spans="1:6">
      <c r="A34" s="59">
        <f>Efficiencies!A34</f>
        <v>45848</v>
      </c>
      <c r="B34" s="61">
        <f>Efficiencies!B34</f>
        <v>0.54349559266464142</v>
      </c>
      <c r="C34" s="62">
        <f>Efficiencies!C34</f>
        <v>0.37970553789526523</v>
      </c>
      <c r="D34" s="51">
        <f>Efficiencies!D34</f>
        <v>2.863069884410526</v>
      </c>
      <c r="E34" s="51">
        <f>Efficiencies!E34</f>
        <v>0.50657783124354128</v>
      </c>
      <c r="F34" s="52">
        <f>Efficiencies!F34</f>
        <v>1.9319600499375773</v>
      </c>
    </row>
    <row r="35" spans="1:6" hidden="1">
      <c r="A35" s="59">
        <f>Efficiencies!A35</f>
        <v>45849</v>
      </c>
      <c r="B35" s="61" t="str">
        <f>Efficiencies!B35</f>
        <v>0</v>
      </c>
      <c r="C35" s="62" t="str">
        <f>Efficiencies!C35</f>
        <v>0</v>
      </c>
      <c r="D35" s="51" t="str">
        <f>Efficiencies!D35</f>
        <v>0</v>
      </c>
      <c r="E35" s="51" t="str">
        <f>Efficiencies!E35</f>
        <v>0</v>
      </c>
      <c r="F35" s="52" t="str">
        <f>Efficiencies!F35</f>
        <v>0</v>
      </c>
    </row>
    <row r="36" spans="1:6" hidden="1">
      <c r="A36" s="59">
        <f>Efficiencies!A36</f>
        <v>45850</v>
      </c>
      <c r="B36" s="61" t="str">
        <f>Efficiencies!B36</f>
        <v>0</v>
      </c>
      <c r="C36" s="62" t="str">
        <f>Efficiencies!C36</f>
        <v>0</v>
      </c>
      <c r="D36" s="51" t="str">
        <f>Efficiencies!D36</f>
        <v>0</v>
      </c>
      <c r="E36" s="51" t="str">
        <f>Efficiencies!E36</f>
        <v>0</v>
      </c>
      <c r="F36" s="52" t="str">
        <f>Efficiencies!F36</f>
        <v>0</v>
      </c>
    </row>
    <row r="37" spans="1:6" hidden="1">
      <c r="A37" s="59">
        <f>Efficiencies!A37</f>
        <v>45851</v>
      </c>
      <c r="B37" s="61" t="str">
        <f>Efficiencies!B37</f>
        <v>0</v>
      </c>
      <c r="C37" s="62" t="str">
        <f>Efficiencies!C37</f>
        <v>0</v>
      </c>
      <c r="D37" s="51" t="str">
        <f>Efficiencies!D37</f>
        <v>0</v>
      </c>
      <c r="E37" s="51" t="str">
        <f>Efficiencies!E37</f>
        <v>0</v>
      </c>
      <c r="F37" s="52" t="str">
        <f>Efficiencies!F37</f>
        <v>0</v>
      </c>
    </row>
    <row r="38" spans="1:6" hidden="1">
      <c r="A38" s="59">
        <f>Efficiencies!A38</f>
        <v>45852</v>
      </c>
      <c r="B38" s="61" t="str">
        <f>Efficiencies!B38</f>
        <v>0</v>
      </c>
      <c r="C38" s="62" t="str">
        <f>Efficiencies!C38</f>
        <v>0</v>
      </c>
      <c r="D38" s="51" t="str">
        <f>Efficiencies!D38</f>
        <v>0</v>
      </c>
      <c r="E38" s="51" t="str">
        <f>Efficiencies!E38</f>
        <v>0</v>
      </c>
      <c r="F38" s="52" t="str">
        <f>Efficiencies!F38</f>
        <v>0</v>
      </c>
    </row>
    <row r="39" spans="1:6" hidden="1">
      <c r="A39" s="59">
        <f>Efficiencies!A39</f>
        <v>45853</v>
      </c>
      <c r="B39" s="61" t="str">
        <f>Efficiencies!B39</f>
        <v>0</v>
      </c>
      <c r="C39" s="62" t="str">
        <f>Efficiencies!C39</f>
        <v>0</v>
      </c>
      <c r="D39" s="51" t="str">
        <f>Efficiencies!D39</f>
        <v>0</v>
      </c>
      <c r="E39" s="51" t="str">
        <f>Efficiencies!E39</f>
        <v>0</v>
      </c>
      <c r="F39" s="52" t="str">
        <f>Efficiencies!F39</f>
        <v>0</v>
      </c>
    </row>
    <row r="40" spans="1:6" hidden="1">
      <c r="A40" s="59">
        <f>Efficiencies!A40</f>
        <v>45854</v>
      </c>
      <c r="B40" s="61" t="str">
        <f>Efficiencies!B40</f>
        <v>0</v>
      </c>
      <c r="C40" s="62" t="str">
        <f>Efficiencies!C40</f>
        <v>0</v>
      </c>
      <c r="D40" s="51" t="str">
        <f>Efficiencies!D40</f>
        <v>0</v>
      </c>
      <c r="E40" s="51" t="str">
        <f>Efficiencies!E40</f>
        <v>0</v>
      </c>
      <c r="F40" s="52" t="str">
        <f>Efficiencies!F40</f>
        <v>0</v>
      </c>
    </row>
    <row r="41" spans="1:6">
      <c r="A41" s="59">
        <f>Efficiencies!A41</f>
        <v>45855</v>
      </c>
      <c r="B41" s="61">
        <f>Efficiencies!B41</f>
        <v>0.56027708756450167</v>
      </c>
      <c r="C41" s="62">
        <f>Efficiencies!C41</f>
        <v>0.37343461301580788</v>
      </c>
      <c r="D41" s="51">
        <f>Efficiencies!D41</f>
        <v>3.0010221655908254</v>
      </c>
      <c r="E41" s="51">
        <f>Efficiencies!E41</f>
        <v>0.53997725409294073</v>
      </c>
      <c r="F41" s="52">
        <f>Efficiencies!F41</f>
        <v>1.9636552440290755</v>
      </c>
    </row>
    <row r="42" spans="1:6">
      <c r="A42" s="59">
        <f>Efficiencies!A42</f>
        <v>45856</v>
      </c>
      <c r="B42" s="61">
        <f>Efficiencies!B42</f>
        <v>0.55244231053249027</v>
      </c>
      <c r="C42" s="62">
        <f>Efficiencies!C42</f>
        <v>0.37357978163276617</v>
      </c>
      <c r="D42" s="51">
        <f>Efficiencies!D42</f>
        <v>2.9579129346189958</v>
      </c>
      <c r="E42" s="51">
        <f>Efficiencies!E42</f>
        <v>0.56806857528924903</v>
      </c>
      <c r="F42" s="52">
        <f>Efficiencies!F42</f>
        <v>2.0281630937368638</v>
      </c>
    </row>
    <row r="43" spans="1:6" hidden="1">
      <c r="A43" s="59">
        <f>Efficiencies!A43</f>
        <v>45857</v>
      </c>
      <c r="B43" s="61" t="str">
        <f>Efficiencies!B43</f>
        <v>0</v>
      </c>
      <c r="C43" s="62" t="str">
        <f>Efficiencies!C43</f>
        <v>0</v>
      </c>
      <c r="D43" s="51" t="str">
        <f>Efficiencies!D43</f>
        <v>0</v>
      </c>
      <c r="E43" s="51" t="str">
        <f>Efficiencies!E43</f>
        <v>0</v>
      </c>
      <c r="F43" s="52" t="str">
        <f>Efficiencies!F43</f>
        <v>0</v>
      </c>
    </row>
    <row r="44" spans="1:6" hidden="1">
      <c r="A44" s="59">
        <f>Efficiencies!A44</f>
        <v>45858</v>
      </c>
      <c r="B44" s="61" t="str">
        <f>Efficiencies!B44</f>
        <v>0</v>
      </c>
      <c r="C44" s="62" t="str">
        <f>Efficiencies!C44</f>
        <v>0</v>
      </c>
      <c r="D44" s="51" t="str">
        <f>Efficiencies!D44</f>
        <v>0</v>
      </c>
      <c r="E44" s="51" t="str">
        <f>Efficiencies!E44</f>
        <v>0</v>
      </c>
      <c r="F44" s="52" t="str">
        <f>Efficiencies!F44</f>
        <v>0</v>
      </c>
    </row>
    <row r="45" spans="1:6">
      <c r="A45" s="59">
        <f>Efficiencies!A45</f>
        <v>45859</v>
      </c>
      <c r="B45" s="61">
        <f>Efficiencies!B45</f>
        <v>0.55091670056746489</v>
      </c>
      <c r="C45" s="62">
        <f>Efficiencies!C45</f>
        <v>0.37526764376787175</v>
      </c>
      <c r="D45" s="51">
        <f>Efficiencies!D45</f>
        <v>2.9364784060506932</v>
      </c>
      <c r="E45" s="51">
        <f>Efficiencies!E45</f>
        <v>0.52880084422572526</v>
      </c>
      <c r="F45" s="52">
        <f>Efficiencies!F45</f>
        <v>1.9597413433458479</v>
      </c>
    </row>
    <row r="46" spans="1:6" hidden="1">
      <c r="A46" s="59">
        <f>Efficiencies!A46</f>
        <v>45860</v>
      </c>
      <c r="B46" s="61" t="str">
        <f>Efficiencies!B46</f>
        <v>0</v>
      </c>
      <c r="C46" s="62" t="str">
        <f>Efficiencies!C46</f>
        <v>0</v>
      </c>
      <c r="D46" s="51" t="str">
        <f>Efficiencies!D46</f>
        <v>0</v>
      </c>
      <c r="E46" s="51" t="str">
        <f>Efficiencies!E46</f>
        <v>0</v>
      </c>
      <c r="F46" s="52" t="str">
        <f>Efficiencies!F46</f>
        <v>0</v>
      </c>
    </row>
    <row r="47" spans="1:6" hidden="1">
      <c r="A47" s="59">
        <f>Efficiencies!A47</f>
        <v>45861</v>
      </c>
      <c r="B47" s="61" t="str">
        <f>Efficiencies!B47</f>
        <v>0</v>
      </c>
      <c r="C47" s="62" t="str">
        <f>Efficiencies!C47</f>
        <v>0</v>
      </c>
      <c r="D47" s="51" t="str">
        <f>Efficiencies!D47</f>
        <v>0</v>
      </c>
      <c r="E47" s="51" t="str">
        <f>Efficiencies!E47</f>
        <v>0</v>
      </c>
      <c r="F47" s="52" t="str">
        <f>Efficiencies!F47</f>
        <v>0</v>
      </c>
    </row>
    <row r="48" spans="1:6" hidden="1">
      <c r="A48" s="59">
        <f>Efficiencies!A48</f>
        <v>45862</v>
      </c>
      <c r="B48" s="61" t="str">
        <f>Efficiencies!B48</f>
        <v>0</v>
      </c>
      <c r="C48" s="62" t="str">
        <f>Efficiencies!C48</f>
        <v>0</v>
      </c>
      <c r="D48" s="51" t="str">
        <f>Efficiencies!D48</f>
        <v>0</v>
      </c>
      <c r="E48" s="51" t="str">
        <f>Efficiencies!E48</f>
        <v>0</v>
      </c>
      <c r="F48" s="52" t="str">
        <f>Efficiencies!F48</f>
        <v>0</v>
      </c>
    </row>
    <row r="49" spans="1:6" hidden="1">
      <c r="A49" s="59">
        <f>Efficiencies!A49</f>
        <v>45863</v>
      </c>
      <c r="B49" s="61" t="str">
        <f>Efficiencies!B49</f>
        <v>0</v>
      </c>
      <c r="C49" s="62" t="str">
        <f>Efficiencies!C49</f>
        <v>0</v>
      </c>
      <c r="D49" s="51" t="str">
        <f>Efficiencies!D49</f>
        <v>0</v>
      </c>
      <c r="E49" s="51" t="str">
        <f>Efficiencies!E49</f>
        <v>0</v>
      </c>
      <c r="F49" s="52" t="str">
        <f>Efficiencies!F49</f>
        <v>0</v>
      </c>
    </row>
    <row r="50" spans="1:6" hidden="1">
      <c r="A50" s="59">
        <f>Efficiencies!A50</f>
        <v>45864</v>
      </c>
      <c r="B50" s="61" t="str">
        <f>Efficiencies!B50</f>
        <v>0</v>
      </c>
      <c r="C50" s="62" t="str">
        <f>Efficiencies!C50</f>
        <v>0</v>
      </c>
      <c r="D50" s="51" t="str">
        <f>Efficiencies!D50</f>
        <v>0</v>
      </c>
      <c r="E50" s="51" t="str">
        <f>Efficiencies!E50</f>
        <v>0</v>
      </c>
      <c r="F50" s="52" t="str">
        <f>Efficiencies!F50</f>
        <v>0</v>
      </c>
    </row>
    <row r="51" spans="1:6" hidden="1">
      <c r="A51" s="59">
        <f>Efficiencies!A51</f>
        <v>45865</v>
      </c>
      <c r="B51" s="61" t="str">
        <f>Efficiencies!B51</f>
        <v>0</v>
      </c>
      <c r="C51" s="62" t="str">
        <f>Efficiencies!C51</f>
        <v>0</v>
      </c>
      <c r="D51" s="51" t="str">
        <f>Efficiencies!D51</f>
        <v>0</v>
      </c>
      <c r="E51" s="51" t="str">
        <f>Efficiencies!E51</f>
        <v>0</v>
      </c>
      <c r="F51" s="52" t="str">
        <f>Efficiencies!F51</f>
        <v>0</v>
      </c>
    </row>
    <row r="52" spans="1:6">
      <c r="A52" s="59">
        <f>Efficiencies!A52</f>
        <v>45866</v>
      </c>
      <c r="B52" s="61">
        <f>Efficiencies!B52</f>
        <v>0.55297765200382865</v>
      </c>
      <c r="C52" s="62">
        <f>Efficiencies!C52</f>
        <v>0.38011400685723906</v>
      </c>
      <c r="D52" s="51">
        <f>Efficiencies!D52</f>
        <v>2.9098825643864883</v>
      </c>
      <c r="E52" s="51">
        <f>Efficiencies!E52</f>
        <v>0.58807485535007697</v>
      </c>
      <c r="F52" s="52">
        <f>Efficiencies!F52</f>
        <v>2.0633427406710578</v>
      </c>
    </row>
    <row r="53" spans="1:6">
      <c r="A53" s="59">
        <f>Efficiencies!A53</f>
        <v>45867</v>
      </c>
      <c r="B53" s="61">
        <f>Efficiencies!B53</f>
        <v>0.54866048535750411</v>
      </c>
      <c r="C53" s="62">
        <f>Efficiencies!C53</f>
        <v>0.37097340986294952</v>
      </c>
      <c r="D53" s="51">
        <f>Efficiencies!D53</f>
        <v>2.9583064249373887</v>
      </c>
      <c r="E53" s="51">
        <f>Efficiencies!E53</f>
        <v>0.53706008054142296</v>
      </c>
      <c r="F53" s="52">
        <f>Efficiencies!F53</f>
        <v>1.9787390800968314</v>
      </c>
    </row>
    <row r="54" spans="1:6">
      <c r="A54" s="59">
        <f>Efficiencies!A54</f>
        <v>45868</v>
      </c>
      <c r="B54" s="61">
        <f>Efficiencies!B54</f>
        <v>0.54056793702089834</v>
      </c>
      <c r="C54" s="62">
        <f>Efficiencies!C54</f>
        <v>0.37538990998649457</v>
      </c>
      <c r="D54" s="51">
        <f>Efficiencies!D54</f>
        <v>2.8803872501148895</v>
      </c>
      <c r="E54" s="51">
        <f>Efficiencies!E54</f>
        <v>0.43007914225260374</v>
      </c>
      <c r="F54" s="52">
        <f>Efficiencies!F54</f>
        <v>1.7955086412087335</v>
      </c>
    </row>
    <row r="55" spans="1:6">
      <c r="A55" s="59">
        <f>Efficiencies!A55</f>
        <v>45869</v>
      </c>
      <c r="B55" s="61">
        <f>Efficiencies!B55</f>
        <v>0.54497815637175995</v>
      </c>
      <c r="C55" s="62">
        <f>Efficiencies!C55</f>
        <v>0.37736164754109786</v>
      </c>
      <c r="D55" s="51">
        <f>Efficiencies!D55</f>
        <v>2.8887104850499319</v>
      </c>
      <c r="E55" s="51">
        <f>Efficiencies!E55</f>
        <v>0.53340388116839699</v>
      </c>
      <c r="F55" s="52">
        <f>Efficiencies!F55</f>
        <v>1.9786432160804026</v>
      </c>
    </row>
    <row r="56" spans="1:6">
      <c r="A56" s="59">
        <f>Efficiencies!A56</f>
        <v>45870</v>
      </c>
      <c r="B56" s="61">
        <f>Efficiencies!B56</f>
        <v>0.54714664155105563</v>
      </c>
      <c r="C56" s="62">
        <f>Efficiencies!C56</f>
        <v>0.37793236769509725</v>
      </c>
      <c r="D56" s="51">
        <f>Efficiencies!D56</f>
        <v>2.895823446759231</v>
      </c>
      <c r="E56" s="51">
        <f>Efficiencies!E56</f>
        <v>0.60938412718460333</v>
      </c>
      <c r="F56" s="52">
        <f>Efficiencies!F56</f>
        <v>2.1136147254839721</v>
      </c>
    </row>
    <row r="57" spans="1:6">
      <c r="A57" s="59">
        <f>Efficiencies!A57</f>
        <v>45871</v>
      </c>
      <c r="B57" s="61">
        <f>Efficiencies!B57</f>
        <v>0.5472337868578051</v>
      </c>
      <c r="C57" s="62">
        <f>Efficiencies!C57</f>
        <v>0.37803282838938351</v>
      </c>
      <c r="D57" s="51">
        <f>Efficiencies!D57</f>
        <v>2.895514928025591</v>
      </c>
      <c r="E57" s="51">
        <f>Efficiencies!E57</f>
        <v>0.59045610943269533</v>
      </c>
      <c r="F57" s="52">
        <f>Efficiencies!F57</f>
        <v>2.0788530465949817</v>
      </c>
    </row>
    <row r="58" spans="1:6" hidden="1">
      <c r="A58" s="59">
        <f>Efficiencies!A58</f>
        <v>45872</v>
      </c>
      <c r="B58" s="61" t="str">
        <f>Efficiencies!B58</f>
        <v>0</v>
      </c>
      <c r="C58" s="62" t="str">
        <f>Efficiencies!C58</f>
        <v>0</v>
      </c>
      <c r="D58" s="51" t="str">
        <f>Efficiencies!D58</f>
        <v>0</v>
      </c>
      <c r="E58" s="51" t="str">
        <f>Efficiencies!E58</f>
        <v>0</v>
      </c>
      <c r="F58" s="52" t="str">
        <f>Efficiencies!F58</f>
        <v>0</v>
      </c>
    </row>
    <row r="59" spans="1:6" hidden="1">
      <c r="A59" s="59">
        <f>Efficiencies!A59</f>
        <v>45873</v>
      </c>
      <c r="B59" s="61" t="str">
        <f>Efficiencies!B59</f>
        <v>0</v>
      </c>
      <c r="C59" s="62" t="str">
        <f>Efficiencies!C59</f>
        <v>0</v>
      </c>
      <c r="D59" s="51" t="str">
        <f>Efficiencies!D59</f>
        <v>0</v>
      </c>
      <c r="E59" s="51" t="str">
        <f>Efficiencies!E59</f>
        <v>0</v>
      </c>
      <c r="F59" s="52" t="str">
        <f>Efficiencies!F59</f>
        <v>0</v>
      </c>
    </row>
    <row r="60" spans="1:6">
      <c r="A60" s="59">
        <f>Efficiencies!A60</f>
        <v>45874</v>
      </c>
      <c r="B60" s="61">
        <f>Efficiencies!B60</f>
        <v>0.54812673171907</v>
      </c>
      <c r="C60" s="62">
        <f>Efficiencies!C60</f>
        <v>0.38231244483671667</v>
      </c>
      <c r="D60" s="51">
        <f>Efficiencies!D60</f>
        <v>2.8677736154702846</v>
      </c>
      <c r="E60" s="51">
        <f>Efficiencies!E60</f>
        <v>0.58433734939759074</v>
      </c>
      <c r="F60" s="52">
        <f>Efficiencies!F60</f>
        <v>2.0659340659340666</v>
      </c>
    </row>
    <row r="61" spans="1:6" hidden="1">
      <c r="A61" s="59">
        <f>Efficiencies!A61</f>
        <v>45875</v>
      </c>
      <c r="B61" s="61" t="str">
        <f>Efficiencies!B61</f>
        <v>0</v>
      </c>
      <c r="C61" s="62" t="str">
        <f>Efficiencies!C61</f>
        <v>0</v>
      </c>
      <c r="D61" s="51" t="str">
        <f>Efficiencies!D61</f>
        <v>0</v>
      </c>
      <c r="E61" s="51" t="str">
        <f>Efficiencies!E61</f>
        <v>0</v>
      </c>
      <c r="F61" s="52" t="str">
        <f>Efficiencies!F61</f>
        <v>0</v>
      </c>
    </row>
    <row r="62" spans="1:6" hidden="1">
      <c r="A62" s="59">
        <f>Efficiencies!A62</f>
        <v>45876</v>
      </c>
      <c r="B62" s="61" t="str">
        <f>Efficiencies!B62</f>
        <v>0</v>
      </c>
      <c r="C62" s="62" t="str">
        <f>Efficiencies!C62</f>
        <v>0</v>
      </c>
      <c r="D62" s="51" t="str">
        <f>Efficiencies!D62</f>
        <v>0</v>
      </c>
      <c r="E62" s="51" t="str">
        <f>Efficiencies!E62</f>
        <v>0</v>
      </c>
      <c r="F62" s="52" t="str">
        <f>Efficiencies!F62</f>
        <v>0</v>
      </c>
    </row>
    <row r="63" spans="1:6">
      <c r="A63" s="59">
        <f>Efficiencies!A63</f>
        <v>45877</v>
      </c>
      <c r="B63" s="61">
        <f>Efficiencies!B63</f>
        <v>0.55370985603543743</v>
      </c>
      <c r="C63" s="62">
        <f>Efficiencies!C63</f>
        <v>0.38094763234372331</v>
      </c>
      <c r="D63" s="51">
        <f>Efficiencies!D63</f>
        <v>2.907358894974994</v>
      </c>
      <c r="E63" s="51">
        <f>Efficiencies!E63</f>
        <v>0.67722818752566982</v>
      </c>
      <c r="F63" s="52">
        <f>Efficiencies!F63</f>
        <v>2.2229285865649491</v>
      </c>
    </row>
    <row r="64" spans="1:6" hidden="1">
      <c r="A64" s="59">
        <f>Efficiencies!A64</f>
        <v>45878</v>
      </c>
      <c r="B64" s="61" t="str">
        <f>Efficiencies!B64</f>
        <v>0</v>
      </c>
      <c r="C64" s="62" t="str">
        <f>Efficiencies!C64</f>
        <v>0</v>
      </c>
      <c r="D64" s="51" t="str">
        <f>Efficiencies!D64</f>
        <v>0</v>
      </c>
      <c r="E64" s="51" t="str">
        <f>Efficiencies!E64</f>
        <v>0</v>
      </c>
      <c r="F64" s="52" t="str">
        <f>Efficiencies!F64</f>
        <v>0</v>
      </c>
    </row>
    <row r="65" spans="1:6" hidden="1">
      <c r="A65" s="59">
        <f>Efficiencies!A65</f>
        <v>45879</v>
      </c>
      <c r="B65" s="61" t="str">
        <f>Efficiencies!B65</f>
        <v>0</v>
      </c>
      <c r="C65" s="62" t="str">
        <f>Efficiencies!C65</f>
        <v>0</v>
      </c>
      <c r="D65" s="51" t="str">
        <f>Efficiencies!D65</f>
        <v>0</v>
      </c>
      <c r="E65" s="51" t="str">
        <f>Efficiencies!E65</f>
        <v>0</v>
      </c>
      <c r="F65" s="52" t="str">
        <f>Efficiencies!F65</f>
        <v>0</v>
      </c>
    </row>
    <row r="66" spans="1:6">
      <c r="A66" s="59">
        <f>Efficiencies!A66</f>
        <v>45880</v>
      </c>
      <c r="B66" s="61">
        <f>Efficiencies!B66</f>
        <v>0.55696164163496664</v>
      </c>
      <c r="C66" s="62">
        <f>Efficiencies!C66</f>
        <v>0.38624963115963412</v>
      </c>
      <c r="D66" s="51">
        <f>Efficiencies!D66</f>
        <v>2.8842871985321752</v>
      </c>
      <c r="E66" s="51">
        <f>Efficiencies!E66</f>
        <v>0.57287360641362839</v>
      </c>
      <c r="F66" s="52">
        <f>Efficiencies!F66</f>
        <v>2.028447742733456</v>
      </c>
    </row>
    <row r="67" spans="1:6">
      <c r="A67" s="59">
        <f>Efficiencies!A67</f>
        <v>45881</v>
      </c>
      <c r="B67" s="61">
        <f>Efficiencies!B67</f>
        <v>0.55065437152003927</v>
      </c>
      <c r="C67" s="62">
        <f>Efficiencies!C67</f>
        <v>0.37675567856329412</v>
      </c>
      <c r="D67" s="51">
        <f>Efficiencies!D67</f>
        <v>2.9234879557411091</v>
      </c>
      <c r="E67" s="51">
        <f>Efficiencies!E67</f>
        <v>0.51150160076504081</v>
      </c>
      <c r="F67" s="52">
        <f>Efficiencies!F67</f>
        <v>1.9287864631994185</v>
      </c>
    </row>
    <row r="68" spans="1:6">
      <c r="A68" s="59">
        <f>Efficiencies!A68</f>
        <v>45882</v>
      </c>
      <c r="B68" s="61">
        <f>Efficiencies!B68</f>
        <v>0.55322378903732838</v>
      </c>
      <c r="C68" s="62">
        <f>Efficiencies!C68</f>
        <v>0.37749500998003993</v>
      </c>
      <c r="D68" s="51">
        <f>Efficiencies!D68</f>
        <v>2.9313748576716043</v>
      </c>
      <c r="E68" s="51">
        <f>Efficiencies!E68</f>
        <v>0.54327383475407842</v>
      </c>
      <c r="F68" s="52">
        <f>Efficiencies!F68</f>
        <v>1.9818976279650449</v>
      </c>
    </row>
    <row r="69" spans="1:6" hidden="1">
      <c r="A69" s="59">
        <f>Efficiencies!A69</f>
        <v>45883</v>
      </c>
      <c r="B69" s="61" t="str">
        <f>Efficiencies!B69</f>
        <v>0</v>
      </c>
      <c r="C69" s="62" t="str">
        <f>Efficiencies!C69</f>
        <v>0</v>
      </c>
      <c r="D69" s="51" t="str">
        <f>Efficiencies!D69</f>
        <v>0</v>
      </c>
      <c r="E69" s="51" t="str">
        <f>Efficiencies!E69</f>
        <v>0</v>
      </c>
      <c r="F69" s="52" t="str">
        <f>Efficiencies!F69</f>
        <v>0</v>
      </c>
    </row>
    <row r="70" spans="1:6">
      <c r="A70" s="59">
        <f>Efficiencies!A70</f>
        <v>45884</v>
      </c>
      <c r="B70" s="61">
        <f>Efficiencies!B70</f>
        <v>0.55006355522396311</v>
      </c>
      <c r="C70" s="62">
        <f>Efficiencies!C70</f>
        <v>0.38029850746268656</v>
      </c>
      <c r="D70" s="51">
        <f>Efficiencies!D70</f>
        <v>2.893145952736123</v>
      </c>
      <c r="E70" s="51">
        <f>Efficiencies!E70</f>
        <v>0.58064431708146769</v>
      </c>
      <c r="F70" s="52">
        <f>Efficiencies!F70</f>
        <v>2.0554683411826251</v>
      </c>
    </row>
    <row r="71" spans="1:6" hidden="1">
      <c r="A71" s="59">
        <f>Efficiencies!A71</f>
        <v>45885</v>
      </c>
      <c r="B71" s="61" t="str">
        <f>Efficiencies!B71</f>
        <v>0</v>
      </c>
      <c r="C71" s="62" t="str">
        <f>Efficiencies!C71</f>
        <v>0</v>
      </c>
      <c r="D71" s="51" t="str">
        <f>Efficiencies!D71</f>
        <v>0</v>
      </c>
      <c r="E71" s="51" t="str">
        <f>Efficiencies!E71</f>
        <v>0</v>
      </c>
      <c r="F71" s="52" t="str">
        <f>Efficiencies!F71</f>
        <v>0</v>
      </c>
    </row>
    <row r="72" spans="1:6" hidden="1">
      <c r="A72" s="59">
        <f>Efficiencies!A72</f>
        <v>45886</v>
      </c>
      <c r="B72" s="61" t="str">
        <f>Efficiencies!B72</f>
        <v>0</v>
      </c>
      <c r="C72" s="62" t="str">
        <f>Efficiencies!C72</f>
        <v>0</v>
      </c>
      <c r="D72" s="51" t="str">
        <f>Efficiencies!D72</f>
        <v>0</v>
      </c>
      <c r="E72" s="51" t="str">
        <f>Efficiencies!E72</f>
        <v>0</v>
      </c>
      <c r="F72" s="52" t="str">
        <f>Efficiencies!F72</f>
        <v>0</v>
      </c>
    </row>
    <row r="73" spans="1:6">
      <c r="A73" s="59">
        <f>Efficiencies!A73</f>
        <v>45887</v>
      </c>
      <c r="B73" s="61">
        <f>Efficiencies!B73</f>
        <v>0.55843508056645919</v>
      </c>
      <c r="C73" s="62">
        <f>Efficiencies!C73</f>
        <v>0.38371706689476254</v>
      </c>
      <c r="D73" s="51">
        <f>Efficiencies!D73</f>
        <v>2.911003314950201</v>
      </c>
      <c r="E73" s="51">
        <f>Efficiencies!E73</f>
        <v>0.6367457490565237</v>
      </c>
      <c r="F73" s="52">
        <f>Efficiencies!F73</f>
        <v>2.1400981313289487</v>
      </c>
    </row>
    <row r="74" spans="1:6">
      <c r="A74" s="59">
        <f>Efficiencies!A74</f>
        <v>45888</v>
      </c>
      <c r="B74" s="61">
        <f>Efficiencies!B74</f>
        <v>0.55569241892473775</v>
      </c>
      <c r="C74" s="62">
        <f>Efficiencies!C74</f>
        <v>0.3820696468263769</v>
      </c>
      <c r="D74" s="51">
        <f>Efficiencies!D74</f>
        <v>2.9091986413854878</v>
      </c>
      <c r="E74" s="51">
        <f>Efficiencies!E74</f>
        <v>0.62439192047377257</v>
      </c>
      <c r="F74" s="52">
        <f>Efficiencies!F74</f>
        <v>2.1234955520669794</v>
      </c>
    </row>
    <row r="75" spans="1:6">
      <c r="A75" s="59">
        <f>Efficiencies!A75</f>
        <v>45889</v>
      </c>
      <c r="B75" s="61">
        <f>Efficiencies!B75</f>
        <v>0.55645757582687305</v>
      </c>
      <c r="C75" s="62">
        <f>Efficiencies!C75</f>
        <v>0.38536564709867743</v>
      </c>
      <c r="D75" s="51">
        <f>Efficiencies!D75</f>
        <v>2.8882874585718801</v>
      </c>
      <c r="E75" s="51">
        <f>Efficiencies!E75</f>
        <v>0.6031891043310712</v>
      </c>
      <c r="F75" s="52">
        <f>Efficiencies!F75</f>
        <v>2.0838522208385237</v>
      </c>
    </row>
    <row r="76" spans="1:6">
      <c r="A76" s="59">
        <f>Efficiencies!A76</f>
        <v>45890</v>
      </c>
      <c r="B76" s="61">
        <f>Efficiencies!B76</f>
        <v>0.55566973426807642</v>
      </c>
      <c r="C76" s="62">
        <f>Efficiencies!C76</f>
        <v>0.38692213939514186</v>
      </c>
      <c r="D76" s="51">
        <f>Efficiencies!D76</f>
        <v>2.8725963606890765</v>
      </c>
      <c r="E76" s="51">
        <f>Efficiencies!E76</f>
        <v>0.60983269631051129</v>
      </c>
      <c r="F76" s="52">
        <f>Efficiencies!F76</f>
        <v>2.0973432959734342</v>
      </c>
    </row>
    <row r="77" spans="1:6" hidden="1">
      <c r="A77" s="59">
        <f>Efficiencies!A77</f>
        <v>45891</v>
      </c>
      <c r="B77" s="61" t="str">
        <f>Efficiencies!B77</f>
        <v>0</v>
      </c>
      <c r="C77" s="62" t="str">
        <f>Efficiencies!C77</f>
        <v>0</v>
      </c>
      <c r="D77" s="51" t="str">
        <f>Efficiencies!D77</f>
        <v>0</v>
      </c>
      <c r="E77" s="51" t="str">
        <f>Efficiencies!E77</f>
        <v>0</v>
      </c>
      <c r="F77" s="52" t="str">
        <f>Efficiencies!F77</f>
        <v>0</v>
      </c>
    </row>
    <row r="78" spans="1:6" hidden="1">
      <c r="A78" s="59">
        <f>Efficiencies!A78</f>
        <v>45892</v>
      </c>
      <c r="B78" s="61" t="str">
        <f>Efficiencies!B78</f>
        <v>0</v>
      </c>
      <c r="C78" s="62" t="str">
        <f>Efficiencies!C78</f>
        <v>0</v>
      </c>
      <c r="D78" s="51" t="str">
        <f>Efficiencies!D78</f>
        <v>0</v>
      </c>
      <c r="E78" s="51" t="str">
        <f>Efficiencies!E78</f>
        <v>0</v>
      </c>
      <c r="F78" s="52" t="str">
        <f>Efficiencies!F78</f>
        <v>0</v>
      </c>
    </row>
    <row r="79" spans="1:6" hidden="1">
      <c r="A79" s="59">
        <f>Efficiencies!A79</f>
        <v>45893</v>
      </c>
      <c r="B79" s="61" t="str">
        <f>Efficiencies!B79</f>
        <v>0</v>
      </c>
      <c r="C79" s="62" t="str">
        <f>Efficiencies!C79</f>
        <v>0</v>
      </c>
      <c r="D79" s="51" t="str">
        <f>Efficiencies!D79</f>
        <v>0</v>
      </c>
      <c r="E79" s="51" t="str">
        <f>Efficiencies!E79</f>
        <v>0</v>
      </c>
      <c r="F79" s="52" t="str">
        <f>Efficiencies!F79</f>
        <v>0</v>
      </c>
    </row>
    <row r="80" spans="1:6">
      <c r="A80" s="59">
        <f>Efficiencies!A80</f>
        <v>45894</v>
      </c>
      <c r="B80" s="61">
        <f>Efficiencies!B80</f>
        <v>0.55801847446631025</v>
      </c>
      <c r="C80" s="62">
        <f>Efficiencies!C80</f>
        <v>0.38406543816136385</v>
      </c>
      <c r="D80" s="51">
        <f>Efficiencies!D80</f>
        <v>2.9061934673484773</v>
      </c>
      <c r="E80" s="51">
        <f>Efficiencies!E80</f>
        <v>0.66259701984817299</v>
      </c>
      <c r="F80" s="52">
        <f>Efficiencies!F80</f>
        <v>2.1872706301772049</v>
      </c>
    </row>
    <row r="81" spans="1:6">
      <c r="A81" s="59">
        <f>Efficiencies!A81</f>
        <v>45895</v>
      </c>
      <c r="B81" s="61">
        <f>Efficiencies!B81</f>
        <v>0.5559307342914066</v>
      </c>
      <c r="C81" s="62">
        <f>Efficiencies!C81</f>
        <v>0.38486581421748162</v>
      </c>
      <c r="D81" s="51">
        <f>Efficiencies!D81</f>
        <v>2.8893008236194246</v>
      </c>
      <c r="E81" s="51">
        <f>Efficiencies!E81</f>
        <v>0.67136891099209395</v>
      </c>
      <c r="F81" s="52">
        <f>Efficiencies!F81</f>
        <v>2.2075055187637971</v>
      </c>
    </row>
    <row r="82" spans="1:6" hidden="1">
      <c r="A82" s="59">
        <f>Efficiencies!A82</f>
        <v>45896</v>
      </c>
      <c r="B82" s="61" t="str">
        <f>Efficiencies!B82</f>
        <v>0</v>
      </c>
      <c r="C82" s="62" t="str">
        <f>Efficiencies!C82</f>
        <v>0</v>
      </c>
      <c r="D82" s="51" t="str">
        <f>Efficiencies!D82</f>
        <v>0</v>
      </c>
      <c r="E82" s="51" t="str">
        <f>Efficiencies!E82</f>
        <v>0</v>
      </c>
      <c r="F82" s="52" t="str">
        <f>Efficiencies!F82</f>
        <v>0</v>
      </c>
    </row>
    <row r="83" spans="1:6">
      <c r="A83" s="59">
        <f>Efficiencies!A83</f>
        <v>45897</v>
      </c>
      <c r="B83" s="61">
        <f>Efficiencies!B83</f>
        <v>0.55668641266460717</v>
      </c>
      <c r="C83" s="62">
        <f>Efficiencies!C83</f>
        <v>0.38586071258366711</v>
      </c>
      <c r="D83" s="51">
        <f>Efficiencies!D83</f>
        <v>2.8857678147235166</v>
      </c>
      <c r="E83" s="51">
        <f>Efficiencies!E83</f>
        <v>0.64596749463354841</v>
      </c>
      <c r="F83" s="52">
        <f>Efficiencies!F83</f>
        <v>2.1602423482711801</v>
      </c>
    </row>
    <row r="84" spans="1:6">
      <c r="A84" s="59">
        <f>Efficiencies!A84</f>
        <v>45898</v>
      </c>
      <c r="B84" s="61">
        <f>Efficiencies!B84</f>
        <v>0.55696287826623458</v>
      </c>
      <c r="C84" s="62">
        <f>Efficiencies!C84</f>
        <v>0.38550240054869689</v>
      </c>
      <c r="D84" s="51">
        <f>Efficiencies!D84</f>
        <v>2.8898843125054543</v>
      </c>
      <c r="E84" s="51">
        <f>Efficiencies!E84</f>
        <v>0.67613288873998179</v>
      </c>
      <c r="F84" s="52">
        <f>Efficiencies!F84</f>
        <v>2.2138206259189244</v>
      </c>
    </row>
    <row r="85" spans="1:6" hidden="1">
      <c r="A85" s="59">
        <f>Efficiencies!A85</f>
        <v>45899</v>
      </c>
      <c r="B85" s="61" t="str">
        <f>Efficiencies!B85</f>
        <v>0</v>
      </c>
      <c r="C85" s="62" t="str">
        <f>Efficiencies!C85</f>
        <v>0</v>
      </c>
      <c r="D85" s="51" t="str">
        <f>Efficiencies!D85</f>
        <v>0</v>
      </c>
      <c r="E85" s="51" t="str">
        <f>Efficiencies!E85</f>
        <v>0</v>
      </c>
      <c r="F85" s="52" t="str">
        <f>Efficiencies!F85</f>
        <v>0</v>
      </c>
    </row>
    <row r="86" spans="1:6" hidden="1">
      <c r="A86" s="59">
        <f>Efficiencies!A86</f>
        <v>45900</v>
      </c>
      <c r="B86" s="61" t="str">
        <f>Efficiencies!B86</f>
        <v>0</v>
      </c>
      <c r="C86" s="62" t="str">
        <f>Efficiencies!C86</f>
        <v>0</v>
      </c>
      <c r="D86" s="51" t="str">
        <f>Efficiencies!D86</f>
        <v>0</v>
      </c>
      <c r="E86" s="51" t="str">
        <f>Efficiencies!E86</f>
        <v>0</v>
      </c>
      <c r="F86" s="52" t="str">
        <f>Efficiencies!F86</f>
        <v>0</v>
      </c>
    </row>
    <row r="87" spans="1:6" hidden="1">
      <c r="A87" s="59">
        <f>Efficiencies!A87</f>
        <v>45901</v>
      </c>
      <c r="B87" s="61" t="str">
        <f>Efficiencies!B87</f>
        <v>0</v>
      </c>
      <c r="C87" s="62" t="str">
        <f>Efficiencies!C87</f>
        <v>0</v>
      </c>
      <c r="D87" s="51" t="str">
        <f>Efficiencies!D87</f>
        <v>0</v>
      </c>
      <c r="E87" s="51" t="str">
        <f>Efficiencies!E87</f>
        <v>0</v>
      </c>
      <c r="F87" s="52" t="str">
        <f>Efficiencies!F87</f>
        <v>0</v>
      </c>
    </row>
    <row r="88" spans="1:6">
      <c r="A88" s="59">
        <f>Efficiencies!A88</f>
        <v>45902</v>
      </c>
      <c r="B88" s="61">
        <f>Efficiencies!B88</f>
        <v>0.55567412433059338</v>
      </c>
      <c r="C88" s="62">
        <f>Efficiencies!C88</f>
        <v>0.38416296698119939</v>
      </c>
      <c r="D88" s="51">
        <f>Efficiencies!D88</f>
        <v>2.8932510546107189</v>
      </c>
      <c r="E88" s="51">
        <f>Efficiencies!E88</f>
        <v>0.67416674645474939</v>
      </c>
      <c r="F88" s="52">
        <f>Efficiencies!F88</f>
        <v>2.2130974942093071</v>
      </c>
    </row>
    <row r="89" spans="1:6">
      <c r="A89" s="59">
        <f>Efficiencies!A89</f>
        <v>45903</v>
      </c>
      <c r="B89" s="61">
        <f>Efficiencies!B89</f>
        <v>0.55587744449891796</v>
      </c>
      <c r="C89" s="62">
        <f>Efficiencies!C89</f>
        <v>0.38351002361453052</v>
      </c>
      <c r="D89" s="51">
        <f>Efficiencies!D89</f>
        <v>2.8992372275339671</v>
      </c>
      <c r="E89" s="51">
        <f>Efficiencies!E89</f>
        <v>0.71348706074055002</v>
      </c>
      <c r="F89" s="52">
        <f>Efficiencies!F89</f>
        <v>2.2833810584367376</v>
      </c>
    </row>
    <row r="90" spans="1:6">
      <c r="A90" s="59">
        <f>Efficiencies!A90</f>
        <v>45904</v>
      </c>
      <c r="B90" s="61">
        <f>Efficiencies!B90</f>
        <v>0.55583804077538712</v>
      </c>
      <c r="C90" s="62">
        <f>Efficiencies!C90</f>
        <v>0.38065575150469294</v>
      </c>
      <c r="D90" s="51">
        <f>Efficiencies!D90</f>
        <v>2.9207695617431928</v>
      </c>
      <c r="E90" s="51">
        <f>Efficiencies!E90</f>
        <v>0.60222918843608497</v>
      </c>
      <c r="F90" s="52">
        <f>Efficiencies!F90</f>
        <v>2.0833333333333335</v>
      </c>
    </row>
    <row r="91" spans="1:6">
      <c r="A91" s="59">
        <f>Efficiencies!A91</f>
        <v>45905</v>
      </c>
      <c r="B91" s="61">
        <f>Efficiencies!B91</f>
        <v>0.55858847366051323</v>
      </c>
      <c r="C91" s="62">
        <f>Efficiencies!C91</f>
        <v>0.3836784582368073</v>
      </c>
      <c r="D91" s="51">
        <f>Efficiencies!D91</f>
        <v>2.9120958092844411</v>
      </c>
      <c r="E91" s="51">
        <f>Efficiencies!E91</f>
        <v>0.66853225875229172</v>
      </c>
      <c r="F91" s="52">
        <f>Efficiencies!F91</f>
        <v>2.1966834592779172</v>
      </c>
    </row>
    <row r="92" spans="1:6" hidden="1">
      <c r="A92" s="59">
        <f>Efficiencies!A92</f>
        <v>45906</v>
      </c>
      <c r="B92" s="61" t="str">
        <f>Efficiencies!B92</f>
        <v>0</v>
      </c>
      <c r="C92" s="62" t="str">
        <f>Efficiencies!C92</f>
        <v>0</v>
      </c>
      <c r="D92" s="51" t="str">
        <f>Efficiencies!D92</f>
        <v>0</v>
      </c>
      <c r="E92" s="51" t="str">
        <f>Efficiencies!E92</f>
        <v>0</v>
      </c>
      <c r="F92" s="52" t="str">
        <f>Efficiencies!F92</f>
        <v>0</v>
      </c>
    </row>
    <row r="93" spans="1:6" hidden="1">
      <c r="A93" s="59">
        <f>Efficiencies!A93</f>
        <v>45907</v>
      </c>
      <c r="B93" s="61" t="str">
        <f>Efficiencies!B93</f>
        <v>0</v>
      </c>
      <c r="C93" s="62" t="str">
        <f>Efficiencies!C93</f>
        <v>0</v>
      </c>
      <c r="D93" s="51" t="str">
        <f>Efficiencies!D93</f>
        <v>0</v>
      </c>
      <c r="E93" s="51" t="str">
        <f>Efficiencies!E93</f>
        <v>0</v>
      </c>
      <c r="F93" s="52" t="str">
        <f>Efficiencies!F93</f>
        <v>0</v>
      </c>
    </row>
    <row r="94" spans="1:6" hidden="1">
      <c r="A94" s="59">
        <f>Efficiencies!A94</f>
        <v>45908</v>
      </c>
      <c r="B94" s="61" t="str">
        <f>Efficiencies!B94</f>
        <v>0</v>
      </c>
      <c r="C94" s="62" t="str">
        <f>Efficiencies!C94</f>
        <v>0</v>
      </c>
      <c r="D94" s="51" t="str">
        <f>Efficiencies!D94</f>
        <v>0</v>
      </c>
      <c r="E94" s="51" t="str">
        <f>Efficiencies!E94</f>
        <v>0</v>
      </c>
      <c r="F94" s="52" t="str">
        <f>Efficiencies!F94</f>
        <v>0</v>
      </c>
    </row>
    <row r="95" spans="1:6">
      <c r="A95" s="59">
        <f>Efficiencies!A95</f>
        <v>45909</v>
      </c>
      <c r="B95" s="61">
        <f>Efficiencies!B95</f>
        <v>0.55573795517709379</v>
      </c>
      <c r="C95" s="62">
        <f>Efficiencies!C95</f>
        <v>0.38342067853429801</v>
      </c>
      <c r="D95" s="51">
        <f>Efficiencies!D95</f>
        <v>2.8991852278510031</v>
      </c>
      <c r="E95" s="51">
        <f>Efficiencies!E95</f>
        <v>0.62702939654170775</v>
      </c>
      <c r="F95" s="52">
        <f>Efficiencies!F95</f>
        <v>2.12814884498798</v>
      </c>
    </row>
    <row r="96" spans="1:6">
      <c r="A96" s="59">
        <f>Efficiencies!A96</f>
        <v>45910</v>
      </c>
      <c r="B96" s="61">
        <f>Efficiencies!B96</f>
        <v>0.55250396944599411</v>
      </c>
      <c r="C96" s="62">
        <f>Efficiencies!C96</f>
        <v>0.38510546218189295</v>
      </c>
      <c r="D96" s="51">
        <f>Efficiencies!D96</f>
        <v>2.8697068494342344</v>
      </c>
      <c r="E96" s="51">
        <f>Efficiencies!E96</f>
        <v>0.61383194625804316</v>
      </c>
      <c r="F96" s="52">
        <f>Efficiencies!F96</f>
        <v>2.1108675227059193</v>
      </c>
    </row>
    <row r="97" spans="1:6">
      <c r="A97" s="59">
        <f>Efficiencies!A97</f>
        <v>45911</v>
      </c>
      <c r="B97" s="61">
        <f>Efficiencies!B97</f>
        <v>0.55574716575927208</v>
      </c>
      <c r="C97" s="62">
        <f>Efficiencies!C97</f>
        <v>0.38476520849031115</v>
      </c>
      <c r="D97" s="51">
        <f>Efficiencies!D97</f>
        <v>2.8891021416342588</v>
      </c>
      <c r="E97" s="51">
        <f>Efficiencies!E97</f>
        <v>0.64577183906221847</v>
      </c>
      <c r="F97" s="52">
        <f>Efficiencies!F97</f>
        <v>2.161850921273031</v>
      </c>
    </row>
    <row r="98" spans="1:6">
      <c r="A98" s="59">
        <f>Efficiencies!A98</f>
        <v>45912</v>
      </c>
      <c r="B98" s="61">
        <f>Efficiencies!B98</f>
        <v>0.55833440670931545</v>
      </c>
      <c r="C98" s="62">
        <f>Efficiencies!C98</f>
        <v>0.38492567307762066</v>
      </c>
      <c r="D98" s="51">
        <f>Efficiencies!D98</f>
        <v>2.9013401557822265</v>
      </c>
      <c r="E98" s="51">
        <f>Efficiencies!E98</f>
        <v>0.7793030909278208</v>
      </c>
      <c r="F98" s="52">
        <f>Efficiencies!F98</f>
        <v>2.3955997009505507</v>
      </c>
    </row>
    <row r="99" spans="1:6" hidden="1">
      <c r="A99" s="59">
        <f>Efficiencies!A99</f>
        <v>45913</v>
      </c>
      <c r="B99" s="61" t="str">
        <f>Efficiencies!B99</f>
        <v>0</v>
      </c>
      <c r="C99" s="62" t="str">
        <f>Efficiencies!C99</f>
        <v>0</v>
      </c>
      <c r="D99" s="51" t="str">
        <f>Efficiencies!D99</f>
        <v>0</v>
      </c>
      <c r="E99" s="51" t="str">
        <f>Efficiencies!E99</f>
        <v>0</v>
      </c>
      <c r="F99" s="52" t="str">
        <f>Efficiencies!F99</f>
        <v>0</v>
      </c>
    </row>
    <row r="100" spans="1:6" hidden="1">
      <c r="A100" s="59">
        <f>Efficiencies!A100</f>
        <v>45914</v>
      </c>
      <c r="B100" s="61" t="str">
        <f>Efficiencies!B100</f>
        <v>0</v>
      </c>
      <c r="C100" s="62" t="str">
        <f>Efficiencies!C100</f>
        <v>0</v>
      </c>
      <c r="D100" s="51" t="str">
        <f>Efficiencies!D100</f>
        <v>0</v>
      </c>
      <c r="E100" s="51" t="str">
        <f>Efficiencies!E100</f>
        <v>0</v>
      </c>
      <c r="F100" s="52" t="str">
        <f>Efficiencies!F100</f>
        <v>0</v>
      </c>
    </row>
    <row r="101" spans="1:6" hidden="1">
      <c r="A101" s="59">
        <f>Efficiencies!A101</f>
        <v>45915</v>
      </c>
      <c r="B101" s="61" t="str">
        <f>Efficiencies!B101</f>
        <v>0</v>
      </c>
      <c r="C101" s="62" t="str">
        <f>Efficiencies!C101</f>
        <v>0</v>
      </c>
      <c r="D101" s="51" t="str">
        <f>Efficiencies!D101</f>
        <v>0</v>
      </c>
      <c r="E101" s="51" t="str">
        <f>Efficiencies!E101</f>
        <v>0</v>
      </c>
      <c r="F101" s="52" t="str">
        <f>Efficiencies!F101</f>
        <v>0</v>
      </c>
    </row>
    <row r="102" spans="1:6">
      <c r="A102" s="59">
        <f>Efficiencies!A102</f>
        <v>45916</v>
      </c>
      <c r="B102" s="61">
        <f>Efficiencies!B102</f>
        <v>0.54109050059757502</v>
      </c>
      <c r="C102" s="62">
        <f>Efficiencies!C102</f>
        <v>0.35248305856174772</v>
      </c>
      <c r="D102" s="51">
        <f>Efficiencies!D102</f>
        <v>3.0705402391338104</v>
      </c>
      <c r="E102" s="51">
        <f>Efficiencies!E102</f>
        <v>0.52179825613950903</v>
      </c>
      <c r="F102" s="52">
        <f>Efficiencies!F102</f>
        <v>1.9642276422764233</v>
      </c>
    </row>
    <row r="103" spans="1:6">
      <c r="A103" s="59">
        <f>Efficiencies!A103</f>
        <v>45917</v>
      </c>
      <c r="B103" s="61">
        <f>Efficiencies!B103</f>
        <v>0.55709621932811448</v>
      </c>
      <c r="C103" s="62">
        <f>Efficiencies!C103</f>
        <v>0.3768595733981478</v>
      </c>
      <c r="D103" s="51">
        <f>Efficiencies!D103</f>
        <v>2.9568680018924458</v>
      </c>
      <c r="E103" s="51">
        <f>Efficiencies!E103</f>
        <v>0.61427082003489575</v>
      </c>
      <c r="F103" s="52">
        <f>Efficiencies!F103</f>
        <v>2.1024994749002324</v>
      </c>
    </row>
    <row r="104" spans="1:6">
      <c r="A104" s="59">
        <f>Efficiencies!A104</f>
        <v>45918</v>
      </c>
      <c r="B104" s="61">
        <f>Efficiencies!B104</f>
        <v>0.55324007100240069</v>
      </c>
      <c r="C104" s="62">
        <f>Efficiencies!C104</f>
        <v>0.37668605106376923</v>
      </c>
      <c r="D104" s="51">
        <f>Efficiencies!D104</f>
        <v>2.9377566305736358</v>
      </c>
      <c r="E104" s="51">
        <f>Efficiencies!E104</f>
        <v>0.70568877111340911</v>
      </c>
      <c r="F104" s="52">
        <f>Efficiencies!F104</f>
        <v>2.2754042188671164</v>
      </c>
    </row>
    <row r="105" spans="1:6">
      <c r="A105" s="59">
        <f>Efficiencies!A105</f>
        <v>45919</v>
      </c>
      <c r="B105" s="61">
        <f>Efficiencies!B105</f>
        <v>0.55474448462029613</v>
      </c>
      <c r="C105" s="62">
        <f>Efficiencies!C105</f>
        <v>0.37737515951255762</v>
      </c>
      <c r="D105" s="51">
        <f>Efficiencies!D105</f>
        <v>2.9403649306020858</v>
      </c>
      <c r="E105" s="51">
        <f>Efficiencies!E105</f>
        <v>0.61988285460908166</v>
      </c>
      <c r="F105" s="52">
        <f>Efficiencies!F105</f>
        <v>2.1172878500736996</v>
      </c>
    </row>
    <row r="106" spans="1:6" hidden="1">
      <c r="A106" s="59">
        <f>Efficiencies!A106</f>
        <v>45920</v>
      </c>
      <c r="B106" s="61" t="str">
        <f>Efficiencies!B106</f>
        <v>0</v>
      </c>
      <c r="C106" s="62" t="str">
        <f>Efficiencies!C106</f>
        <v>0</v>
      </c>
      <c r="D106" s="51" t="str">
        <f>Efficiencies!D106</f>
        <v>0</v>
      </c>
      <c r="E106" s="51" t="str">
        <f>Efficiencies!E106</f>
        <v>0</v>
      </c>
      <c r="F106" s="52" t="str">
        <f>Efficiencies!F106</f>
        <v>0</v>
      </c>
    </row>
    <row r="107" spans="1:6" hidden="1">
      <c r="A107" s="59">
        <f>Efficiencies!A107</f>
        <v>45921</v>
      </c>
      <c r="B107" s="61" t="str">
        <f>Efficiencies!B107</f>
        <v>0</v>
      </c>
      <c r="C107" s="62" t="str">
        <f>Efficiencies!C107</f>
        <v>0</v>
      </c>
      <c r="D107" s="51" t="str">
        <f>Efficiencies!D107</f>
        <v>0</v>
      </c>
      <c r="E107" s="51" t="str">
        <f>Efficiencies!E107</f>
        <v>0</v>
      </c>
      <c r="F107" s="52" t="str">
        <f>Efficiencies!F107</f>
        <v>0</v>
      </c>
    </row>
    <row r="108" spans="1:6">
      <c r="A108" s="59">
        <f>Efficiencies!A108</f>
        <v>45922</v>
      </c>
      <c r="B108" s="61">
        <f>Efficiencies!B108</f>
        <v>0.56459596584581118</v>
      </c>
      <c r="C108" s="62">
        <f>Efficiencies!C108</f>
        <v>0.38053159017101762</v>
      </c>
      <c r="D108" s="51">
        <f>Efficiencies!D108</f>
        <v>2.9677510331627377</v>
      </c>
      <c r="E108" s="51">
        <f>Efficiencies!E108</f>
        <v>0.61259562317543537</v>
      </c>
      <c r="F108" s="52">
        <f>Efficiencies!F108</f>
        <v>2.0848899958489002</v>
      </c>
    </row>
    <row r="109" spans="1:6">
      <c r="A109" s="59">
        <f>Efficiencies!A109</f>
        <v>45923</v>
      </c>
      <c r="B109" s="61">
        <f>Efficiencies!B109</f>
        <v>0.56512745450221147</v>
      </c>
      <c r="C109" s="62">
        <f>Efficiencies!C109</f>
        <v>0.3821900597314542</v>
      </c>
      <c r="D109" s="51">
        <f>Efficiencies!D109</f>
        <v>2.9576540038839494</v>
      </c>
      <c r="E109" s="51">
        <f>Efficiencies!E109</f>
        <v>0.64412824708310601</v>
      </c>
      <c r="F109" s="52">
        <f>Efficiencies!F109</f>
        <v>2.1396607347278591</v>
      </c>
    </row>
    <row r="110" spans="1:6">
      <c r="A110" s="59">
        <f>Efficiencies!A110</f>
        <v>45924</v>
      </c>
      <c r="B110" s="61">
        <f>Efficiencies!B110</f>
        <v>0.56168957348136506</v>
      </c>
      <c r="C110" s="62">
        <f>Efficiencies!C110</f>
        <v>0.37903186436895436</v>
      </c>
      <c r="D110" s="51">
        <f>Efficiencies!D110</f>
        <v>2.9641582584281276</v>
      </c>
      <c r="E110" s="51">
        <f>Efficiencies!E110</f>
        <v>0.61318062255732009</v>
      </c>
      <c r="F110" s="52">
        <f>Efficiencies!F110</f>
        <v>2.0915441559795647</v>
      </c>
    </row>
    <row r="111" spans="1:6">
      <c r="A111" s="59">
        <f>Efficiencies!A111</f>
        <v>45925</v>
      </c>
      <c r="B111" s="61">
        <f>Efficiencies!B111</f>
        <v>0.56047744947972233</v>
      </c>
      <c r="C111" s="62">
        <f>Efficiencies!C111</f>
        <v>0.37780409641911661</v>
      </c>
      <c r="D111" s="51">
        <f>Efficiencies!D111</f>
        <v>2.9673745536553278</v>
      </c>
      <c r="E111" s="51">
        <f>Efficiencies!E111</f>
        <v>0.61033013844515493</v>
      </c>
      <c r="F111" s="52">
        <f>Efficiencies!F111</f>
        <v>2.0888192267502621</v>
      </c>
    </row>
    <row r="112" spans="1:6">
      <c r="A112" s="59">
        <f>Efficiencies!A112</f>
        <v>45926</v>
      </c>
      <c r="B112" s="61">
        <f>Efficiencies!B112</f>
        <v>0.56311580886884505</v>
      </c>
      <c r="C112" s="62">
        <f>Efficiencies!C112</f>
        <v>0.38343701070627567</v>
      </c>
      <c r="D112" s="51">
        <f>Efficiencies!D112</f>
        <v>2.9375432609045729</v>
      </c>
      <c r="E112" s="51">
        <f>Efficiencies!E112</f>
        <v>0.65135093308571979</v>
      </c>
      <c r="F112" s="52">
        <f>Efficiencies!F112</f>
        <v>2.1565561809464242</v>
      </c>
    </row>
    <row r="113" spans="1:6" hidden="1">
      <c r="A113" s="59">
        <f>Efficiencies!A113</f>
        <v>45927</v>
      </c>
      <c r="B113" s="61" t="str">
        <f>Efficiencies!B113</f>
        <v>0</v>
      </c>
      <c r="C113" s="62" t="str">
        <f>Efficiencies!C113</f>
        <v>0</v>
      </c>
      <c r="D113" s="51" t="str">
        <f>Efficiencies!D113</f>
        <v>0</v>
      </c>
      <c r="E113" s="51" t="str">
        <f>Efficiencies!E113</f>
        <v>0</v>
      </c>
      <c r="F113" s="52" t="str">
        <f>Efficiencies!F113</f>
        <v>0</v>
      </c>
    </row>
    <row r="114" spans="1:6" hidden="1">
      <c r="A114" s="59">
        <f>Efficiencies!A114</f>
        <v>45928</v>
      </c>
      <c r="B114" s="61" t="str">
        <f>Efficiencies!B114</f>
        <v>0</v>
      </c>
      <c r="C114" s="62" t="str">
        <f>Efficiencies!C114</f>
        <v>0</v>
      </c>
      <c r="D114" s="51" t="str">
        <f>Efficiencies!D114</f>
        <v>0</v>
      </c>
      <c r="E114" s="51" t="str">
        <f>Efficiencies!E114</f>
        <v>0</v>
      </c>
      <c r="F114" s="52" t="str">
        <f>Efficiencies!F114</f>
        <v>0</v>
      </c>
    </row>
    <row r="115" spans="1:6">
      <c r="A115" s="59">
        <f>Efficiencies!A115</f>
        <v>45929</v>
      </c>
      <c r="B115" s="61">
        <f>Efficiencies!B115</f>
        <v>0.56020506004384485</v>
      </c>
      <c r="C115" s="62">
        <f>Efficiencies!C115</f>
        <v>0.37815795542696606</v>
      </c>
      <c r="D115" s="51">
        <f>Efficiencies!D115</f>
        <v>2.9631572853806682</v>
      </c>
      <c r="E115" s="51">
        <f>Efficiencies!E115</f>
        <v>0.62434192629574503</v>
      </c>
      <c r="F115" s="52">
        <f>Efficiencies!F115</f>
        <v>2.1143575243480992</v>
      </c>
    </row>
    <row r="116" spans="1:6">
      <c r="A116" s="59">
        <f>Efficiencies!A116</f>
        <v>45930</v>
      </c>
      <c r="B116" s="61">
        <f>Efficiencies!B116</f>
        <v>0.55765858099541443</v>
      </c>
      <c r="C116" s="62">
        <f>Efficiencies!C116</f>
        <v>0.37738405419489313</v>
      </c>
      <c r="D116" s="51">
        <f>Efficiencies!D116</f>
        <v>2.9557388296904104</v>
      </c>
      <c r="E116" s="51">
        <f>Efficiencies!E116</f>
        <v>0.58274484911000002</v>
      </c>
      <c r="F116" s="52">
        <f>Efficiencies!F116</f>
        <v>2.0448617631716219</v>
      </c>
    </row>
    <row r="117" spans="1:6" hidden="1">
      <c r="A117" s="59">
        <f>Efficiencies!A117</f>
        <v>45931</v>
      </c>
      <c r="B117" s="61" t="str">
        <f>Efficiencies!B117</f>
        <v>0</v>
      </c>
      <c r="C117" s="62" t="str">
        <f>Efficiencies!C117</f>
        <v>0</v>
      </c>
      <c r="D117" s="51" t="str">
        <f>Efficiencies!D117</f>
        <v>0</v>
      </c>
      <c r="E117" s="51" t="str">
        <f>Efficiencies!E117</f>
        <v>0</v>
      </c>
      <c r="F117" s="52" t="str">
        <f>Efficiencies!F117</f>
        <v>0</v>
      </c>
    </row>
    <row r="118" spans="1:6">
      <c r="A118" s="59">
        <f>Efficiencies!A118</f>
        <v>45932</v>
      </c>
      <c r="B118" s="61">
        <f>Efficiencies!B118</f>
        <v>0.55681948864746378</v>
      </c>
      <c r="C118" s="62">
        <f>Efficiencies!C118</f>
        <v>0.38477243127178001</v>
      </c>
      <c r="D118" s="51">
        <f>Efficiencies!D118</f>
        <v>2.8946215443897425</v>
      </c>
      <c r="E118" s="51">
        <f>Efficiencies!E118</f>
        <v>0.59556990263233911</v>
      </c>
      <c r="F118" s="52">
        <f>Efficiencies!F118</f>
        <v>2.0694660445826862</v>
      </c>
    </row>
    <row r="119" spans="1:6">
      <c r="A119" s="59">
        <f>Efficiencies!A119</f>
        <v>45933</v>
      </c>
      <c r="B119" s="61">
        <f>Efficiencies!B119</f>
        <v>0.56620649371802145</v>
      </c>
      <c r="C119" s="62">
        <f>Efficiencies!C119</f>
        <v>0.38251541444633536</v>
      </c>
      <c r="D119" s="51">
        <f>Efficiencies!D119</f>
        <v>2.9607799332032947</v>
      </c>
      <c r="E119" s="51">
        <f>Efficiencies!E119</f>
        <v>0.61038947222842788</v>
      </c>
      <c r="F119" s="52">
        <f>Efficiencies!F119</f>
        <v>2.0779086588138043</v>
      </c>
    </row>
    <row r="120" spans="1:6" hidden="1">
      <c r="A120" s="59">
        <f>Efficiencies!A120</f>
        <v>45934</v>
      </c>
      <c r="B120" s="61" t="str">
        <f>Efficiencies!B120</f>
        <v>0</v>
      </c>
      <c r="C120" s="62" t="str">
        <f>Efficiencies!C120</f>
        <v>0</v>
      </c>
      <c r="D120" s="51" t="str">
        <f>Efficiencies!D120</f>
        <v>0</v>
      </c>
      <c r="E120" s="51" t="str">
        <f>Efficiencies!E120</f>
        <v>0</v>
      </c>
      <c r="F120" s="52" t="str">
        <f>Efficiencies!F120</f>
        <v>0</v>
      </c>
    </row>
    <row r="121" spans="1:6" hidden="1">
      <c r="A121" s="59">
        <f>Efficiencies!A121</f>
        <v>45935</v>
      </c>
      <c r="B121" s="61" t="str">
        <f>Efficiencies!B121</f>
        <v>0</v>
      </c>
      <c r="C121" s="62" t="str">
        <f>Efficiencies!C121</f>
        <v>0</v>
      </c>
      <c r="D121" s="51" t="str">
        <f>Efficiencies!D121</f>
        <v>0</v>
      </c>
      <c r="E121" s="51" t="str">
        <f>Efficiencies!E121</f>
        <v>0</v>
      </c>
      <c r="F121" s="52" t="str">
        <f>Efficiencies!F121</f>
        <v>0</v>
      </c>
    </row>
    <row r="122" spans="1:6" hidden="1">
      <c r="A122" s="59">
        <f>Efficiencies!A122</f>
        <v>45936</v>
      </c>
      <c r="B122" s="61" t="str">
        <f>Efficiencies!B122</f>
        <v>0</v>
      </c>
      <c r="C122" s="62" t="str">
        <f>Efficiencies!C122</f>
        <v>0</v>
      </c>
      <c r="D122" s="51" t="str">
        <f>Efficiencies!D122</f>
        <v>0</v>
      </c>
      <c r="E122" s="51" t="str">
        <f>Efficiencies!E122</f>
        <v>0</v>
      </c>
      <c r="F122" s="52" t="str">
        <f>Efficiencies!F122</f>
        <v>0</v>
      </c>
    </row>
    <row r="123" spans="1:6">
      <c r="A123" s="59">
        <f>Efficiencies!A123</f>
        <v>45937</v>
      </c>
      <c r="B123" s="61">
        <f>Efficiencies!B123</f>
        <v>0.56184641741699826</v>
      </c>
      <c r="C123" s="62">
        <f>Efficiencies!C123</f>
        <v>0.38388952978316282</v>
      </c>
      <c r="D123" s="51">
        <f>Efficiencies!D123</f>
        <v>2.9274674647807051</v>
      </c>
      <c r="E123" s="51">
        <f>Efficiencies!E123</f>
        <v>0.52042899855194757</v>
      </c>
      <c r="F123" s="52">
        <f>Efficiencies!F123</f>
        <v>1.9261751809931682</v>
      </c>
    </row>
    <row r="124" spans="1:6" hidden="1">
      <c r="A124" s="59">
        <f>Efficiencies!A124</f>
        <v>45938</v>
      </c>
      <c r="B124" s="61" t="str">
        <f>Efficiencies!B124</f>
        <v>0</v>
      </c>
      <c r="C124" s="62" t="str">
        <f>Efficiencies!C124</f>
        <v>0</v>
      </c>
      <c r="D124" s="51" t="str">
        <f>Efficiencies!D124</f>
        <v>0</v>
      </c>
      <c r="E124" s="51" t="str">
        <f>Efficiencies!E124</f>
        <v>0</v>
      </c>
      <c r="F124" s="52" t="str">
        <f>Efficiencies!F124</f>
        <v>0</v>
      </c>
    </row>
    <row r="125" spans="1:6" hidden="1">
      <c r="A125" s="59">
        <f>Efficiencies!A125</f>
        <v>45939</v>
      </c>
      <c r="B125" s="61" t="str">
        <f>Efficiencies!B125</f>
        <v>0</v>
      </c>
      <c r="C125" s="62" t="str">
        <f>Efficiencies!C125</f>
        <v>0</v>
      </c>
      <c r="D125" s="51" t="str">
        <f>Efficiencies!D125</f>
        <v>0</v>
      </c>
      <c r="E125" s="51" t="str">
        <f>Efficiencies!E125</f>
        <v>0</v>
      </c>
      <c r="F125" s="52" t="str">
        <f>Efficiencies!F125</f>
        <v>0</v>
      </c>
    </row>
    <row r="126" spans="1:6">
      <c r="A126" s="59">
        <f>Efficiencies!A126</f>
        <v>45940</v>
      </c>
      <c r="B126" s="61">
        <f>Efficiencies!B126</f>
        <v>0.55215187958550793</v>
      </c>
      <c r="C126" s="62">
        <f>Efficiencies!C126</f>
        <v>0.37008621157078564</v>
      </c>
      <c r="D126" s="51">
        <f>Efficiencies!D126</f>
        <v>2.9842657953431755</v>
      </c>
      <c r="E126" s="51">
        <f>Efficiencies!E126</f>
        <v>0.46786075250330877</v>
      </c>
      <c r="F126" s="52">
        <f>Efficiencies!F126</f>
        <v>1.8472395184723964</v>
      </c>
    </row>
    <row r="127" spans="1:6" hidden="1">
      <c r="A127" s="59">
        <f>Efficiencies!A127</f>
        <v>45941</v>
      </c>
      <c r="B127" s="61" t="str">
        <f>Efficiencies!B127</f>
        <v>0</v>
      </c>
      <c r="C127" s="62" t="str">
        <f>Efficiencies!C127</f>
        <v>0</v>
      </c>
      <c r="D127" s="51" t="str">
        <f>Efficiencies!D127</f>
        <v>0</v>
      </c>
      <c r="E127" s="51" t="str">
        <f>Efficiencies!E127</f>
        <v>0</v>
      </c>
      <c r="F127" s="52" t="str">
        <f>Efficiencies!F127</f>
        <v>0</v>
      </c>
    </row>
    <row r="128" spans="1:6" hidden="1">
      <c r="A128" s="59">
        <f>Efficiencies!A128</f>
        <v>45942</v>
      </c>
      <c r="B128" s="61" t="str">
        <f>Efficiencies!B128</f>
        <v>0</v>
      </c>
      <c r="C128" s="62" t="str">
        <f>Efficiencies!C128</f>
        <v>0</v>
      </c>
      <c r="D128" s="51" t="str">
        <f>Efficiencies!D128</f>
        <v>0</v>
      </c>
      <c r="E128" s="51" t="str">
        <f>Efficiencies!E128</f>
        <v>0</v>
      </c>
      <c r="F128" s="52" t="str">
        <f>Efficiencies!F128</f>
        <v>0</v>
      </c>
    </row>
    <row r="129" spans="1:6">
      <c r="A129" s="59">
        <f>Efficiencies!A129</f>
        <v>45943</v>
      </c>
      <c r="B129" s="61">
        <f>Efficiencies!B129</f>
        <v>0.57219313832887919</v>
      </c>
      <c r="C129" s="62">
        <f>Efficiencies!C129</f>
        <v>0.38814638976872884</v>
      </c>
      <c r="D129" s="51">
        <f>Efficiencies!D129</f>
        <v>2.9486730795116851</v>
      </c>
      <c r="E129" s="51">
        <f>Efficiencies!E129</f>
        <v>0.63820923546323982</v>
      </c>
      <c r="F129" s="52">
        <f>Efficiencies!F129</f>
        <v>2.1152465907925766</v>
      </c>
    </row>
    <row r="130" spans="1:6">
      <c r="A130" s="59">
        <f>Efficiencies!A130</f>
        <v>45944</v>
      </c>
      <c r="B130" s="61">
        <f>Efficiencies!B130</f>
        <v>0.56921851941989998</v>
      </c>
      <c r="C130" s="62">
        <f>Efficiencies!C130</f>
        <v>0.38565691819271286</v>
      </c>
      <c r="D130" s="51">
        <f>Efficiencies!D130</f>
        <v>2.9522815313472499</v>
      </c>
      <c r="E130" s="51">
        <f>Efficiencies!E130</f>
        <v>0.62954791330253002</v>
      </c>
      <c r="F130" s="52">
        <f>Efficiencies!F130</f>
        <v>2.1058593347749976</v>
      </c>
    </row>
    <row r="131" spans="1:6">
      <c r="A131" s="59">
        <f>Efficiencies!A131</f>
        <v>45945</v>
      </c>
      <c r="B131" s="61">
        <f>Efficiencies!B131</f>
        <v>0.55126999317034875</v>
      </c>
      <c r="C131" s="62">
        <f>Efficiencies!C131</f>
        <v>0.37734014604579957</v>
      </c>
      <c r="D131" s="51">
        <f>Efficiencies!D131</f>
        <v>2.922222588587005</v>
      </c>
      <c r="E131" s="51">
        <f>Efficiencies!E131</f>
        <v>0.50486318717820955</v>
      </c>
      <c r="F131" s="52">
        <f>Efficiencies!F131</f>
        <v>1.9157088122605364</v>
      </c>
    </row>
    <row r="132" spans="1:6" hidden="1">
      <c r="A132" s="59">
        <f>Efficiencies!A132</f>
        <v>45946</v>
      </c>
      <c r="B132" s="61" t="str">
        <f>Efficiencies!B132</f>
        <v>0</v>
      </c>
      <c r="C132" s="62" t="str">
        <f>Efficiencies!C132</f>
        <v>0</v>
      </c>
      <c r="D132" s="51" t="str">
        <f>Efficiencies!D132</f>
        <v>0</v>
      </c>
      <c r="E132" s="51" t="str">
        <f>Efficiencies!E132</f>
        <v>0</v>
      </c>
      <c r="F132" s="52" t="str">
        <f>Efficiencies!F132</f>
        <v>0</v>
      </c>
    </row>
    <row r="133" spans="1:6">
      <c r="A133" s="59">
        <f>Efficiencies!A133</f>
        <v>45947</v>
      </c>
      <c r="B133" s="61">
        <f>Efficiencies!B133</f>
        <v>0.55199142047620742</v>
      </c>
      <c r="C133" s="62">
        <f>Efficiencies!C133</f>
        <v>0.37858773082509173</v>
      </c>
      <c r="D133" s="51">
        <f>Efficiencies!D133</f>
        <v>2.9164038433328443</v>
      </c>
      <c r="E133" s="51">
        <f>Efficiencies!E133</f>
        <v>0.51605361596009947</v>
      </c>
      <c r="F133" s="52">
        <f>Efficiencies!F133</f>
        <v>1.9347826086956514</v>
      </c>
    </row>
    <row r="134" spans="1:6" hidden="1">
      <c r="A134" s="59">
        <f>Efficiencies!A134</f>
        <v>45948</v>
      </c>
      <c r="B134" s="61" t="str">
        <f>Efficiencies!B134</f>
        <v>0</v>
      </c>
      <c r="C134" s="62" t="str">
        <f>Efficiencies!C134</f>
        <v>0</v>
      </c>
      <c r="D134" s="51" t="str">
        <f>Efficiencies!D134</f>
        <v>0</v>
      </c>
      <c r="E134" s="51" t="str">
        <f>Efficiencies!E134</f>
        <v>0</v>
      </c>
      <c r="F134" s="52" t="str">
        <f>Efficiencies!F134</f>
        <v>0</v>
      </c>
    </row>
    <row r="135" spans="1:6" hidden="1">
      <c r="A135" s="59">
        <f>Efficiencies!A135</f>
        <v>45949</v>
      </c>
      <c r="B135" s="61" t="str">
        <f>Efficiencies!B135</f>
        <v>0</v>
      </c>
      <c r="C135" s="62" t="str">
        <f>Efficiencies!C135</f>
        <v>0</v>
      </c>
      <c r="D135" s="51" t="str">
        <f>Efficiencies!D135</f>
        <v>0</v>
      </c>
      <c r="E135" s="51" t="str">
        <f>Efficiencies!E135</f>
        <v>0</v>
      </c>
      <c r="F135" s="52" t="str">
        <f>Efficiencies!F135</f>
        <v>0</v>
      </c>
    </row>
    <row r="136" spans="1:6">
      <c r="A136" s="59">
        <f>Efficiencies!A136</f>
        <v>45950</v>
      </c>
      <c r="B136" s="61">
        <f>Efficiencies!B136</f>
        <v>0.56118351668553401</v>
      </c>
      <c r="C136" s="62">
        <f>Efficiencies!C136</f>
        <v>0.38891080182566068</v>
      </c>
      <c r="D136" s="51">
        <f>Efficiencies!D136</f>
        <v>2.8862616962333645</v>
      </c>
      <c r="E136" s="51">
        <f>Efficiencies!E136</f>
        <v>0.58958811147067081</v>
      </c>
      <c r="F136" s="52">
        <f>Efficiencies!F136</f>
        <v>2.0504926108374373</v>
      </c>
    </row>
    <row r="137" spans="1:6" hidden="1">
      <c r="A137" s="59">
        <f>Efficiencies!A137</f>
        <v>45951</v>
      </c>
      <c r="B137" s="61" t="str">
        <f>Efficiencies!B137</f>
        <v>0</v>
      </c>
      <c r="C137" s="62" t="str">
        <f>Efficiencies!C137</f>
        <v>0</v>
      </c>
      <c r="D137" s="51" t="str">
        <f>Efficiencies!D137</f>
        <v>0</v>
      </c>
      <c r="E137" s="51" t="str">
        <f>Efficiencies!E137</f>
        <v>0</v>
      </c>
      <c r="F137" s="52" t="str">
        <f>Efficiencies!F137</f>
        <v>0</v>
      </c>
    </row>
    <row r="138" spans="1:6" hidden="1">
      <c r="A138" s="59">
        <f>Efficiencies!A138</f>
        <v>45952</v>
      </c>
      <c r="B138" s="61" t="str">
        <f>Efficiencies!B138</f>
        <v>0</v>
      </c>
      <c r="C138" s="62" t="str">
        <f>Efficiencies!C138</f>
        <v>0</v>
      </c>
      <c r="D138" s="51" t="str">
        <f>Efficiencies!D138</f>
        <v>0</v>
      </c>
      <c r="E138" s="51" t="str">
        <f>Efficiencies!E138</f>
        <v>0</v>
      </c>
      <c r="F138" s="52" t="str">
        <f>Efficiencies!F138</f>
        <v>0</v>
      </c>
    </row>
    <row r="139" spans="1:6">
      <c r="A139" s="59">
        <f>Efficiencies!A139</f>
        <v>45953</v>
      </c>
      <c r="B139" s="61">
        <f>Efficiencies!B139</f>
        <v>0.56005573707741096</v>
      </c>
      <c r="C139" s="62">
        <f>Efficiencies!C139</f>
        <v>0.3896786373434396</v>
      </c>
      <c r="D139" s="51">
        <f>Efficiencies!D139</f>
        <v>2.8747864443724414</v>
      </c>
      <c r="E139" s="51">
        <f>Efficiencies!E139</f>
        <v>0.57825279586045764</v>
      </c>
      <c r="F139" s="52">
        <f>Efficiencies!F139</f>
        <v>2.0323704158983817</v>
      </c>
    </row>
    <row r="140" spans="1:6">
      <c r="A140" s="59">
        <f>Efficiencies!A140</f>
        <v>45954</v>
      </c>
      <c r="B140" s="61">
        <f>Efficiencies!B140</f>
        <v>0.56064928526750979</v>
      </c>
      <c r="C140" s="62">
        <f>Efficiencies!C140</f>
        <v>0.39011410081743869</v>
      </c>
      <c r="D140" s="51">
        <f>Efficiencies!D140</f>
        <v>2.874620322878537</v>
      </c>
      <c r="E140" s="51">
        <f>Efficiencies!E140</f>
        <v>0.62001134859088369</v>
      </c>
      <c r="F140" s="52">
        <f>Efficiencies!F140</f>
        <v>2.1057513914656778</v>
      </c>
    </row>
    <row r="141" spans="1:6" hidden="1">
      <c r="A141" s="59">
        <f>Efficiencies!A141</f>
        <v>45955</v>
      </c>
      <c r="B141" s="61" t="str">
        <f>Efficiencies!B141</f>
        <v>0</v>
      </c>
      <c r="C141" s="62" t="str">
        <f>Efficiencies!C141</f>
        <v>0</v>
      </c>
      <c r="D141" s="51" t="str">
        <f>Efficiencies!D141</f>
        <v>0</v>
      </c>
      <c r="E141" s="51" t="str">
        <f>Efficiencies!E141</f>
        <v>0</v>
      </c>
      <c r="F141" s="52" t="str">
        <f>Efficiencies!F141</f>
        <v>0</v>
      </c>
    </row>
    <row r="142" spans="1:6" hidden="1">
      <c r="A142" s="59">
        <f>Efficiencies!A142</f>
        <v>45956</v>
      </c>
      <c r="B142" s="61" t="str">
        <f>Efficiencies!B142</f>
        <v>0</v>
      </c>
      <c r="C142" s="62" t="str">
        <f>Efficiencies!C142</f>
        <v>0</v>
      </c>
      <c r="D142" s="51" t="str">
        <f>Efficiencies!D142</f>
        <v>0</v>
      </c>
      <c r="E142" s="51" t="str">
        <f>Efficiencies!E142</f>
        <v>0</v>
      </c>
      <c r="F142" s="52" t="str">
        <f>Efficiencies!F142</f>
        <v>0</v>
      </c>
    </row>
    <row r="143" spans="1:6" hidden="1">
      <c r="A143" s="59">
        <f>Efficiencies!A143</f>
        <v>45957</v>
      </c>
      <c r="B143" s="61" t="str">
        <f>Efficiencies!B143</f>
        <v>0</v>
      </c>
      <c r="C143" s="62" t="str">
        <f>Efficiencies!C143</f>
        <v>0</v>
      </c>
      <c r="D143" s="51" t="str">
        <f>Efficiencies!D143</f>
        <v>0</v>
      </c>
      <c r="E143" s="51" t="str">
        <f>Efficiencies!E143</f>
        <v>0</v>
      </c>
      <c r="F143" s="52" t="str">
        <f>Efficiencies!F143</f>
        <v>0</v>
      </c>
    </row>
    <row r="144" spans="1:6">
      <c r="A144" s="59">
        <f>Efficiencies!A144</f>
        <v>45958</v>
      </c>
      <c r="B144" s="61">
        <f>Efficiencies!B144</f>
        <v>0.56309229942336536</v>
      </c>
      <c r="C144" s="62">
        <f>Efficiencies!C144</f>
        <v>0.37793476002493254</v>
      </c>
      <c r="D144" s="51">
        <f>Efficiencies!D144</f>
        <v>2.9801857585139317</v>
      </c>
      <c r="E144" s="51">
        <f>Efficiencies!E144</f>
        <v>0.58888888888888824</v>
      </c>
      <c r="F144" s="52">
        <f>Efficiencies!F144</f>
        <v>2.0456905503634464</v>
      </c>
    </row>
    <row r="145" spans="1:6" hidden="1">
      <c r="A145" s="59">
        <f>Efficiencies!A145</f>
        <v>45959</v>
      </c>
      <c r="B145" s="61" t="str">
        <f>Efficiencies!B145</f>
        <v>0</v>
      </c>
      <c r="C145" s="62" t="str">
        <f>Efficiencies!C145</f>
        <v>0</v>
      </c>
      <c r="D145" s="51" t="str">
        <f>Efficiencies!D145</f>
        <v>0</v>
      </c>
      <c r="E145" s="51" t="str">
        <f>Efficiencies!E145</f>
        <v>0</v>
      </c>
      <c r="F145" s="52" t="str">
        <f>Efficiencies!F145</f>
        <v>0</v>
      </c>
    </row>
    <row r="146" spans="1:6">
      <c r="A146" s="59">
        <f>Efficiencies!A146</f>
        <v>45960</v>
      </c>
      <c r="B146" s="61">
        <f>Efficiencies!B146</f>
        <v>0.56315298133399372</v>
      </c>
      <c r="C146" s="62">
        <f>Efficiencies!C146</f>
        <v>0.37679975634068008</v>
      </c>
      <c r="D146" s="51">
        <f>Efficiencies!D146</f>
        <v>2.9894848132258645</v>
      </c>
      <c r="E146" s="51">
        <f>Efficiencies!E146</f>
        <v>0.59534888679235165</v>
      </c>
      <c r="F146" s="52">
        <f>Efficiencies!F146</f>
        <v>2.0570476785342482</v>
      </c>
    </row>
    <row r="147" spans="1:6">
      <c r="A147" s="59">
        <f>Efficiencies!A147</f>
        <v>45961</v>
      </c>
      <c r="B147" s="61">
        <f>Efficiencies!B147</f>
        <v>0.56647772369372962</v>
      </c>
      <c r="C147" s="62">
        <f>Efficiencies!C147</f>
        <v>0.37808510051567712</v>
      </c>
      <c r="D147" s="51">
        <f>Efficiencies!D147</f>
        <v>2.9969083744360505</v>
      </c>
      <c r="E147" s="51">
        <f>Efficiencies!E147</f>
        <v>0.5790706090214357</v>
      </c>
      <c r="F147" s="52">
        <f>Efficiencies!F147</f>
        <v>2.0221120066129359</v>
      </c>
    </row>
    <row r="148" spans="1:6">
      <c r="A148" s="59">
        <f>Efficiencies!A148</f>
        <v>45962</v>
      </c>
      <c r="B148" s="61">
        <f>Efficiencies!B148</f>
        <v>0.56192072686736361</v>
      </c>
      <c r="C148" s="62">
        <f>Efficiencies!C148</f>
        <v>0.38147568911106766</v>
      </c>
      <c r="D148" s="51">
        <f>Efficiencies!D148</f>
        <v>2.9463810003805682</v>
      </c>
      <c r="E148" s="51">
        <f>Efficiencies!E148</f>
        <v>0.60138718890248843</v>
      </c>
      <c r="F148" s="52">
        <f>Efficiencies!F148</f>
        <v>2.0701099356979875</v>
      </c>
    </row>
    <row r="149" spans="1:6" hidden="1">
      <c r="A149" s="59">
        <f>Efficiencies!A149</f>
        <v>45963</v>
      </c>
      <c r="B149" s="61" t="str">
        <f>Efficiencies!B149</f>
        <v>0</v>
      </c>
      <c r="C149" s="62" t="str">
        <f>Efficiencies!C149</f>
        <v>0</v>
      </c>
      <c r="D149" s="51" t="str">
        <f>Efficiencies!D149</f>
        <v>0</v>
      </c>
      <c r="E149" s="51" t="str">
        <f>Efficiencies!E149</f>
        <v>0</v>
      </c>
      <c r="F149" s="52" t="str">
        <f>Efficiencies!F149</f>
        <v>0</v>
      </c>
    </row>
    <row r="150" spans="1:6">
      <c r="A150" s="59">
        <f>Efficiencies!A150</f>
        <v>45964</v>
      </c>
      <c r="B150" s="61">
        <f>Efficiencies!B150</f>
        <v>0.55813433643834842</v>
      </c>
      <c r="C150" s="62">
        <f>Efficiencies!C150</f>
        <v>0.38191505813217863</v>
      </c>
      <c r="D150" s="51">
        <f>Efficiencies!D150</f>
        <v>2.9231635684711637</v>
      </c>
      <c r="E150" s="51">
        <f>Efficiencies!E150</f>
        <v>0.61665158275247045</v>
      </c>
      <c r="F150" s="52">
        <f>Efficiencies!F150</f>
        <v>2.1047142261159784</v>
      </c>
    </row>
    <row r="151" spans="1:6">
      <c r="A151" s="59">
        <f>Efficiencies!A151</f>
        <v>45965</v>
      </c>
      <c r="B151" s="61">
        <f>Efficiencies!B151</f>
        <v>0.56080089840938396</v>
      </c>
      <c r="C151" s="62">
        <f>Efficiencies!C151</f>
        <v>0.38233298464844084</v>
      </c>
      <c r="D151" s="51">
        <f>Efficiencies!D151</f>
        <v>2.9339167269131758</v>
      </c>
      <c r="E151" s="51">
        <f>Efficiencies!E151</f>
        <v>0.66004347802864005</v>
      </c>
      <c r="F151" s="52">
        <f>Efficiencies!F151</f>
        <v>2.1768279907814794</v>
      </c>
    </row>
    <row r="152" spans="1:6">
      <c r="A152" s="59">
        <f>Efficiencies!A152</f>
        <v>45966</v>
      </c>
      <c r="B152" s="61">
        <f>Efficiencies!B152</f>
        <v>0.56003827834446163</v>
      </c>
      <c r="C152" s="62">
        <f>Efficiencies!C152</f>
        <v>0.3807296013915874</v>
      </c>
      <c r="D152" s="51">
        <f>Efficiencies!D152</f>
        <v>2.9422664900622491</v>
      </c>
      <c r="E152" s="51">
        <f>Efficiencies!E152</f>
        <v>0.62395547617528857</v>
      </c>
      <c r="F152" s="52">
        <f>Efficiencies!F152</f>
        <v>2.1139993736298153</v>
      </c>
    </row>
    <row r="153" spans="1:6">
      <c r="A153" s="59">
        <f>Efficiencies!A153</f>
        <v>45967</v>
      </c>
      <c r="B153" s="61">
        <f>Efficiencies!B153</f>
        <v>0.55856719595044058</v>
      </c>
      <c r="C153" s="62">
        <f>Efficiencies!C153</f>
        <v>0.38222543352601163</v>
      </c>
      <c r="D153" s="51">
        <f>Efficiencies!D153</f>
        <v>2.9230547688763018</v>
      </c>
      <c r="E153" s="51">
        <f>Efficiencies!E153</f>
        <v>0.66165325311871637</v>
      </c>
      <c r="F153" s="52">
        <f>Efficiencies!F153</f>
        <v>2.1844150388573826</v>
      </c>
    </row>
    <row r="154" spans="1:6">
      <c r="A154" s="59">
        <f>Efficiencies!A154</f>
        <v>45968</v>
      </c>
      <c r="B154" s="61">
        <f>Efficiencies!B154</f>
        <v>0.55723487251418713</v>
      </c>
      <c r="C154" s="62">
        <f>Efficiencies!C154</f>
        <v>0.38058558027635836</v>
      </c>
      <c r="D154" s="51">
        <f>Efficiencies!D154</f>
        <v>2.9286482974273591</v>
      </c>
      <c r="E154" s="51">
        <f>Efficiencies!E154</f>
        <v>0.54268783799332665</v>
      </c>
      <c r="F154" s="52">
        <f>Efficiencies!F154</f>
        <v>1.9737792918344175</v>
      </c>
    </row>
    <row r="155" spans="1:6" hidden="1">
      <c r="A155" s="59">
        <f>Efficiencies!A155</f>
        <v>45969</v>
      </c>
      <c r="B155" s="61" t="str">
        <f>Efficiencies!B155</f>
        <v>0</v>
      </c>
      <c r="C155" s="62" t="str">
        <f>Efficiencies!C155</f>
        <v>0</v>
      </c>
      <c r="D155" s="51" t="str">
        <f>Efficiencies!D155</f>
        <v>0</v>
      </c>
      <c r="E155" s="51" t="str">
        <f>Efficiencies!E155</f>
        <v>0</v>
      </c>
      <c r="F155" s="52" t="str">
        <f>Efficiencies!F155</f>
        <v>0</v>
      </c>
    </row>
    <row r="156" spans="1:6" hidden="1">
      <c r="A156" s="59">
        <f>Efficiencies!A156</f>
        <v>45970</v>
      </c>
      <c r="B156" s="61" t="str">
        <f>Efficiencies!B156</f>
        <v>0</v>
      </c>
      <c r="C156" s="62" t="str">
        <f>Efficiencies!C156</f>
        <v>0</v>
      </c>
      <c r="D156" s="51" t="str">
        <f>Efficiencies!D156</f>
        <v>0</v>
      </c>
      <c r="E156" s="51" t="str">
        <f>Efficiencies!E156</f>
        <v>0</v>
      </c>
      <c r="F156" s="52" t="str">
        <f>Efficiencies!F156</f>
        <v>0</v>
      </c>
    </row>
    <row r="157" spans="1:6">
      <c r="A157" s="59">
        <f>Efficiencies!A157</f>
        <v>45971</v>
      </c>
      <c r="B157" s="61">
        <f>Efficiencies!B157</f>
        <v>0.54683188507738001</v>
      </c>
      <c r="C157" s="62">
        <f>Efficiencies!C157</f>
        <v>0.36540786427063909</v>
      </c>
      <c r="D157" s="51">
        <f>Efficiencies!D157</f>
        <v>2.9933562505053208</v>
      </c>
      <c r="E157" s="51">
        <f>Efficiencies!E157</f>
        <v>0.52129379486126237</v>
      </c>
      <c r="F157" s="52">
        <f>Efficiencies!F157</f>
        <v>1.9531829255375488</v>
      </c>
    </row>
    <row r="158" spans="1:6">
      <c r="A158" s="59">
        <f>Efficiencies!A158</f>
        <v>45972</v>
      </c>
      <c r="B158" s="61">
        <f>Efficiencies!B158</f>
        <v>0.55068908160403418</v>
      </c>
      <c r="C158" s="62">
        <f>Efficiencies!C158</f>
        <v>0.37156870173795042</v>
      </c>
      <c r="D158" s="51">
        <f>Efficiencies!D158</f>
        <v>2.9644857106524301</v>
      </c>
      <c r="E158" s="51">
        <f>Efficiencies!E158</f>
        <v>0.54161341054812995</v>
      </c>
      <c r="F158" s="52">
        <f>Efficiencies!F158</f>
        <v>1.9834016178169969</v>
      </c>
    </row>
    <row r="159" spans="1:6">
      <c r="A159" s="59">
        <f>Efficiencies!A159</f>
        <v>45973</v>
      </c>
      <c r="B159" s="61">
        <f>Efficiencies!B159</f>
        <v>0.56070296091486693</v>
      </c>
      <c r="C159" s="62">
        <f>Efficiencies!C159</f>
        <v>0.37886868575218302</v>
      </c>
      <c r="D159" s="51">
        <f>Efficiencies!D159</f>
        <v>2.9602268871708541</v>
      </c>
      <c r="E159" s="51">
        <f>Efficiencies!E159</f>
        <v>0.55404729170946587</v>
      </c>
      <c r="F159" s="52">
        <f>Efficiencies!F159</f>
        <v>1.988014052490185</v>
      </c>
    </row>
    <row r="160" spans="1:6">
      <c r="A160" s="59">
        <f>Efficiencies!A160</f>
        <v>45974</v>
      </c>
      <c r="B160" s="61">
        <f>Efficiencies!B160</f>
        <v>0.54694785786832956</v>
      </c>
      <c r="C160" s="62">
        <f>Efficiencies!C160</f>
        <v>0.37038058466629897</v>
      </c>
      <c r="D160" s="51">
        <f>Efficiencies!D160</f>
        <v>2.9537937450532969</v>
      </c>
      <c r="E160" s="51">
        <f>Efficiencies!E160</f>
        <v>0.53605056783906391</v>
      </c>
      <c r="F160" s="52">
        <f>Efficiencies!F160</f>
        <v>1.9799578059071723</v>
      </c>
    </row>
    <row r="161" spans="1:6">
      <c r="A161" s="59">
        <f>Efficiencies!A161</f>
        <v>45975</v>
      </c>
      <c r="B161" s="61">
        <f>Efficiencies!B161</f>
        <v>0.55754269935829792</v>
      </c>
      <c r="C161" s="62">
        <f>Efficiencies!C161</f>
        <v>0.37624109333021843</v>
      </c>
      <c r="D161" s="51">
        <f>Efficiencies!D161</f>
        <v>2.9641019184463575</v>
      </c>
      <c r="E161" s="51">
        <f>Efficiencies!E161</f>
        <v>0.52667831269049326</v>
      </c>
      <c r="F161" s="52">
        <f>Efficiencies!F161</f>
        <v>1.9445306840525707</v>
      </c>
    </row>
    <row r="162" spans="1:6" hidden="1">
      <c r="A162" s="59">
        <f>Efficiencies!A162</f>
        <v>45976</v>
      </c>
      <c r="B162" s="61" t="str">
        <f>Efficiencies!B162</f>
        <v>0</v>
      </c>
      <c r="C162" s="62" t="str">
        <f>Efficiencies!C162</f>
        <v>0</v>
      </c>
      <c r="D162" s="51" t="str">
        <f>Efficiencies!D162</f>
        <v>0</v>
      </c>
      <c r="E162" s="51" t="str">
        <f>Efficiencies!E162</f>
        <v>0</v>
      </c>
      <c r="F162" s="52" t="str">
        <f>Efficiencies!F162</f>
        <v>0</v>
      </c>
    </row>
    <row r="163" spans="1:6" hidden="1">
      <c r="A163" s="59">
        <f>Efficiencies!A163</f>
        <v>45977</v>
      </c>
      <c r="B163" s="61" t="str">
        <f>Efficiencies!B163</f>
        <v>0</v>
      </c>
      <c r="C163" s="62" t="str">
        <f>Efficiencies!C163</f>
        <v>0</v>
      </c>
      <c r="D163" s="51" t="str">
        <f>Efficiencies!D163</f>
        <v>0</v>
      </c>
      <c r="E163" s="51" t="str">
        <f>Efficiencies!E163</f>
        <v>0</v>
      </c>
      <c r="F163" s="52" t="str">
        <f>Efficiencies!F163</f>
        <v>0</v>
      </c>
    </row>
    <row r="164" spans="1:6">
      <c r="A164" s="59">
        <f>Efficiencies!A164</f>
        <v>45978</v>
      </c>
      <c r="B164" s="61">
        <f>Efficiencies!B164</f>
        <v>0.55792038178663961</v>
      </c>
      <c r="C164" s="62">
        <f>Efficiencies!C164</f>
        <v>0.37599569652204495</v>
      </c>
      <c r="D164" s="51">
        <f>Efficiencies!D164</f>
        <v>2.9680453751207234</v>
      </c>
      <c r="E164" s="51">
        <f>Efficiencies!E164</f>
        <v>0.55207048179431228</v>
      </c>
      <c r="F164" s="52">
        <f>Efficiencies!F164</f>
        <v>1.98939819145619</v>
      </c>
    </row>
    <row r="165" spans="1:6" hidden="1">
      <c r="A165" s="59">
        <f>Efficiencies!A165</f>
        <v>45979</v>
      </c>
      <c r="B165" s="61" t="str">
        <f>Efficiencies!B165</f>
        <v>0</v>
      </c>
      <c r="C165" s="62" t="str">
        <f>Efficiencies!C165</f>
        <v>0</v>
      </c>
      <c r="D165" s="51" t="str">
        <f>Efficiencies!D165</f>
        <v>0</v>
      </c>
      <c r="E165" s="51" t="str">
        <f>Efficiencies!E165</f>
        <v>0</v>
      </c>
      <c r="F165" s="52" t="str">
        <f>Efficiencies!F165</f>
        <v>0</v>
      </c>
    </row>
    <row r="166" spans="1:6">
      <c r="A166" s="59">
        <f>Efficiencies!A166</f>
        <v>45980</v>
      </c>
      <c r="B166" s="61">
        <f>Efficiencies!B166</f>
        <v>0.55468316789662886</v>
      </c>
      <c r="C166" s="62">
        <f>Efficiencies!C166</f>
        <v>0.37312878115256753</v>
      </c>
      <c r="D166" s="51">
        <f>Efficiencies!D166</f>
        <v>2.9734989925375217</v>
      </c>
      <c r="E166" s="51">
        <f>Efficiencies!E166</f>
        <v>0.54581923226955997</v>
      </c>
      <c r="F166" s="52">
        <f>Efficiencies!F166</f>
        <v>1.9839029998954747</v>
      </c>
    </row>
    <row r="167" spans="1:6">
      <c r="A167" s="59">
        <f>Efficiencies!A167</f>
        <v>45981</v>
      </c>
      <c r="B167" s="61">
        <f>Efficiencies!B167</f>
        <v>0.5772379069623772</v>
      </c>
      <c r="C167" s="62">
        <f>Efficiencies!C167</f>
        <v>0.3786014639464258</v>
      </c>
      <c r="D167" s="51">
        <f>Efficiencies!D167</f>
        <v>3.0496605414253972</v>
      </c>
      <c r="E167" s="51">
        <f>Efficiencies!E167</f>
        <v>0.52616657890397689</v>
      </c>
      <c r="F167" s="52">
        <f>Efficiencies!F167</f>
        <v>1.9114219114219111</v>
      </c>
    </row>
    <row r="168" spans="1:6">
      <c r="A168" s="59">
        <f>Efficiencies!A168</f>
        <v>45982</v>
      </c>
      <c r="B168" s="61">
        <f>Efficiencies!B168</f>
        <v>0.57249411148913898</v>
      </c>
      <c r="C168" s="62">
        <f>Efficiencies!C168</f>
        <v>0.37739130434782608</v>
      </c>
      <c r="D168" s="51">
        <f>Efficiencies!D168</f>
        <v>3.0343007915567282</v>
      </c>
      <c r="E168" s="51">
        <f>Efficiencies!E168</f>
        <v>0.55321020228671969</v>
      </c>
      <c r="F168" s="52">
        <f>Efficiencies!F168</f>
        <v>1.9662058371735796</v>
      </c>
    </row>
    <row r="169" spans="1:6" hidden="1">
      <c r="A169" s="59">
        <f>Efficiencies!A169</f>
        <v>45983</v>
      </c>
      <c r="B169" s="61" t="str">
        <f>Efficiencies!B169</f>
        <v>0</v>
      </c>
      <c r="C169" s="62" t="str">
        <f>Efficiencies!C169</f>
        <v>0</v>
      </c>
      <c r="D169" s="51" t="str">
        <f>Efficiencies!D169</f>
        <v>0</v>
      </c>
      <c r="E169" s="51" t="str">
        <f>Efficiencies!E169</f>
        <v>0</v>
      </c>
      <c r="F169" s="52" t="str">
        <f>Efficiencies!F169</f>
        <v>0</v>
      </c>
    </row>
    <row r="170" spans="1:6" hidden="1">
      <c r="A170" s="59">
        <f>Efficiencies!A170</f>
        <v>45984</v>
      </c>
      <c r="B170" s="61" t="str">
        <f>Efficiencies!B170</f>
        <v>0</v>
      </c>
      <c r="C170" s="62" t="str">
        <f>Efficiencies!C170</f>
        <v>0</v>
      </c>
      <c r="D170" s="51" t="str">
        <f>Efficiencies!D170</f>
        <v>0</v>
      </c>
      <c r="E170" s="51" t="str">
        <f>Efficiencies!E170</f>
        <v>0</v>
      </c>
      <c r="F170" s="52" t="str">
        <f>Efficiencies!F170</f>
        <v>0</v>
      </c>
    </row>
    <row r="171" spans="1:6">
      <c r="A171" s="59">
        <f>Efficiencies!A171</f>
        <v>45985</v>
      </c>
      <c r="B171" s="61">
        <f>Efficiencies!B171</f>
        <v>0.56195908171181275</v>
      </c>
      <c r="C171" s="62">
        <f>Efficiencies!C171</f>
        <v>0.37537229126014171</v>
      </c>
      <c r="D171" s="51">
        <f>Efficiencies!D171</f>
        <v>2.9944922836054575</v>
      </c>
      <c r="E171" s="51">
        <f>Efficiencies!E171</f>
        <v>0.53646493451626531</v>
      </c>
      <c r="F171" s="52">
        <f>Efficiencies!F171</f>
        <v>1.9545219638242892</v>
      </c>
    </row>
    <row r="172" spans="1:6">
      <c r="A172" s="59">
        <f>Efficiencies!A172</f>
        <v>45986</v>
      </c>
      <c r="B172" s="61">
        <f>Efficiencies!B172</f>
        <v>0.56387130392750595</v>
      </c>
      <c r="C172" s="62">
        <f>Efficiencies!C172</f>
        <v>0.37682343330610335</v>
      </c>
      <c r="D172" s="51">
        <f>Efficiencies!D172</f>
        <v>2.9931093611075834</v>
      </c>
      <c r="E172" s="51">
        <f>Efficiencies!E172</f>
        <v>0.55031436555315649</v>
      </c>
      <c r="F172" s="52">
        <f>Efficiencies!F172</f>
        <v>1.9758439145246207</v>
      </c>
    </row>
    <row r="173" spans="1:6">
      <c r="A173" s="59">
        <f>Efficiencies!A173</f>
        <v>45987</v>
      </c>
      <c r="B173" s="61">
        <f>Efficiencies!B173</f>
        <v>0.55965185266703532</v>
      </c>
      <c r="C173" s="62">
        <f>Efficiencies!C173</f>
        <v>0.37503431991653391</v>
      </c>
      <c r="D173" s="51">
        <f>Efficiencies!D173</f>
        <v>2.984887147183616</v>
      </c>
      <c r="E173" s="51">
        <f>Efficiencies!E173</f>
        <v>0.54148987820066297</v>
      </c>
      <c r="F173" s="52">
        <f>Efficiencies!F173</f>
        <v>1.9674341422941299</v>
      </c>
    </row>
    <row r="174" spans="1:6">
      <c r="A174" s="59">
        <f>Efficiencies!A174</f>
        <v>45988</v>
      </c>
      <c r="B174" s="61">
        <f>Efficiencies!B174</f>
        <v>0.56010750751123839</v>
      </c>
      <c r="C174" s="62">
        <f>Efficiencies!C174</f>
        <v>0.37813502179097119</v>
      </c>
      <c r="D174" s="51">
        <f>Efficiencies!D174</f>
        <v>2.9628210487847415</v>
      </c>
      <c r="E174" s="51">
        <f>Efficiencies!E174</f>
        <v>0.50978177311306649</v>
      </c>
      <c r="F174" s="52">
        <f>Efficiencies!F174</f>
        <v>1.9100431300061607</v>
      </c>
    </row>
    <row r="175" spans="1:6">
      <c r="A175" s="59">
        <f>Efficiencies!A175</f>
        <v>45989</v>
      </c>
      <c r="B175" s="61">
        <f>Efficiencies!B175</f>
        <v>0.56144700536189684</v>
      </c>
      <c r="C175" s="62">
        <f>Efficiencies!C175</f>
        <v>0.37823940906313708</v>
      </c>
      <c r="D175" s="51">
        <f>Efficiencies!D175</f>
        <v>2.969085938071816</v>
      </c>
      <c r="E175" s="51">
        <f>Efficiencies!E175</f>
        <v>0.52651556913578346</v>
      </c>
      <c r="F175" s="52">
        <f>Efficiencies!F175</f>
        <v>1.9376735575439685</v>
      </c>
    </row>
    <row r="176" spans="1:6" hidden="1">
      <c r="A176" s="59">
        <f>Efficiencies!A176</f>
        <v>45990</v>
      </c>
      <c r="B176" s="61" t="str">
        <f>Efficiencies!B176</f>
        <v>0</v>
      </c>
      <c r="C176" s="62" t="str">
        <f>Efficiencies!C176</f>
        <v>0</v>
      </c>
      <c r="D176" s="51" t="str">
        <f>Efficiencies!D176</f>
        <v>0</v>
      </c>
      <c r="E176" s="51" t="str">
        <f>Efficiencies!E176</f>
        <v>0</v>
      </c>
      <c r="F176" s="52" t="str">
        <f>Efficiencies!F176</f>
        <v>0</v>
      </c>
    </row>
    <row r="177" spans="1:6" hidden="1">
      <c r="A177" s="59">
        <f>Efficiencies!A177</f>
        <v>45991</v>
      </c>
      <c r="B177" s="61" t="str">
        <f>Efficiencies!B177</f>
        <v>0</v>
      </c>
      <c r="C177" s="62" t="str">
        <f>Efficiencies!C177</f>
        <v>0</v>
      </c>
      <c r="D177" s="51" t="str">
        <f>Efficiencies!D177</f>
        <v>0</v>
      </c>
      <c r="E177" s="51" t="str">
        <f>Efficiencies!E177</f>
        <v>0</v>
      </c>
      <c r="F177" s="52" t="str">
        <f>Efficiencies!F177</f>
        <v>0</v>
      </c>
    </row>
    <row r="178" spans="1:6">
      <c r="A178" s="59">
        <f>Efficiencies!A178</f>
        <v>45992</v>
      </c>
      <c r="B178" s="61">
        <f>Efficiencies!B178</f>
        <v>0.56161493710680843</v>
      </c>
      <c r="C178" s="62">
        <f>Efficiencies!C178</f>
        <v>0.37821146757584767</v>
      </c>
      <c r="D178" s="51">
        <f>Efficiencies!D178</f>
        <v>2.9701932898488752</v>
      </c>
      <c r="E178" s="51">
        <f>Efficiencies!E178</f>
        <v>0.57029406473868571</v>
      </c>
      <c r="F178" s="52">
        <f>Efficiencies!F178</f>
        <v>2.0153351984250341</v>
      </c>
    </row>
    <row r="179" spans="1:6">
      <c r="A179" s="59">
        <f>Efficiencies!A179</f>
        <v>45993</v>
      </c>
      <c r="B179" s="61">
        <f>Efficiencies!B179</f>
        <v>0.56144700536189684</v>
      </c>
      <c r="C179" s="62">
        <f>Efficiencies!C179</f>
        <v>0.37823940906313708</v>
      </c>
      <c r="D179" s="51">
        <f>Efficiencies!D179</f>
        <v>2.969085938071816</v>
      </c>
      <c r="E179" s="51">
        <f>Efficiencies!E179</f>
        <v>0.52651556913578346</v>
      </c>
      <c r="F179" s="52">
        <f>Efficiencies!F179</f>
        <v>1.9376735575439685</v>
      </c>
    </row>
    <row r="180" spans="1:6">
      <c r="A180" s="59">
        <f>Efficiencies!A180</f>
        <v>45994</v>
      </c>
      <c r="B180" s="61">
        <f>Efficiencies!B180</f>
        <v>0.55661013649290414</v>
      </c>
      <c r="C180" s="62">
        <f>Efficiencies!C180</f>
        <v>0.37254472535143796</v>
      </c>
      <c r="D180" s="51">
        <f>Efficiencies!D180</f>
        <v>2.9885052769369218</v>
      </c>
      <c r="E180" s="51">
        <f>Efficiencies!E180</f>
        <v>0.52816411682892894</v>
      </c>
      <c r="F180" s="52">
        <f>Efficiencies!F180</f>
        <v>1.948782011242973</v>
      </c>
    </row>
    <row r="181" spans="1:6">
      <c r="A181" s="59">
        <f>Efficiencies!A181</f>
        <v>45995</v>
      </c>
      <c r="B181" s="61">
        <f>Efficiencies!B181</f>
        <v>0.55824901971958629</v>
      </c>
      <c r="C181" s="62">
        <f>Efficiencies!C181</f>
        <v>0.37596795176244657</v>
      </c>
      <c r="D181" s="51">
        <f>Efficiencies!D181</f>
        <v>2.9700125725850741</v>
      </c>
      <c r="E181" s="51">
        <f>Efficiencies!E181</f>
        <v>0.54279154753065872</v>
      </c>
      <c r="F181" s="52">
        <f>Efficiencies!F181</f>
        <v>1.9721962859217748</v>
      </c>
    </row>
    <row r="182" spans="1:6">
      <c r="A182" s="59">
        <f>Efficiencies!A182</f>
        <v>45996</v>
      </c>
      <c r="B182" s="61">
        <f>Efficiencies!B182</f>
        <v>0.55978480854802193</v>
      </c>
      <c r="C182" s="62">
        <f>Efficiencies!C182</f>
        <v>0.37650739398282773</v>
      </c>
      <c r="D182" s="51">
        <f>Efficiencies!D182</f>
        <v>2.9739151008865123</v>
      </c>
      <c r="E182" s="51">
        <f>Efficiencies!E182</f>
        <v>0.55323124673391522</v>
      </c>
      <c r="F182" s="52">
        <f>Efficiencies!F182</f>
        <v>1.9881767268201622</v>
      </c>
    </row>
    <row r="183" spans="1:6">
      <c r="A183" s="59">
        <f>Efficiencies!A183</f>
        <v>45997</v>
      </c>
      <c r="B183" s="61">
        <f>Efficiencies!B183</f>
        <v>0.55581536196996295</v>
      </c>
      <c r="C183" s="62">
        <f>Efficiencies!C183</f>
        <v>0.37374224672639561</v>
      </c>
      <c r="D183" s="51">
        <f>Efficiencies!D183</f>
        <v>2.9746767617938263</v>
      </c>
      <c r="E183" s="51">
        <f>Efficiencies!E183</f>
        <v>0.55471947194719495</v>
      </c>
      <c r="F183" s="52">
        <f>Efficiencies!F183</f>
        <v>1.9979101358411708</v>
      </c>
    </row>
    <row r="184" spans="1:6" hidden="1">
      <c r="A184" s="59">
        <f>Efficiencies!A184</f>
        <v>45998</v>
      </c>
      <c r="B184" s="61" t="str">
        <f>Efficiencies!B184</f>
        <v>0</v>
      </c>
      <c r="C184" s="62" t="str">
        <f>Efficiencies!C184</f>
        <v>0</v>
      </c>
      <c r="D184" s="51" t="str">
        <f>Efficiencies!D184</f>
        <v>0</v>
      </c>
      <c r="E184" s="51" t="str">
        <f>Efficiencies!E184</f>
        <v>0</v>
      </c>
      <c r="F184" s="52" t="str">
        <f>Efficiencies!F184</f>
        <v>0</v>
      </c>
    </row>
    <row r="185" spans="1:6">
      <c r="A185" s="59">
        <f>Efficiencies!A185</f>
        <v>45999</v>
      </c>
      <c r="B185" s="61">
        <f>Efficiencies!B185</f>
        <v>0.559748887288115</v>
      </c>
      <c r="C185" s="62">
        <f>Efficiencies!C185</f>
        <v>0.37525302081117612</v>
      </c>
      <c r="D185" s="51">
        <f>Efficiencies!D185</f>
        <v>2.9836646801984732</v>
      </c>
      <c r="E185" s="51">
        <f>Efficiencies!E185</f>
        <v>0.53823641080807405</v>
      </c>
      <c r="F185" s="52">
        <f>Efficiencies!F185</f>
        <v>1.961454771526266</v>
      </c>
    </row>
    <row r="186" spans="1:6" hidden="1">
      <c r="A186" s="59">
        <f>Efficiencies!A186</f>
        <v>46000</v>
      </c>
      <c r="B186" s="61" t="str">
        <f>Efficiencies!B186</f>
        <v>0</v>
      </c>
      <c r="C186" s="62" t="str">
        <f>Efficiencies!C186</f>
        <v>0</v>
      </c>
      <c r="D186" s="51" t="str">
        <f>Efficiencies!D186</f>
        <v>0</v>
      </c>
      <c r="E186" s="51" t="str">
        <f>Efficiencies!E186</f>
        <v>0</v>
      </c>
      <c r="F186" s="52" t="str">
        <f>Efficiencies!F186</f>
        <v>0</v>
      </c>
    </row>
    <row r="187" spans="1:6" hidden="1">
      <c r="A187" s="59">
        <f>Efficiencies!A187</f>
        <v>46001</v>
      </c>
      <c r="B187" s="61" t="str">
        <f>Efficiencies!B187</f>
        <v>0</v>
      </c>
      <c r="C187" s="62" t="str">
        <f>Efficiencies!C187</f>
        <v>0</v>
      </c>
      <c r="D187" s="51" t="str">
        <f>Efficiencies!D187</f>
        <v>0</v>
      </c>
      <c r="E187" s="51" t="str">
        <f>Efficiencies!E187</f>
        <v>0</v>
      </c>
      <c r="F187" s="52" t="str">
        <f>Efficiencies!F187</f>
        <v>0</v>
      </c>
    </row>
    <row r="188" spans="1:6" hidden="1">
      <c r="A188" s="59">
        <f>Efficiencies!A188</f>
        <v>46002</v>
      </c>
      <c r="B188" s="61" t="str">
        <f>Efficiencies!B188</f>
        <v>0</v>
      </c>
      <c r="C188" s="62" t="str">
        <f>Efficiencies!C188</f>
        <v>0</v>
      </c>
      <c r="D188" s="51" t="str">
        <f>Efficiencies!D188</f>
        <v>0</v>
      </c>
      <c r="E188" s="51" t="str">
        <f>Efficiencies!E188</f>
        <v>0</v>
      </c>
      <c r="F188" s="52" t="str">
        <f>Efficiencies!F188</f>
        <v>0</v>
      </c>
    </row>
    <row r="189" spans="1:6" hidden="1">
      <c r="A189" s="59">
        <f>Efficiencies!A189</f>
        <v>46003</v>
      </c>
      <c r="B189" s="61" t="str">
        <f>Efficiencies!B189</f>
        <v>0</v>
      </c>
      <c r="C189" s="62" t="str">
        <f>Efficiencies!C189</f>
        <v>0</v>
      </c>
      <c r="D189" s="51" t="str">
        <f>Efficiencies!D189</f>
        <v>0</v>
      </c>
      <c r="E189" s="51" t="str">
        <f>Efficiencies!E189</f>
        <v>0</v>
      </c>
      <c r="F189" s="52" t="str">
        <f>Efficiencies!F189</f>
        <v>0</v>
      </c>
    </row>
    <row r="190" spans="1:6" hidden="1">
      <c r="A190" s="59">
        <f>Efficiencies!A190</f>
        <v>46004</v>
      </c>
      <c r="B190" s="61" t="str">
        <f>Efficiencies!B190</f>
        <v>0</v>
      </c>
      <c r="C190" s="62" t="str">
        <f>Efficiencies!C190</f>
        <v>0</v>
      </c>
      <c r="D190" s="51" t="str">
        <f>Efficiencies!D190</f>
        <v>0</v>
      </c>
      <c r="E190" s="51" t="str">
        <f>Efficiencies!E190</f>
        <v>0</v>
      </c>
      <c r="F190" s="52" t="str">
        <f>Efficiencies!F190</f>
        <v>0</v>
      </c>
    </row>
    <row r="191" spans="1:6" hidden="1">
      <c r="A191" s="59">
        <f>Efficiencies!A191</f>
        <v>46005</v>
      </c>
      <c r="B191" s="61" t="str">
        <f>Efficiencies!B191</f>
        <v>0</v>
      </c>
      <c r="C191" s="62" t="str">
        <f>Efficiencies!C191</f>
        <v>0</v>
      </c>
      <c r="D191" s="51" t="str">
        <f>Efficiencies!D191</f>
        <v>0</v>
      </c>
      <c r="E191" s="51" t="str">
        <f>Efficiencies!E191</f>
        <v>0</v>
      </c>
      <c r="F191" s="52" t="str">
        <f>Efficiencies!F191</f>
        <v>0</v>
      </c>
    </row>
    <row r="192" spans="1:6" hidden="1">
      <c r="A192" s="59">
        <f>Efficiencies!A192</f>
        <v>46006</v>
      </c>
      <c r="B192" s="61" t="str">
        <f>Efficiencies!B192</f>
        <v>0</v>
      </c>
      <c r="C192" s="62" t="str">
        <f>Efficiencies!C192</f>
        <v>0</v>
      </c>
      <c r="D192" s="51" t="str">
        <f>Efficiencies!D192</f>
        <v>0</v>
      </c>
      <c r="E192" s="51" t="str">
        <f>Efficiencies!E192</f>
        <v>0</v>
      </c>
      <c r="F192" s="52" t="str">
        <f>Efficiencies!F192</f>
        <v>0</v>
      </c>
    </row>
    <row r="193" spans="1:6" hidden="1">
      <c r="A193" s="59">
        <f>Efficiencies!A193</f>
        <v>46007</v>
      </c>
      <c r="B193" s="61" t="str">
        <f>Efficiencies!B193</f>
        <v>0</v>
      </c>
      <c r="C193" s="62" t="str">
        <f>Efficiencies!C193</f>
        <v>0</v>
      </c>
      <c r="D193" s="51" t="str">
        <f>Efficiencies!D193</f>
        <v>0</v>
      </c>
      <c r="E193" s="51" t="str">
        <f>Efficiencies!E193</f>
        <v>0</v>
      </c>
      <c r="F193" s="52" t="str">
        <f>Efficiencies!F193</f>
        <v>0</v>
      </c>
    </row>
    <row r="194" spans="1:6" hidden="1">
      <c r="A194" s="59">
        <f>Efficiencies!A194</f>
        <v>46008</v>
      </c>
      <c r="B194" s="61">
        <f>Efficiencies!B194</f>
        <v>0.55781851333040544</v>
      </c>
      <c r="C194" s="62">
        <f>Efficiencies!C194</f>
        <v>0.37688712412623565</v>
      </c>
      <c r="D194" s="51">
        <f>Efficiencies!D194</f>
        <v>2.9604846811696244</v>
      </c>
      <c r="E194" s="51">
        <f>Efficiencies!E194</f>
        <v>0.54192490261942017</v>
      </c>
      <c r="F194" s="52">
        <f>Efficiencies!F194</f>
        <v>1.9713930348258721</v>
      </c>
    </row>
    <row r="195" spans="1:6" hidden="1">
      <c r="A195" s="59">
        <f>Efficiencies!A195</f>
        <v>46009</v>
      </c>
      <c r="B195" s="61">
        <f>Efficiencies!B195</f>
        <v>0.55253250415352018</v>
      </c>
      <c r="C195" s="62">
        <f>Efficiencies!C195</f>
        <v>0.37428393954034095</v>
      </c>
      <c r="D195" s="51">
        <f>Efficiencies!D195</f>
        <v>2.9528300138953218</v>
      </c>
      <c r="E195" s="51">
        <f>Efficiencies!E195</f>
        <v>0.54104986876640415</v>
      </c>
      <c r="F195" s="52">
        <f>Efficiencies!F195</f>
        <v>1.9791013584117032</v>
      </c>
    </row>
    <row r="196" spans="1:6" hidden="1">
      <c r="A196" s="59">
        <f>Efficiencies!A196</f>
        <v>46010</v>
      </c>
      <c r="B196" s="61" t="str">
        <f>Efficiencies!B196</f>
        <v>0</v>
      </c>
      <c r="C196" s="62" t="str">
        <f>Efficiencies!C196</f>
        <v>0</v>
      </c>
      <c r="D196" s="51" t="str">
        <f>Efficiencies!D196</f>
        <v>0</v>
      </c>
      <c r="E196" s="51" t="str">
        <f>Efficiencies!E196</f>
        <v>0</v>
      </c>
      <c r="F196" s="52" t="str">
        <f>Efficiencies!F196</f>
        <v>0</v>
      </c>
    </row>
    <row r="197" spans="1:6" hidden="1">
      <c r="A197" s="59">
        <f>Efficiencies!A197</f>
        <v>46011</v>
      </c>
      <c r="B197" s="61" t="str">
        <f>Efficiencies!B197</f>
        <v>0</v>
      </c>
      <c r="C197" s="62" t="str">
        <f>Efficiencies!C197</f>
        <v>0</v>
      </c>
      <c r="D197" s="51" t="str">
        <f>Efficiencies!D197</f>
        <v>0</v>
      </c>
      <c r="E197" s="51" t="str">
        <f>Efficiencies!E197</f>
        <v>0</v>
      </c>
      <c r="F197" s="52" t="str">
        <f>Efficiencies!F197</f>
        <v>0</v>
      </c>
    </row>
    <row r="198" spans="1:6" hidden="1">
      <c r="A198" s="59">
        <f>Efficiencies!A198</f>
        <v>46012</v>
      </c>
      <c r="B198" s="61" t="str">
        <f>Efficiencies!B198</f>
        <v>0</v>
      </c>
      <c r="C198" s="62" t="str">
        <f>Efficiencies!C198</f>
        <v>0</v>
      </c>
      <c r="D198" s="51" t="str">
        <f>Efficiencies!D198</f>
        <v>0</v>
      </c>
      <c r="E198" s="51" t="str">
        <f>Efficiencies!E198</f>
        <v>0</v>
      </c>
      <c r="F198" s="52" t="str">
        <f>Efficiencies!F198</f>
        <v>0</v>
      </c>
    </row>
    <row r="199" spans="1:6" hidden="1">
      <c r="A199" s="59">
        <f>Efficiencies!A199</f>
        <v>46013</v>
      </c>
      <c r="B199" s="61" t="str">
        <f>Efficiencies!B199</f>
        <v>0</v>
      </c>
      <c r="C199" s="62" t="str">
        <f>Efficiencies!C199</f>
        <v>0</v>
      </c>
      <c r="D199" s="51" t="str">
        <f>Efficiencies!D199</f>
        <v>0</v>
      </c>
      <c r="E199" s="51" t="str">
        <f>Efficiencies!E199</f>
        <v>0</v>
      </c>
      <c r="F199" s="52" t="str">
        <f>Efficiencies!F199</f>
        <v>0</v>
      </c>
    </row>
    <row r="200" spans="1:6" hidden="1">
      <c r="A200" s="59">
        <f>Efficiencies!A200</f>
        <v>46014</v>
      </c>
      <c r="B200" s="61" t="str">
        <f>Efficiencies!B200</f>
        <v>0</v>
      </c>
      <c r="C200" s="62" t="str">
        <f>Efficiencies!C200</f>
        <v>0</v>
      </c>
      <c r="D200" s="51" t="str">
        <f>Efficiencies!D200</f>
        <v>0</v>
      </c>
      <c r="E200" s="51" t="str">
        <f>Efficiencies!E200</f>
        <v>0</v>
      </c>
      <c r="F200" s="52" t="str">
        <f>Efficiencies!F200</f>
        <v>0</v>
      </c>
    </row>
    <row r="201" spans="1:6" hidden="1">
      <c r="A201" s="59">
        <f>Efficiencies!A201</f>
        <v>46015</v>
      </c>
      <c r="B201" s="61" t="str">
        <f>Efficiencies!B201</f>
        <v>0</v>
      </c>
      <c r="C201" s="62" t="str">
        <f>Efficiencies!C201</f>
        <v>0</v>
      </c>
      <c r="D201" s="51" t="str">
        <f>Efficiencies!D201</f>
        <v>0</v>
      </c>
      <c r="E201" s="51" t="str">
        <f>Efficiencies!E201</f>
        <v>0</v>
      </c>
      <c r="F201" s="52" t="str">
        <f>Efficiencies!F201</f>
        <v>0</v>
      </c>
    </row>
    <row r="202" spans="1:6" hidden="1">
      <c r="A202" s="59">
        <f>Efficiencies!A202</f>
        <v>46016</v>
      </c>
      <c r="B202" s="61" t="str">
        <f>Efficiencies!B202</f>
        <v>0</v>
      </c>
      <c r="C202" s="62" t="str">
        <f>Efficiencies!C202</f>
        <v>0</v>
      </c>
      <c r="D202" s="51" t="str">
        <f>Efficiencies!D202</f>
        <v>0</v>
      </c>
      <c r="E202" s="51" t="str">
        <f>Efficiencies!E202</f>
        <v>0</v>
      </c>
      <c r="F202" s="52" t="str">
        <f>Efficiencies!F202</f>
        <v>0</v>
      </c>
    </row>
    <row r="203" spans="1:6" hidden="1">
      <c r="A203" s="59">
        <f>Efficiencies!A203</f>
        <v>46017</v>
      </c>
      <c r="B203" s="61" t="str">
        <f>Efficiencies!B203</f>
        <v>0</v>
      </c>
      <c r="C203" s="62" t="str">
        <f>Efficiencies!C203</f>
        <v>0</v>
      </c>
      <c r="D203" s="51" t="str">
        <f>Efficiencies!D203</f>
        <v>0</v>
      </c>
      <c r="E203" s="51" t="str">
        <f>Efficiencies!E203</f>
        <v>0</v>
      </c>
      <c r="F203" s="52" t="str">
        <f>Efficiencies!F203</f>
        <v>0</v>
      </c>
    </row>
    <row r="204" spans="1:6" hidden="1">
      <c r="A204" s="59">
        <f>Efficiencies!A204</f>
        <v>46018</v>
      </c>
      <c r="B204" s="61" t="str">
        <f>Efficiencies!B204</f>
        <v>0</v>
      </c>
      <c r="C204" s="62" t="str">
        <f>Efficiencies!C204</f>
        <v>0</v>
      </c>
      <c r="D204" s="51" t="str">
        <f>Efficiencies!D204</f>
        <v>0</v>
      </c>
      <c r="E204" s="51" t="str">
        <f>Efficiencies!E204</f>
        <v>0</v>
      </c>
      <c r="F204" s="52" t="str">
        <f>Efficiencies!F204</f>
        <v>0</v>
      </c>
    </row>
    <row r="205" spans="1:6" hidden="1">
      <c r="A205" s="59">
        <f>Efficiencies!A205</f>
        <v>46019</v>
      </c>
      <c r="B205" s="61" t="str">
        <f>Efficiencies!B205</f>
        <v>0</v>
      </c>
      <c r="C205" s="62" t="str">
        <f>Efficiencies!C205</f>
        <v>0</v>
      </c>
      <c r="D205" s="51" t="str">
        <f>Efficiencies!D205</f>
        <v>0</v>
      </c>
      <c r="E205" s="51" t="str">
        <f>Efficiencies!E205</f>
        <v>0</v>
      </c>
      <c r="F205" s="52" t="str">
        <f>Efficiencies!F205</f>
        <v>0</v>
      </c>
    </row>
    <row r="206" spans="1:6" hidden="1">
      <c r="A206" s="59">
        <f>Efficiencies!A206</f>
        <v>46020</v>
      </c>
      <c r="B206" s="61" t="str">
        <f>Efficiencies!B206</f>
        <v>0</v>
      </c>
      <c r="C206" s="62" t="str">
        <f>Efficiencies!C206</f>
        <v>0</v>
      </c>
      <c r="D206" s="51" t="str">
        <f>Efficiencies!D206</f>
        <v>0</v>
      </c>
      <c r="E206" s="51" t="str">
        <f>Efficiencies!E206</f>
        <v>0</v>
      </c>
      <c r="F206" s="52" t="str">
        <f>Efficiencies!F206</f>
        <v>0</v>
      </c>
    </row>
    <row r="207" spans="1:6" hidden="1">
      <c r="A207" s="59">
        <f>Efficiencies!A207</f>
        <v>46021</v>
      </c>
      <c r="B207" s="61" t="str">
        <f>Efficiencies!B207</f>
        <v>0</v>
      </c>
      <c r="C207" s="62" t="str">
        <f>Efficiencies!C207</f>
        <v>0</v>
      </c>
      <c r="D207" s="51" t="str">
        <f>Efficiencies!D207</f>
        <v>0</v>
      </c>
      <c r="E207" s="51" t="str">
        <f>Efficiencies!E207</f>
        <v>0</v>
      </c>
      <c r="F207" s="52" t="str">
        <f>Efficiencies!F207</f>
        <v>0</v>
      </c>
    </row>
    <row r="208" spans="1:6" ht="16.5" hidden="1" thickBot="1">
      <c r="A208" s="60">
        <f>Efficiencies!A208</f>
        <v>46022</v>
      </c>
      <c r="B208" s="67" t="str">
        <f>Efficiencies!B208</f>
        <v>0</v>
      </c>
      <c r="C208" s="68" t="str">
        <f>Efficiencies!C208</f>
        <v>0</v>
      </c>
      <c r="D208" s="54" t="str">
        <f>Efficiencies!D208</f>
        <v>0</v>
      </c>
      <c r="E208" s="54" t="str">
        <f>Efficiencies!E208</f>
        <v>0</v>
      </c>
      <c r="F208" s="55" t="str">
        <f>Efficiencies!F208</f>
        <v>0</v>
      </c>
    </row>
  </sheetData>
  <sheetProtection algorithmName="SHA-512" hashValue="QkmSSi6SghWyc8wDzrDFsWshVcN89lpi6i1kN2Uv1G0QuTeNtkuSRhxMXR9keK7kApSN9rSwBOOpmLta74oyZw==" saltValue="S/HOOHqvyDYANjbrWxeSSw==" spinCount="100000" sheet="1" objects="1" scenarios="1" autoFilter="0"/>
  <autoFilter ref="A4:F208" xr:uid="{FFEF645B-3BAE-B64B-BB87-7CD59A404828}">
    <filterColumn colId="1">
      <filters>
        <filter val="53%"/>
        <filter val="54%"/>
        <filter val="55%"/>
        <filter val="56%"/>
        <filter val="57%"/>
        <filter val="58%"/>
      </filters>
    </filterColumn>
  </autoFilter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645B-3BAE-B64B-BB87-7CD59A404828}">
  <sheetPr codeName="Sheet3" filterMode="1"/>
  <dimension ref="A1:D208"/>
  <sheetViews>
    <sheetView workbookViewId="0">
      <pane ySplit="4" topLeftCell="A115" activePane="bottomLeft" state="frozen"/>
      <selection pane="bottomLeft" activeCell="B115" sqref="B115"/>
    </sheetView>
  </sheetViews>
  <sheetFormatPr defaultColWidth="11" defaultRowHeight="15.95"/>
  <cols>
    <col min="1" max="1" width="12.375" bestFit="1" customWidth="1"/>
    <col min="2" max="2" width="10.875" style="43"/>
  </cols>
  <sheetData>
    <row r="1" spans="1:4" ht="24.95" customHeight="1">
      <c r="A1" s="56"/>
      <c r="B1" s="306" t="s">
        <v>51</v>
      </c>
      <c r="C1" s="307"/>
      <c r="D1" s="308"/>
    </row>
    <row r="2" spans="1:4">
      <c r="A2" s="57">
        <f>Efficiencies!A2</f>
        <v>0</v>
      </c>
      <c r="B2" s="63" t="str">
        <f>Efficiencies!G2</f>
        <v>STRIPPER</v>
      </c>
      <c r="C2" s="45">
        <f>Efficiencies!H2</f>
        <v>0</v>
      </c>
      <c r="D2" s="46">
        <f>Efficiencies!I2</f>
        <v>0</v>
      </c>
    </row>
    <row r="3" spans="1:4">
      <c r="A3" s="57" t="str">
        <f>Efficiencies!A3</f>
        <v>Design Values</v>
      </c>
      <c r="B3" s="63">
        <f>Efficiencies!G3</f>
        <v>0.78</v>
      </c>
      <c r="C3" s="45">
        <f>Efficiencies!H3</f>
        <v>2.0099999999999998</v>
      </c>
      <c r="D3" s="46">
        <f>Efficiencies!I3</f>
        <v>0.52</v>
      </c>
    </row>
    <row r="4" spans="1:4">
      <c r="A4" s="58" t="str">
        <f>Efficiencies!A4</f>
        <v>Date</v>
      </c>
      <c r="B4" s="64" t="str">
        <f>Efficiencies!G4</f>
        <v>Efficiency</v>
      </c>
      <c r="C4" s="48" t="str">
        <f>Efficiencies!H4</f>
        <v>N/C</v>
      </c>
      <c r="D4" s="49" t="str">
        <f>Efficiencies!I4</f>
        <v>H/C</v>
      </c>
    </row>
    <row r="5" spans="1:4" hidden="1">
      <c r="A5" s="59">
        <f>Efficiencies!A5</f>
        <v>45819</v>
      </c>
      <c r="B5" s="61" t="str">
        <f>Efficiencies!G5</f>
        <v>0</v>
      </c>
      <c r="C5" s="51" t="str">
        <f>Efficiencies!H5</f>
        <v>0</v>
      </c>
      <c r="D5" s="52" t="str">
        <f>Efficiencies!I5</f>
        <v>0</v>
      </c>
    </row>
    <row r="6" spans="1:4">
      <c r="A6" s="59">
        <f>Efficiencies!A6</f>
        <v>45820</v>
      </c>
      <c r="B6" s="61">
        <f>Efficiencies!G6</f>
        <v>0.72508935859030077</v>
      </c>
      <c r="C6" s="51">
        <f>Efficiencies!H6</f>
        <v>2.124816590522085</v>
      </c>
      <c r="D6" s="52">
        <f>Efficiencies!I6</f>
        <v>0.64689988227987805</v>
      </c>
    </row>
    <row r="7" spans="1:4" hidden="1">
      <c r="A7" s="59">
        <f>Efficiencies!A7</f>
        <v>45821</v>
      </c>
      <c r="B7" s="61" t="str">
        <f>Efficiencies!G7</f>
        <v>0</v>
      </c>
      <c r="C7" s="51" t="str">
        <f>Efficiencies!H7</f>
        <v>0</v>
      </c>
      <c r="D7" s="52" t="str">
        <f>Efficiencies!I7</f>
        <v>0</v>
      </c>
    </row>
    <row r="8" spans="1:4" hidden="1">
      <c r="A8" s="59">
        <f>Efficiencies!A8</f>
        <v>45822</v>
      </c>
      <c r="B8" s="61" t="str">
        <f>Efficiencies!G8</f>
        <v>0</v>
      </c>
      <c r="C8" s="51" t="str">
        <f>Efficiencies!H8</f>
        <v>0</v>
      </c>
      <c r="D8" s="52" t="str">
        <f>Efficiencies!I8</f>
        <v>0</v>
      </c>
    </row>
    <row r="9" spans="1:4" hidden="1">
      <c r="A9" s="59">
        <f>Efficiencies!A9</f>
        <v>45823</v>
      </c>
      <c r="B9" s="61" t="str">
        <f>Efficiencies!G9</f>
        <v>0</v>
      </c>
      <c r="C9" s="51" t="str">
        <f>Efficiencies!H9</f>
        <v>0</v>
      </c>
      <c r="D9" s="52" t="str">
        <f>Efficiencies!I9</f>
        <v>0</v>
      </c>
    </row>
    <row r="10" spans="1:4">
      <c r="A10" s="59">
        <f>Efficiencies!A10</f>
        <v>45824</v>
      </c>
      <c r="B10" s="61">
        <f>Efficiencies!G10</f>
        <v>0.71879041096790641</v>
      </c>
      <c r="C10" s="51">
        <f>Efficiencies!H10</f>
        <v>2.1319964134938547</v>
      </c>
      <c r="D10" s="52">
        <f>Efficiencies!I10</f>
        <v>0.731392501804492</v>
      </c>
    </row>
    <row r="11" spans="1:4" hidden="1">
      <c r="A11" s="59">
        <f>Efficiencies!A11</f>
        <v>45825</v>
      </c>
      <c r="B11" s="61" t="str">
        <f>Efficiencies!G11</f>
        <v>0</v>
      </c>
      <c r="C11" s="51" t="str">
        <f>Efficiencies!H11</f>
        <v>0</v>
      </c>
      <c r="D11" s="52" t="str">
        <f>Efficiencies!I11</f>
        <v>0</v>
      </c>
    </row>
    <row r="12" spans="1:4" hidden="1">
      <c r="A12" s="59">
        <f>Efficiencies!A12</f>
        <v>45826</v>
      </c>
      <c r="B12" s="61" t="str">
        <f>Efficiencies!G12</f>
        <v>0</v>
      </c>
      <c r="C12" s="51" t="str">
        <f>Efficiencies!H12</f>
        <v>0</v>
      </c>
      <c r="D12" s="52" t="str">
        <f>Efficiencies!I12</f>
        <v>0</v>
      </c>
    </row>
    <row r="13" spans="1:4">
      <c r="A13" s="59">
        <f>Efficiencies!A13</f>
        <v>45827</v>
      </c>
      <c r="B13" s="61">
        <f>Efficiencies!G13</f>
        <v>0.73781145914329149</v>
      </c>
      <c r="C13" s="51">
        <f>Efficiencies!H13</f>
        <v>2.111608751777418</v>
      </c>
      <c r="D13" s="52">
        <f>Efficiencies!I13</f>
        <v>0.6668987412275813</v>
      </c>
    </row>
    <row r="14" spans="1:4" hidden="1">
      <c r="A14" s="59">
        <f>Efficiencies!A14</f>
        <v>45828</v>
      </c>
      <c r="B14" s="61" t="str">
        <f>Efficiencies!G14</f>
        <v>0</v>
      </c>
      <c r="C14" s="51" t="str">
        <f>Efficiencies!H14</f>
        <v>0</v>
      </c>
      <c r="D14" s="52" t="str">
        <f>Efficiencies!I14</f>
        <v>0</v>
      </c>
    </row>
    <row r="15" spans="1:4" hidden="1">
      <c r="A15" s="59">
        <f>Efficiencies!A15</f>
        <v>45829</v>
      </c>
      <c r="B15" s="61" t="str">
        <f>Efficiencies!G15</f>
        <v>0</v>
      </c>
      <c r="C15" s="51" t="str">
        <f>Efficiencies!H15</f>
        <v>0</v>
      </c>
      <c r="D15" s="52" t="str">
        <f>Efficiencies!I15</f>
        <v>0</v>
      </c>
    </row>
    <row r="16" spans="1:4" hidden="1">
      <c r="A16" s="59">
        <f>Efficiencies!A16</f>
        <v>45830</v>
      </c>
      <c r="B16" s="61" t="str">
        <f>Efficiencies!G16</f>
        <v>0</v>
      </c>
      <c r="C16" s="51" t="str">
        <f>Efficiencies!H16</f>
        <v>0</v>
      </c>
      <c r="D16" s="52" t="str">
        <f>Efficiencies!I16</f>
        <v>0</v>
      </c>
    </row>
    <row r="17" spans="1:4">
      <c r="A17" s="59">
        <f>Efficiencies!A17</f>
        <v>45831</v>
      </c>
      <c r="B17" s="61">
        <f>Efficiencies!G17</f>
        <v>0.73437737905832878</v>
      </c>
      <c r="C17" s="51">
        <f>Efficiencies!H17</f>
        <v>2.1064411565843377</v>
      </c>
      <c r="D17" s="52">
        <f>Efficiencies!I17</f>
        <v>0.73104011719630357</v>
      </c>
    </row>
    <row r="18" spans="1:4" hidden="1">
      <c r="A18" s="59">
        <f>Efficiencies!A18</f>
        <v>45832</v>
      </c>
      <c r="B18" s="61" t="str">
        <f>Efficiencies!G18</f>
        <v>0</v>
      </c>
      <c r="C18" s="51" t="str">
        <f>Efficiencies!H18</f>
        <v>0</v>
      </c>
      <c r="D18" s="52" t="str">
        <f>Efficiencies!I18</f>
        <v>0</v>
      </c>
    </row>
    <row r="19" spans="1:4" hidden="1">
      <c r="A19" s="59">
        <f>Efficiencies!A19</f>
        <v>45833</v>
      </c>
      <c r="B19" s="61" t="str">
        <f>Efficiencies!G19</f>
        <v>0</v>
      </c>
      <c r="C19" s="51" t="str">
        <f>Efficiencies!H19</f>
        <v>0</v>
      </c>
      <c r="D19" s="52" t="str">
        <f>Efficiencies!I19</f>
        <v>0</v>
      </c>
    </row>
    <row r="20" spans="1:4">
      <c r="A20" s="59">
        <f>Efficiencies!A20</f>
        <v>45834</v>
      </c>
      <c r="B20" s="61">
        <f>Efficiencies!G20</f>
        <v>0.73176544389448139</v>
      </c>
      <c r="C20" s="51">
        <f>Efficiencies!H20</f>
        <v>2.1298233049952477</v>
      </c>
      <c r="D20" s="52">
        <f>Efficiencies!I20</f>
        <v>0.68693428336325579</v>
      </c>
    </row>
    <row r="21" spans="1:4" hidden="1">
      <c r="A21" s="59">
        <f>Efficiencies!A21</f>
        <v>45835</v>
      </c>
      <c r="B21" s="61" t="str">
        <f>Efficiencies!G21</f>
        <v>0</v>
      </c>
      <c r="C21" s="51" t="str">
        <f>Efficiencies!H21</f>
        <v>0</v>
      </c>
      <c r="D21" s="52" t="str">
        <f>Efficiencies!I21</f>
        <v>0</v>
      </c>
    </row>
    <row r="22" spans="1:4" hidden="1">
      <c r="A22" s="59">
        <f>Efficiencies!A22</f>
        <v>45836</v>
      </c>
      <c r="B22" s="61" t="str">
        <f>Efficiencies!G22</f>
        <v>0</v>
      </c>
      <c r="C22" s="51" t="str">
        <f>Efficiencies!H22</f>
        <v>0</v>
      </c>
      <c r="D22" s="52" t="str">
        <f>Efficiencies!I22</f>
        <v>0</v>
      </c>
    </row>
    <row r="23" spans="1:4" hidden="1">
      <c r="A23" s="59">
        <f>Efficiencies!A23</f>
        <v>45837</v>
      </c>
      <c r="B23" s="61" t="str">
        <f>Efficiencies!G23</f>
        <v>0</v>
      </c>
      <c r="C23" s="51" t="str">
        <f>Efficiencies!H23</f>
        <v>0</v>
      </c>
      <c r="D23" s="52" t="str">
        <f>Efficiencies!I23</f>
        <v>0</v>
      </c>
    </row>
    <row r="24" spans="1:4">
      <c r="A24" s="59">
        <f>Efficiencies!A24</f>
        <v>45838</v>
      </c>
      <c r="B24" s="61">
        <f>Efficiencies!G24</f>
        <v>0.7354099755992326</v>
      </c>
      <c r="C24" s="51">
        <f>Efficiencies!H24</f>
        <v>2.1121513515131909</v>
      </c>
      <c r="D24" s="52">
        <f>Efficiencies!I24</f>
        <v>0.74485241791438672</v>
      </c>
    </row>
    <row r="25" spans="1:4" hidden="1">
      <c r="A25" s="59">
        <f>Efficiencies!A25</f>
        <v>45839</v>
      </c>
      <c r="B25" s="61" t="str">
        <f>Efficiencies!G25</f>
        <v>0</v>
      </c>
      <c r="C25" s="51" t="str">
        <f>Efficiencies!H25</f>
        <v>0</v>
      </c>
      <c r="D25" s="52" t="str">
        <f>Efficiencies!I25</f>
        <v>0</v>
      </c>
    </row>
    <row r="26" spans="1:4" hidden="1">
      <c r="A26" s="59">
        <f>Efficiencies!A26</f>
        <v>45840</v>
      </c>
      <c r="B26" s="61" t="str">
        <f>Efficiencies!G26</f>
        <v>0</v>
      </c>
      <c r="C26" s="51" t="str">
        <f>Efficiencies!H26</f>
        <v>0</v>
      </c>
      <c r="D26" s="52" t="str">
        <f>Efficiencies!I26</f>
        <v>0</v>
      </c>
    </row>
    <row r="27" spans="1:4">
      <c r="A27" s="59">
        <f>Efficiencies!A27</f>
        <v>45841</v>
      </c>
      <c r="B27" s="61">
        <f>Efficiencies!G27</f>
        <v>0.74098570734681646</v>
      </c>
      <c r="C27" s="51">
        <f>Efficiencies!H27</f>
        <v>2.1039278808778676</v>
      </c>
      <c r="D27" s="52">
        <f>Efficiencies!I27</f>
        <v>0.74566531119394608</v>
      </c>
    </row>
    <row r="28" spans="1:4" hidden="1">
      <c r="A28" s="59">
        <f>Efficiencies!A28</f>
        <v>45842</v>
      </c>
      <c r="B28" s="61" t="str">
        <f>Efficiencies!G28</f>
        <v>0</v>
      </c>
      <c r="C28" s="51" t="str">
        <f>Efficiencies!H28</f>
        <v>0</v>
      </c>
      <c r="D28" s="52" t="str">
        <f>Efficiencies!I28</f>
        <v>0</v>
      </c>
    </row>
    <row r="29" spans="1:4" hidden="1">
      <c r="A29" s="59">
        <f>Efficiencies!A29</f>
        <v>45843</v>
      </c>
      <c r="B29" s="61" t="str">
        <f>Efficiencies!G29</f>
        <v>0</v>
      </c>
      <c r="C29" s="51" t="str">
        <f>Efficiencies!H29</f>
        <v>0</v>
      </c>
      <c r="D29" s="52" t="str">
        <f>Efficiencies!I29</f>
        <v>0</v>
      </c>
    </row>
    <row r="30" spans="1:4" hidden="1">
      <c r="A30" s="59">
        <f>Efficiencies!A30</f>
        <v>45844</v>
      </c>
      <c r="B30" s="61" t="str">
        <f>Efficiencies!G30</f>
        <v>0</v>
      </c>
      <c r="C30" s="51" t="str">
        <f>Efficiencies!H30</f>
        <v>0</v>
      </c>
      <c r="D30" s="52" t="str">
        <f>Efficiencies!I30</f>
        <v>0</v>
      </c>
    </row>
    <row r="31" spans="1:4" hidden="1">
      <c r="A31" s="59">
        <f>Efficiencies!A31</f>
        <v>45845</v>
      </c>
      <c r="B31" s="61" t="str">
        <f>Efficiencies!G31</f>
        <v>0</v>
      </c>
      <c r="C31" s="51" t="str">
        <f>Efficiencies!H31</f>
        <v>0</v>
      </c>
      <c r="D31" s="52" t="str">
        <f>Efficiencies!I31</f>
        <v>0</v>
      </c>
    </row>
    <row r="32" spans="1:4">
      <c r="A32" s="59">
        <f>Efficiencies!A32</f>
        <v>45846</v>
      </c>
      <c r="B32" s="61">
        <f>Efficiencies!G32</f>
        <v>0.72635040281088858</v>
      </c>
      <c r="C32" s="51">
        <f>Efficiencies!H32</f>
        <v>2.1195813907350463</v>
      </c>
      <c r="D32" s="52">
        <f>Efficiencies!I32</f>
        <v>0.70643620011242314</v>
      </c>
    </row>
    <row r="33" spans="1:4">
      <c r="A33" s="59">
        <f>Efficiencies!A33</f>
        <v>45847</v>
      </c>
      <c r="B33" s="61">
        <f>Efficiencies!G33</f>
        <v>0.71747452469319106</v>
      </c>
      <c r="C33" s="51">
        <f>Efficiencies!H33</f>
        <v>2.1353985972735319</v>
      </c>
      <c r="D33" s="52">
        <f>Efficiencies!I33</f>
        <v>0.73222193894412779</v>
      </c>
    </row>
    <row r="34" spans="1:4" hidden="1">
      <c r="A34" s="59">
        <f>Efficiencies!A34</f>
        <v>45848</v>
      </c>
      <c r="B34" s="61" t="str">
        <f>Efficiencies!G34</f>
        <v>0</v>
      </c>
      <c r="C34" s="51" t="str">
        <f>Efficiencies!H34</f>
        <v>0</v>
      </c>
      <c r="D34" s="52" t="str">
        <f>Efficiencies!I34</f>
        <v>0</v>
      </c>
    </row>
    <row r="35" spans="1:4" hidden="1">
      <c r="A35" s="59">
        <f>Efficiencies!A35</f>
        <v>45849</v>
      </c>
      <c r="B35" s="61" t="str">
        <f>Efficiencies!G35</f>
        <v>0</v>
      </c>
      <c r="C35" s="51" t="str">
        <f>Efficiencies!H35</f>
        <v>0</v>
      </c>
      <c r="D35" s="52" t="str">
        <f>Efficiencies!I35</f>
        <v>0</v>
      </c>
    </row>
    <row r="36" spans="1:4" hidden="1">
      <c r="A36" s="59">
        <f>Efficiencies!A36</f>
        <v>45850</v>
      </c>
      <c r="B36" s="61" t="str">
        <f>Efficiencies!G36</f>
        <v>0</v>
      </c>
      <c r="C36" s="51" t="str">
        <f>Efficiencies!H36</f>
        <v>0</v>
      </c>
      <c r="D36" s="52" t="str">
        <f>Efficiencies!I36</f>
        <v>0</v>
      </c>
    </row>
    <row r="37" spans="1:4" hidden="1">
      <c r="A37" s="59">
        <f>Efficiencies!A37</f>
        <v>45851</v>
      </c>
      <c r="B37" s="61" t="str">
        <f>Efficiencies!G37</f>
        <v>0</v>
      </c>
      <c r="C37" s="51" t="str">
        <f>Efficiencies!H37</f>
        <v>0</v>
      </c>
      <c r="D37" s="52" t="str">
        <f>Efficiencies!I37</f>
        <v>0</v>
      </c>
    </row>
    <row r="38" spans="1:4" hidden="1">
      <c r="A38" s="59">
        <f>Efficiencies!A38</f>
        <v>45852</v>
      </c>
      <c r="B38" s="61" t="str">
        <f>Efficiencies!G38</f>
        <v>0</v>
      </c>
      <c r="C38" s="51" t="str">
        <f>Efficiencies!H38</f>
        <v>0</v>
      </c>
      <c r="D38" s="52" t="str">
        <f>Efficiencies!I38</f>
        <v>0</v>
      </c>
    </row>
    <row r="39" spans="1:4" hidden="1">
      <c r="A39" s="59">
        <f>Efficiencies!A39</f>
        <v>45853</v>
      </c>
      <c r="B39" s="61" t="str">
        <f>Efficiencies!G39</f>
        <v>0</v>
      </c>
      <c r="C39" s="51" t="str">
        <f>Efficiencies!H39</f>
        <v>0</v>
      </c>
      <c r="D39" s="52" t="str">
        <f>Efficiencies!I39</f>
        <v>0</v>
      </c>
    </row>
    <row r="40" spans="1:4" hidden="1">
      <c r="A40" s="59">
        <f>Efficiencies!A40</f>
        <v>45854</v>
      </c>
      <c r="B40" s="61" t="str">
        <f>Efficiencies!G40</f>
        <v>0</v>
      </c>
      <c r="C40" s="51" t="str">
        <f>Efficiencies!H40</f>
        <v>0</v>
      </c>
      <c r="D40" s="52" t="str">
        <f>Efficiencies!I40</f>
        <v>0</v>
      </c>
    </row>
    <row r="41" spans="1:4">
      <c r="A41" s="59">
        <f>Efficiencies!A41</f>
        <v>45855</v>
      </c>
      <c r="B41" s="61">
        <f>Efficiencies!G41</f>
        <v>0.73360903941924926</v>
      </c>
      <c r="C41" s="51">
        <f>Efficiencies!H41</f>
        <v>2.1056513562827304</v>
      </c>
      <c r="D41" s="52">
        <f>Efficiencies!I41</f>
        <v>0.69465965559999632</v>
      </c>
    </row>
    <row r="42" spans="1:4" hidden="1">
      <c r="A42" s="59">
        <f>Efficiencies!A42</f>
        <v>45856</v>
      </c>
      <c r="B42" s="61" t="str">
        <f>Efficiencies!G42</f>
        <v>0</v>
      </c>
      <c r="C42" s="51" t="str">
        <f>Efficiencies!H42</f>
        <v>0</v>
      </c>
      <c r="D42" s="52" t="str">
        <f>Efficiencies!I42</f>
        <v>0</v>
      </c>
    </row>
    <row r="43" spans="1:4" hidden="1">
      <c r="A43" s="59">
        <f>Efficiencies!A43</f>
        <v>45857</v>
      </c>
      <c r="B43" s="61" t="str">
        <f>Efficiencies!G43</f>
        <v>0</v>
      </c>
      <c r="C43" s="51" t="str">
        <f>Efficiencies!H43</f>
        <v>0</v>
      </c>
      <c r="D43" s="52" t="str">
        <f>Efficiencies!I43</f>
        <v>0</v>
      </c>
    </row>
    <row r="44" spans="1:4" hidden="1">
      <c r="A44" s="59">
        <f>Efficiencies!A44</f>
        <v>45858</v>
      </c>
      <c r="B44" s="61" t="str">
        <f>Efficiencies!G44</f>
        <v>0</v>
      </c>
      <c r="C44" s="51" t="str">
        <f>Efficiencies!H44</f>
        <v>0</v>
      </c>
      <c r="D44" s="52" t="str">
        <f>Efficiencies!I44</f>
        <v>0</v>
      </c>
    </row>
    <row r="45" spans="1:4">
      <c r="A45" s="59">
        <f>Efficiencies!A45</f>
        <v>45859</v>
      </c>
      <c r="B45" s="61">
        <f>Efficiencies!G45</f>
        <v>0.72573628477728869</v>
      </c>
      <c r="C45" s="51">
        <f>Efficiencies!H45</f>
        <v>2.119926663373171</v>
      </c>
      <c r="D45" s="52">
        <f>Efficiencies!I45</f>
        <v>0.69433422598600714</v>
      </c>
    </row>
    <row r="46" spans="1:4" hidden="1">
      <c r="A46" s="59">
        <f>Efficiencies!A46</f>
        <v>45860</v>
      </c>
      <c r="B46" s="61" t="str">
        <f>Efficiencies!G46</f>
        <v>0</v>
      </c>
      <c r="C46" s="51" t="str">
        <f>Efficiencies!H46</f>
        <v>0</v>
      </c>
      <c r="D46" s="52" t="str">
        <f>Efficiencies!I46</f>
        <v>0</v>
      </c>
    </row>
    <row r="47" spans="1:4" hidden="1">
      <c r="A47" s="59">
        <f>Efficiencies!A47</f>
        <v>45861</v>
      </c>
      <c r="B47" s="61" t="str">
        <f>Efficiencies!G47</f>
        <v>0</v>
      </c>
      <c r="C47" s="51" t="str">
        <f>Efficiencies!H47</f>
        <v>0</v>
      </c>
      <c r="D47" s="52" t="str">
        <f>Efficiencies!I47</f>
        <v>0</v>
      </c>
    </row>
    <row r="48" spans="1:4" hidden="1">
      <c r="A48" s="59">
        <f>Efficiencies!A48</f>
        <v>45862</v>
      </c>
      <c r="B48" s="61" t="str">
        <f>Efficiencies!G48</f>
        <v>0</v>
      </c>
      <c r="C48" s="51" t="str">
        <f>Efficiencies!H48</f>
        <v>0</v>
      </c>
      <c r="D48" s="52" t="str">
        <f>Efficiencies!I48</f>
        <v>0</v>
      </c>
    </row>
    <row r="49" spans="1:4" hidden="1">
      <c r="A49" s="59">
        <f>Efficiencies!A49</f>
        <v>45863</v>
      </c>
      <c r="B49" s="61" t="str">
        <f>Efficiencies!G49</f>
        <v>0</v>
      </c>
      <c r="C49" s="51" t="str">
        <f>Efficiencies!H49</f>
        <v>0</v>
      </c>
      <c r="D49" s="52" t="str">
        <f>Efficiencies!I49</f>
        <v>0</v>
      </c>
    </row>
    <row r="50" spans="1:4" hidden="1">
      <c r="A50" s="59">
        <f>Efficiencies!A50</f>
        <v>45864</v>
      </c>
      <c r="B50" s="61" t="str">
        <f>Efficiencies!G50</f>
        <v>0</v>
      </c>
      <c r="C50" s="51" t="str">
        <f>Efficiencies!H50</f>
        <v>0</v>
      </c>
      <c r="D50" s="52" t="str">
        <f>Efficiencies!I50</f>
        <v>0</v>
      </c>
    </row>
    <row r="51" spans="1:4" hidden="1">
      <c r="A51" s="59">
        <f>Efficiencies!A51</f>
        <v>45865</v>
      </c>
      <c r="B51" s="61" t="str">
        <f>Efficiencies!G51</f>
        <v>0</v>
      </c>
      <c r="C51" s="51" t="str">
        <f>Efficiencies!H51</f>
        <v>0</v>
      </c>
      <c r="D51" s="52" t="str">
        <f>Efficiencies!I51</f>
        <v>0</v>
      </c>
    </row>
    <row r="52" spans="1:4">
      <c r="A52" s="59">
        <f>Efficiencies!A52</f>
        <v>45866</v>
      </c>
      <c r="B52" s="61">
        <f>Efficiencies!G52</f>
        <v>0.71782491769766033</v>
      </c>
      <c r="C52" s="51">
        <f>Efficiencies!H52</f>
        <v>2.1316060284158809</v>
      </c>
      <c r="D52" s="52">
        <f>Efficiencies!I52</f>
        <v>0.71543453724604988</v>
      </c>
    </row>
    <row r="53" spans="1:4">
      <c r="A53" s="59">
        <f>Efficiencies!A53</f>
        <v>45867</v>
      </c>
      <c r="B53" s="61">
        <f>Efficiencies!G53</f>
        <v>0.75256350725057752</v>
      </c>
      <c r="C53" s="51">
        <f>Efficiencies!H53</f>
        <v>2.117347327493317</v>
      </c>
      <c r="D53" s="52">
        <f>Efficiencies!I53</f>
        <v>0.77462436603614238</v>
      </c>
    </row>
    <row r="54" spans="1:4">
      <c r="A54" s="59">
        <f>Efficiencies!A54</f>
        <v>45868</v>
      </c>
      <c r="B54" s="61">
        <f>Efficiencies!G54</f>
        <v>0.74147476642516463</v>
      </c>
      <c r="C54" s="51">
        <f>Efficiencies!H54</f>
        <v>2.1002434720048448</v>
      </c>
      <c r="D54" s="52">
        <f>Efficiencies!I54</f>
        <v>0.71479865913011731</v>
      </c>
    </row>
    <row r="55" spans="1:4" hidden="1">
      <c r="A55" s="59">
        <f>Efficiencies!A55</f>
        <v>45869</v>
      </c>
      <c r="B55" s="61" t="str">
        <f>Efficiencies!G55</f>
        <v>0</v>
      </c>
      <c r="C55" s="51" t="str">
        <f>Efficiencies!H55</f>
        <v>0</v>
      </c>
      <c r="D55" s="52" t="str">
        <f>Efficiencies!I55</f>
        <v>0</v>
      </c>
    </row>
    <row r="56" spans="1:4" hidden="1">
      <c r="A56" s="59">
        <f>Efficiencies!A56</f>
        <v>45870</v>
      </c>
      <c r="B56" s="61" t="str">
        <f>Efficiencies!G56</f>
        <v>0</v>
      </c>
      <c r="C56" s="51" t="str">
        <f>Efficiencies!H56</f>
        <v>0</v>
      </c>
      <c r="D56" s="52" t="str">
        <f>Efficiencies!I56</f>
        <v>0</v>
      </c>
    </row>
    <row r="57" spans="1:4" hidden="1">
      <c r="A57" s="59">
        <f>Efficiencies!A57</f>
        <v>45871</v>
      </c>
      <c r="B57" s="61" t="str">
        <f>Efficiencies!G57</f>
        <v>0</v>
      </c>
      <c r="C57" s="51" t="str">
        <f>Efficiencies!H57</f>
        <v>0</v>
      </c>
      <c r="D57" s="52" t="str">
        <f>Efficiencies!I57</f>
        <v>0</v>
      </c>
    </row>
    <row r="58" spans="1:4" hidden="1">
      <c r="A58" s="59">
        <f>Efficiencies!A58</f>
        <v>45872</v>
      </c>
      <c r="B58" s="61" t="str">
        <f>Efficiencies!G58</f>
        <v>0</v>
      </c>
      <c r="C58" s="51" t="str">
        <f>Efficiencies!H58</f>
        <v>0</v>
      </c>
      <c r="D58" s="52" t="str">
        <f>Efficiencies!I58</f>
        <v>0</v>
      </c>
    </row>
    <row r="59" spans="1:4" hidden="1">
      <c r="A59" s="59">
        <f>Efficiencies!A59</f>
        <v>45873</v>
      </c>
      <c r="B59" s="61" t="str">
        <f>Efficiencies!G59</f>
        <v>0</v>
      </c>
      <c r="C59" s="51" t="str">
        <f>Efficiencies!H59</f>
        <v>0</v>
      </c>
      <c r="D59" s="52" t="str">
        <f>Efficiencies!I59</f>
        <v>0</v>
      </c>
    </row>
    <row r="60" spans="1:4" hidden="1">
      <c r="A60" s="59">
        <f>Efficiencies!A60</f>
        <v>45874</v>
      </c>
      <c r="B60" s="61" t="str">
        <f>Efficiencies!G60</f>
        <v>0</v>
      </c>
      <c r="C60" s="51" t="str">
        <f>Efficiencies!H60</f>
        <v>0</v>
      </c>
      <c r="D60" s="52" t="str">
        <f>Efficiencies!I60</f>
        <v>0</v>
      </c>
    </row>
    <row r="61" spans="1:4" hidden="1">
      <c r="A61" s="59">
        <f>Efficiencies!A61</f>
        <v>45875</v>
      </c>
      <c r="B61" s="61" t="str">
        <f>Efficiencies!G61</f>
        <v>0</v>
      </c>
      <c r="C61" s="51" t="str">
        <f>Efficiencies!H61</f>
        <v>0</v>
      </c>
      <c r="D61" s="52" t="str">
        <f>Efficiencies!I61</f>
        <v>0</v>
      </c>
    </row>
    <row r="62" spans="1:4" hidden="1">
      <c r="A62" s="59">
        <f>Efficiencies!A62</f>
        <v>45876</v>
      </c>
      <c r="B62" s="61" t="str">
        <f>Efficiencies!G62</f>
        <v>0</v>
      </c>
      <c r="C62" s="51" t="str">
        <f>Efficiencies!H62</f>
        <v>0</v>
      </c>
      <c r="D62" s="52" t="str">
        <f>Efficiencies!I62</f>
        <v>0</v>
      </c>
    </row>
    <row r="63" spans="1:4" hidden="1">
      <c r="A63" s="59">
        <f>Efficiencies!A63</f>
        <v>45877</v>
      </c>
      <c r="B63" s="61" t="str">
        <f>Efficiencies!G63</f>
        <v>0</v>
      </c>
      <c r="C63" s="51" t="str">
        <f>Efficiencies!H63</f>
        <v>0</v>
      </c>
      <c r="D63" s="52" t="str">
        <f>Efficiencies!I63</f>
        <v>0</v>
      </c>
    </row>
    <row r="64" spans="1:4" hidden="1">
      <c r="A64" s="59">
        <f>Efficiencies!A64</f>
        <v>45878</v>
      </c>
      <c r="B64" s="61" t="str">
        <f>Efficiencies!G64</f>
        <v>0</v>
      </c>
      <c r="C64" s="51" t="str">
        <f>Efficiencies!H64</f>
        <v>0</v>
      </c>
      <c r="D64" s="52" t="str">
        <f>Efficiencies!I64</f>
        <v>0</v>
      </c>
    </row>
    <row r="65" spans="1:4" hidden="1">
      <c r="A65" s="59">
        <f>Efficiencies!A65</f>
        <v>45879</v>
      </c>
      <c r="B65" s="61" t="str">
        <f>Efficiencies!G65</f>
        <v>0</v>
      </c>
      <c r="C65" s="51" t="str">
        <f>Efficiencies!H65</f>
        <v>0</v>
      </c>
      <c r="D65" s="52" t="str">
        <f>Efficiencies!I65</f>
        <v>0</v>
      </c>
    </row>
    <row r="66" spans="1:4">
      <c r="A66" s="59">
        <f>Efficiencies!A66</f>
        <v>45880</v>
      </c>
      <c r="B66" s="61">
        <f>Efficiencies!G66</f>
        <v>0.74053986854072362</v>
      </c>
      <c r="C66" s="51">
        <f>Efficiencies!H66</f>
        <v>2.0892124642394725</v>
      </c>
      <c r="D66" s="52">
        <f>Efficiencies!I66</f>
        <v>0.64560836624411977</v>
      </c>
    </row>
    <row r="67" spans="1:4" hidden="1">
      <c r="A67" s="59">
        <f>Efficiencies!A67</f>
        <v>45881</v>
      </c>
      <c r="B67" s="61" t="str">
        <f>Efficiencies!G67</f>
        <v>0</v>
      </c>
      <c r="C67" s="51" t="str">
        <f>Efficiencies!H67</f>
        <v>0</v>
      </c>
      <c r="D67" s="52" t="str">
        <f>Efficiencies!I67</f>
        <v>0</v>
      </c>
    </row>
    <row r="68" spans="1:4" hidden="1">
      <c r="A68" s="59">
        <f>Efficiencies!A68</f>
        <v>45882</v>
      </c>
      <c r="B68" s="61" t="str">
        <f>Efficiencies!G68</f>
        <v>0</v>
      </c>
      <c r="C68" s="51" t="str">
        <f>Efficiencies!H68</f>
        <v>0</v>
      </c>
      <c r="D68" s="52" t="str">
        <f>Efficiencies!I68</f>
        <v>0</v>
      </c>
    </row>
    <row r="69" spans="1:4" hidden="1">
      <c r="A69" s="59">
        <f>Efficiencies!A69</f>
        <v>45883</v>
      </c>
      <c r="B69" s="61" t="str">
        <f>Efficiencies!G69</f>
        <v>0</v>
      </c>
      <c r="C69" s="51" t="str">
        <f>Efficiencies!H69</f>
        <v>0</v>
      </c>
      <c r="D69" s="52" t="str">
        <f>Efficiencies!I69</f>
        <v>0</v>
      </c>
    </row>
    <row r="70" spans="1:4" hidden="1">
      <c r="A70" s="59">
        <f>Efficiencies!A70</f>
        <v>45884</v>
      </c>
      <c r="B70" s="61" t="str">
        <f>Efficiencies!G70</f>
        <v>0</v>
      </c>
      <c r="C70" s="51" t="str">
        <f>Efficiencies!H70</f>
        <v>0</v>
      </c>
      <c r="D70" s="52" t="str">
        <f>Efficiencies!I70</f>
        <v>0</v>
      </c>
    </row>
    <row r="71" spans="1:4" hidden="1">
      <c r="A71" s="59">
        <f>Efficiencies!A71</f>
        <v>45885</v>
      </c>
      <c r="B71" s="61" t="str">
        <f>Efficiencies!G71</f>
        <v>0</v>
      </c>
      <c r="C71" s="51" t="str">
        <f>Efficiencies!H71</f>
        <v>0</v>
      </c>
      <c r="D71" s="52" t="str">
        <f>Efficiencies!I71</f>
        <v>0</v>
      </c>
    </row>
    <row r="72" spans="1:4" hidden="1">
      <c r="A72" s="59">
        <f>Efficiencies!A72</f>
        <v>45886</v>
      </c>
      <c r="B72" s="61" t="str">
        <f>Efficiencies!G72</f>
        <v>0</v>
      </c>
      <c r="C72" s="51" t="str">
        <f>Efficiencies!H72</f>
        <v>0</v>
      </c>
      <c r="D72" s="52" t="str">
        <f>Efficiencies!I72</f>
        <v>0</v>
      </c>
    </row>
    <row r="73" spans="1:4">
      <c r="A73" s="59">
        <f>Efficiencies!A73</f>
        <v>45887</v>
      </c>
      <c r="B73" s="61">
        <f>Efficiencies!G73</f>
        <v>0.73798843510073076</v>
      </c>
      <c r="C73" s="51">
        <f>Efficiencies!H73</f>
        <v>2.0923518578702196</v>
      </c>
      <c r="D73" s="52">
        <f>Efficiencies!I73</f>
        <v>0.69505831798649509</v>
      </c>
    </row>
    <row r="74" spans="1:4" hidden="1">
      <c r="A74" s="59">
        <f>Efficiencies!A74</f>
        <v>45888</v>
      </c>
      <c r="B74" s="61" t="str">
        <f>Efficiencies!G74</f>
        <v>0</v>
      </c>
      <c r="C74" s="51" t="str">
        <f>Efficiencies!H74</f>
        <v>0</v>
      </c>
      <c r="D74" s="52" t="str">
        <f>Efficiencies!I74</f>
        <v>0</v>
      </c>
    </row>
    <row r="75" spans="1:4" hidden="1">
      <c r="A75" s="59">
        <f>Efficiencies!A75</f>
        <v>45889</v>
      </c>
      <c r="B75" s="61" t="str">
        <f>Efficiencies!G75</f>
        <v>0</v>
      </c>
      <c r="C75" s="51" t="str">
        <f>Efficiencies!H75</f>
        <v>0</v>
      </c>
      <c r="D75" s="52" t="str">
        <f>Efficiencies!I75</f>
        <v>0</v>
      </c>
    </row>
    <row r="76" spans="1:4">
      <c r="A76" s="59">
        <f>Efficiencies!A76</f>
        <v>45890</v>
      </c>
      <c r="B76" s="61">
        <f>Efficiencies!G76</f>
        <v>0.73913632845580124</v>
      </c>
      <c r="C76" s="51">
        <f>Efficiencies!H76</f>
        <v>2.1002916578328916</v>
      </c>
      <c r="D76" s="52">
        <f>Efficiencies!I76</f>
        <v>0.67438991015061522</v>
      </c>
    </row>
    <row r="77" spans="1:4" hidden="1">
      <c r="A77" s="59">
        <f>Efficiencies!A77</f>
        <v>45891</v>
      </c>
      <c r="B77" s="61" t="str">
        <f>Efficiencies!G77</f>
        <v>0</v>
      </c>
      <c r="C77" s="51" t="str">
        <f>Efficiencies!H77</f>
        <v>0</v>
      </c>
      <c r="D77" s="52" t="str">
        <f>Efficiencies!I77</f>
        <v>0</v>
      </c>
    </row>
    <row r="78" spans="1:4" hidden="1">
      <c r="A78" s="59">
        <f>Efficiencies!A78</f>
        <v>45892</v>
      </c>
      <c r="B78" s="61" t="str">
        <f>Efficiencies!G78</f>
        <v>0</v>
      </c>
      <c r="C78" s="51" t="str">
        <f>Efficiencies!H78</f>
        <v>0</v>
      </c>
      <c r="D78" s="52" t="str">
        <f>Efficiencies!I78</f>
        <v>0</v>
      </c>
    </row>
    <row r="79" spans="1:4" hidden="1">
      <c r="A79" s="59">
        <f>Efficiencies!A79</f>
        <v>45893</v>
      </c>
      <c r="B79" s="61" t="str">
        <f>Efficiencies!G79</f>
        <v>0</v>
      </c>
      <c r="C79" s="51" t="str">
        <f>Efficiencies!H79</f>
        <v>0</v>
      </c>
      <c r="D79" s="52" t="str">
        <f>Efficiencies!I79</f>
        <v>0</v>
      </c>
    </row>
    <row r="80" spans="1:4">
      <c r="A80" s="59">
        <f>Efficiencies!A80</f>
        <v>45894</v>
      </c>
      <c r="B80" s="61">
        <f>Efficiencies!G80</f>
        <v>0.74112241328077311</v>
      </c>
      <c r="C80" s="51">
        <f>Efficiencies!H80</f>
        <v>2.1009488833208199</v>
      </c>
      <c r="D80" s="52">
        <f>Efficiencies!I80</f>
        <v>0.6971654108360239</v>
      </c>
    </row>
    <row r="81" spans="1:4" hidden="1">
      <c r="A81" s="59">
        <f>Efficiencies!A81</f>
        <v>45895</v>
      </c>
      <c r="B81" s="61" t="str">
        <f>Efficiencies!G81</f>
        <v>0</v>
      </c>
      <c r="C81" s="51" t="str">
        <f>Efficiencies!H81</f>
        <v>0</v>
      </c>
      <c r="D81" s="52" t="str">
        <f>Efficiencies!I81</f>
        <v>0</v>
      </c>
    </row>
    <row r="82" spans="1:4" hidden="1">
      <c r="A82" s="59">
        <f>Efficiencies!A82</f>
        <v>45896</v>
      </c>
      <c r="B82" s="61" t="str">
        <f>Efficiencies!G82</f>
        <v>0</v>
      </c>
      <c r="C82" s="51" t="str">
        <f>Efficiencies!H82</f>
        <v>0</v>
      </c>
      <c r="D82" s="52" t="str">
        <f>Efficiencies!I82</f>
        <v>0</v>
      </c>
    </row>
    <row r="83" spans="1:4">
      <c r="A83" s="59">
        <f>Efficiencies!A83</f>
        <v>45897</v>
      </c>
      <c r="B83" s="61">
        <f>Efficiencies!G83</f>
        <v>0.73561850434497134</v>
      </c>
      <c r="C83" s="51">
        <f>Efficiencies!H83</f>
        <v>2.1050101966064112</v>
      </c>
      <c r="D83" s="52">
        <f>Efficiencies!I83</f>
        <v>0.70979187703354663</v>
      </c>
    </row>
    <row r="84" spans="1:4" hidden="1">
      <c r="A84" s="59">
        <f>Efficiencies!A84</f>
        <v>45898</v>
      </c>
      <c r="B84" s="61" t="str">
        <f>Efficiencies!G84</f>
        <v>0</v>
      </c>
      <c r="C84" s="51" t="str">
        <f>Efficiencies!H84</f>
        <v>0</v>
      </c>
      <c r="D84" s="52" t="str">
        <f>Efficiencies!I84</f>
        <v>0</v>
      </c>
    </row>
    <row r="85" spans="1:4" hidden="1">
      <c r="A85" s="59">
        <f>Efficiencies!A85</f>
        <v>45899</v>
      </c>
      <c r="B85" s="61" t="str">
        <f>Efficiencies!G85</f>
        <v>0</v>
      </c>
      <c r="C85" s="51" t="str">
        <f>Efficiencies!H85</f>
        <v>0</v>
      </c>
      <c r="D85" s="52" t="str">
        <f>Efficiencies!I85</f>
        <v>0</v>
      </c>
    </row>
    <row r="86" spans="1:4" hidden="1">
      <c r="A86" s="59">
        <f>Efficiencies!A86</f>
        <v>45900</v>
      </c>
      <c r="B86" s="61" t="str">
        <f>Efficiencies!G86</f>
        <v>0</v>
      </c>
      <c r="C86" s="51" t="str">
        <f>Efficiencies!H86</f>
        <v>0</v>
      </c>
      <c r="D86" s="52" t="str">
        <f>Efficiencies!I86</f>
        <v>0</v>
      </c>
    </row>
    <row r="87" spans="1:4" hidden="1">
      <c r="A87" s="59">
        <f>Efficiencies!A87</f>
        <v>45901</v>
      </c>
      <c r="B87" s="61" t="str">
        <f>Efficiencies!G87</f>
        <v>0</v>
      </c>
      <c r="C87" s="51" t="str">
        <f>Efficiencies!H87</f>
        <v>0</v>
      </c>
      <c r="D87" s="52" t="str">
        <f>Efficiencies!I87</f>
        <v>0</v>
      </c>
    </row>
    <row r="88" spans="1:4">
      <c r="A88" s="59">
        <f>Efficiencies!A88</f>
        <v>45902</v>
      </c>
      <c r="B88" s="61">
        <f>Efficiencies!G88</f>
        <v>0.73711135243749837</v>
      </c>
      <c r="C88" s="51">
        <f>Efficiencies!H88</f>
        <v>2.099423176214076</v>
      </c>
      <c r="D88" s="52">
        <f>Efficiencies!I88</f>
        <v>0.69753172695253585</v>
      </c>
    </row>
    <row r="89" spans="1:4" hidden="1">
      <c r="A89" s="59">
        <f>Efficiencies!A89</f>
        <v>45903</v>
      </c>
      <c r="B89" s="61" t="str">
        <f>Efficiencies!G89</f>
        <v>0</v>
      </c>
      <c r="C89" s="51" t="str">
        <f>Efficiencies!H89</f>
        <v>0</v>
      </c>
      <c r="D89" s="52" t="str">
        <f>Efficiencies!I89</f>
        <v>0</v>
      </c>
    </row>
    <row r="90" spans="1:4">
      <c r="A90" s="59">
        <f>Efficiencies!A90</f>
        <v>45904</v>
      </c>
      <c r="B90" s="61">
        <f>Efficiencies!G90</f>
        <v>0.7393647912356015</v>
      </c>
      <c r="C90" s="51">
        <f>Efficiencies!H90</f>
        <v>2.1032255205589392</v>
      </c>
      <c r="D90" s="52">
        <f>Efficiencies!I90</f>
        <v>0.68436055541605034</v>
      </c>
    </row>
    <row r="91" spans="1:4" hidden="1">
      <c r="A91" s="59">
        <f>Efficiencies!A91</f>
        <v>45905</v>
      </c>
      <c r="B91" s="61" t="str">
        <f>Efficiencies!G91</f>
        <v>0</v>
      </c>
      <c r="C91" s="51" t="str">
        <f>Efficiencies!H91</f>
        <v>0</v>
      </c>
      <c r="D91" s="52" t="str">
        <f>Efficiencies!I91</f>
        <v>0</v>
      </c>
    </row>
    <row r="92" spans="1:4" hidden="1">
      <c r="A92" s="59">
        <f>Efficiencies!A92</f>
        <v>45906</v>
      </c>
      <c r="B92" s="61" t="str">
        <f>Efficiencies!G92</f>
        <v>0</v>
      </c>
      <c r="C92" s="51" t="str">
        <f>Efficiencies!H92</f>
        <v>0</v>
      </c>
      <c r="D92" s="52" t="str">
        <f>Efficiencies!I92</f>
        <v>0</v>
      </c>
    </row>
    <row r="93" spans="1:4" hidden="1">
      <c r="A93" s="59">
        <f>Efficiencies!A93</f>
        <v>45907</v>
      </c>
      <c r="B93" s="61" t="str">
        <f>Efficiencies!G93</f>
        <v>0</v>
      </c>
      <c r="C93" s="51" t="str">
        <f>Efficiencies!H93</f>
        <v>0</v>
      </c>
      <c r="D93" s="52" t="str">
        <f>Efficiencies!I93</f>
        <v>0</v>
      </c>
    </row>
    <row r="94" spans="1:4" hidden="1">
      <c r="A94" s="59">
        <f>Efficiencies!A94</f>
        <v>45908</v>
      </c>
      <c r="B94" s="61" t="str">
        <f>Efficiencies!G94</f>
        <v>0</v>
      </c>
      <c r="C94" s="51" t="str">
        <f>Efficiencies!H94</f>
        <v>0</v>
      </c>
      <c r="D94" s="52" t="str">
        <f>Efficiencies!I94</f>
        <v>0</v>
      </c>
    </row>
    <row r="95" spans="1:4" hidden="1">
      <c r="A95" s="59">
        <f>Efficiencies!A95</f>
        <v>45909</v>
      </c>
      <c r="B95" s="61" t="str">
        <f>Efficiencies!G95</f>
        <v>0</v>
      </c>
      <c r="C95" s="51" t="str">
        <f>Efficiencies!H95</f>
        <v>0</v>
      </c>
      <c r="D95" s="52" t="str">
        <f>Efficiencies!I95</f>
        <v>0</v>
      </c>
    </row>
    <row r="96" spans="1:4" hidden="1">
      <c r="A96" s="59">
        <f>Efficiencies!A96</f>
        <v>45910</v>
      </c>
      <c r="B96" s="61" t="str">
        <f>Efficiencies!G96</f>
        <v>0</v>
      </c>
      <c r="C96" s="51" t="str">
        <f>Efficiencies!H96</f>
        <v>0</v>
      </c>
      <c r="D96" s="52" t="str">
        <f>Efficiencies!I96</f>
        <v>0</v>
      </c>
    </row>
    <row r="97" spans="1:4">
      <c r="A97" s="59">
        <f>Efficiencies!A97</f>
        <v>45911</v>
      </c>
      <c r="B97" s="61">
        <f>Efficiencies!G97</f>
        <v>0.74680930051505323</v>
      </c>
      <c r="C97" s="51">
        <f>Efficiencies!H97</f>
        <v>2.1019272920270797</v>
      </c>
      <c r="D97" s="52">
        <f>Efficiencies!I97</f>
        <v>0.62125490736276623</v>
      </c>
    </row>
    <row r="98" spans="1:4" hidden="1">
      <c r="A98" s="59">
        <f>Efficiencies!A98</f>
        <v>45912</v>
      </c>
      <c r="B98" s="61" t="str">
        <f>Efficiencies!G98</f>
        <v>0</v>
      </c>
      <c r="C98" s="51" t="str">
        <f>Efficiencies!H98</f>
        <v>0</v>
      </c>
      <c r="D98" s="52" t="str">
        <f>Efficiencies!I98</f>
        <v>0</v>
      </c>
    </row>
    <row r="99" spans="1:4" hidden="1">
      <c r="A99" s="59">
        <f>Efficiencies!A99</f>
        <v>45913</v>
      </c>
      <c r="B99" s="61" t="str">
        <f>Efficiencies!G99</f>
        <v>0</v>
      </c>
      <c r="C99" s="51" t="str">
        <f>Efficiencies!H99</f>
        <v>0</v>
      </c>
      <c r="D99" s="52" t="str">
        <f>Efficiencies!I99</f>
        <v>0</v>
      </c>
    </row>
    <row r="100" spans="1:4" hidden="1">
      <c r="A100" s="59">
        <f>Efficiencies!A100</f>
        <v>45914</v>
      </c>
      <c r="B100" s="61" t="str">
        <f>Efficiencies!G100</f>
        <v>0</v>
      </c>
      <c r="C100" s="51" t="str">
        <f>Efficiencies!H100</f>
        <v>0</v>
      </c>
      <c r="D100" s="52" t="str">
        <f>Efficiencies!I100</f>
        <v>0</v>
      </c>
    </row>
    <row r="101" spans="1:4" hidden="1">
      <c r="A101" s="59">
        <f>Efficiencies!A101</f>
        <v>45915</v>
      </c>
      <c r="B101" s="61" t="str">
        <f>Efficiencies!G101</f>
        <v>0</v>
      </c>
      <c r="C101" s="51" t="str">
        <f>Efficiencies!H101</f>
        <v>0</v>
      </c>
      <c r="D101" s="52" t="str">
        <f>Efficiencies!I101</f>
        <v>0</v>
      </c>
    </row>
    <row r="102" spans="1:4" hidden="1">
      <c r="A102" s="59">
        <f>Efficiencies!A102</f>
        <v>45916</v>
      </c>
      <c r="B102" s="61" t="str">
        <f>Efficiencies!G102</f>
        <v>0</v>
      </c>
      <c r="C102" s="51" t="str">
        <f>Efficiencies!H102</f>
        <v>0</v>
      </c>
      <c r="D102" s="52" t="str">
        <f>Efficiencies!I102</f>
        <v>0</v>
      </c>
    </row>
    <row r="103" spans="1:4" hidden="1">
      <c r="A103" s="59">
        <f>Efficiencies!A103</f>
        <v>45917</v>
      </c>
      <c r="B103" s="61" t="str">
        <f>Efficiencies!G103</f>
        <v>0</v>
      </c>
      <c r="C103" s="51" t="str">
        <f>Efficiencies!H103</f>
        <v>0</v>
      </c>
      <c r="D103" s="52" t="str">
        <f>Efficiencies!I103</f>
        <v>0</v>
      </c>
    </row>
    <row r="104" spans="1:4">
      <c r="A104" s="59">
        <f>Efficiencies!A104</f>
        <v>45918</v>
      </c>
      <c r="B104" s="61">
        <f>Efficiencies!G104</f>
        <v>0.74328560322993198</v>
      </c>
      <c r="C104" s="51">
        <f>Efficiencies!H104</f>
        <v>2.1029544718355822</v>
      </c>
      <c r="D104" s="52">
        <f>Efficiencies!I104</f>
        <v>0.59212532989963729</v>
      </c>
    </row>
    <row r="105" spans="1:4" hidden="1">
      <c r="A105" s="59">
        <f>Efficiencies!A105</f>
        <v>45919</v>
      </c>
      <c r="B105" s="61" t="str">
        <f>Efficiencies!G105</f>
        <v>0</v>
      </c>
      <c r="C105" s="51" t="str">
        <f>Efficiencies!H105</f>
        <v>0</v>
      </c>
      <c r="D105" s="52" t="str">
        <f>Efficiencies!I105</f>
        <v>0</v>
      </c>
    </row>
    <row r="106" spans="1:4" hidden="1">
      <c r="A106" s="59">
        <f>Efficiencies!A106</f>
        <v>45920</v>
      </c>
      <c r="B106" s="61" t="str">
        <f>Efficiencies!G106</f>
        <v>0</v>
      </c>
      <c r="C106" s="51" t="str">
        <f>Efficiencies!H106</f>
        <v>0</v>
      </c>
      <c r="D106" s="52" t="str">
        <f>Efficiencies!I106</f>
        <v>0</v>
      </c>
    </row>
    <row r="107" spans="1:4" hidden="1">
      <c r="A107" s="59">
        <f>Efficiencies!A107</f>
        <v>45921</v>
      </c>
      <c r="B107" s="61" t="str">
        <f>Efficiencies!G107</f>
        <v>0</v>
      </c>
      <c r="C107" s="51" t="str">
        <f>Efficiencies!H107</f>
        <v>0</v>
      </c>
      <c r="D107" s="52" t="str">
        <f>Efficiencies!I107</f>
        <v>0</v>
      </c>
    </row>
    <row r="108" spans="1:4">
      <c r="A108" s="59">
        <f>Efficiencies!A108</f>
        <v>45922</v>
      </c>
      <c r="B108" s="61">
        <f>Efficiencies!G108</f>
        <v>0.7452746506792467</v>
      </c>
      <c r="C108" s="51">
        <f>Efficiencies!H108</f>
        <v>2.1054979358052286</v>
      </c>
      <c r="D108" s="52">
        <f>Efficiencies!I108</f>
        <v>0.57162485554918585</v>
      </c>
    </row>
    <row r="109" spans="1:4" hidden="1">
      <c r="A109" s="59">
        <f>Efficiencies!A109</f>
        <v>45923</v>
      </c>
      <c r="B109" s="61" t="str">
        <f>Efficiencies!G109</f>
        <v>0</v>
      </c>
      <c r="C109" s="51" t="str">
        <f>Efficiencies!H109</f>
        <v>0</v>
      </c>
      <c r="D109" s="52" t="str">
        <f>Efficiencies!I109</f>
        <v>0</v>
      </c>
    </row>
    <row r="110" spans="1:4" hidden="1">
      <c r="A110" s="59">
        <f>Efficiencies!A110</f>
        <v>45924</v>
      </c>
      <c r="B110" s="61" t="str">
        <f>Efficiencies!G110</f>
        <v>0</v>
      </c>
      <c r="C110" s="51" t="str">
        <f>Efficiencies!H110</f>
        <v>0</v>
      </c>
      <c r="D110" s="52" t="str">
        <f>Efficiencies!I110</f>
        <v>0</v>
      </c>
    </row>
    <row r="111" spans="1:4">
      <c r="A111" s="59">
        <f>Efficiencies!A111</f>
        <v>45925</v>
      </c>
      <c r="B111" s="61">
        <f>Efficiencies!G111</f>
        <v>0.74215344454448673</v>
      </c>
      <c r="C111" s="51">
        <f>Efficiencies!H111</f>
        <v>2.1044571266937417</v>
      </c>
      <c r="D111" s="52">
        <f>Efficiencies!I111</f>
        <v>0.57698332468147506</v>
      </c>
    </row>
    <row r="112" spans="1:4" hidden="1">
      <c r="A112" s="59">
        <f>Efficiencies!A112</f>
        <v>45926</v>
      </c>
      <c r="B112" s="61" t="str">
        <f>Efficiencies!G112</f>
        <v>0</v>
      </c>
      <c r="C112" s="51" t="str">
        <f>Efficiencies!H112</f>
        <v>0</v>
      </c>
      <c r="D112" s="52" t="str">
        <f>Efficiencies!I112</f>
        <v>0</v>
      </c>
    </row>
    <row r="113" spans="1:4" hidden="1">
      <c r="A113" s="59">
        <f>Efficiencies!A113</f>
        <v>45927</v>
      </c>
      <c r="B113" s="61" t="str">
        <f>Efficiencies!G113</f>
        <v>0</v>
      </c>
      <c r="C113" s="51" t="str">
        <f>Efficiencies!H113</f>
        <v>0</v>
      </c>
      <c r="D113" s="52" t="str">
        <f>Efficiencies!I113</f>
        <v>0</v>
      </c>
    </row>
    <row r="114" spans="1:4" hidden="1">
      <c r="A114" s="59">
        <f>Efficiencies!A114</f>
        <v>45928</v>
      </c>
      <c r="B114" s="61" t="str">
        <f>Efficiencies!G114</f>
        <v>0</v>
      </c>
      <c r="C114" s="51" t="str">
        <f>Efficiencies!H114</f>
        <v>0</v>
      </c>
      <c r="D114" s="52" t="str">
        <f>Efficiencies!I114</f>
        <v>0</v>
      </c>
    </row>
    <row r="115" spans="1:4">
      <c r="A115" s="59">
        <f>Efficiencies!A115</f>
        <v>45929</v>
      </c>
      <c r="B115" s="61">
        <f>Efficiencies!G115</f>
        <v>0.74227613675363102</v>
      </c>
      <c r="C115" s="51">
        <f>Efficiencies!H115</f>
        <v>2.1008713851602909</v>
      </c>
      <c r="D115" s="52">
        <f>Efficiencies!I115</f>
        <v>0.5890751511004676</v>
      </c>
    </row>
    <row r="116" spans="1:4" hidden="1">
      <c r="A116" s="59">
        <f>Efficiencies!A116</f>
        <v>45930</v>
      </c>
      <c r="B116" s="61" t="str">
        <f>Efficiencies!G116</f>
        <v>0</v>
      </c>
      <c r="C116" s="51" t="str">
        <f>Efficiencies!H116</f>
        <v>0</v>
      </c>
      <c r="D116" s="52" t="str">
        <f>Efficiencies!I116</f>
        <v>0</v>
      </c>
    </row>
    <row r="117" spans="1:4" hidden="1">
      <c r="A117" s="59">
        <f>Efficiencies!A117</f>
        <v>45931</v>
      </c>
      <c r="B117" s="61" t="str">
        <f>Efficiencies!G117</f>
        <v>0</v>
      </c>
      <c r="C117" s="51" t="str">
        <f>Efficiencies!H117</f>
        <v>0</v>
      </c>
      <c r="D117" s="52" t="str">
        <f>Efficiencies!I117</f>
        <v>0</v>
      </c>
    </row>
    <row r="118" spans="1:4">
      <c r="A118" s="59">
        <f>Efficiencies!A118</f>
        <v>45932</v>
      </c>
      <c r="B118" s="61">
        <f>Efficiencies!G118</f>
        <v>0.74673481990198198</v>
      </c>
      <c r="C118" s="51">
        <f>Efficiencies!H118</f>
        <v>2.116887367710703</v>
      </c>
      <c r="D118" s="52">
        <f>Efficiencies!I118</f>
        <v>0.59394105928419338</v>
      </c>
    </row>
    <row r="119" spans="1:4" hidden="1">
      <c r="A119" s="59">
        <f>Efficiencies!A119</f>
        <v>45933</v>
      </c>
      <c r="B119" s="61" t="str">
        <f>Efficiencies!G119</f>
        <v>0</v>
      </c>
      <c r="C119" s="51" t="str">
        <f>Efficiencies!H119</f>
        <v>0</v>
      </c>
      <c r="D119" s="52" t="str">
        <f>Efficiencies!I119</f>
        <v>0</v>
      </c>
    </row>
    <row r="120" spans="1:4" hidden="1">
      <c r="A120" s="59">
        <f>Efficiencies!A120</f>
        <v>45934</v>
      </c>
      <c r="B120" s="61" t="str">
        <f>Efficiencies!G120</f>
        <v>0</v>
      </c>
      <c r="C120" s="51" t="str">
        <f>Efficiencies!H120</f>
        <v>0</v>
      </c>
      <c r="D120" s="52" t="str">
        <f>Efficiencies!I120</f>
        <v>0</v>
      </c>
    </row>
    <row r="121" spans="1:4" hidden="1">
      <c r="A121" s="59">
        <f>Efficiencies!A121</f>
        <v>45935</v>
      </c>
      <c r="B121" s="61" t="str">
        <f>Efficiencies!G121</f>
        <v>0</v>
      </c>
      <c r="C121" s="51" t="str">
        <f>Efficiencies!H121</f>
        <v>0</v>
      </c>
      <c r="D121" s="52" t="str">
        <f>Efficiencies!I121</f>
        <v>0</v>
      </c>
    </row>
    <row r="122" spans="1:4" hidden="1">
      <c r="A122" s="59">
        <f>Efficiencies!A122</f>
        <v>45936</v>
      </c>
      <c r="B122" s="61" t="str">
        <f>Efficiencies!G122</f>
        <v>0</v>
      </c>
      <c r="C122" s="51" t="str">
        <f>Efficiencies!H122</f>
        <v>0</v>
      </c>
      <c r="D122" s="52" t="str">
        <f>Efficiencies!I122</f>
        <v>0</v>
      </c>
    </row>
    <row r="123" spans="1:4">
      <c r="A123" s="59">
        <f>Efficiencies!A123</f>
        <v>45937</v>
      </c>
      <c r="B123" s="61">
        <f>Efficiencies!G123</f>
        <v>0.73857810185712669</v>
      </c>
      <c r="C123" s="51">
        <f>Efficiencies!H123</f>
        <v>2.1570494838535326</v>
      </c>
      <c r="D123" s="52">
        <f>Efficiencies!I123</f>
        <v>0.63859835313941549</v>
      </c>
    </row>
    <row r="124" spans="1:4" hidden="1">
      <c r="A124" s="59">
        <f>Efficiencies!A124</f>
        <v>45938</v>
      </c>
      <c r="B124" s="61" t="str">
        <f>Efficiencies!G124</f>
        <v>0</v>
      </c>
      <c r="C124" s="51" t="str">
        <f>Efficiencies!H124</f>
        <v>0</v>
      </c>
      <c r="D124" s="52" t="str">
        <f>Efficiencies!I124</f>
        <v>0</v>
      </c>
    </row>
    <row r="125" spans="1:4" hidden="1">
      <c r="A125" s="59">
        <f>Efficiencies!A125</f>
        <v>45939</v>
      </c>
      <c r="B125" s="61" t="str">
        <f>Efficiencies!G125</f>
        <v>0</v>
      </c>
      <c r="C125" s="51" t="str">
        <f>Efficiencies!H125</f>
        <v>0</v>
      </c>
      <c r="D125" s="52" t="str">
        <f>Efficiencies!I125</f>
        <v>0</v>
      </c>
    </row>
    <row r="126" spans="1:4" hidden="1">
      <c r="A126" s="59">
        <f>Efficiencies!A126</f>
        <v>45940</v>
      </c>
      <c r="B126" s="61" t="str">
        <f>Efficiencies!G126</f>
        <v>0</v>
      </c>
      <c r="C126" s="51" t="str">
        <f>Efficiencies!H126</f>
        <v>0</v>
      </c>
      <c r="D126" s="52" t="str">
        <f>Efficiencies!I126</f>
        <v>0</v>
      </c>
    </row>
    <row r="127" spans="1:4" hidden="1">
      <c r="A127" s="59">
        <f>Efficiencies!A127</f>
        <v>45941</v>
      </c>
      <c r="B127" s="61" t="str">
        <f>Efficiencies!G127</f>
        <v>0</v>
      </c>
      <c r="C127" s="51" t="str">
        <f>Efficiencies!H127</f>
        <v>0</v>
      </c>
      <c r="D127" s="52" t="str">
        <f>Efficiencies!I127</f>
        <v>0</v>
      </c>
    </row>
    <row r="128" spans="1:4" hidden="1">
      <c r="A128" s="59">
        <f>Efficiencies!A128</f>
        <v>45942</v>
      </c>
      <c r="B128" s="61" t="str">
        <f>Efficiencies!G128</f>
        <v>0</v>
      </c>
      <c r="C128" s="51" t="str">
        <f>Efficiencies!H128</f>
        <v>0</v>
      </c>
      <c r="D128" s="52" t="str">
        <f>Efficiencies!I128</f>
        <v>0</v>
      </c>
    </row>
    <row r="129" spans="1:4">
      <c r="A129" s="59">
        <f>Efficiencies!A129</f>
        <v>45943</v>
      </c>
      <c r="B129" s="61">
        <f>Efficiencies!G129</f>
        <v>0.74200859495703597</v>
      </c>
      <c r="C129" s="51">
        <f>Efficiencies!H129</f>
        <v>2.131714434584143</v>
      </c>
      <c r="D129" s="52">
        <f>Efficiencies!I129</f>
        <v>0.68940765800543735</v>
      </c>
    </row>
    <row r="130" spans="1:4" hidden="1">
      <c r="A130" s="59">
        <f>Efficiencies!A130</f>
        <v>45944</v>
      </c>
      <c r="B130" s="61" t="str">
        <f>Efficiencies!G130</f>
        <v>0</v>
      </c>
      <c r="C130" s="51" t="str">
        <f>Efficiencies!H130</f>
        <v>0</v>
      </c>
      <c r="D130" s="52" t="str">
        <f>Efficiencies!I130</f>
        <v>0</v>
      </c>
    </row>
    <row r="131" spans="1:4" hidden="1">
      <c r="A131" s="59">
        <f>Efficiencies!A131</f>
        <v>45945</v>
      </c>
      <c r="B131" s="61" t="str">
        <f>Efficiencies!G131</f>
        <v>0</v>
      </c>
      <c r="C131" s="51" t="str">
        <f>Efficiencies!H131</f>
        <v>0</v>
      </c>
      <c r="D131" s="52" t="str">
        <f>Efficiencies!I131</f>
        <v>0</v>
      </c>
    </row>
    <row r="132" spans="1:4" hidden="1">
      <c r="A132" s="59">
        <f>Efficiencies!A132</f>
        <v>45946</v>
      </c>
      <c r="B132" s="61" t="str">
        <f>Efficiencies!G132</f>
        <v>0</v>
      </c>
      <c r="C132" s="51" t="str">
        <f>Efficiencies!H132</f>
        <v>0</v>
      </c>
      <c r="D132" s="52" t="str">
        <f>Efficiencies!I132</f>
        <v>0</v>
      </c>
    </row>
    <row r="133" spans="1:4" hidden="1">
      <c r="A133" s="59">
        <f>Efficiencies!A133</f>
        <v>45947</v>
      </c>
      <c r="B133" s="61" t="str">
        <f>Efficiencies!G133</f>
        <v>0</v>
      </c>
      <c r="C133" s="51" t="str">
        <f>Efficiencies!H133</f>
        <v>0</v>
      </c>
      <c r="D133" s="52" t="str">
        <f>Efficiencies!I133</f>
        <v>0</v>
      </c>
    </row>
    <row r="134" spans="1:4" hidden="1">
      <c r="A134" s="59">
        <f>Efficiencies!A134</f>
        <v>45948</v>
      </c>
      <c r="B134" s="61" t="str">
        <f>Efficiencies!G134</f>
        <v>0</v>
      </c>
      <c r="C134" s="51" t="str">
        <f>Efficiencies!H134</f>
        <v>0</v>
      </c>
      <c r="D134" s="52" t="str">
        <f>Efficiencies!I134</f>
        <v>0</v>
      </c>
    </row>
    <row r="135" spans="1:4" hidden="1">
      <c r="A135" s="59">
        <f>Efficiencies!A135</f>
        <v>45949</v>
      </c>
      <c r="B135" s="61" t="str">
        <f>Efficiencies!G135</f>
        <v>0</v>
      </c>
      <c r="C135" s="51" t="str">
        <f>Efficiencies!H135</f>
        <v>0</v>
      </c>
      <c r="D135" s="52" t="str">
        <f>Efficiencies!I135</f>
        <v>0</v>
      </c>
    </row>
    <row r="136" spans="1:4">
      <c r="A136" s="59">
        <f>Efficiencies!A136</f>
        <v>45950</v>
      </c>
      <c r="B136" s="61">
        <f>Efficiencies!G136</f>
        <v>0.7401806962190558</v>
      </c>
      <c r="C136" s="51">
        <f>Efficiencies!H136</f>
        <v>2.1446141326105361</v>
      </c>
      <c r="D136" s="52">
        <f>Efficiencies!I136</f>
        <v>0.64370188552939844</v>
      </c>
    </row>
    <row r="137" spans="1:4" hidden="1">
      <c r="A137" s="59">
        <f>Efficiencies!A137</f>
        <v>45951</v>
      </c>
      <c r="B137" s="61" t="str">
        <f>Efficiencies!G137</f>
        <v>0</v>
      </c>
      <c r="C137" s="51" t="str">
        <f>Efficiencies!H137</f>
        <v>0</v>
      </c>
      <c r="D137" s="52" t="str">
        <f>Efficiencies!I137</f>
        <v>0</v>
      </c>
    </row>
    <row r="138" spans="1:4" hidden="1">
      <c r="A138" s="59">
        <f>Efficiencies!A138</f>
        <v>45952</v>
      </c>
      <c r="B138" s="61" t="str">
        <f>Efficiencies!G138</f>
        <v>0</v>
      </c>
      <c r="C138" s="51" t="str">
        <f>Efficiencies!H138</f>
        <v>0</v>
      </c>
      <c r="D138" s="52" t="str">
        <f>Efficiencies!I138</f>
        <v>0</v>
      </c>
    </row>
    <row r="139" spans="1:4">
      <c r="A139" s="59">
        <f>Efficiencies!A139</f>
        <v>45953</v>
      </c>
      <c r="B139" s="61">
        <f>Efficiencies!G139</f>
        <v>0.73745954750304421</v>
      </c>
      <c r="C139" s="51">
        <f>Efficiencies!H139</f>
        <v>2.1545468451620224</v>
      </c>
      <c r="D139" s="52">
        <f>Efficiencies!I139</f>
        <v>0.64704676155057861</v>
      </c>
    </row>
    <row r="140" spans="1:4" hidden="1">
      <c r="A140" s="59">
        <f>Efficiencies!A140</f>
        <v>45954</v>
      </c>
      <c r="B140" s="61" t="str">
        <f>Efficiencies!G140</f>
        <v>0</v>
      </c>
      <c r="C140" s="51" t="str">
        <f>Efficiencies!H140</f>
        <v>0</v>
      </c>
      <c r="D140" s="52" t="str">
        <f>Efficiencies!I140</f>
        <v>0</v>
      </c>
    </row>
    <row r="141" spans="1:4" hidden="1">
      <c r="A141" s="59">
        <f>Efficiencies!A141</f>
        <v>45955</v>
      </c>
      <c r="B141" s="61" t="str">
        <f>Efficiencies!G141</f>
        <v>0</v>
      </c>
      <c r="C141" s="51" t="str">
        <f>Efficiencies!H141</f>
        <v>0</v>
      </c>
      <c r="D141" s="52" t="str">
        <f>Efficiencies!I141</f>
        <v>0</v>
      </c>
    </row>
    <row r="142" spans="1:4" hidden="1">
      <c r="A142" s="59">
        <f>Efficiencies!A142</f>
        <v>45956</v>
      </c>
      <c r="B142" s="61" t="str">
        <f>Efficiencies!G142</f>
        <v>0</v>
      </c>
      <c r="C142" s="51" t="str">
        <f>Efficiencies!H142</f>
        <v>0</v>
      </c>
      <c r="D142" s="52" t="str">
        <f>Efficiencies!I142</f>
        <v>0</v>
      </c>
    </row>
    <row r="143" spans="1:4" hidden="1">
      <c r="A143" s="59">
        <f>Efficiencies!A143</f>
        <v>45957</v>
      </c>
      <c r="B143" s="61" t="str">
        <f>Efficiencies!G143</f>
        <v>0</v>
      </c>
      <c r="C143" s="51" t="str">
        <f>Efficiencies!H143</f>
        <v>0</v>
      </c>
      <c r="D143" s="52" t="str">
        <f>Efficiencies!I143</f>
        <v>0</v>
      </c>
    </row>
    <row r="144" spans="1:4" hidden="1">
      <c r="A144" s="59">
        <f>Efficiencies!A144</f>
        <v>45958</v>
      </c>
      <c r="B144" s="61" t="str">
        <f>Efficiencies!G144</f>
        <v>0</v>
      </c>
      <c r="C144" s="51" t="str">
        <f>Efficiencies!H144</f>
        <v>0</v>
      </c>
      <c r="D144" s="52" t="str">
        <f>Efficiencies!I144</f>
        <v>0</v>
      </c>
    </row>
    <row r="145" spans="1:4" hidden="1">
      <c r="A145" s="59">
        <f>Efficiencies!A145</f>
        <v>45959</v>
      </c>
      <c r="B145" s="61" t="str">
        <f>Efficiencies!G145</f>
        <v>0</v>
      </c>
      <c r="C145" s="51" t="str">
        <f>Efficiencies!H145</f>
        <v>0</v>
      </c>
      <c r="D145" s="52" t="str">
        <f>Efficiencies!I145</f>
        <v>0</v>
      </c>
    </row>
    <row r="146" spans="1:4">
      <c r="A146" s="59">
        <f>Efficiencies!A146</f>
        <v>45960</v>
      </c>
      <c r="B146" s="61">
        <f>Efficiencies!G146</f>
        <v>0.7367961280701677</v>
      </c>
      <c r="C146" s="51">
        <f>Efficiencies!H146</f>
        <v>2.1754953290216608</v>
      </c>
      <c r="D146" s="52">
        <f>Efficiencies!I146</f>
        <v>0.83347876672483967</v>
      </c>
    </row>
    <row r="147" spans="1:4" hidden="1">
      <c r="A147" s="59">
        <f>Efficiencies!A147</f>
        <v>45961</v>
      </c>
      <c r="B147" s="61" t="str">
        <f>Efficiencies!G147</f>
        <v>0</v>
      </c>
      <c r="C147" s="51" t="str">
        <f>Efficiencies!H147</f>
        <v>0</v>
      </c>
      <c r="D147" s="52" t="str">
        <f>Efficiencies!I147</f>
        <v>0</v>
      </c>
    </row>
    <row r="148" spans="1:4" hidden="1">
      <c r="A148" s="59">
        <f>Efficiencies!A148</f>
        <v>45962</v>
      </c>
      <c r="B148" s="61" t="str">
        <f>Efficiencies!G148</f>
        <v>0</v>
      </c>
      <c r="C148" s="51" t="str">
        <f>Efficiencies!H148</f>
        <v>0</v>
      </c>
      <c r="D148" s="52" t="str">
        <f>Efficiencies!I148</f>
        <v>0</v>
      </c>
    </row>
    <row r="149" spans="1:4" hidden="1">
      <c r="A149" s="59">
        <f>Efficiencies!A149</f>
        <v>45963</v>
      </c>
      <c r="B149" s="61" t="str">
        <f>Efficiencies!G149</f>
        <v>0</v>
      </c>
      <c r="C149" s="51" t="str">
        <f>Efficiencies!H149</f>
        <v>0</v>
      </c>
      <c r="D149" s="52" t="str">
        <f>Efficiencies!I149</f>
        <v>0</v>
      </c>
    </row>
    <row r="150" spans="1:4">
      <c r="A150" s="59">
        <f>Efficiencies!A150</f>
        <v>45964</v>
      </c>
      <c r="B150" s="61">
        <f>Efficiencies!G150</f>
        <v>0.72978837288272158</v>
      </c>
      <c r="C150" s="51">
        <f>Efficiencies!H150</f>
        <v>2.1670857706956239</v>
      </c>
      <c r="D150" s="52">
        <f>Efficiencies!I150</f>
        <v>0.70597573421022786</v>
      </c>
    </row>
    <row r="151" spans="1:4" hidden="1">
      <c r="A151" s="59">
        <f>Efficiencies!A151</f>
        <v>45965</v>
      </c>
      <c r="B151" s="61" t="str">
        <f>Efficiencies!G151</f>
        <v>0</v>
      </c>
      <c r="C151" s="51" t="str">
        <f>Efficiencies!H151</f>
        <v>0</v>
      </c>
      <c r="D151" s="52" t="str">
        <f>Efficiencies!I151</f>
        <v>0</v>
      </c>
    </row>
    <row r="152" spans="1:4" hidden="1">
      <c r="A152" s="59">
        <f>Efficiencies!A152</f>
        <v>45966</v>
      </c>
      <c r="B152" s="61" t="str">
        <f>Efficiencies!G152</f>
        <v>0</v>
      </c>
      <c r="C152" s="51" t="str">
        <f>Efficiencies!H152</f>
        <v>0</v>
      </c>
      <c r="D152" s="52" t="str">
        <f>Efficiencies!I152</f>
        <v>0</v>
      </c>
    </row>
    <row r="153" spans="1:4">
      <c r="A153" s="59">
        <f>Efficiencies!A153</f>
        <v>45967</v>
      </c>
      <c r="B153" s="61">
        <f>Efficiencies!G153</f>
        <v>0.73744195223725106</v>
      </c>
      <c r="C153" s="51">
        <f>Efficiencies!H153</f>
        <v>2.1353910844880239</v>
      </c>
      <c r="D153" s="52">
        <f>Efficiencies!I153</f>
        <v>0.67411287423612221</v>
      </c>
    </row>
    <row r="154" spans="1:4" hidden="1">
      <c r="A154" s="59">
        <f>Efficiencies!A154</f>
        <v>45968</v>
      </c>
      <c r="B154" s="61" t="str">
        <f>Efficiencies!G154</f>
        <v>0</v>
      </c>
      <c r="C154" s="51" t="str">
        <f>Efficiencies!H154</f>
        <v>0</v>
      </c>
      <c r="D154" s="52" t="str">
        <f>Efficiencies!I154</f>
        <v>0</v>
      </c>
    </row>
    <row r="155" spans="1:4" hidden="1">
      <c r="A155" s="59">
        <f>Efficiencies!A155</f>
        <v>45969</v>
      </c>
      <c r="B155" s="61" t="str">
        <f>Efficiencies!G155</f>
        <v>0</v>
      </c>
      <c r="C155" s="51" t="str">
        <f>Efficiencies!H155</f>
        <v>0</v>
      </c>
      <c r="D155" s="52" t="str">
        <f>Efficiencies!I155</f>
        <v>0</v>
      </c>
    </row>
    <row r="156" spans="1:4" hidden="1">
      <c r="A156" s="59">
        <f>Efficiencies!A156</f>
        <v>45970</v>
      </c>
      <c r="B156" s="61" t="str">
        <f>Efficiencies!G156</f>
        <v>0</v>
      </c>
      <c r="C156" s="51" t="str">
        <f>Efficiencies!H156</f>
        <v>0</v>
      </c>
      <c r="D156" s="52" t="str">
        <f>Efficiencies!I156</f>
        <v>0</v>
      </c>
    </row>
    <row r="157" spans="1:4">
      <c r="A157" s="59">
        <f>Efficiencies!A157</f>
        <v>45971</v>
      </c>
      <c r="B157" s="61">
        <f>Efficiencies!G157</f>
        <v>0.74808921358736791</v>
      </c>
      <c r="C157" s="51">
        <f>Efficiencies!H157</f>
        <v>2.15455756202073</v>
      </c>
      <c r="D157" s="52">
        <f>Efficiencies!I157</f>
        <v>0.67702620353442977</v>
      </c>
    </row>
    <row r="158" spans="1:4" hidden="1">
      <c r="A158" s="59">
        <f>Efficiencies!A158</f>
        <v>45972</v>
      </c>
      <c r="B158" s="61" t="str">
        <f>Efficiencies!G158</f>
        <v>0</v>
      </c>
      <c r="C158" s="51" t="str">
        <f>Efficiencies!H158</f>
        <v>0</v>
      </c>
      <c r="D158" s="52" t="str">
        <f>Efficiencies!I158</f>
        <v>0</v>
      </c>
    </row>
    <row r="159" spans="1:4" hidden="1">
      <c r="A159" s="59">
        <f>Efficiencies!A159</f>
        <v>45973</v>
      </c>
      <c r="B159" s="61" t="str">
        <f>Efficiencies!G159</f>
        <v>0</v>
      </c>
      <c r="C159" s="51" t="str">
        <f>Efficiencies!H159</f>
        <v>0</v>
      </c>
      <c r="D159" s="52" t="str">
        <f>Efficiencies!I159</f>
        <v>0</v>
      </c>
    </row>
    <row r="160" spans="1:4">
      <c r="A160" s="59">
        <f>Efficiencies!A160</f>
        <v>45974</v>
      </c>
      <c r="B160" s="61">
        <f>Efficiencies!G160</f>
        <v>0.73872765526421591</v>
      </c>
      <c r="C160" s="51">
        <f>Efficiencies!H160</f>
        <v>2.1586968376254103</v>
      </c>
      <c r="D160" s="52">
        <f>Efficiencies!I160</f>
        <v>0.62819172416997737</v>
      </c>
    </row>
    <row r="161" spans="1:4" hidden="1">
      <c r="A161" s="59">
        <f>Efficiencies!A161</f>
        <v>45975</v>
      </c>
      <c r="B161" s="61" t="str">
        <f>Efficiencies!G161</f>
        <v>0</v>
      </c>
      <c r="C161" s="51" t="str">
        <f>Efficiencies!H161</f>
        <v>0</v>
      </c>
      <c r="D161" s="52" t="str">
        <f>Efficiencies!I161</f>
        <v>0</v>
      </c>
    </row>
    <row r="162" spans="1:4" hidden="1">
      <c r="A162" s="59">
        <f>Efficiencies!A162</f>
        <v>45976</v>
      </c>
      <c r="B162" s="61" t="str">
        <f>Efficiencies!G162</f>
        <v>0</v>
      </c>
      <c r="C162" s="51" t="str">
        <f>Efficiencies!H162</f>
        <v>0</v>
      </c>
      <c r="D162" s="52" t="str">
        <f>Efficiencies!I162</f>
        <v>0</v>
      </c>
    </row>
    <row r="163" spans="1:4" hidden="1">
      <c r="A163" s="59">
        <f>Efficiencies!A163</f>
        <v>45977</v>
      </c>
      <c r="B163" s="61" t="str">
        <f>Efficiencies!G163</f>
        <v>0</v>
      </c>
      <c r="C163" s="51" t="str">
        <f>Efficiencies!H163</f>
        <v>0</v>
      </c>
      <c r="D163" s="52" t="str">
        <f>Efficiencies!I163</f>
        <v>0</v>
      </c>
    </row>
    <row r="164" spans="1:4">
      <c r="A164" s="59">
        <f>Efficiencies!A164</f>
        <v>45978</v>
      </c>
      <c r="B164" s="61">
        <f>Efficiencies!G164</f>
        <v>0.74272205413408521</v>
      </c>
      <c r="C164" s="51">
        <f>Efficiencies!H164</f>
        <v>2.1500532199949127</v>
      </c>
      <c r="D164" s="52">
        <f>Efficiencies!I164</f>
        <v>0.65624081615517016</v>
      </c>
    </row>
    <row r="165" spans="1:4" hidden="1">
      <c r="A165" s="59">
        <f>Efficiencies!A165</f>
        <v>45979</v>
      </c>
      <c r="B165" s="61" t="str">
        <f>Efficiencies!G165</f>
        <v>0</v>
      </c>
      <c r="C165" s="51" t="str">
        <f>Efficiencies!H165</f>
        <v>0</v>
      </c>
      <c r="D165" s="52" t="str">
        <f>Efficiencies!I165</f>
        <v>0</v>
      </c>
    </row>
    <row r="166" spans="1:4" hidden="1">
      <c r="A166" s="59">
        <f>Efficiencies!A166</f>
        <v>45980</v>
      </c>
      <c r="B166" s="61" t="str">
        <f>Efficiencies!G166</f>
        <v>0</v>
      </c>
      <c r="C166" s="51" t="str">
        <f>Efficiencies!H166</f>
        <v>0</v>
      </c>
      <c r="D166" s="52" t="str">
        <f>Efficiencies!I166</f>
        <v>0</v>
      </c>
    </row>
    <row r="167" spans="1:4">
      <c r="A167" s="59">
        <f>Efficiencies!A167</f>
        <v>45981</v>
      </c>
      <c r="B167" s="61">
        <f>Efficiencies!G167</f>
        <v>0.74075801881157821</v>
      </c>
      <c r="C167" s="51">
        <f>Efficiencies!H167</f>
        <v>2.1449710139052178</v>
      </c>
      <c r="D167" s="52">
        <f>Efficiencies!I167</f>
        <v>0.58373535492763673</v>
      </c>
    </row>
    <row r="168" spans="1:4" hidden="1">
      <c r="A168" s="59">
        <f>Efficiencies!A168</f>
        <v>45982</v>
      </c>
      <c r="B168" s="61" t="str">
        <f>Efficiencies!G168</f>
        <v>0</v>
      </c>
      <c r="C168" s="51" t="str">
        <f>Efficiencies!H168</f>
        <v>0</v>
      </c>
      <c r="D168" s="52" t="str">
        <f>Efficiencies!I168</f>
        <v>0</v>
      </c>
    </row>
    <row r="169" spans="1:4" hidden="1">
      <c r="A169" s="59">
        <f>Efficiencies!A169</f>
        <v>45983</v>
      </c>
      <c r="B169" s="61" t="str">
        <f>Efficiencies!G169</f>
        <v>0</v>
      </c>
      <c r="C169" s="51" t="str">
        <f>Efficiencies!H169</f>
        <v>0</v>
      </c>
      <c r="D169" s="52" t="str">
        <f>Efficiencies!I169</f>
        <v>0</v>
      </c>
    </row>
    <row r="170" spans="1:4" hidden="1">
      <c r="A170" s="59">
        <f>Efficiencies!A170</f>
        <v>45984</v>
      </c>
      <c r="B170" s="61" t="str">
        <f>Efficiencies!G170</f>
        <v>0</v>
      </c>
      <c r="C170" s="51" t="str">
        <f>Efficiencies!H170</f>
        <v>0</v>
      </c>
      <c r="D170" s="52" t="str">
        <f>Efficiencies!I170</f>
        <v>0</v>
      </c>
    </row>
    <row r="171" spans="1:4">
      <c r="A171" s="59">
        <f>Efficiencies!A171</f>
        <v>45985</v>
      </c>
      <c r="B171" s="61">
        <f>Efficiencies!G171</f>
        <v>0.73540777726900219</v>
      </c>
      <c r="C171" s="51">
        <f>Efficiencies!H171</f>
        <v>2.1744153511962598</v>
      </c>
      <c r="D171" s="52">
        <f>Efficiencies!I171</f>
        <v>0.78699779949455684</v>
      </c>
    </row>
    <row r="172" spans="1:4" hidden="1">
      <c r="A172" s="59">
        <f>Efficiencies!A172</f>
        <v>45986</v>
      </c>
      <c r="B172" s="61" t="str">
        <f>Efficiencies!G172</f>
        <v>0</v>
      </c>
      <c r="C172" s="51" t="str">
        <f>Efficiencies!H172</f>
        <v>0</v>
      </c>
      <c r="D172" s="52" t="str">
        <f>Efficiencies!I172</f>
        <v>0</v>
      </c>
    </row>
    <row r="173" spans="1:4" hidden="1">
      <c r="A173" s="59">
        <f>Efficiencies!A173</f>
        <v>45987</v>
      </c>
      <c r="B173" s="61" t="str">
        <f>Efficiencies!G173</f>
        <v>0</v>
      </c>
      <c r="C173" s="51" t="str">
        <f>Efficiencies!H173</f>
        <v>0</v>
      </c>
      <c r="D173" s="52" t="str">
        <f>Efficiencies!I173</f>
        <v>0</v>
      </c>
    </row>
    <row r="174" spans="1:4">
      <c r="A174" s="59">
        <f>Efficiencies!A174</f>
        <v>45988</v>
      </c>
      <c r="B174" s="61">
        <f>Efficiencies!G174</f>
        <v>0.73402893369343925</v>
      </c>
      <c r="C174" s="51">
        <f>Efficiencies!H174</f>
        <v>2.1694448271111724</v>
      </c>
      <c r="D174" s="52">
        <f>Efficiencies!I174</f>
        <v>0.71090294041113755</v>
      </c>
    </row>
    <row r="175" spans="1:4" hidden="1">
      <c r="A175" s="59">
        <f>Efficiencies!A175</f>
        <v>45989</v>
      </c>
      <c r="B175" s="61" t="str">
        <f>Efficiencies!G175</f>
        <v>0</v>
      </c>
      <c r="C175" s="51" t="str">
        <f>Efficiencies!H175</f>
        <v>0</v>
      </c>
      <c r="D175" s="52" t="str">
        <f>Efficiencies!I175</f>
        <v>0</v>
      </c>
    </row>
    <row r="176" spans="1:4" hidden="1">
      <c r="A176" s="59">
        <f>Efficiencies!A176</f>
        <v>45990</v>
      </c>
      <c r="B176" s="61" t="str">
        <f>Efficiencies!G176</f>
        <v>0</v>
      </c>
      <c r="C176" s="51" t="str">
        <f>Efficiencies!H176</f>
        <v>0</v>
      </c>
      <c r="D176" s="52" t="str">
        <f>Efficiencies!I176</f>
        <v>0</v>
      </c>
    </row>
    <row r="177" spans="1:4" hidden="1">
      <c r="A177" s="59">
        <f>Efficiencies!A177</f>
        <v>45991</v>
      </c>
      <c r="B177" s="61" t="str">
        <f>Efficiencies!G177</f>
        <v>0</v>
      </c>
      <c r="C177" s="51" t="str">
        <f>Efficiencies!H177</f>
        <v>0</v>
      </c>
      <c r="D177" s="52" t="str">
        <f>Efficiencies!I177</f>
        <v>0</v>
      </c>
    </row>
    <row r="178" spans="1:4">
      <c r="A178" s="59">
        <f>Efficiencies!A178</f>
        <v>45992</v>
      </c>
      <c r="B178" s="61">
        <f>Efficiencies!G178</f>
        <v>0.72848972024800496</v>
      </c>
      <c r="C178" s="51">
        <f>Efficiencies!H178</f>
        <v>2.202979239788855</v>
      </c>
      <c r="D178" s="52">
        <f>Efficiencies!I178</f>
        <v>0.69523579018304149</v>
      </c>
    </row>
    <row r="179" spans="1:4" hidden="1">
      <c r="A179" s="59">
        <f>Efficiencies!A179</f>
        <v>45993</v>
      </c>
      <c r="B179" s="61" t="str">
        <f>Efficiencies!G179</f>
        <v>0</v>
      </c>
      <c r="C179" s="51" t="str">
        <f>Efficiencies!H179</f>
        <v>0</v>
      </c>
      <c r="D179" s="52" t="str">
        <f>Efficiencies!I179</f>
        <v>0</v>
      </c>
    </row>
    <row r="180" spans="1:4" hidden="1">
      <c r="A180" s="59">
        <f>Efficiencies!A180</f>
        <v>45994</v>
      </c>
      <c r="B180" s="61" t="str">
        <f>Efficiencies!G180</f>
        <v>0</v>
      </c>
      <c r="C180" s="51" t="str">
        <f>Efficiencies!H180</f>
        <v>0</v>
      </c>
      <c r="D180" s="52" t="str">
        <f>Efficiencies!I180</f>
        <v>0</v>
      </c>
    </row>
    <row r="181" spans="1:4">
      <c r="A181" s="59">
        <f>Efficiencies!A181</f>
        <v>45995</v>
      </c>
      <c r="B181" s="61">
        <f>Efficiencies!G181</f>
        <v>0.72508392109397524</v>
      </c>
      <c r="C181" s="51">
        <f>Efficiencies!H181</f>
        <v>2.206979266945293</v>
      </c>
      <c r="D181" s="52">
        <f>Efficiencies!I181</f>
        <v>0.6846293478930584</v>
      </c>
    </row>
    <row r="182" spans="1:4" hidden="1">
      <c r="A182" s="59">
        <f>Efficiencies!A182</f>
        <v>45996</v>
      </c>
      <c r="B182" s="61" t="str">
        <f>Efficiencies!G182</f>
        <v>0</v>
      </c>
      <c r="C182" s="51" t="str">
        <f>Efficiencies!H182</f>
        <v>0</v>
      </c>
      <c r="D182" s="52" t="str">
        <f>Efficiencies!I182</f>
        <v>0</v>
      </c>
    </row>
    <row r="183" spans="1:4" hidden="1">
      <c r="A183" s="59">
        <f>Efficiencies!A183</f>
        <v>45997</v>
      </c>
      <c r="B183" s="61" t="str">
        <f>Efficiencies!G183</f>
        <v>0</v>
      </c>
      <c r="C183" s="51" t="str">
        <f>Efficiencies!H183</f>
        <v>0</v>
      </c>
      <c r="D183" s="52" t="str">
        <f>Efficiencies!I183</f>
        <v>0</v>
      </c>
    </row>
    <row r="184" spans="1:4" hidden="1">
      <c r="A184" s="59">
        <f>Efficiencies!A184</f>
        <v>45998</v>
      </c>
      <c r="B184" s="61" t="str">
        <f>Efficiencies!G184</f>
        <v>0</v>
      </c>
      <c r="C184" s="51" t="str">
        <f>Efficiencies!H184</f>
        <v>0</v>
      </c>
      <c r="D184" s="52" t="str">
        <f>Efficiencies!I184</f>
        <v>0</v>
      </c>
    </row>
    <row r="185" spans="1:4">
      <c r="A185" s="59">
        <f>Efficiencies!A185</f>
        <v>45999</v>
      </c>
      <c r="B185" s="61">
        <f>Efficiencies!G185</f>
        <v>0.72264776117516616</v>
      </c>
      <c r="C185" s="51">
        <f>Efficiencies!H185</f>
        <v>2.207628548241495</v>
      </c>
      <c r="D185" s="52">
        <f>Efficiencies!I185</f>
        <v>0.63773058440551866</v>
      </c>
    </row>
    <row r="186" spans="1:4" hidden="1">
      <c r="A186" s="59">
        <f>Efficiencies!A186</f>
        <v>46000</v>
      </c>
      <c r="B186" s="61" t="str">
        <f>Efficiencies!G186</f>
        <v>0</v>
      </c>
      <c r="C186" s="51" t="str">
        <f>Efficiencies!H186</f>
        <v>0</v>
      </c>
      <c r="D186" s="52" t="str">
        <f>Efficiencies!I186</f>
        <v>0</v>
      </c>
    </row>
    <row r="187" spans="1:4" hidden="1">
      <c r="A187" s="59">
        <f>Efficiencies!A187</f>
        <v>46001</v>
      </c>
      <c r="B187" s="61" t="str">
        <f>Efficiencies!G187</f>
        <v>0</v>
      </c>
      <c r="C187" s="51" t="str">
        <f>Efficiencies!H187</f>
        <v>0</v>
      </c>
      <c r="D187" s="52" t="str">
        <f>Efficiencies!I187</f>
        <v>0</v>
      </c>
    </row>
    <row r="188" spans="1:4" hidden="1">
      <c r="A188" s="59">
        <f>Efficiencies!A188</f>
        <v>46002</v>
      </c>
      <c r="B188" s="61" t="str">
        <f>Efficiencies!G188</f>
        <v>0</v>
      </c>
      <c r="C188" s="51" t="str">
        <f>Efficiencies!H188</f>
        <v>0</v>
      </c>
      <c r="D188" s="52" t="str">
        <f>Efficiencies!I188</f>
        <v>0</v>
      </c>
    </row>
    <row r="189" spans="1:4" hidden="1">
      <c r="A189" s="59">
        <f>Efficiencies!A189</f>
        <v>46003</v>
      </c>
      <c r="B189" s="61" t="str">
        <f>Efficiencies!G189</f>
        <v>0</v>
      </c>
      <c r="C189" s="51" t="str">
        <f>Efficiencies!H189</f>
        <v>0</v>
      </c>
      <c r="D189" s="52" t="str">
        <f>Efficiencies!I189</f>
        <v>0</v>
      </c>
    </row>
    <row r="190" spans="1:4" hidden="1">
      <c r="A190" s="59">
        <f>Efficiencies!A190</f>
        <v>46004</v>
      </c>
      <c r="B190" s="61" t="str">
        <f>Efficiencies!G190</f>
        <v>0</v>
      </c>
      <c r="C190" s="51" t="str">
        <f>Efficiencies!H190</f>
        <v>0</v>
      </c>
      <c r="D190" s="52" t="str">
        <f>Efficiencies!I190</f>
        <v>0</v>
      </c>
    </row>
    <row r="191" spans="1:4" hidden="1">
      <c r="A191" s="59">
        <f>Efficiencies!A191</f>
        <v>46005</v>
      </c>
      <c r="B191" s="61" t="str">
        <f>Efficiencies!G191</f>
        <v>0</v>
      </c>
      <c r="C191" s="51" t="str">
        <f>Efficiencies!H191</f>
        <v>0</v>
      </c>
      <c r="D191" s="52" t="str">
        <f>Efficiencies!I191</f>
        <v>0</v>
      </c>
    </row>
    <row r="192" spans="1:4" hidden="1">
      <c r="A192" s="59">
        <f>Efficiencies!A192</f>
        <v>46006</v>
      </c>
      <c r="B192" s="61" t="str">
        <f>Efficiencies!G192</f>
        <v>0</v>
      </c>
      <c r="C192" s="51" t="str">
        <f>Efficiencies!H192</f>
        <v>0</v>
      </c>
      <c r="D192" s="52" t="str">
        <f>Efficiencies!I192</f>
        <v>0</v>
      </c>
    </row>
    <row r="193" spans="1:4" hidden="1">
      <c r="A193" s="59">
        <f>Efficiencies!A193</f>
        <v>46007</v>
      </c>
      <c r="B193" s="61" t="str">
        <f>Efficiencies!G193</f>
        <v>0</v>
      </c>
      <c r="C193" s="51" t="str">
        <f>Efficiencies!H193</f>
        <v>0</v>
      </c>
      <c r="D193" s="52" t="str">
        <f>Efficiencies!I193</f>
        <v>0</v>
      </c>
    </row>
    <row r="194" spans="1:4" hidden="1">
      <c r="A194" s="59">
        <f>Efficiencies!A194</f>
        <v>46008</v>
      </c>
      <c r="B194" s="61" t="str">
        <f>Efficiencies!G194</f>
        <v>0</v>
      </c>
      <c r="C194" s="51" t="str">
        <f>Efficiencies!H194</f>
        <v>0</v>
      </c>
      <c r="D194" s="52" t="str">
        <f>Efficiencies!I194</f>
        <v>0</v>
      </c>
    </row>
    <row r="195" spans="1:4" hidden="1">
      <c r="A195" s="59">
        <f>Efficiencies!A195</f>
        <v>46009</v>
      </c>
      <c r="B195" s="61">
        <f>Efficiencies!G195</f>
        <v>0.72261605951654118</v>
      </c>
      <c r="C195" s="51">
        <f>Efficiencies!H195</f>
        <v>2.2266087530165697</v>
      </c>
      <c r="D195" s="52">
        <f>Efficiencies!I195</f>
        <v>0.69763594056951028</v>
      </c>
    </row>
    <row r="196" spans="1:4" hidden="1">
      <c r="A196" s="59">
        <f>Efficiencies!A196</f>
        <v>46010</v>
      </c>
      <c r="B196" s="61" t="str">
        <f>Efficiencies!G196</f>
        <v>0</v>
      </c>
      <c r="C196" s="51" t="str">
        <f>Efficiencies!H196</f>
        <v>0</v>
      </c>
      <c r="D196" s="52" t="str">
        <f>Efficiencies!I196</f>
        <v>0</v>
      </c>
    </row>
    <row r="197" spans="1:4" hidden="1">
      <c r="A197" s="59">
        <f>Efficiencies!A197</f>
        <v>46011</v>
      </c>
      <c r="B197" s="61" t="str">
        <f>Efficiencies!G197</f>
        <v>0</v>
      </c>
      <c r="C197" s="51" t="str">
        <f>Efficiencies!H197</f>
        <v>0</v>
      </c>
      <c r="D197" s="52" t="str">
        <f>Efficiencies!I197</f>
        <v>0</v>
      </c>
    </row>
    <row r="198" spans="1:4" hidden="1">
      <c r="A198" s="59">
        <f>Efficiencies!A198</f>
        <v>46012</v>
      </c>
      <c r="B198" s="61" t="str">
        <f>Efficiencies!G198</f>
        <v>0</v>
      </c>
      <c r="C198" s="51" t="str">
        <f>Efficiencies!H198</f>
        <v>0</v>
      </c>
      <c r="D198" s="52" t="str">
        <f>Efficiencies!I198</f>
        <v>0</v>
      </c>
    </row>
    <row r="199" spans="1:4" hidden="1">
      <c r="A199" s="59">
        <f>Efficiencies!A199</f>
        <v>46013</v>
      </c>
      <c r="B199" s="61" t="str">
        <f>Efficiencies!G199</f>
        <v>0</v>
      </c>
      <c r="C199" s="51" t="str">
        <f>Efficiencies!H199</f>
        <v>0</v>
      </c>
      <c r="D199" s="52" t="str">
        <f>Efficiencies!I199</f>
        <v>0</v>
      </c>
    </row>
    <row r="200" spans="1:4" hidden="1">
      <c r="A200" s="59">
        <f>Efficiencies!A200</f>
        <v>46014</v>
      </c>
      <c r="B200" s="61" t="str">
        <f>Efficiencies!G200</f>
        <v>0</v>
      </c>
      <c r="C200" s="51" t="str">
        <f>Efficiencies!H200</f>
        <v>0</v>
      </c>
      <c r="D200" s="52" t="str">
        <f>Efficiencies!I200</f>
        <v>0</v>
      </c>
    </row>
    <row r="201" spans="1:4" hidden="1">
      <c r="A201" s="59">
        <f>Efficiencies!A201</f>
        <v>46015</v>
      </c>
      <c r="B201" s="61" t="str">
        <f>Efficiencies!G201</f>
        <v>0</v>
      </c>
      <c r="C201" s="51" t="str">
        <f>Efficiencies!H201</f>
        <v>0</v>
      </c>
      <c r="D201" s="52" t="str">
        <f>Efficiencies!I201</f>
        <v>0</v>
      </c>
    </row>
    <row r="202" spans="1:4" hidden="1">
      <c r="A202" s="59">
        <f>Efficiencies!A202</f>
        <v>46016</v>
      </c>
      <c r="B202" s="61" t="str">
        <f>Efficiencies!G202</f>
        <v>0</v>
      </c>
      <c r="C202" s="51" t="str">
        <f>Efficiencies!H202</f>
        <v>0</v>
      </c>
      <c r="D202" s="52" t="str">
        <f>Efficiencies!I202</f>
        <v>0</v>
      </c>
    </row>
    <row r="203" spans="1:4" hidden="1">
      <c r="A203" s="59">
        <f>Efficiencies!A203</f>
        <v>46017</v>
      </c>
      <c r="B203" s="61" t="str">
        <f>Efficiencies!G203</f>
        <v>0</v>
      </c>
      <c r="C203" s="51" t="str">
        <f>Efficiencies!H203</f>
        <v>0</v>
      </c>
      <c r="D203" s="52" t="str">
        <f>Efficiencies!I203</f>
        <v>0</v>
      </c>
    </row>
    <row r="204" spans="1:4" hidden="1">
      <c r="A204" s="59">
        <f>Efficiencies!A204</f>
        <v>46018</v>
      </c>
      <c r="B204" s="61" t="str">
        <f>Efficiencies!G204</f>
        <v>0</v>
      </c>
      <c r="C204" s="51" t="str">
        <f>Efficiencies!H204</f>
        <v>0</v>
      </c>
      <c r="D204" s="52" t="str">
        <f>Efficiencies!I204</f>
        <v>0</v>
      </c>
    </row>
    <row r="205" spans="1:4" hidden="1">
      <c r="A205" s="59">
        <f>Efficiencies!A205</f>
        <v>46019</v>
      </c>
      <c r="B205" s="61" t="str">
        <f>Efficiencies!G205</f>
        <v>0</v>
      </c>
      <c r="C205" s="51" t="str">
        <f>Efficiencies!H205</f>
        <v>0</v>
      </c>
      <c r="D205" s="52" t="str">
        <f>Efficiencies!I205</f>
        <v>0</v>
      </c>
    </row>
    <row r="206" spans="1:4" hidden="1">
      <c r="A206" s="59">
        <f>Efficiencies!A206</f>
        <v>46020</v>
      </c>
      <c r="B206" s="61" t="str">
        <f>Efficiencies!G206</f>
        <v>0</v>
      </c>
      <c r="C206" s="51" t="str">
        <f>Efficiencies!H206</f>
        <v>0</v>
      </c>
      <c r="D206" s="52" t="str">
        <f>Efficiencies!I206</f>
        <v>0</v>
      </c>
    </row>
    <row r="207" spans="1:4" hidden="1">
      <c r="A207" s="59">
        <f>Efficiencies!A207</f>
        <v>46021</v>
      </c>
      <c r="B207" s="61" t="str">
        <f>Efficiencies!G207</f>
        <v>0</v>
      </c>
      <c r="C207" s="51" t="str">
        <f>Efficiencies!H207</f>
        <v>0</v>
      </c>
      <c r="D207" s="52" t="str">
        <f>Efficiencies!I207</f>
        <v>0</v>
      </c>
    </row>
    <row r="208" spans="1:4" ht="16.5" hidden="1" thickBot="1">
      <c r="A208" s="60">
        <f>Efficiencies!A208</f>
        <v>46022</v>
      </c>
      <c r="B208" s="67" t="str">
        <f>Efficiencies!G208</f>
        <v>0</v>
      </c>
      <c r="C208" s="54" t="str">
        <f>Efficiencies!H208</f>
        <v>0</v>
      </c>
      <c r="D208" s="55" t="str">
        <f>Efficiencies!I208</f>
        <v>0</v>
      </c>
    </row>
  </sheetData>
  <sheetProtection algorithmName="SHA-512" hashValue="xuH2pxsBmhk+R3qWy28KyV4BVxYlzB9YlxmnMuMZsTcgvMmC5ncmBKp1I3iF2K/Dkjl/EO4KRLLFvOyLSVtYXA==" saltValue="tKmLCghqoXVQtcTo/aMBMw==" spinCount="100000" sheet="1" objects="1" scenarios="1" autoFilter="0"/>
  <autoFilter ref="A4:D208" xr:uid="{FFEF645B-3BAE-B64B-BB87-7CD59A404828}">
    <filterColumn colId="1">
      <filters>
        <filter val="72%"/>
        <filter val="73%"/>
        <filter val="74%"/>
        <filter val="75%"/>
      </filters>
    </filterColumn>
  </autoFilter>
  <mergeCells count="1">
    <mergeCell ref="B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5C74-D7DB-2142-91A5-0AAD6C6E9648}">
  <sheetPr codeName="Sheet4" filterMode="1"/>
  <dimension ref="A1:D208"/>
  <sheetViews>
    <sheetView workbookViewId="0">
      <pane ySplit="4" topLeftCell="A160" activePane="bottomLeft" state="frozen"/>
      <selection pane="bottomLeft" activeCell="D160" sqref="D160"/>
    </sheetView>
  </sheetViews>
  <sheetFormatPr defaultColWidth="11" defaultRowHeight="15.95"/>
  <cols>
    <col min="2" max="2" width="10.875" style="43"/>
  </cols>
  <sheetData>
    <row r="1" spans="1:4" ht="24.95" customHeight="1">
      <c r="A1" s="56"/>
      <c r="B1" s="306" t="s">
        <v>52</v>
      </c>
      <c r="C1" s="307"/>
      <c r="D1" s="308"/>
    </row>
    <row r="2" spans="1:4">
      <c r="A2" s="57">
        <f>Efficiencies!A2</f>
        <v>0</v>
      </c>
      <c r="B2" s="63" t="str">
        <f>Efficiencies!J2</f>
        <v>HPD</v>
      </c>
      <c r="C2" s="45">
        <f>Efficiencies!K2</f>
        <v>0</v>
      </c>
      <c r="D2" s="46">
        <f>Efficiencies!L2</f>
        <v>0</v>
      </c>
    </row>
    <row r="3" spans="1:4">
      <c r="A3" s="57" t="str">
        <f>Efficiencies!A3</f>
        <v>Design Values</v>
      </c>
      <c r="B3" s="63">
        <f>Efficiencies!J3</f>
        <v>0.65400000000000003</v>
      </c>
      <c r="C3" s="45">
        <f>Efficiencies!K3</f>
        <v>2.41</v>
      </c>
      <c r="D3" s="46">
        <f>Efficiencies!L3</f>
        <v>0.55000000000000004</v>
      </c>
    </row>
    <row r="4" spans="1:4">
      <c r="A4" s="58" t="str">
        <f>Efficiencies!A4</f>
        <v>Date</v>
      </c>
      <c r="B4" s="64" t="str">
        <f>Efficiencies!J4</f>
        <v>Efficiency</v>
      </c>
      <c r="C4" s="48" t="str">
        <f>Efficiencies!K4</f>
        <v>N/C</v>
      </c>
      <c r="D4" s="49" t="str">
        <f>Efficiencies!L4</f>
        <v>H/C</v>
      </c>
    </row>
    <row r="5" spans="1:4" hidden="1">
      <c r="A5" s="59">
        <f>Efficiencies!A5</f>
        <v>45819</v>
      </c>
      <c r="B5" s="61" t="str">
        <f>Efficiencies!J5</f>
        <v>0</v>
      </c>
      <c r="C5" s="51" t="str">
        <f>Efficiencies!K5</f>
        <v>0</v>
      </c>
      <c r="D5" s="52" t="str">
        <f>Efficiencies!L5</f>
        <v>0</v>
      </c>
    </row>
    <row r="6" spans="1:4">
      <c r="A6" s="59">
        <f>Efficiencies!A6</f>
        <v>45820</v>
      </c>
      <c r="B6" s="61">
        <f>Efficiencies!J6</f>
        <v>0.59743829245175306</v>
      </c>
      <c r="C6" s="51">
        <f>Efficiencies!K6</f>
        <v>2.3958082903563529</v>
      </c>
      <c r="D6" s="52">
        <f>Efficiencies!L6</f>
        <v>0.7861459019995608</v>
      </c>
    </row>
    <row r="7" spans="1:4" hidden="1">
      <c r="A7" s="59">
        <f>Efficiencies!A7</f>
        <v>45821</v>
      </c>
      <c r="B7" s="61" t="str">
        <f>Efficiencies!J7</f>
        <v>0</v>
      </c>
      <c r="C7" s="51" t="str">
        <f>Efficiencies!K7</f>
        <v>0</v>
      </c>
      <c r="D7" s="52" t="str">
        <f>Efficiencies!L7</f>
        <v>0</v>
      </c>
    </row>
    <row r="8" spans="1:4" hidden="1">
      <c r="A8" s="59">
        <f>Efficiencies!A8</f>
        <v>45822</v>
      </c>
      <c r="B8" s="61" t="str">
        <f>Efficiencies!J8</f>
        <v>0</v>
      </c>
      <c r="C8" s="51" t="str">
        <f>Efficiencies!K8</f>
        <v>0</v>
      </c>
      <c r="D8" s="52" t="str">
        <f>Efficiencies!L8</f>
        <v>0</v>
      </c>
    </row>
    <row r="9" spans="1:4" hidden="1">
      <c r="A9" s="59">
        <f>Efficiencies!A9</f>
        <v>45823</v>
      </c>
      <c r="B9" s="61" t="str">
        <f>Efficiencies!J9</f>
        <v>0</v>
      </c>
      <c r="C9" s="51" t="str">
        <f>Efficiencies!K9</f>
        <v>0</v>
      </c>
      <c r="D9" s="52" t="str">
        <f>Efficiencies!L9</f>
        <v>0</v>
      </c>
    </row>
    <row r="10" spans="1:4">
      <c r="A10" s="59">
        <f>Efficiencies!A10</f>
        <v>45824</v>
      </c>
      <c r="B10" s="61">
        <f>Efficiencies!J10</f>
        <v>0.60149280702827235</v>
      </c>
      <c r="C10" s="51">
        <f>Efficiencies!K10</f>
        <v>2.3706229926330118</v>
      </c>
      <c r="D10" s="52">
        <f>Efficiencies!L10</f>
        <v>0.74656063500525693</v>
      </c>
    </row>
    <row r="11" spans="1:4" hidden="1">
      <c r="A11" s="59">
        <f>Efficiencies!A11</f>
        <v>45825</v>
      </c>
      <c r="B11" s="61" t="str">
        <f>Efficiencies!J11</f>
        <v>0</v>
      </c>
      <c r="C11" s="51" t="str">
        <f>Efficiencies!K11</f>
        <v>0</v>
      </c>
      <c r="D11" s="52" t="str">
        <f>Efficiencies!L11</f>
        <v>0</v>
      </c>
    </row>
    <row r="12" spans="1:4" hidden="1">
      <c r="A12" s="59">
        <f>Efficiencies!A12</f>
        <v>45826</v>
      </c>
      <c r="B12" s="61" t="str">
        <f>Efficiencies!J12</f>
        <v>0</v>
      </c>
      <c r="C12" s="51" t="str">
        <f>Efficiencies!K12</f>
        <v>0</v>
      </c>
      <c r="D12" s="52" t="str">
        <f>Efficiencies!L12</f>
        <v>0</v>
      </c>
    </row>
    <row r="13" spans="1:4">
      <c r="A13" s="59">
        <f>Efficiencies!A13</f>
        <v>45827</v>
      </c>
      <c r="B13" s="61">
        <f>Efficiencies!J13</f>
        <v>0.5987205515163031</v>
      </c>
      <c r="C13" s="51">
        <f>Efficiencies!K13</f>
        <v>2.3879875175082699</v>
      </c>
      <c r="D13" s="52">
        <f>Efficiencies!L13</f>
        <v>0.60770548358302601</v>
      </c>
    </row>
    <row r="14" spans="1:4" hidden="1">
      <c r="A14" s="59">
        <f>Efficiencies!A14</f>
        <v>45828</v>
      </c>
      <c r="B14" s="61" t="str">
        <f>Efficiencies!J14</f>
        <v>0</v>
      </c>
      <c r="C14" s="51" t="str">
        <f>Efficiencies!K14</f>
        <v>0</v>
      </c>
      <c r="D14" s="52" t="str">
        <f>Efficiencies!L14</f>
        <v>0</v>
      </c>
    </row>
    <row r="15" spans="1:4" hidden="1">
      <c r="A15" s="59">
        <f>Efficiencies!A15</f>
        <v>45829</v>
      </c>
      <c r="B15" s="61" t="str">
        <f>Efficiencies!J15</f>
        <v>0</v>
      </c>
      <c r="C15" s="51" t="str">
        <f>Efficiencies!K15</f>
        <v>0</v>
      </c>
      <c r="D15" s="52" t="str">
        <f>Efficiencies!L15</f>
        <v>0</v>
      </c>
    </row>
    <row r="16" spans="1:4" hidden="1">
      <c r="A16" s="59">
        <f>Efficiencies!A16</f>
        <v>45830</v>
      </c>
      <c r="B16" s="61" t="str">
        <f>Efficiencies!J16</f>
        <v>0</v>
      </c>
      <c r="C16" s="51" t="str">
        <f>Efficiencies!K16</f>
        <v>0</v>
      </c>
      <c r="D16" s="52" t="str">
        <f>Efficiencies!L16</f>
        <v>0</v>
      </c>
    </row>
    <row r="17" spans="1:4">
      <c r="A17" s="59">
        <f>Efficiencies!A17</f>
        <v>45831</v>
      </c>
      <c r="B17" s="61">
        <f>Efficiencies!J17</f>
        <v>0.59491954821030613</v>
      </c>
      <c r="C17" s="51">
        <f>Efficiencies!K17</f>
        <v>2.3971524367411412</v>
      </c>
      <c r="D17" s="52">
        <f>Efficiencies!L17</f>
        <v>0.65730104143801416</v>
      </c>
    </row>
    <row r="18" spans="1:4" hidden="1">
      <c r="A18" s="59">
        <f>Efficiencies!A18</f>
        <v>45832</v>
      </c>
      <c r="B18" s="61" t="str">
        <f>Efficiencies!J18</f>
        <v>0</v>
      </c>
      <c r="C18" s="51" t="str">
        <f>Efficiencies!K18</f>
        <v>0</v>
      </c>
      <c r="D18" s="52" t="str">
        <f>Efficiencies!L18</f>
        <v>0</v>
      </c>
    </row>
    <row r="19" spans="1:4" hidden="1">
      <c r="A19" s="59">
        <f>Efficiencies!A19</f>
        <v>45833</v>
      </c>
      <c r="B19" s="61" t="str">
        <f>Efficiencies!J19</f>
        <v>0</v>
      </c>
      <c r="C19" s="51" t="str">
        <f>Efficiencies!K19</f>
        <v>0</v>
      </c>
      <c r="D19" s="52" t="str">
        <f>Efficiencies!L19</f>
        <v>0</v>
      </c>
    </row>
    <row r="20" spans="1:4">
      <c r="A20" s="59">
        <f>Efficiencies!A20</f>
        <v>45834</v>
      </c>
      <c r="B20" s="61">
        <f>Efficiencies!J20</f>
        <v>0.59760350453507005</v>
      </c>
      <c r="C20" s="51">
        <f>Efficiencies!K20</f>
        <v>2.3674577732834048</v>
      </c>
      <c r="D20" s="52">
        <f>Efficiencies!L20</f>
        <v>0.65241357243626108</v>
      </c>
    </row>
    <row r="21" spans="1:4" hidden="1">
      <c r="A21" s="59">
        <f>Efficiencies!A21</f>
        <v>45835</v>
      </c>
      <c r="B21" s="61" t="str">
        <f>Efficiencies!J21</f>
        <v>0</v>
      </c>
      <c r="C21" s="51" t="str">
        <f>Efficiencies!K21</f>
        <v>0</v>
      </c>
      <c r="D21" s="52" t="str">
        <f>Efficiencies!L21</f>
        <v>0</v>
      </c>
    </row>
    <row r="22" spans="1:4" hidden="1">
      <c r="A22" s="59">
        <f>Efficiencies!A22</f>
        <v>45836</v>
      </c>
      <c r="B22" s="61" t="str">
        <f>Efficiencies!J22</f>
        <v>0</v>
      </c>
      <c r="C22" s="51" t="str">
        <f>Efficiencies!K22</f>
        <v>0</v>
      </c>
      <c r="D22" s="52" t="str">
        <f>Efficiencies!L22</f>
        <v>0</v>
      </c>
    </row>
    <row r="23" spans="1:4" hidden="1">
      <c r="A23" s="59">
        <f>Efficiencies!A23</f>
        <v>45837</v>
      </c>
      <c r="B23" s="61" t="str">
        <f>Efficiencies!J23</f>
        <v>0</v>
      </c>
      <c r="C23" s="51" t="str">
        <f>Efficiencies!K23</f>
        <v>0</v>
      </c>
      <c r="D23" s="52" t="str">
        <f>Efficiencies!L23</f>
        <v>0</v>
      </c>
    </row>
    <row r="24" spans="1:4">
      <c r="A24" s="59">
        <f>Efficiencies!A24</f>
        <v>45838</v>
      </c>
      <c r="B24" s="61">
        <f>Efficiencies!J24</f>
        <v>0.59991586709143963</v>
      </c>
      <c r="C24" s="51">
        <f>Efficiencies!K24</f>
        <v>2.3845230641230541</v>
      </c>
      <c r="D24" s="52">
        <f>Efficiencies!L24</f>
        <v>0.62808765229513619</v>
      </c>
    </row>
    <row r="25" spans="1:4" hidden="1">
      <c r="A25" s="59">
        <f>Efficiencies!A25</f>
        <v>45839</v>
      </c>
      <c r="B25" s="61" t="str">
        <f>Efficiencies!J25</f>
        <v>0</v>
      </c>
      <c r="C25" s="51" t="str">
        <f>Efficiencies!K25</f>
        <v>0</v>
      </c>
      <c r="D25" s="52" t="str">
        <f>Efficiencies!L25</f>
        <v>0</v>
      </c>
    </row>
    <row r="26" spans="1:4" hidden="1">
      <c r="A26" s="59">
        <f>Efficiencies!A26</f>
        <v>45840</v>
      </c>
      <c r="B26" s="61" t="str">
        <f>Efficiencies!J26</f>
        <v>0</v>
      </c>
      <c r="C26" s="51" t="str">
        <f>Efficiencies!K26</f>
        <v>0</v>
      </c>
      <c r="D26" s="52" t="str">
        <f>Efficiencies!L26</f>
        <v>0</v>
      </c>
    </row>
    <row r="27" spans="1:4">
      <c r="A27" s="59">
        <f>Efficiencies!A27</f>
        <v>45841</v>
      </c>
      <c r="B27" s="61">
        <f>Efficiencies!J27</f>
        <v>0.6006114441154522</v>
      </c>
      <c r="C27" s="51">
        <f>Efficiencies!K27</f>
        <v>2.3883987711040335</v>
      </c>
      <c r="D27" s="52">
        <f>Efficiencies!L27</f>
        <v>0.62380876324335832</v>
      </c>
    </row>
    <row r="28" spans="1:4" hidden="1">
      <c r="A28" s="59">
        <f>Efficiencies!A28</f>
        <v>45842</v>
      </c>
      <c r="B28" s="61" t="str">
        <f>Efficiencies!J28</f>
        <v>0</v>
      </c>
      <c r="C28" s="51" t="str">
        <f>Efficiencies!K28</f>
        <v>0</v>
      </c>
      <c r="D28" s="52" t="str">
        <f>Efficiencies!L28</f>
        <v>0</v>
      </c>
    </row>
    <row r="29" spans="1:4" hidden="1">
      <c r="A29" s="59">
        <f>Efficiencies!A29</f>
        <v>45843</v>
      </c>
      <c r="B29" s="61" t="str">
        <f>Efficiencies!J29</f>
        <v>0</v>
      </c>
      <c r="C29" s="51" t="str">
        <f>Efficiencies!K29</f>
        <v>0</v>
      </c>
      <c r="D29" s="52" t="str">
        <f>Efficiencies!L29</f>
        <v>0</v>
      </c>
    </row>
    <row r="30" spans="1:4" hidden="1">
      <c r="A30" s="59">
        <f>Efficiencies!A30</f>
        <v>45844</v>
      </c>
      <c r="B30" s="61" t="str">
        <f>Efficiencies!J30</f>
        <v>0</v>
      </c>
      <c r="C30" s="51" t="str">
        <f>Efficiencies!K30</f>
        <v>0</v>
      </c>
      <c r="D30" s="52" t="str">
        <f>Efficiencies!L30</f>
        <v>0</v>
      </c>
    </row>
    <row r="31" spans="1:4" hidden="1">
      <c r="A31" s="59">
        <f>Efficiencies!A31</f>
        <v>45845</v>
      </c>
      <c r="B31" s="61" t="str">
        <f>Efficiencies!J31</f>
        <v>0</v>
      </c>
      <c r="C31" s="51" t="str">
        <f>Efficiencies!K31</f>
        <v>0</v>
      </c>
      <c r="D31" s="52" t="str">
        <f>Efficiencies!L31</f>
        <v>0</v>
      </c>
    </row>
    <row r="32" spans="1:4" hidden="1">
      <c r="A32" s="59">
        <f>Efficiencies!A32</f>
        <v>45846</v>
      </c>
      <c r="B32" s="61" t="str">
        <f>Efficiencies!J32</f>
        <v>0</v>
      </c>
      <c r="C32" s="51" t="str">
        <f>Efficiencies!K32</f>
        <v>0</v>
      </c>
      <c r="D32" s="52" t="str">
        <f>Efficiencies!L32</f>
        <v>0</v>
      </c>
    </row>
    <row r="33" spans="1:4" hidden="1">
      <c r="A33" s="59">
        <f>Efficiencies!A33</f>
        <v>45847</v>
      </c>
      <c r="B33" s="61" t="str">
        <f>Efficiencies!J33</f>
        <v>0</v>
      </c>
      <c r="C33" s="51" t="str">
        <f>Efficiencies!K33</f>
        <v>0</v>
      </c>
      <c r="D33" s="52" t="str">
        <f>Efficiencies!L33</f>
        <v>0</v>
      </c>
    </row>
    <row r="34" spans="1:4" hidden="1">
      <c r="A34" s="59">
        <f>Efficiencies!A34</f>
        <v>45848</v>
      </c>
      <c r="B34" s="61" t="str">
        <f>Efficiencies!J34</f>
        <v>0</v>
      </c>
      <c r="C34" s="51" t="str">
        <f>Efficiencies!K34</f>
        <v>0</v>
      </c>
      <c r="D34" s="52" t="str">
        <f>Efficiencies!L34</f>
        <v>0</v>
      </c>
    </row>
    <row r="35" spans="1:4" hidden="1">
      <c r="A35" s="59">
        <f>Efficiencies!A35</f>
        <v>45849</v>
      </c>
      <c r="B35" s="61" t="str">
        <f>Efficiencies!J35</f>
        <v>0</v>
      </c>
      <c r="C35" s="51" t="str">
        <f>Efficiencies!K35</f>
        <v>0</v>
      </c>
      <c r="D35" s="52" t="str">
        <f>Efficiencies!L35</f>
        <v>0</v>
      </c>
    </row>
    <row r="36" spans="1:4" hidden="1">
      <c r="A36" s="59">
        <f>Efficiencies!A36</f>
        <v>45850</v>
      </c>
      <c r="B36" s="61" t="str">
        <f>Efficiencies!J36</f>
        <v>0</v>
      </c>
      <c r="C36" s="51" t="str">
        <f>Efficiencies!K36</f>
        <v>0</v>
      </c>
      <c r="D36" s="52" t="str">
        <f>Efficiencies!L36</f>
        <v>0</v>
      </c>
    </row>
    <row r="37" spans="1:4" hidden="1">
      <c r="A37" s="59">
        <f>Efficiencies!A37</f>
        <v>45851</v>
      </c>
      <c r="B37" s="61" t="str">
        <f>Efficiencies!J37</f>
        <v>0</v>
      </c>
      <c r="C37" s="51" t="str">
        <f>Efficiencies!K37</f>
        <v>0</v>
      </c>
      <c r="D37" s="52" t="str">
        <f>Efficiencies!L37</f>
        <v>0</v>
      </c>
    </row>
    <row r="38" spans="1:4" hidden="1">
      <c r="A38" s="59">
        <f>Efficiencies!A38</f>
        <v>45852</v>
      </c>
      <c r="B38" s="61" t="str">
        <f>Efficiencies!J38</f>
        <v>0</v>
      </c>
      <c r="C38" s="51" t="str">
        <f>Efficiencies!K38</f>
        <v>0</v>
      </c>
      <c r="D38" s="52" t="str">
        <f>Efficiencies!L38</f>
        <v>0</v>
      </c>
    </row>
    <row r="39" spans="1:4" hidden="1">
      <c r="A39" s="59">
        <f>Efficiencies!A39</f>
        <v>45853</v>
      </c>
      <c r="B39" s="61" t="str">
        <f>Efficiencies!J39</f>
        <v>0</v>
      </c>
      <c r="C39" s="51" t="str">
        <f>Efficiencies!K39</f>
        <v>0</v>
      </c>
      <c r="D39" s="52" t="str">
        <f>Efficiencies!L39</f>
        <v>0</v>
      </c>
    </row>
    <row r="40" spans="1:4" hidden="1">
      <c r="A40" s="59">
        <f>Efficiencies!A40</f>
        <v>45854</v>
      </c>
      <c r="B40" s="61" t="str">
        <f>Efficiencies!J40</f>
        <v>0</v>
      </c>
      <c r="C40" s="51" t="str">
        <f>Efficiencies!K40</f>
        <v>0</v>
      </c>
      <c r="D40" s="52" t="str">
        <f>Efficiencies!L40</f>
        <v>0</v>
      </c>
    </row>
    <row r="41" spans="1:4">
      <c r="A41" s="59">
        <f>Efficiencies!A41</f>
        <v>45855</v>
      </c>
      <c r="B41" s="61">
        <f>Efficiencies!J41</f>
        <v>0.60120094072140118</v>
      </c>
      <c r="C41" s="51">
        <f>Efficiencies!K41</f>
        <v>2.3975161203516677</v>
      </c>
      <c r="D41" s="52">
        <f>Efficiencies!L41</f>
        <v>0.5993977647808213</v>
      </c>
    </row>
    <row r="42" spans="1:4" hidden="1">
      <c r="A42" s="59">
        <f>Efficiencies!A42</f>
        <v>45856</v>
      </c>
      <c r="B42" s="61" t="str">
        <f>Efficiencies!J42</f>
        <v>0</v>
      </c>
      <c r="C42" s="51" t="str">
        <f>Efficiencies!K42</f>
        <v>0</v>
      </c>
      <c r="D42" s="52" t="str">
        <f>Efficiencies!L42</f>
        <v>0</v>
      </c>
    </row>
    <row r="43" spans="1:4" hidden="1">
      <c r="A43" s="59">
        <f>Efficiencies!A43</f>
        <v>45857</v>
      </c>
      <c r="B43" s="61" t="str">
        <f>Efficiencies!J43</f>
        <v>0</v>
      </c>
      <c r="C43" s="51" t="str">
        <f>Efficiencies!K43</f>
        <v>0</v>
      </c>
      <c r="D43" s="52" t="str">
        <f>Efficiencies!L43</f>
        <v>0</v>
      </c>
    </row>
    <row r="44" spans="1:4" hidden="1">
      <c r="A44" s="59">
        <f>Efficiencies!A44</f>
        <v>45858</v>
      </c>
      <c r="B44" s="61" t="str">
        <f>Efficiencies!J44</f>
        <v>0</v>
      </c>
      <c r="C44" s="51" t="str">
        <f>Efficiencies!K44</f>
        <v>0</v>
      </c>
      <c r="D44" s="52" t="str">
        <f>Efficiencies!L44</f>
        <v>0</v>
      </c>
    </row>
    <row r="45" spans="1:4">
      <c r="A45" s="59">
        <f>Efficiencies!A45</f>
        <v>45859</v>
      </c>
      <c r="B45" s="61">
        <f>Efficiencies!J45</f>
        <v>0.61456498737403631</v>
      </c>
      <c r="C45" s="51">
        <f>Efficiencies!K45</f>
        <v>2.4091514882274545</v>
      </c>
      <c r="D45" s="52">
        <f>Efficiencies!L45</f>
        <v>0.70993138851868332</v>
      </c>
    </row>
    <row r="46" spans="1:4" hidden="1">
      <c r="A46" s="59">
        <f>Efficiencies!A46</f>
        <v>45860</v>
      </c>
      <c r="B46" s="61" t="str">
        <f>Efficiencies!J46</f>
        <v>0</v>
      </c>
      <c r="C46" s="51" t="str">
        <f>Efficiencies!K46</f>
        <v>0</v>
      </c>
      <c r="D46" s="52" t="str">
        <f>Efficiencies!L46</f>
        <v>0</v>
      </c>
    </row>
    <row r="47" spans="1:4" hidden="1">
      <c r="A47" s="59">
        <f>Efficiencies!A47</f>
        <v>45861</v>
      </c>
      <c r="B47" s="61" t="str">
        <f>Efficiencies!J47</f>
        <v>0</v>
      </c>
      <c r="C47" s="51" t="str">
        <f>Efficiencies!K47</f>
        <v>0</v>
      </c>
      <c r="D47" s="52" t="str">
        <f>Efficiencies!L47</f>
        <v>0</v>
      </c>
    </row>
    <row r="48" spans="1:4" hidden="1">
      <c r="A48" s="59">
        <f>Efficiencies!A48</f>
        <v>45862</v>
      </c>
      <c r="B48" s="61" t="str">
        <f>Efficiencies!J48</f>
        <v>0</v>
      </c>
      <c r="C48" s="51" t="str">
        <f>Efficiencies!K48</f>
        <v>0</v>
      </c>
      <c r="D48" s="52" t="str">
        <f>Efficiencies!L48</f>
        <v>0</v>
      </c>
    </row>
    <row r="49" spans="1:4" hidden="1">
      <c r="A49" s="59">
        <f>Efficiencies!A49</f>
        <v>45863</v>
      </c>
      <c r="B49" s="61" t="str">
        <f>Efficiencies!J49</f>
        <v>0</v>
      </c>
      <c r="C49" s="51" t="str">
        <f>Efficiencies!K49</f>
        <v>0</v>
      </c>
      <c r="D49" s="52" t="str">
        <f>Efficiencies!L49</f>
        <v>0</v>
      </c>
    </row>
    <row r="50" spans="1:4" hidden="1">
      <c r="A50" s="59">
        <f>Efficiencies!A50</f>
        <v>45864</v>
      </c>
      <c r="B50" s="61" t="str">
        <f>Efficiencies!J50</f>
        <v>0</v>
      </c>
      <c r="C50" s="51" t="str">
        <f>Efficiencies!K50</f>
        <v>0</v>
      </c>
      <c r="D50" s="52" t="str">
        <f>Efficiencies!L50</f>
        <v>0</v>
      </c>
    </row>
    <row r="51" spans="1:4" hidden="1">
      <c r="A51" s="59">
        <f>Efficiencies!A51</f>
        <v>45865</v>
      </c>
      <c r="B51" s="61" t="str">
        <f>Efficiencies!J51</f>
        <v>0</v>
      </c>
      <c r="C51" s="51" t="str">
        <f>Efficiencies!K51</f>
        <v>0</v>
      </c>
      <c r="D51" s="52" t="str">
        <f>Efficiencies!L51</f>
        <v>0</v>
      </c>
    </row>
    <row r="52" spans="1:4" hidden="1">
      <c r="A52" s="59">
        <f>Efficiencies!A52</f>
        <v>45866</v>
      </c>
      <c r="B52" s="61" t="str">
        <f>Efficiencies!J52</f>
        <v>0</v>
      </c>
      <c r="C52" s="51" t="str">
        <f>Efficiencies!K52</f>
        <v>0</v>
      </c>
      <c r="D52" s="52" t="str">
        <f>Efficiencies!L52</f>
        <v>0</v>
      </c>
    </row>
    <row r="53" spans="1:4" hidden="1">
      <c r="A53" s="59">
        <f>Efficiencies!A53</f>
        <v>45867</v>
      </c>
      <c r="B53" s="61" t="str">
        <f>Efficiencies!J53</f>
        <v>0</v>
      </c>
      <c r="C53" s="51" t="str">
        <f>Efficiencies!K53</f>
        <v>0</v>
      </c>
      <c r="D53" s="52" t="str">
        <f>Efficiencies!L53</f>
        <v>0</v>
      </c>
    </row>
    <row r="54" spans="1:4" hidden="1">
      <c r="A54" s="59">
        <f>Efficiencies!A54</f>
        <v>45868</v>
      </c>
      <c r="B54" s="61" t="str">
        <f>Efficiencies!J54</f>
        <v>0</v>
      </c>
      <c r="C54" s="51" t="str">
        <f>Efficiencies!K54</f>
        <v>0</v>
      </c>
      <c r="D54" s="52" t="str">
        <f>Efficiencies!L54</f>
        <v>0</v>
      </c>
    </row>
    <row r="55" spans="1:4" hidden="1">
      <c r="A55" s="59">
        <f>Efficiencies!A55</f>
        <v>45869</v>
      </c>
      <c r="B55" s="61" t="str">
        <f>Efficiencies!J55</f>
        <v>0</v>
      </c>
      <c r="C55" s="51" t="str">
        <f>Efficiencies!K55</f>
        <v>0</v>
      </c>
      <c r="D55" s="52" t="str">
        <f>Efficiencies!L55</f>
        <v>0</v>
      </c>
    </row>
    <row r="56" spans="1:4" hidden="1">
      <c r="A56" s="59">
        <f>Efficiencies!A56</f>
        <v>45870</v>
      </c>
      <c r="B56" s="61" t="str">
        <f>Efficiencies!J56</f>
        <v>0</v>
      </c>
      <c r="C56" s="51" t="str">
        <f>Efficiencies!K56</f>
        <v>0</v>
      </c>
      <c r="D56" s="52" t="str">
        <f>Efficiencies!L56</f>
        <v>0</v>
      </c>
    </row>
    <row r="57" spans="1:4" hidden="1">
      <c r="A57" s="59">
        <f>Efficiencies!A57</f>
        <v>45871</v>
      </c>
      <c r="B57" s="61" t="str">
        <f>Efficiencies!J57</f>
        <v>0</v>
      </c>
      <c r="C57" s="51" t="str">
        <f>Efficiencies!K57</f>
        <v>0</v>
      </c>
      <c r="D57" s="52" t="str">
        <f>Efficiencies!L57</f>
        <v>0</v>
      </c>
    </row>
    <row r="58" spans="1:4" hidden="1">
      <c r="A58" s="59">
        <f>Efficiencies!A58</f>
        <v>45872</v>
      </c>
      <c r="B58" s="61" t="str">
        <f>Efficiencies!J58</f>
        <v>0</v>
      </c>
      <c r="C58" s="51" t="str">
        <f>Efficiencies!K58</f>
        <v>0</v>
      </c>
      <c r="D58" s="52" t="str">
        <f>Efficiencies!L58</f>
        <v>0</v>
      </c>
    </row>
    <row r="59" spans="1:4" hidden="1">
      <c r="A59" s="59">
        <f>Efficiencies!A59</f>
        <v>45873</v>
      </c>
      <c r="B59" s="61" t="str">
        <f>Efficiencies!J59</f>
        <v>0</v>
      </c>
      <c r="C59" s="51" t="str">
        <f>Efficiencies!K59</f>
        <v>0</v>
      </c>
      <c r="D59" s="52" t="str">
        <f>Efficiencies!L59</f>
        <v>0</v>
      </c>
    </row>
    <row r="60" spans="1:4" hidden="1">
      <c r="A60" s="59">
        <f>Efficiencies!A60</f>
        <v>45874</v>
      </c>
      <c r="B60" s="61" t="str">
        <f>Efficiencies!J60</f>
        <v>0</v>
      </c>
      <c r="C60" s="51" t="str">
        <f>Efficiencies!K60</f>
        <v>0</v>
      </c>
      <c r="D60" s="52" t="str">
        <f>Efficiencies!L60</f>
        <v>0</v>
      </c>
    </row>
    <row r="61" spans="1:4" hidden="1">
      <c r="A61" s="59">
        <f>Efficiencies!A61</f>
        <v>45875</v>
      </c>
      <c r="B61" s="61" t="str">
        <f>Efficiencies!J61</f>
        <v>0</v>
      </c>
      <c r="C61" s="51" t="str">
        <f>Efficiencies!K61</f>
        <v>0</v>
      </c>
      <c r="D61" s="52" t="str">
        <f>Efficiencies!L61</f>
        <v>0</v>
      </c>
    </row>
    <row r="62" spans="1:4" hidden="1">
      <c r="A62" s="59">
        <f>Efficiencies!A62</f>
        <v>45876</v>
      </c>
      <c r="B62" s="61" t="str">
        <f>Efficiencies!J62</f>
        <v>0</v>
      </c>
      <c r="C62" s="51" t="str">
        <f>Efficiencies!K62</f>
        <v>0</v>
      </c>
      <c r="D62" s="52" t="str">
        <f>Efficiencies!L62</f>
        <v>0</v>
      </c>
    </row>
    <row r="63" spans="1:4" hidden="1">
      <c r="A63" s="59">
        <f>Efficiencies!A63</f>
        <v>45877</v>
      </c>
      <c r="B63" s="61" t="str">
        <f>Efficiencies!J63</f>
        <v>0</v>
      </c>
      <c r="C63" s="51" t="str">
        <f>Efficiencies!K63</f>
        <v>0</v>
      </c>
      <c r="D63" s="52" t="str">
        <f>Efficiencies!L63</f>
        <v>0</v>
      </c>
    </row>
    <row r="64" spans="1:4" hidden="1">
      <c r="A64" s="59">
        <f>Efficiencies!A64</f>
        <v>45878</v>
      </c>
      <c r="B64" s="61" t="str">
        <f>Efficiencies!J64</f>
        <v>0</v>
      </c>
      <c r="C64" s="51" t="str">
        <f>Efficiencies!K64</f>
        <v>0</v>
      </c>
      <c r="D64" s="52" t="str">
        <f>Efficiencies!L64</f>
        <v>0</v>
      </c>
    </row>
    <row r="65" spans="1:4" hidden="1">
      <c r="A65" s="59">
        <f>Efficiencies!A65</f>
        <v>45879</v>
      </c>
      <c r="B65" s="61" t="str">
        <f>Efficiencies!J65</f>
        <v>0</v>
      </c>
      <c r="C65" s="51" t="str">
        <f>Efficiencies!K65</f>
        <v>0</v>
      </c>
      <c r="D65" s="52" t="str">
        <f>Efficiencies!L65</f>
        <v>0</v>
      </c>
    </row>
    <row r="66" spans="1:4">
      <c r="A66" s="59">
        <f>Efficiencies!A66</f>
        <v>45880</v>
      </c>
      <c r="B66" s="61">
        <f>Efficiencies!J66</f>
        <v>0.60041174874059178</v>
      </c>
      <c r="C66" s="51">
        <f>Efficiencies!K66</f>
        <v>2.3911100200621331</v>
      </c>
      <c r="D66" s="52">
        <f>Efficiencies!L66</f>
        <v>0.57382357173693999</v>
      </c>
    </row>
    <row r="67" spans="1:4" hidden="1">
      <c r="A67" s="59">
        <f>Efficiencies!A67</f>
        <v>45881</v>
      </c>
      <c r="B67" s="61" t="str">
        <f>Efficiencies!J67</f>
        <v>0</v>
      </c>
      <c r="C67" s="51" t="str">
        <f>Efficiencies!K67</f>
        <v>0</v>
      </c>
      <c r="D67" s="52" t="str">
        <f>Efficiencies!L67</f>
        <v>0</v>
      </c>
    </row>
    <row r="68" spans="1:4" hidden="1">
      <c r="A68" s="59">
        <f>Efficiencies!A68</f>
        <v>45882</v>
      </c>
      <c r="B68" s="61" t="str">
        <f>Efficiencies!J68</f>
        <v>0</v>
      </c>
      <c r="C68" s="51" t="str">
        <f>Efficiencies!K68</f>
        <v>0</v>
      </c>
      <c r="D68" s="52" t="str">
        <f>Efficiencies!L68</f>
        <v>0</v>
      </c>
    </row>
    <row r="69" spans="1:4" hidden="1">
      <c r="A69" s="59">
        <f>Efficiencies!A69</f>
        <v>45883</v>
      </c>
      <c r="B69" s="61" t="str">
        <f>Efficiencies!J69</f>
        <v>0</v>
      </c>
      <c r="C69" s="51" t="str">
        <f>Efficiencies!K69</f>
        <v>0</v>
      </c>
      <c r="D69" s="52" t="str">
        <f>Efficiencies!L69</f>
        <v>0</v>
      </c>
    </row>
    <row r="70" spans="1:4" hidden="1">
      <c r="A70" s="59">
        <f>Efficiencies!A70</f>
        <v>45884</v>
      </c>
      <c r="B70" s="61" t="str">
        <f>Efficiencies!J70</f>
        <v>0</v>
      </c>
      <c r="C70" s="51" t="str">
        <f>Efficiencies!K70</f>
        <v>0</v>
      </c>
      <c r="D70" s="52" t="str">
        <f>Efficiencies!L70</f>
        <v>0</v>
      </c>
    </row>
    <row r="71" spans="1:4" hidden="1">
      <c r="A71" s="59">
        <f>Efficiencies!A71</f>
        <v>45885</v>
      </c>
      <c r="B71" s="61" t="str">
        <f>Efficiencies!J71</f>
        <v>0</v>
      </c>
      <c r="C71" s="51" t="str">
        <f>Efficiencies!K71</f>
        <v>0</v>
      </c>
      <c r="D71" s="52" t="str">
        <f>Efficiencies!L71</f>
        <v>0</v>
      </c>
    </row>
    <row r="72" spans="1:4" hidden="1">
      <c r="A72" s="59">
        <f>Efficiencies!A72</f>
        <v>45886</v>
      </c>
      <c r="B72" s="61" t="str">
        <f>Efficiencies!J72</f>
        <v>0</v>
      </c>
      <c r="C72" s="51" t="str">
        <f>Efficiencies!K72</f>
        <v>0</v>
      </c>
      <c r="D72" s="52" t="str">
        <f>Efficiencies!L72</f>
        <v>0</v>
      </c>
    </row>
    <row r="73" spans="1:4">
      <c r="A73" s="59">
        <f>Efficiencies!A73</f>
        <v>45887</v>
      </c>
      <c r="B73" s="61">
        <f>Efficiencies!J73</f>
        <v>0.59541131573173212</v>
      </c>
      <c r="C73" s="51">
        <f>Efficiencies!K73</f>
        <v>2.4097810263875501</v>
      </c>
      <c r="D73" s="52">
        <f>Efficiencies!L73</f>
        <v>0.6047742147864148</v>
      </c>
    </row>
    <row r="74" spans="1:4" hidden="1">
      <c r="A74" s="59">
        <f>Efficiencies!A74</f>
        <v>45888</v>
      </c>
      <c r="B74" s="61" t="str">
        <f>Efficiencies!J74</f>
        <v>0</v>
      </c>
      <c r="C74" s="51" t="str">
        <f>Efficiencies!K74</f>
        <v>0</v>
      </c>
      <c r="D74" s="52" t="str">
        <f>Efficiencies!L74</f>
        <v>0</v>
      </c>
    </row>
    <row r="75" spans="1:4" hidden="1">
      <c r="A75" s="59">
        <f>Efficiencies!A75</f>
        <v>45889</v>
      </c>
      <c r="B75" s="61" t="str">
        <f>Efficiencies!J75</f>
        <v>0</v>
      </c>
      <c r="C75" s="51" t="str">
        <f>Efficiencies!K75</f>
        <v>0</v>
      </c>
      <c r="D75" s="52" t="str">
        <f>Efficiencies!L75</f>
        <v>0</v>
      </c>
    </row>
    <row r="76" spans="1:4">
      <c r="A76" s="59">
        <f>Efficiencies!A76</f>
        <v>45890</v>
      </c>
      <c r="B76" s="61">
        <f>Efficiencies!J76</f>
        <v>0.60222832524351566</v>
      </c>
      <c r="C76" s="51">
        <f>Efficiencies!K76</f>
        <v>2.4094204713690703</v>
      </c>
      <c r="D76" s="52">
        <f>Efficiencies!L76</f>
        <v>0.6640725186729709</v>
      </c>
    </row>
    <row r="77" spans="1:4" hidden="1">
      <c r="A77" s="59">
        <f>Efficiencies!A77</f>
        <v>45891</v>
      </c>
      <c r="B77" s="61" t="str">
        <f>Efficiencies!J77</f>
        <v>0</v>
      </c>
      <c r="C77" s="51" t="str">
        <f>Efficiencies!K77</f>
        <v>0</v>
      </c>
      <c r="D77" s="52" t="str">
        <f>Efficiencies!L77</f>
        <v>0</v>
      </c>
    </row>
    <row r="78" spans="1:4" hidden="1">
      <c r="A78" s="59">
        <f>Efficiencies!A78</f>
        <v>45892</v>
      </c>
      <c r="B78" s="61" t="str">
        <f>Efficiencies!J78</f>
        <v>0</v>
      </c>
      <c r="C78" s="51" t="str">
        <f>Efficiencies!K78</f>
        <v>0</v>
      </c>
      <c r="D78" s="52" t="str">
        <f>Efficiencies!L78</f>
        <v>0</v>
      </c>
    </row>
    <row r="79" spans="1:4" hidden="1">
      <c r="A79" s="59">
        <f>Efficiencies!A79</f>
        <v>45893</v>
      </c>
      <c r="B79" s="61" t="str">
        <f>Efficiencies!J79</f>
        <v>0</v>
      </c>
      <c r="C79" s="51" t="str">
        <f>Efficiencies!K79</f>
        <v>0</v>
      </c>
      <c r="D79" s="52" t="str">
        <f>Efficiencies!L79</f>
        <v>0</v>
      </c>
    </row>
    <row r="80" spans="1:4">
      <c r="A80" s="59">
        <f>Efficiencies!A80</f>
        <v>45894</v>
      </c>
      <c r="B80" s="61">
        <f>Efficiencies!J80</f>
        <v>0.61490573833892415</v>
      </c>
      <c r="C80" s="51">
        <f>Efficiencies!K80</f>
        <v>2.3676396392118422</v>
      </c>
      <c r="D80" s="52">
        <f>Efficiencies!L80</f>
        <v>0.605041491881814</v>
      </c>
    </row>
    <row r="81" spans="1:4" hidden="1">
      <c r="A81" s="59">
        <f>Efficiencies!A81</f>
        <v>45895</v>
      </c>
      <c r="B81" s="61" t="str">
        <f>Efficiencies!J81</f>
        <v>0</v>
      </c>
      <c r="C81" s="51" t="str">
        <f>Efficiencies!K81</f>
        <v>0</v>
      </c>
      <c r="D81" s="52" t="str">
        <f>Efficiencies!L81</f>
        <v>0</v>
      </c>
    </row>
    <row r="82" spans="1:4" hidden="1">
      <c r="A82" s="59">
        <f>Efficiencies!A82</f>
        <v>45896</v>
      </c>
      <c r="B82" s="61" t="str">
        <f>Efficiencies!J82</f>
        <v>0</v>
      </c>
      <c r="C82" s="51" t="str">
        <f>Efficiencies!K82</f>
        <v>0</v>
      </c>
      <c r="D82" s="52" t="str">
        <f>Efficiencies!L82</f>
        <v>0</v>
      </c>
    </row>
    <row r="83" spans="1:4">
      <c r="A83" s="59">
        <f>Efficiencies!A83</f>
        <v>45897</v>
      </c>
      <c r="B83" s="61">
        <f>Efficiencies!J83</f>
        <v>0.60279319094635597</v>
      </c>
      <c r="C83" s="51">
        <f>Efficiencies!K83</f>
        <v>2.4117371603288937</v>
      </c>
      <c r="D83" s="52">
        <f>Efficiencies!L83</f>
        <v>0.64344806056349069</v>
      </c>
    </row>
    <row r="84" spans="1:4" hidden="1">
      <c r="A84" s="59">
        <f>Efficiencies!A84</f>
        <v>45898</v>
      </c>
      <c r="B84" s="61" t="str">
        <f>Efficiencies!J84</f>
        <v>0</v>
      </c>
      <c r="C84" s="51" t="str">
        <f>Efficiencies!K84</f>
        <v>0</v>
      </c>
      <c r="D84" s="52" t="str">
        <f>Efficiencies!L84</f>
        <v>0</v>
      </c>
    </row>
    <row r="85" spans="1:4" hidden="1">
      <c r="A85" s="59">
        <f>Efficiencies!A85</f>
        <v>45899</v>
      </c>
      <c r="B85" s="61" t="str">
        <f>Efficiencies!J85</f>
        <v>0</v>
      </c>
      <c r="C85" s="51" t="str">
        <f>Efficiencies!K85</f>
        <v>0</v>
      </c>
      <c r="D85" s="52" t="str">
        <f>Efficiencies!L85</f>
        <v>0</v>
      </c>
    </row>
    <row r="86" spans="1:4" hidden="1">
      <c r="A86" s="59">
        <f>Efficiencies!A86</f>
        <v>45900</v>
      </c>
      <c r="B86" s="61" t="str">
        <f>Efficiencies!J86</f>
        <v>0</v>
      </c>
      <c r="C86" s="51" t="str">
        <f>Efficiencies!K86</f>
        <v>0</v>
      </c>
      <c r="D86" s="52" t="str">
        <f>Efficiencies!L86</f>
        <v>0</v>
      </c>
    </row>
    <row r="87" spans="1:4" hidden="1">
      <c r="A87" s="59">
        <f>Efficiencies!A87</f>
        <v>45901</v>
      </c>
      <c r="B87" s="61" t="str">
        <f>Efficiencies!J87</f>
        <v>0</v>
      </c>
      <c r="C87" s="51" t="str">
        <f>Efficiencies!K87</f>
        <v>0</v>
      </c>
      <c r="D87" s="52" t="str">
        <f>Efficiencies!L87</f>
        <v>0</v>
      </c>
    </row>
    <row r="88" spans="1:4">
      <c r="A88" s="59">
        <f>Efficiencies!A88</f>
        <v>45902</v>
      </c>
      <c r="B88" s="61">
        <f>Efficiencies!J88</f>
        <v>0.61559605837827336</v>
      </c>
      <c r="C88" s="51">
        <f>Efficiencies!K88</f>
        <v>2.3782370700011493</v>
      </c>
      <c r="D88" s="52">
        <f>Efficiencies!L88</f>
        <v>0.73575346790583862</v>
      </c>
    </row>
    <row r="89" spans="1:4" hidden="1">
      <c r="A89" s="59">
        <f>Efficiencies!A89</f>
        <v>45903</v>
      </c>
      <c r="B89" s="61" t="str">
        <f>Efficiencies!J89</f>
        <v>0</v>
      </c>
      <c r="C89" s="51" t="str">
        <f>Efficiencies!K89</f>
        <v>0</v>
      </c>
      <c r="D89" s="52" t="str">
        <f>Efficiencies!L89</f>
        <v>0</v>
      </c>
    </row>
    <row r="90" spans="1:4">
      <c r="A90" s="59">
        <f>Efficiencies!A90</f>
        <v>45904</v>
      </c>
      <c r="B90" s="61">
        <f>Efficiencies!J90</f>
        <v>0.60490708561054962</v>
      </c>
      <c r="C90" s="51">
        <f>Efficiencies!K90</f>
        <v>2.4212797103124157</v>
      </c>
      <c r="D90" s="52">
        <f>Efficiencies!L90</f>
        <v>0.60484125251643273</v>
      </c>
    </row>
    <row r="91" spans="1:4" hidden="1">
      <c r="A91" s="59">
        <f>Efficiencies!A91</f>
        <v>45905</v>
      </c>
      <c r="B91" s="61" t="str">
        <f>Efficiencies!J91</f>
        <v>0</v>
      </c>
      <c r="C91" s="51" t="str">
        <f>Efficiencies!K91</f>
        <v>0</v>
      </c>
      <c r="D91" s="52" t="str">
        <f>Efficiencies!L91</f>
        <v>0</v>
      </c>
    </row>
    <row r="92" spans="1:4" hidden="1">
      <c r="A92" s="59">
        <f>Efficiencies!A92</f>
        <v>45906</v>
      </c>
      <c r="B92" s="61" t="str">
        <f>Efficiencies!J92</f>
        <v>0</v>
      </c>
      <c r="C92" s="51" t="str">
        <f>Efficiencies!K92</f>
        <v>0</v>
      </c>
      <c r="D92" s="52" t="str">
        <f>Efficiencies!L92</f>
        <v>0</v>
      </c>
    </row>
    <row r="93" spans="1:4" hidden="1">
      <c r="A93" s="59">
        <f>Efficiencies!A93</f>
        <v>45907</v>
      </c>
      <c r="B93" s="61" t="str">
        <f>Efficiencies!J93</f>
        <v>0</v>
      </c>
      <c r="C93" s="51" t="str">
        <f>Efficiencies!K93</f>
        <v>0</v>
      </c>
      <c r="D93" s="52" t="str">
        <f>Efficiencies!L93</f>
        <v>0</v>
      </c>
    </row>
    <row r="94" spans="1:4" hidden="1">
      <c r="A94" s="59">
        <f>Efficiencies!A94</f>
        <v>45908</v>
      </c>
      <c r="B94" s="61" t="str">
        <f>Efficiencies!J94</f>
        <v>0</v>
      </c>
      <c r="C94" s="51" t="str">
        <f>Efficiencies!K94</f>
        <v>0</v>
      </c>
      <c r="D94" s="52" t="str">
        <f>Efficiencies!L94</f>
        <v>0</v>
      </c>
    </row>
    <row r="95" spans="1:4" hidden="1">
      <c r="A95" s="59">
        <f>Efficiencies!A95</f>
        <v>45909</v>
      </c>
      <c r="B95" s="61" t="str">
        <f>Efficiencies!J95</f>
        <v>0</v>
      </c>
      <c r="C95" s="51" t="str">
        <f>Efficiencies!K95</f>
        <v>0</v>
      </c>
      <c r="D95" s="52" t="str">
        <f>Efficiencies!L95</f>
        <v>0</v>
      </c>
    </row>
    <row r="96" spans="1:4" hidden="1">
      <c r="A96" s="59">
        <f>Efficiencies!A96</f>
        <v>45910</v>
      </c>
      <c r="B96" s="61" t="str">
        <f>Efficiencies!J96</f>
        <v>0</v>
      </c>
      <c r="C96" s="51" t="str">
        <f>Efficiencies!K96</f>
        <v>0</v>
      </c>
      <c r="D96" s="52" t="str">
        <f>Efficiencies!L96</f>
        <v>0</v>
      </c>
    </row>
    <row r="97" spans="1:4">
      <c r="A97" s="59">
        <f>Efficiencies!A97</f>
        <v>45911</v>
      </c>
      <c r="B97" s="61">
        <f>Efficiencies!J97</f>
        <v>0.58303263701234609</v>
      </c>
      <c r="C97" s="51">
        <f>Efficiencies!K97</f>
        <v>2.463483433498646</v>
      </c>
      <c r="D97" s="52">
        <f>Efficiencies!L97</f>
        <v>0.54417449456878886</v>
      </c>
    </row>
    <row r="98" spans="1:4" hidden="1">
      <c r="A98" s="59">
        <f>Efficiencies!A98</f>
        <v>45912</v>
      </c>
      <c r="B98" s="61" t="str">
        <f>Efficiencies!J98</f>
        <v>0</v>
      </c>
      <c r="C98" s="51" t="str">
        <f>Efficiencies!K98</f>
        <v>0</v>
      </c>
      <c r="D98" s="52" t="str">
        <f>Efficiencies!L98</f>
        <v>0</v>
      </c>
    </row>
    <row r="99" spans="1:4" hidden="1">
      <c r="A99" s="59">
        <f>Efficiencies!A99</f>
        <v>45913</v>
      </c>
      <c r="B99" s="61" t="str">
        <f>Efficiencies!J99</f>
        <v>0</v>
      </c>
      <c r="C99" s="51" t="str">
        <f>Efficiencies!K99</f>
        <v>0</v>
      </c>
      <c r="D99" s="52" t="str">
        <f>Efficiencies!L99</f>
        <v>0</v>
      </c>
    </row>
    <row r="100" spans="1:4" hidden="1">
      <c r="A100" s="59">
        <f>Efficiencies!A100</f>
        <v>45914</v>
      </c>
      <c r="B100" s="61" t="str">
        <f>Efficiencies!J100</f>
        <v>0</v>
      </c>
      <c r="C100" s="51" t="str">
        <f>Efficiencies!K100</f>
        <v>0</v>
      </c>
      <c r="D100" s="52" t="str">
        <f>Efficiencies!L100</f>
        <v>0</v>
      </c>
    </row>
    <row r="101" spans="1:4" hidden="1">
      <c r="A101" s="59">
        <f>Efficiencies!A101</f>
        <v>45915</v>
      </c>
      <c r="B101" s="61" t="str">
        <f>Efficiencies!J101</f>
        <v>0</v>
      </c>
      <c r="C101" s="51" t="str">
        <f>Efficiencies!K101</f>
        <v>0</v>
      </c>
      <c r="D101" s="52" t="str">
        <f>Efficiencies!L101</f>
        <v>0</v>
      </c>
    </row>
    <row r="102" spans="1:4" hidden="1">
      <c r="A102" s="59">
        <f>Efficiencies!A102</f>
        <v>45916</v>
      </c>
      <c r="B102" s="61" t="str">
        <f>Efficiencies!J102</f>
        <v>0</v>
      </c>
      <c r="C102" s="51" t="str">
        <f>Efficiencies!K102</f>
        <v>0</v>
      </c>
      <c r="D102" s="52" t="str">
        <f>Efficiencies!L102</f>
        <v>0</v>
      </c>
    </row>
    <row r="103" spans="1:4" hidden="1">
      <c r="A103" s="59">
        <f>Efficiencies!A103</f>
        <v>45917</v>
      </c>
      <c r="B103" s="61" t="str">
        <f>Efficiencies!J103</f>
        <v>0</v>
      </c>
      <c r="C103" s="51" t="str">
        <f>Efficiencies!K103</f>
        <v>0</v>
      </c>
      <c r="D103" s="52" t="str">
        <f>Efficiencies!L103</f>
        <v>0</v>
      </c>
    </row>
    <row r="104" spans="1:4">
      <c r="A104" s="59">
        <f>Efficiencies!A104</f>
        <v>45918</v>
      </c>
      <c r="B104" s="61">
        <f>Efficiencies!J104</f>
        <v>0.6000365748975155</v>
      </c>
      <c r="C104" s="51">
        <f>Efficiencies!K104</f>
        <v>2.4196387216303843</v>
      </c>
      <c r="D104" s="52">
        <f>Efficiencies!L104</f>
        <v>0.51968503937007815</v>
      </c>
    </row>
    <row r="105" spans="1:4" hidden="1">
      <c r="A105" s="59">
        <f>Efficiencies!A105</f>
        <v>45919</v>
      </c>
      <c r="B105" s="61" t="str">
        <f>Efficiencies!J105</f>
        <v>0</v>
      </c>
      <c r="C105" s="51" t="str">
        <f>Efficiencies!K105</f>
        <v>0</v>
      </c>
      <c r="D105" s="52" t="str">
        <f>Efficiencies!L105</f>
        <v>0</v>
      </c>
    </row>
    <row r="106" spans="1:4" hidden="1">
      <c r="A106" s="59">
        <f>Efficiencies!A106</f>
        <v>45920</v>
      </c>
      <c r="B106" s="61" t="str">
        <f>Efficiencies!J106</f>
        <v>0</v>
      </c>
      <c r="C106" s="51" t="str">
        <f>Efficiencies!K106</f>
        <v>0</v>
      </c>
      <c r="D106" s="52" t="str">
        <f>Efficiencies!L106</f>
        <v>0</v>
      </c>
    </row>
    <row r="107" spans="1:4" hidden="1">
      <c r="A107" s="59">
        <f>Efficiencies!A107</f>
        <v>45921</v>
      </c>
      <c r="B107" s="61" t="str">
        <f>Efficiencies!J107</f>
        <v>0</v>
      </c>
      <c r="C107" s="51" t="str">
        <f>Efficiencies!K107</f>
        <v>0</v>
      </c>
      <c r="D107" s="52" t="str">
        <f>Efficiencies!L107</f>
        <v>0</v>
      </c>
    </row>
    <row r="108" spans="1:4">
      <c r="A108" s="59">
        <f>Efficiencies!A108</f>
        <v>45922</v>
      </c>
      <c r="B108" s="61">
        <f>Efficiencies!J108</f>
        <v>0.60134464779515762</v>
      </c>
      <c r="C108" s="51">
        <f>Efficiencies!K108</f>
        <v>2.4000961863305341</v>
      </c>
      <c r="D108" s="52">
        <f>Efficiencies!L108</f>
        <v>0.56662780264755119</v>
      </c>
    </row>
    <row r="109" spans="1:4" hidden="1">
      <c r="A109" s="59">
        <f>Efficiencies!A109</f>
        <v>45923</v>
      </c>
      <c r="B109" s="61" t="str">
        <f>Efficiencies!J109</f>
        <v>0</v>
      </c>
      <c r="C109" s="51" t="str">
        <f>Efficiencies!K109</f>
        <v>0</v>
      </c>
      <c r="D109" s="52" t="str">
        <f>Efficiencies!L109</f>
        <v>0</v>
      </c>
    </row>
    <row r="110" spans="1:4" hidden="1">
      <c r="A110" s="59">
        <f>Efficiencies!A110</f>
        <v>45924</v>
      </c>
      <c r="B110" s="61" t="str">
        <f>Efficiencies!J110</f>
        <v>0</v>
      </c>
      <c r="C110" s="51" t="str">
        <f>Efficiencies!K110</f>
        <v>0</v>
      </c>
      <c r="D110" s="52" t="str">
        <f>Efficiencies!L110</f>
        <v>0</v>
      </c>
    </row>
    <row r="111" spans="1:4">
      <c r="A111" s="59">
        <f>Efficiencies!A111</f>
        <v>45925</v>
      </c>
      <c r="B111" s="61">
        <f>Efficiencies!J111</f>
        <v>0.6005500066993098</v>
      </c>
      <c r="C111" s="51">
        <f>Efficiencies!K111</f>
        <v>2.4102052436916162</v>
      </c>
      <c r="D111" s="52">
        <f>Efficiencies!L111</f>
        <v>0.60855304593858695</v>
      </c>
    </row>
    <row r="112" spans="1:4" hidden="1">
      <c r="A112" s="59">
        <f>Efficiencies!A112</f>
        <v>45926</v>
      </c>
      <c r="B112" s="61" t="str">
        <f>Efficiencies!J112</f>
        <v>0</v>
      </c>
      <c r="C112" s="51" t="str">
        <f>Efficiencies!K112</f>
        <v>0</v>
      </c>
      <c r="D112" s="52" t="str">
        <f>Efficiencies!L112</f>
        <v>0</v>
      </c>
    </row>
    <row r="113" spans="1:4" hidden="1">
      <c r="A113" s="59">
        <f>Efficiencies!A113</f>
        <v>45927</v>
      </c>
      <c r="B113" s="61" t="str">
        <f>Efficiencies!J113</f>
        <v>0</v>
      </c>
      <c r="C113" s="51" t="str">
        <f>Efficiencies!K113</f>
        <v>0</v>
      </c>
      <c r="D113" s="52" t="str">
        <f>Efficiencies!L113</f>
        <v>0</v>
      </c>
    </row>
    <row r="114" spans="1:4" hidden="1">
      <c r="A114" s="59">
        <f>Efficiencies!A114</f>
        <v>45928</v>
      </c>
      <c r="B114" s="61" t="str">
        <f>Efficiencies!J114</f>
        <v>0</v>
      </c>
      <c r="C114" s="51" t="str">
        <f>Efficiencies!K114</f>
        <v>0</v>
      </c>
      <c r="D114" s="52" t="str">
        <f>Efficiencies!L114</f>
        <v>0</v>
      </c>
    </row>
    <row r="115" spans="1:4">
      <c r="A115" s="59">
        <f>Efficiencies!A115</f>
        <v>45929</v>
      </c>
      <c r="B115" s="61">
        <f>Efficiencies!J115</f>
        <v>0.60263729195143523</v>
      </c>
      <c r="C115" s="51">
        <f>Efficiencies!K115</f>
        <v>2.4069313130372234</v>
      </c>
      <c r="D115" s="52">
        <f>Efficiencies!L115</f>
        <v>0.65852907539368422</v>
      </c>
    </row>
    <row r="116" spans="1:4" hidden="1">
      <c r="A116" s="59">
        <f>Efficiencies!A116</f>
        <v>45930</v>
      </c>
      <c r="B116" s="61" t="str">
        <f>Efficiencies!J116</f>
        <v>0</v>
      </c>
      <c r="C116" s="51" t="str">
        <f>Efficiencies!K116</f>
        <v>0</v>
      </c>
      <c r="D116" s="52" t="str">
        <f>Efficiencies!L116</f>
        <v>0</v>
      </c>
    </row>
    <row r="117" spans="1:4" hidden="1">
      <c r="A117" s="59">
        <f>Efficiencies!A117</f>
        <v>45931</v>
      </c>
      <c r="B117" s="61" t="str">
        <f>Efficiencies!J117</f>
        <v>0</v>
      </c>
      <c r="C117" s="51" t="str">
        <f>Efficiencies!K117</f>
        <v>0</v>
      </c>
      <c r="D117" s="52" t="str">
        <f>Efficiencies!L117</f>
        <v>0</v>
      </c>
    </row>
    <row r="118" spans="1:4">
      <c r="A118" s="59">
        <f>Efficiencies!A118</f>
        <v>45932</v>
      </c>
      <c r="B118" s="61">
        <f>Efficiencies!J118</f>
        <v>0.60980409437969718</v>
      </c>
      <c r="C118" s="51">
        <f>Efficiencies!K118</f>
        <v>2.3973350561392643</v>
      </c>
      <c r="D118" s="52">
        <f>Efficiencies!L118</f>
        <v>0.66798637281209805</v>
      </c>
    </row>
    <row r="119" spans="1:4" hidden="1">
      <c r="A119" s="59">
        <f>Efficiencies!A119</f>
        <v>45933</v>
      </c>
      <c r="B119" s="61" t="str">
        <f>Efficiencies!J119</f>
        <v>0</v>
      </c>
      <c r="C119" s="51" t="str">
        <f>Efficiencies!K119</f>
        <v>0</v>
      </c>
      <c r="D119" s="52" t="str">
        <f>Efficiencies!L119</f>
        <v>0</v>
      </c>
    </row>
    <row r="120" spans="1:4" hidden="1">
      <c r="A120" s="59">
        <f>Efficiencies!A120</f>
        <v>45934</v>
      </c>
      <c r="B120" s="61" t="str">
        <f>Efficiencies!J120</f>
        <v>0</v>
      </c>
      <c r="C120" s="51" t="str">
        <f>Efficiencies!K120</f>
        <v>0</v>
      </c>
      <c r="D120" s="52" t="str">
        <f>Efficiencies!L120</f>
        <v>0</v>
      </c>
    </row>
    <row r="121" spans="1:4" hidden="1">
      <c r="A121" s="59">
        <f>Efficiencies!A121</f>
        <v>45935</v>
      </c>
      <c r="B121" s="61" t="str">
        <f>Efficiencies!J121</f>
        <v>0</v>
      </c>
      <c r="C121" s="51" t="str">
        <f>Efficiencies!K121</f>
        <v>0</v>
      </c>
      <c r="D121" s="52" t="str">
        <f>Efficiencies!L121</f>
        <v>0</v>
      </c>
    </row>
    <row r="122" spans="1:4" hidden="1">
      <c r="A122" s="59">
        <f>Efficiencies!A122</f>
        <v>45936</v>
      </c>
      <c r="B122" s="61" t="str">
        <f>Efficiencies!J122</f>
        <v>0</v>
      </c>
      <c r="C122" s="51" t="str">
        <f>Efficiencies!K122</f>
        <v>0</v>
      </c>
      <c r="D122" s="52" t="str">
        <f>Efficiencies!L122</f>
        <v>0</v>
      </c>
    </row>
    <row r="123" spans="1:4">
      <c r="A123" s="59">
        <f>Efficiencies!A123</f>
        <v>45937</v>
      </c>
      <c r="B123" s="61">
        <f>Efficiencies!J123</f>
        <v>0.59964563890011713</v>
      </c>
      <c r="C123" s="51">
        <f>Efficiencies!K123</f>
        <v>2.4185444997452681</v>
      </c>
      <c r="D123" s="52">
        <f>Efficiencies!L123</f>
        <v>0.82322895847212973</v>
      </c>
    </row>
    <row r="124" spans="1:4" hidden="1">
      <c r="A124" s="59">
        <f>Efficiencies!A124</f>
        <v>45938</v>
      </c>
      <c r="B124" s="61" t="str">
        <f>Efficiencies!J124</f>
        <v>0</v>
      </c>
      <c r="C124" s="51" t="str">
        <f>Efficiencies!K124</f>
        <v>0</v>
      </c>
      <c r="D124" s="52" t="str">
        <f>Efficiencies!L124</f>
        <v>0</v>
      </c>
    </row>
    <row r="125" spans="1:4" hidden="1">
      <c r="A125" s="59">
        <f>Efficiencies!A125</f>
        <v>45939</v>
      </c>
      <c r="B125" s="61" t="str">
        <f>Efficiencies!J125</f>
        <v>0</v>
      </c>
      <c r="C125" s="51" t="str">
        <f>Efficiencies!K125</f>
        <v>0</v>
      </c>
      <c r="D125" s="52" t="str">
        <f>Efficiencies!L125</f>
        <v>0</v>
      </c>
    </row>
    <row r="126" spans="1:4" hidden="1">
      <c r="A126" s="59">
        <f>Efficiencies!A126</f>
        <v>45940</v>
      </c>
      <c r="B126" s="61" t="str">
        <f>Efficiencies!J126</f>
        <v>0</v>
      </c>
      <c r="C126" s="51" t="str">
        <f>Efficiencies!K126</f>
        <v>0</v>
      </c>
      <c r="D126" s="52" t="str">
        <f>Efficiencies!L126</f>
        <v>0</v>
      </c>
    </row>
    <row r="127" spans="1:4" hidden="1">
      <c r="A127" s="59">
        <f>Efficiencies!A127</f>
        <v>45941</v>
      </c>
      <c r="B127" s="61" t="str">
        <f>Efficiencies!J127</f>
        <v>0</v>
      </c>
      <c r="C127" s="51" t="str">
        <f>Efficiencies!K127</f>
        <v>0</v>
      </c>
      <c r="D127" s="52" t="str">
        <f>Efficiencies!L127</f>
        <v>0</v>
      </c>
    </row>
    <row r="128" spans="1:4" hidden="1">
      <c r="A128" s="59">
        <f>Efficiencies!A128</f>
        <v>45942</v>
      </c>
      <c r="B128" s="61" t="str">
        <f>Efficiencies!J128</f>
        <v>0</v>
      </c>
      <c r="C128" s="51" t="str">
        <f>Efficiencies!K128</f>
        <v>0</v>
      </c>
      <c r="D128" s="52" t="str">
        <f>Efficiencies!L128</f>
        <v>0</v>
      </c>
    </row>
    <row r="129" spans="1:4">
      <c r="A129" s="59">
        <f>Efficiencies!A129</f>
        <v>45943</v>
      </c>
      <c r="B129" s="61">
        <f>Efficiencies!J129</f>
        <v>0.59876692040092316</v>
      </c>
      <c r="C129" s="51">
        <f>Efficiencies!K129</f>
        <v>2.4380574968989901</v>
      </c>
      <c r="D129" s="52">
        <f>Efficiencies!L129</f>
        <v>0.85167936561257773</v>
      </c>
    </row>
    <row r="130" spans="1:4" hidden="1">
      <c r="A130" s="59">
        <f>Efficiencies!A130</f>
        <v>45944</v>
      </c>
      <c r="B130" s="61" t="str">
        <f>Efficiencies!J130</f>
        <v>0</v>
      </c>
      <c r="C130" s="51" t="str">
        <f>Efficiencies!K130</f>
        <v>0</v>
      </c>
      <c r="D130" s="52" t="str">
        <f>Efficiencies!L130</f>
        <v>0</v>
      </c>
    </row>
    <row r="131" spans="1:4" hidden="1">
      <c r="A131" s="59">
        <f>Efficiencies!A131</f>
        <v>45945</v>
      </c>
      <c r="B131" s="61" t="str">
        <f>Efficiencies!J131</f>
        <v>0</v>
      </c>
      <c r="C131" s="51" t="str">
        <f>Efficiencies!K131</f>
        <v>0</v>
      </c>
      <c r="D131" s="52" t="str">
        <f>Efficiencies!L131</f>
        <v>0</v>
      </c>
    </row>
    <row r="132" spans="1:4">
      <c r="A132" s="59">
        <f>Efficiencies!A132</f>
        <v>45946</v>
      </c>
      <c r="B132" s="61">
        <f>Efficiencies!J132</f>
        <v>0.59583903415469353</v>
      </c>
      <c r="C132" s="51">
        <f>Efficiencies!K132</f>
        <v>2.4383174041405287</v>
      </c>
      <c r="D132" s="52">
        <f>Efficiencies!L132</f>
        <v>0.92382646353723563</v>
      </c>
    </row>
    <row r="133" spans="1:4" hidden="1">
      <c r="A133" s="59">
        <f>Efficiencies!A133</f>
        <v>45947</v>
      </c>
      <c r="B133" s="61" t="str">
        <f>Efficiencies!J133</f>
        <v>0</v>
      </c>
      <c r="C133" s="51" t="str">
        <f>Efficiencies!K133</f>
        <v>0</v>
      </c>
      <c r="D133" s="52" t="str">
        <f>Efficiencies!L133</f>
        <v>0</v>
      </c>
    </row>
    <row r="134" spans="1:4" hidden="1">
      <c r="A134" s="59">
        <f>Efficiencies!A134</f>
        <v>45948</v>
      </c>
      <c r="B134" s="61" t="str">
        <f>Efficiencies!J134</f>
        <v>0</v>
      </c>
      <c r="C134" s="51" t="str">
        <f>Efficiencies!K134</f>
        <v>0</v>
      </c>
      <c r="D134" s="52" t="str">
        <f>Efficiencies!L134</f>
        <v>0</v>
      </c>
    </row>
    <row r="135" spans="1:4" hidden="1">
      <c r="A135" s="59">
        <f>Efficiencies!A135</f>
        <v>45949</v>
      </c>
      <c r="B135" s="61" t="str">
        <f>Efficiencies!J135</f>
        <v>0</v>
      </c>
      <c r="C135" s="51" t="str">
        <f>Efficiencies!K135</f>
        <v>0</v>
      </c>
      <c r="D135" s="52" t="str">
        <f>Efficiencies!L135</f>
        <v>0</v>
      </c>
    </row>
    <row r="136" spans="1:4">
      <c r="A136" s="59">
        <f>Efficiencies!A136</f>
        <v>45950</v>
      </c>
      <c r="B136" s="61">
        <f>Efficiencies!J136</f>
        <v>0.60591723834543088</v>
      </c>
      <c r="C136" s="51">
        <f>Efficiencies!K136</f>
        <v>2.3828751999788449</v>
      </c>
      <c r="D136" s="52">
        <f>Efficiencies!L136</f>
        <v>0.79943058365175668</v>
      </c>
    </row>
    <row r="137" spans="1:4" hidden="1">
      <c r="A137" s="59">
        <f>Efficiencies!A137</f>
        <v>45951</v>
      </c>
      <c r="B137" s="61" t="str">
        <f>Efficiencies!J137</f>
        <v>0</v>
      </c>
      <c r="C137" s="51" t="str">
        <f>Efficiencies!K137</f>
        <v>0</v>
      </c>
      <c r="D137" s="52" t="str">
        <f>Efficiencies!L137</f>
        <v>0</v>
      </c>
    </row>
    <row r="138" spans="1:4" hidden="1">
      <c r="A138" s="59">
        <f>Efficiencies!A138</f>
        <v>45952</v>
      </c>
      <c r="B138" s="61" t="str">
        <f>Efficiencies!J138</f>
        <v>0</v>
      </c>
      <c r="C138" s="51" t="str">
        <f>Efficiencies!K138</f>
        <v>0</v>
      </c>
      <c r="D138" s="52" t="str">
        <f>Efficiencies!L138</f>
        <v>0</v>
      </c>
    </row>
    <row r="139" spans="1:4">
      <c r="A139" s="59">
        <f>Efficiencies!A139</f>
        <v>45953</v>
      </c>
      <c r="B139" s="61">
        <f>Efficiencies!J139</f>
        <v>0.60253500201901589</v>
      </c>
      <c r="C139" s="51">
        <f>Efficiencies!K139</f>
        <v>2.3923390644588518</v>
      </c>
      <c r="D139" s="52">
        <f>Efficiencies!L139</f>
        <v>0.79156300270775304</v>
      </c>
    </row>
    <row r="140" spans="1:4" hidden="1">
      <c r="A140" s="59">
        <f>Efficiencies!A140</f>
        <v>45954</v>
      </c>
      <c r="B140" s="61" t="str">
        <f>Efficiencies!J140</f>
        <v>0</v>
      </c>
      <c r="C140" s="51" t="str">
        <f>Efficiencies!K140</f>
        <v>0</v>
      </c>
      <c r="D140" s="52" t="str">
        <f>Efficiencies!L140</f>
        <v>0</v>
      </c>
    </row>
    <row r="141" spans="1:4" hidden="1">
      <c r="A141" s="59">
        <f>Efficiencies!A141</f>
        <v>45955</v>
      </c>
      <c r="B141" s="61" t="str">
        <f>Efficiencies!J141</f>
        <v>0</v>
      </c>
      <c r="C141" s="51" t="str">
        <f>Efficiencies!K141</f>
        <v>0</v>
      </c>
      <c r="D141" s="52" t="str">
        <f>Efficiencies!L141</f>
        <v>0</v>
      </c>
    </row>
    <row r="142" spans="1:4" hidden="1">
      <c r="A142" s="59">
        <f>Efficiencies!A142</f>
        <v>45956</v>
      </c>
      <c r="B142" s="61" t="str">
        <f>Efficiencies!J142</f>
        <v>0</v>
      </c>
      <c r="C142" s="51" t="str">
        <f>Efficiencies!K142</f>
        <v>0</v>
      </c>
      <c r="D142" s="52" t="str">
        <f>Efficiencies!L142</f>
        <v>0</v>
      </c>
    </row>
    <row r="143" spans="1:4" hidden="1">
      <c r="A143" s="59">
        <f>Efficiencies!A143</f>
        <v>45957</v>
      </c>
      <c r="B143" s="61" t="str">
        <f>Efficiencies!J143</f>
        <v>0</v>
      </c>
      <c r="C143" s="51" t="str">
        <f>Efficiencies!K143</f>
        <v>0</v>
      </c>
      <c r="D143" s="52" t="str">
        <f>Efficiencies!L143</f>
        <v>0</v>
      </c>
    </row>
    <row r="144" spans="1:4" hidden="1">
      <c r="A144" s="59">
        <f>Efficiencies!A144</f>
        <v>45958</v>
      </c>
      <c r="B144" s="61" t="str">
        <f>Efficiencies!J144</f>
        <v>0</v>
      </c>
      <c r="C144" s="51" t="str">
        <f>Efficiencies!K144</f>
        <v>0</v>
      </c>
      <c r="D144" s="52" t="str">
        <f>Efficiencies!L144</f>
        <v>0</v>
      </c>
    </row>
    <row r="145" spans="1:4" hidden="1">
      <c r="A145" s="59">
        <f>Efficiencies!A145</f>
        <v>45959</v>
      </c>
      <c r="B145" s="61" t="str">
        <f>Efficiencies!J145</f>
        <v>0</v>
      </c>
      <c r="C145" s="51" t="str">
        <f>Efficiencies!K145</f>
        <v>0</v>
      </c>
      <c r="D145" s="52" t="str">
        <f>Efficiencies!L145</f>
        <v>0</v>
      </c>
    </row>
    <row r="146" spans="1:4">
      <c r="A146" s="59">
        <f>Efficiencies!A146</f>
        <v>45960</v>
      </c>
      <c r="B146" s="61">
        <f>Efficiencies!J146</f>
        <v>0.57918587954464584</v>
      </c>
      <c r="C146" s="51">
        <f>Efficiencies!K146</f>
        <v>2.4767108164661948</v>
      </c>
      <c r="D146" s="52">
        <f>Efficiencies!L146</f>
        <v>1.0680327476420735</v>
      </c>
    </row>
    <row r="147" spans="1:4" hidden="1">
      <c r="A147" s="59">
        <f>Efficiencies!A147</f>
        <v>45961</v>
      </c>
      <c r="B147" s="61" t="str">
        <f>Efficiencies!J147</f>
        <v>0</v>
      </c>
      <c r="C147" s="51" t="str">
        <f>Efficiencies!K147</f>
        <v>0</v>
      </c>
      <c r="D147" s="52" t="str">
        <f>Efficiencies!L147</f>
        <v>0</v>
      </c>
    </row>
    <row r="148" spans="1:4" hidden="1">
      <c r="A148" s="59">
        <f>Efficiencies!A148</f>
        <v>45962</v>
      </c>
      <c r="B148" s="61" t="str">
        <f>Efficiencies!J148</f>
        <v>0</v>
      </c>
      <c r="C148" s="51" t="str">
        <f>Efficiencies!K148</f>
        <v>0</v>
      </c>
      <c r="D148" s="52" t="str">
        <f>Efficiencies!L148</f>
        <v>0</v>
      </c>
    </row>
    <row r="149" spans="1:4" hidden="1">
      <c r="A149" s="59">
        <f>Efficiencies!A149</f>
        <v>45963</v>
      </c>
      <c r="B149" s="61" t="str">
        <f>Efficiencies!J149</f>
        <v>0</v>
      </c>
      <c r="C149" s="51" t="str">
        <f>Efficiencies!K149</f>
        <v>0</v>
      </c>
      <c r="D149" s="52" t="str">
        <f>Efficiencies!L149</f>
        <v>0</v>
      </c>
    </row>
    <row r="150" spans="1:4">
      <c r="A150" s="59">
        <f>Efficiencies!A150</f>
        <v>45964</v>
      </c>
      <c r="B150" s="61">
        <f>Efficiencies!J150</f>
        <v>0.57432398763651582</v>
      </c>
      <c r="C150" s="51">
        <f>Efficiencies!K150</f>
        <v>2.4077517191312592</v>
      </c>
      <c r="D150" s="52">
        <f>Efficiencies!L150</f>
        <v>0.99520054850874162</v>
      </c>
    </row>
    <row r="151" spans="1:4" hidden="1">
      <c r="A151" s="59">
        <f>Efficiencies!A151</f>
        <v>45965</v>
      </c>
      <c r="B151" s="61" t="str">
        <f>Efficiencies!J151</f>
        <v>0</v>
      </c>
      <c r="C151" s="51" t="str">
        <f>Efficiencies!K151</f>
        <v>0</v>
      </c>
      <c r="D151" s="52" t="str">
        <f>Efficiencies!L151</f>
        <v>0</v>
      </c>
    </row>
    <row r="152" spans="1:4" hidden="1">
      <c r="A152" s="59">
        <f>Efficiencies!A152</f>
        <v>45966</v>
      </c>
      <c r="B152" s="61" t="str">
        <f>Efficiencies!J152</f>
        <v>0</v>
      </c>
      <c r="C152" s="51" t="str">
        <f>Efficiencies!K152</f>
        <v>0</v>
      </c>
      <c r="D152" s="52" t="str">
        <f>Efficiencies!L152</f>
        <v>0</v>
      </c>
    </row>
    <row r="153" spans="1:4">
      <c r="A153" s="59">
        <f>Efficiencies!A153</f>
        <v>45967</v>
      </c>
      <c r="B153" s="61">
        <f>Efficiencies!J153</f>
        <v>0.58172400110882228</v>
      </c>
      <c r="C153" s="51">
        <f>Efficiencies!K153</f>
        <v>2.3723309343960031</v>
      </c>
      <c r="D153" s="52">
        <f>Efficiencies!L153</f>
        <v>0.68813469908119773</v>
      </c>
    </row>
    <row r="154" spans="1:4" hidden="1">
      <c r="A154" s="59">
        <f>Efficiencies!A154</f>
        <v>45968</v>
      </c>
      <c r="B154" s="61" t="str">
        <f>Efficiencies!J154</f>
        <v>0</v>
      </c>
      <c r="C154" s="51" t="str">
        <f>Efficiencies!K154</f>
        <v>0</v>
      </c>
      <c r="D154" s="52" t="str">
        <f>Efficiencies!L154</f>
        <v>0</v>
      </c>
    </row>
    <row r="155" spans="1:4" hidden="1">
      <c r="A155" s="59">
        <f>Efficiencies!A155</f>
        <v>45969</v>
      </c>
      <c r="B155" s="61" t="str">
        <f>Efficiencies!J155</f>
        <v>0</v>
      </c>
      <c r="C155" s="51" t="str">
        <f>Efficiencies!K155</f>
        <v>0</v>
      </c>
      <c r="D155" s="52" t="str">
        <f>Efficiencies!L155</f>
        <v>0</v>
      </c>
    </row>
    <row r="156" spans="1:4" hidden="1">
      <c r="A156" s="59">
        <f>Efficiencies!A156</f>
        <v>45970</v>
      </c>
      <c r="B156" s="61" t="str">
        <f>Efficiencies!J156</f>
        <v>0</v>
      </c>
      <c r="C156" s="51" t="str">
        <f>Efficiencies!K156</f>
        <v>0</v>
      </c>
      <c r="D156" s="52" t="str">
        <f>Efficiencies!L156</f>
        <v>0</v>
      </c>
    </row>
    <row r="157" spans="1:4">
      <c r="A157" s="59">
        <f>Efficiencies!A157</f>
        <v>45971</v>
      </c>
      <c r="B157" s="61">
        <f>Efficiencies!J157</f>
        <v>0.60046356096290743</v>
      </c>
      <c r="C157" s="51">
        <f>Efficiencies!K157</f>
        <v>2.3811201323751021</v>
      </c>
      <c r="D157" s="52">
        <f>Efficiencies!L157</f>
        <v>0.4229037599300482</v>
      </c>
    </row>
    <row r="158" spans="1:4" hidden="1">
      <c r="A158" s="59">
        <f>Efficiencies!A158</f>
        <v>45972</v>
      </c>
      <c r="B158" s="61" t="str">
        <f>Efficiencies!J158</f>
        <v>0</v>
      </c>
      <c r="C158" s="51" t="str">
        <f>Efficiencies!K158</f>
        <v>0</v>
      </c>
      <c r="D158" s="52" t="str">
        <f>Efficiencies!L158</f>
        <v>0</v>
      </c>
    </row>
    <row r="159" spans="1:4" hidden="1">
      <c r="A159" s="59">
        <f>Efficiencies!A159</f>
        <v>45973</v>
      </c>
      <c r="B159" s="61" t="str">
        <f>Efficiencies!J159</f>
        <v>0</v>
      </c>
      <c r="C159" s="51" t="str">
        <f>Efficiencies!K159</f>
        <v>0</v>
      </c>
      <c r="D159" s="52" t="str">
        <f>Efficiencies!L159</f>
        <v>0</v>
      </c>
    </row>
    <row r="160" spans="1:4">
      <c r="A160" s="59">
        <f>Efficiencies!A160</f>
        <v>45974</v>
      </c>
      <c r="B160" s="61">
        <f>Efficiencies!J160</f>
        <v>0.60018418350604952</v>
      </c>
      <c r="C160" s="51">
        <f>Efficiencies!K160</f>
        <v>2.3859858835685652</v>
      </c>
      <c r="D160" s="52">
        <f>Efficiencies!L160</f>
        <v>0.5641997101074897</v>
      </c>
    </row>
    <row r="161" spans="1:4" hidden="1">
      <c r="A161" s="59">
        <f>Efficiencies!A161</f>
        <v>45975</v>
      </c>
      <c r="B161" s="61" t="str">
        <f>Efficiencies!J161</f>
        <v>0</v>
      </c>
      <c r="C161" s="51" t="str">
        <f>Efficiencies!K161</f>
        <v>0</v>
      </c>
      <c r="D161" s="52" t="str">
        <f>Efficiencies!L161</f>
        <v>0</v>
      </c>
    </row>
    <row r="162" spans="1:4" hidden="1">
      <c r="A162" s="59">
        <f>Efficiencies!A162</f>
        <v>45976</v>
      </c>
      <c r="B162" s="61" t="str">
        <f>Efficiencies!J162</f>
        <v>0</v>
      </c>
      <c r="C162" s="51" t="str">
        <f>Efficiencies!K162</f>
        <v>0</v>
      </c>
      <c r="D162" s="52" t="str">
        <f>Efficiencies!L162</f>
        <v>0</v>
      </c>
    </row>
    <row r="163" spans="1:4" hidden="1">
      <c r="A163" s="59">
        <f>Efficiencies!A163</f>
        <v>45977</v>
      </c>
      <c r="B163" s="61" t="str">
        <f>Efficiencies!J163</f>
        <v>0</v>
      </c>
      <c r="C163" s="51" t="str">
        <f>Efficiencies!K163</f>
        <v>0</v>
      </c>
      <c r="D163" s="52" t="str">
        <f>Efficiencies!L163</f>
        <v>0</v>
      </c>
    </row>
    <row r="164" spans="1:4">
      <c r="A164" s="59">
        <f>Efficiencies!A164</f>
        <v>45978</v>
      </c>
      <c r="B164" s="61">
        <f>Efficiencies!J164</f>
        <v>0.59799590913758949</v>
      </c>
      <c r="C164" s="51">
        <f>Efficiencies!K164</f>
        <v>2.4066317171055562</v>
      </c>
      <c r="D164" s="52">
        <f>Efficiencies!L164</f>
        <v>0.53039172188747796</v>
      </c>
    </row>
    <row r="165" spans="1:4" hidden="1">
      <c r="A165" s="59">
        <f>Efficiencies!A165</f>
        <v>45979</v>
      </c>
      <c r="B165" s="61" t="str">
        <f>Efficiencies!J165</f>
        <v>0</v>
      </c>
      <c r="C165" s="51" t="str">
        <f>Efficiencies!K165</f>
        <v>0</v>
      </c>
      <c r="D165" s="52" t="str">
        <f>Efficiencies!L165</f>
        <v>0</v>
      </c>
    </row>
    <row r="166" spans="1:4" hidden="1">
      <c r="A166" s="59">
        <f>Efficiencies!A166</f>
        <v>45980</v>
      </c>
      <c r="B166" s="61" t="str">
        <f>Efficiencies!J166</f>
        <v>0</v>
      </c>
      <c r="C166" s="51" t="str">
        <f>Efficiencies!K166</f>
        <v>0</v>
      </c>
      <c r="D166" s="52" t="str">
        <f>Efficiencies!L166</f>
        <v>0</v>
      </c>
    </row>
    <row r="167" spans="1:4">
      <c r="A167" s="59">
        <f>Efficiencies!A167</f>
        <v>45981</v>
      </c>
      <c r="B167" s="61">
        <f>Efficiencies!J167</f>
        <v>0.58939030861760278</v>
      </c>
      <c r="C167" s="51">
        <f>Efficiencies!K167</f>
        <v>2.4243363889927201</v>
      </c>
      <c r="D167" s="52">
        <f>Efficiencies!L167</f>
        <v>0.64690372414063058</v>
      </c>
    </row>
    <row r="168" spans="1:4" hidden="1">
      <c r="A168" s="59">
        <f>Efficiencies!A168</f>
        <v>45982</v>
      </c>
      <c r="B168" s="61" t="str">
        <f>Efficiencies!J168</f>
        <v>0</v>
      </c>
      <c r="C168" s="51" t="str">
        <f>Efficiencies!K168</f>
        <v>0</v>
      </c>
      <c r="D168" s="52" t="str">
        <f>Efficiencies!L168</f>
        <v>0</v>
      </c>
    </row>
    <row r="169" spans="1:4" hidden="1">
      <c r="A169" s="59">
        <f>Efficiencies!A169</f>
        <v>45983</v>
      </c>
      <c r="B169" s="61" t="str">
        <f>Efficiencies!J169</f>
        <v>0</v>
      </c>
      <c r="C169" s="51" t="str">
        <f>Efficiencies!K169</f>
        <v>0</v>
      </c>
      <c r="D169" s="52" t="str">
        <f>Efficiencies!L169</f>
        <v>0</v>
      </c>
    </row>
    <row r="170" spans="1:4" hidden="1">
      <c r="A170" s="59">
        <f>Efficiencies!A170</f>
        <v>45984</v>
      </c>
      <c r="B170" s="61" t="str">
        <f>Efficiencies!J170</f>
        <v>0</v>
      </c>
      <c r="C170" s="51" t="str">
        <f>Efficiencies!K170</f>
        <v>0</v>
      </c>
      <c r="D170" s="52" t="str">
        <f>Efficiencies!L170</f>
        <v>0</v>
      </c>
    </row>
    <row r="171" spans="1:4">
      <c r="A171" s="59">
        <f>Efficiencies!A171</f>
        <v>45985</v>
      </c>
      <c r="B171" s="61">
        <f>Efficiencies!J171</f>
        <v>0.56660736947843737</v>
      </c>
      <c r="C171" s="51">
        <f>Efficiencies!K171</f>
        <v>2.4486944094324081</v>
      </c>
      <c r="D171" s="52">
        <f>Efficiencies!L171</f>
        <v>0.86688037793150019</v>
      </c>
    </row>
    <row r="172" spans="1:4" hidden="1">
      <c r="A172" s="59">
        <f>Efficiencies!A172</f>
        <v>45986</v>
      </c>
      <c r="B172" s="61" t="str">
        <f>Efficiencies!J172</f>
        <v>0</v>
      </c>
      <c r="C172" s="51" t="str">
        <f>Efficiencies!K172</f>
        <v>0</v>
      </c>
      <c r="D172" s="52" t="str">
        <f>Efficiencies!L172</f>
        <v>0</v>
      </c>
    </row>
    <row r="173" spans="1:4" hidden="1">
      <c r="A173" s="59">
        <f>Efficiencies!A173</f>
        <v>45987</v>
      </c>
      <c r="B173" s="61" t="str">
        <f>Efficiencies!J173</f>
        <v>0</v>
      </c>
      <c r="C173" s="51" t="str">
        <f>Efficiencies!K173</f>
        <v>0</v>
      </c>
      <c r="D173" s="52" t="str">
        <f>Efficiencies!L173</f>
        <v>0</v>
      </c>
    </row>
    <row r="174" spans="1:4">
      <c r="A174" s="59">
        <f>Efficiencies!A174</f>
        <v>45988</v>
      </c>
      <c r="B174" s="61">
        <f>Efficiencies!J174</f>
        <v>0.58038740177862858</v>
      </c>
      <c r="C174" s="51">
        <f>Efficiencies!K174</f>
        <v>2.4271636050135945</v>
      </c>
      <c r="D174" s="52">
        <f>Efficiencies!L174</f>
        <v>0.7749467618689716</v>
      </c>
    </row>
    <row r="175" spans="1:4" hidden="1">
      <c r="A175" s="59">
        <f>Efficiencies!A175</f>
        <v>45989</v>
      </c>
      <c r="B175" s="61" t="str">
        <f>Efficiencies!J175</f>
        <v>0</v>
      </c>
      <c r="C175" s="51" t="str">
        <f>Efficiencies!K175</f>
        <v>0</v>
      </c>
      <c r="D175" s="52" t="str">
        <f>Efficiencies!L175</f>
        <v>0</v>
      </c>
    </row>
    <row r="176" spans="1:4" hidden="1">
      <c r="A176" s="59">
        <f>Efficiencies!A176</f>
        <v>45990</v>
      </c>
      <c r="B176" s="61" t="str">
        <f>Efficiencies!J176</f>
        <v>0</v>
      </c>
      <c r="C176" s="51" t="str">
        <f>Efficiencies!K176</f>
        <v>0</v>
      </c>
      <c r="D176" s="52" t="str">
        <f>Efficiencies!L176</f>
        <v>0</v>
      </c>
    </row>
    <row r="177" spans="1:4" hidden="1">
      <c r="A177" s="59">
        <f>Efficiencies!A177</f>
        <v>45991</v>
      </c>
      <c r="B177" s="61" t="str">
        <f>Efficiencies!J177</f>
        <v>0</v>
      </c>
      <c r="C177" s="51" t="str">
        <f>Efficiencies!K177</f>
        <v>0</v>
      </c>
      <c r="D177" s="52" t="str">
        <f>Efficiencies!L177</f>
        <v>0</v>
      </c>
    </row>
    <row r="178" spans="1:4">
      <c r="A178" s="59">
        <f>Efficiencies!A178</f>
        <v>45992</v>
      </c>
      <c r="B178" s="61">
        <f>Efficiencies!J178</f>
        <v>0.58667593165068099</v>
      </c>
      <c r="C178" s="51">
        <f>Efficiencies!K178</f>
        <v>2.4233602910153271</v>
      </c>
      <c r="D178" s="52">
        <f>Efficiencies!L178</f>
        <v>0.79191027263777569</v>
      </c>
    </row>
    <row r="179" spans="1:4" hidden="1">
      <c r="A179" s="59">
        <f>Efficiencies!A179</f>
        <v>45993</v>
      </c>
      <c r="B179" s="61" t="str">
        <f>Efficiencies!J179</f>
        <v>0</v>
      </c>
      <c r="C179" s="51" t="str">
        <f>Efficiencies!K179</f>
        <v>0</v>
      </c>
      <c r="D179" s="52" t="str">
        <f>Efficiencies!L179</f>
        <v>0</v>
      </c>
    </row>
    <row r="180" spans="1:4" hidden="1">
      <c r="A180" s="59">
        <f>Efficiencies!A180</f>
        <v>45994</v>
      </c>
      <c r="B180" s="61" t="str">
        <f>Efficiencies!J180</f>
        <v>0</v>
      </c>
      <c r="C180" s="51" t="str">
        <f>Efficiencies!K180</f>
        <v>0</v>
      </c>
      <c r="D180" s="52" t="str">
        <f>Efficiencies!L180</f>
        <v>0</v>
      </c>
    </row>
    <row r="181" spans="1:4">
      <c r="A181" s="59">
        <f>Efficiencies!A181</f>
        <v>45995</v>
      </c>
      <c r="B181" s="61">
        <f>Efficiencies!J181</f>
        <v>0.57587837534484687</v>
      </c>
      <c r="C181" s="51">
        <f>Efficiencies!K181</f>
        <v>2.4628953776658231</v>
      </c>
      <c r="D181" s="52">
        <f>Efficiencies!L181</f>
        <v>0.73111067764990723</v>
      </c>
    </row>
    <row r="182" spans="1:4" hidden="1">
      <c r="A182" s="59">
        <f>Efficiencies!A182</f>
        <v>45996</v>
      </c>
      <c r="B182" s="61" t="str">
        <f>Efficiencies!J182</f>
        <v>0</v>
      </c>
      <c r="C182" s="51" t="str">
        <f>Efficiencies!K182</f>
        <v>0</v>
      </c>
      <c r="D182" s="52" t="str">
        <f>Efficiencies!L182</f>
        <v>0</v>
      </c>
    </row>
    <row r="183" spans="1:4" hidden="1">
      <c r="A183" s="59">
        <f>Efficiencies!A183</f>
        <v>45997</v>
      </c>
      <c r="B183" s="61" t="str">
        <f>Efficiencies!J183</f>
        <v>0</v>
      </c>
      <c r="C183" s="51" t="str">
        <f>Efficiencies!K183</f>
        <v>0</v>
      </c>
      <c r="D183" s="52" t="str">
        <f>Efficiencies!L183</f>
        <v>0</v>
      </c>
    </row>
    <row r="184" spans="1:4" hidden="1">
      <c r="A184" s="59">
        <f>Efficiencies!A184</f>
        <v>45998</v>
      </c>
      <c r="B184" s="61" t="str">
        <f>Efficiencies!J184</f>
        <v>0</v>
      </c>
      <c r="C184" s="51" t="str">
        <f>Efficiencies!K184</f>
        <v>0</v>
      </c>
      <c r="D184" s="52" t="str">
        <f>Efficiencies!L184</f>
        <v>0</v>
      </c>
    </row>
    <row r="185" spans="1:4">
      <c r="A185" s="59">
        <f>Efficiencies!A185</f>
        <v>45999</v>
      </c>
      <c r="B185" s="61">
        <f>Efficiencies!J185</f>
        <v>0.58580513953002611</v>
      </c>
      <c r="C185" s="51">
        <f>Efficiencies!K185</f>
        <v>2.4218320622639853</v>
      </c>
      <c r="D185" s="52">
        <f>Efficiencies!L185</f>
        <v>0.69064836860344125</v>
      </c>
    </row>
    <row r="186" spans="1:4" hidden="1">
      <c r="A186" s="59">
        <f>Efficiencies!A186</f>
        <v>46000</v>
      </c>
      <c r="B186" s="61" t="str">
        <f>Efficiencies!J186</f>
        <v>0</v>
      </c>
      <c r="C186" s="51" t="str">
        <f>Efficiencies!K186</f>
        <v>0</v>
      </c>
      <c r="D186" s="52" t="str">
        <f>Efficiencies!L186</f>
        <v>0</v>
      </c>
    </row>
    <row r="187" spans="1:4" hidden="1">
      <c r="A187" s="59">
        <f>Efficiencies!A187</f>
        <v>46001</v>
      </c>
      <c r="B187" s="61" t="str">
        <f>Efficiencies!J187</f>
        <v>0</v>
      </c>
      <c r="C187" s="51" t="str">
        <f>Efficiencies!K187</f>
        <v>0</v>
      </c>
      <c r="D187" s="52" t="str">
        <f>Efficiencies!L187</f>
        <v>0</v>
      </c>
    </row>
    <row r="188" spans="1:4" hidden="1">
      <c r="A188" s="59">
        <f>Efficiencies!A188</f>
        <v>46002</v>
      </c>
      <c r="B188" s="61" t="str">
        <f>Efficiencies!J188</f>
        <v>0</v>
      </c>
      <c r="C188" s="51" t="str">
        <f>Efficiencies!K188</f>
        <v>0</v>
      </c>
      <c r="D188" s="52" t="str">
        <f>Efficiencies!L188</f>
        <v>0</v>
      </c>
    </row>
    <row r="189" spans="1:4" hidden="1">
      <c r="A189" s="59">
        <f>Efficiencies!A189</f>
        <v>46003</v>
      </c>
      <c r="B189" s="61" t="str">
        <f>Efficiencies!J189</f>
        <v>0</v>
      </c>
      <c r="C189" s="51" t="str">
        <f>Efficiencies!K189</f>
        <v>0</v>
      </c>
      <c r="D189" s="52" t="str">
        <f>Efficiencies!L189</f>
        <v>0</v>
      </c>
    </row>
    <row r="190" spans="1:4" hidden="1">
      <c r="A190" s="59">
        <f>Efficiencies!A190</f>
        <v>46004</v>
      </c>
      <c r="B190" s="61" t="str">
        <f>Efficiencies!J190</f>
        <v>0</v>
      </c>
      <c r="C190" s="51" t="str">
        <f>Efficiencies!K190</f>
        <v>0</v>
      </c>
      <c r="D190" s="52" t="str">
        <f>Efficiencies!L190</f>
        <v>0</v>
      </c>
    </row>
    <row r="191" spans="1:4" hidden="1">
      <c r="A191" s="59">
        <f>Efficiencies!A191</f>
        <v>46005</v>
      </c>
      <c r="B191" s="61" t="str">
        <f>Efficiencies!J191</f>
        <v>0</v>
      </c>
      <c r="C191" s="51" t="str">
        <f>Efficiencies!K191</f>
        <v>0</v>
      </c>
      <c r="D191" s="52" t="str">
        <f>Efficiencies!L191</f>
        <v>0</v>
      </c>
    </row>
    <row r="192" spans="1:4" hidden="1">
      <c r="A192" s="59">
        <f>Efficiencies!A192</f>
        <v>46006</v>
      </c>
      <c r="B192" s="61" t="str">
        <f>Efficiencies!J192</f>
        <v>0</v>
      </c>
      <c r="C192" s="51" t="str">
        <f>Efficiencies!K192</f>
        <v>0</v>
      </c>
      <c r="D192" s="52" t="str">
        <f>Efficiencies!L192</f>
        <v>0</v>
      </c>
    </row>
    <row r="193" spans="1:4" hidden="1">
      <c r="A193" s="59">
        <f>Efficiencies!A193</f>
        <v>46007</v>
      </c>
      <c r="B193" s="61" t="str">
        <f>Efficiencies!J193</f>
        <v>0</v>
      </c>
      <c r="C193" s="51" t="str">
        <f>Efficiencies!K193</f>
        <v>0</v>
      </c>
      <c r="D193" s="52" t="str">
        <f>Efficiencies!L193</f>
        <v>0</v>
      </c>
    </row>
    <row r="194" spans="1:4" hidden="1">
      <c r="A194" s="59">
        <f>Efficiencies!A194</f>
        <v>46008</v>
      </c>
      <c r="B194" s="61" t="str">
        <f>Efficiencies!J194</f>
        <v>0</v>
      </c>
      <c r="C194" s="51" t="str">
        <f>Efficiencies!K194</f>
        <v>0</v>
      </c>
      <c r="D194" s="52" t="str">
        <f>Efficiencies!L194</f>
        <v>0</v>
      </c>
    </row>
    <row r="195" spans="1:4" hidden="1">
      <c r="A195" s="59">
        <f>Efficiencies!A195</f>
        <v>46009</v>
      </c>
      <c r="B195" s="61">
        <f>Efficiencies!J195</f>
        <v>0.58132112303197203</v>
      </c>
      <c r="C195" s="51">
        <f>Efficiencies!K195</f>
        <v>2.4102188498933761</v>
      </c>
      <c r="D195" s="52">
        <f>Efficiencies!L195</f>
        <v>0.5940947107509893</v>
      </c>
    </row>
    <row r="196" spans="1:4" hidden="1">
      <c r="A196" s="59">
        <f>Efficiencies!A196</f>
        <v>46010</v>
      </c>
      <c r="B196" s="61" t="str">
        <f>Efficiencies!J196</f>
        <v>0</v>
      </c>
      <c r="C196" s="51" t="str">
        <f>Efficiencies!K196</f>
        <v>0</v>
      </c>
      <c r="D196" s="52" t="str">
        <f>Efficiencies!L196</f>
        <v>0</v>
      </c>
    </row>
    <row r="197" spans="1:4" hidden="1">
      <c r="A197" s="59">
        <f>Efficiencies!A197</f>
        <v>46011</v>
      </c>
      <c r="B197" s="61" t="str">
        <f>Efficiencies!J197</f>
        <v>0</v>
      </c>
      <c r="C197" s="51" t="str">
        <f>Efficiencies!K197</f>
        <v>0</v>
      </c>
      <c r="D197" s="52" t="str">
        <f>Efficiencies!L197</f>
        <v>0</v>
      </c>
    </row>
    <row r="198" spans="1:4" hidden="1">
      <c r="A198" s="59">
        <f>Efficiencies!A198</f>
        <v>46012</v>
      </c>
      <c r="B198" s="61" t="str">
        <f>Efficiencies!J198</f>
        <v>0</v>
      </c>
      <c r="C198" s="51" t="str">
        <f>Efficiencies!K198</f>
        <v>0</v>
      </c>
      <c r="D198" s="52" t="str">
        <f>Efficiencies!L198</f>
        <v>0</v>
      </c>
    </row>
    <row r="199" spans="1:4" hidden="1">
      <c r="A199" s="59">
        <f>Efficiencies!A199</f>
        <v>46013</v>
      </c>
      <c r="B199" s="61" t="str">
        <f>Efficiencies!J199</f>
        <v>0</v>
      </c>
      <c r="C199" s="51" t="str">
        <f>Efficiencies!K199</f>
        <v>0</v>
      </c>
      <c r="D199" s="52" t="str">
        <f>Efficiencies!L199</f>
        <v>0</v>
      </c>
    </row>
    <row r="200" spans="1:4" hidden="1">
      <c r="A200" s="59">
        <f>Efficiencies!A200</f>
        <v>46014</v>
      </c>
      <c r="B200" s="61" t="str">
        <f>Efficiencies!J200</f>
        <v>0</v>
      </c>
      <c r="C200" s="51" t="str">
        <f>Efficiencies!K200</f>
        <v>0</v>
      </c>
      <c r="D200" s="52" t="str">
        <f>Efficiencies!L200</f>
        <v>0</v>
      </c>
    </row>
    <row r="201" spans="1:4" hidden="1">
      <c r="A201" s="59">
        <f>Efficiencies!A201</f>
        <v>46015</v>
      </c>
      <c r="B201" s="61" t="str">
        <f>Efficiencies!J201</f>
        <v>0</v>
      </c>
      <c r="C201" s="51" t="str">
        <f>Efficiencies!K201</f>
        <v>0</v>
      </c>
      <c r="D201" s="52" t="str">
        <f>Efficiencies!L201</f>
        <v>0</v>
      </c>
    </row>
    <row r="202" spans="1:4" hidden="1">
      <c r="A202" s="59">
        <f>Efficiencies!A202</f>
        <v>46016</v>
      </c>
      <c r="B202" s="61" t="str">
        <f>Efficiencies!J202</f>
        <v>0</v>
      </c>
      <c r="C202" s="51" t="str">
        <f>Efficiencies!K202</f>
        <v>0</v>
      </c>
      <c r="D202" s="52" t="str">
        <f>Efficiencies!L202</f>
        <v>0</v>
      </c>
    </row>
    <row r="203" spans="1:4" hidden="1">
      <c r="A203" s="59">
        <f>Efficiencies!A203</f>
        <v>46017</v>
      </c>
      <c r="B203" s="61" t="str">
        <f>Efficiencies!J203</f>
        <v>0</v>
      </c>
      <c r="C203" s="51" t="str">
        <f>Efficiencies!K203</f>
        <v>0</v>
      </c>
      <c r="D203" s="52" t="str">
        <f>Efficiencies!L203</f>
        <v>0</v>
      </c>
    </row>
    <row r="204" spans="1:4" hidden="1">
      <c r="A204" s="59">
        <f>Efficiencies!A204</f>
        <v>46018</v>
      </c>
      <c r="B204" s="61" t="str">
        <f>Efficiencies!J204</f>
        <v>0</v>
      </c>
      <c r="C204" s="51" t="str">
        <f>Efficiencies!K204</f>
        <v>0</v>
      </c>
      <c r="D204" s="52" t="str">
        <f>Efficiencies!L204</f>
        <v>0</v>
      </c>
    </row>
    <row r="205" spans="1:4" hidden="1">
      <c r="A205" s="59">
        <f>Efficiencies!A205</f>
        <v>46019</v>
      </c>
      <c r="B205" s="61" t="str">
        <f>Efficiencies!J205</f>
        <v>0</v>
      </c>
      <c r="C205" s="51" t="str">
        <f>Efficiencies!K205</f>
        <v>0</v>
      </c>
      <c r="D205" s="52" t="str">
        <f>Efficiencies!L205</f>
        <v>0</v>
      </c>
    </row>
    <row r="206" spans="1:4" hidden="1">
      <c r="A206" s="59">
        <f>Efficiencies!A206</f>
        <v>46020</v>
      </c>
      <c r="B206" s="61" t="str">
        <f>Efficiencies!J206</f>
        <v>0</v>
      </c>
      <c r="C206" s="51" t="str">
        <f>Efficiencies!K206</f>
        <v>0</v>
      </c>
      <c r="D206" s="52" t="str">
        <f>Efficiencies!L206</f>
        <v>0</v>
      </c>
    </row>
    <row r="207" spans="1:4" hidden="1">
      <c r="A207" s="59">
        <f>Efficiencies!A207</f>
        <v>46021</v>
      </c>
      <c r="B207" s="61" t="str">
        <f>Efficiencies!J207</f>
        <v>0</v>
      </c>
      <c r="C207" s="51" t="str">
        <f>Efficiencies!K207</f>
        <v>0</v>
      </c>
      <c r="D207" s="52" t="str">
        <f>Efficiencies!L207</f>
        <v>0</v>
      </c>
    </row>
    <row r="208" spans="1:4" ht="16.5" hidden="1" thickBot="1">
      <c r="A208" s="60">
        <f>Efficiencies!A208</f>
        <v>46022</v>
      </c>
      <c r="B208" s="67" t="str">
        <f>Efficiencies!J208</f>
        <v>0</v>
      </c>
      <c r="C208" s="54" t="str">
        <f>Efficiencies!K208</f>
        <v>0</v>
      </c>
      <c r="D208" s="55" t="str">
        <f>Efficiencies!L208</f>
        <v>0</v>
      </c>
    </row>
  </sheetData>
  <sheetProtection algorithmName="SHA-512" hashValue="9921IC7KRYT2mfSvzi5QCyRuiz5TrSSAkpQM2XRDfegM3MiXw2JE6VJLSuRGwZqnFmZHejkvs+9iDJbmFuF1ww==" saltValue="sAeVKtSXU3pehPTXkASZcg==" spinCount="100000" sheet="1" objects="1" scenarios="1" autoFilter="0"/>
  <autoFilter ref="A4:D208" xr:uid="{FFEF645B-3BAE-B64B-BB87-7CD59A404828}">
    <filterColumn colId="1">
      <filters>
        <filter val="57%"/>
        <filter val="58%"/>
        <filter val="59%"/>
        <filter val="60%"/>
        <filter val="61%"/>
        <filter val="62%"/>
      </filters>
    </filterColumn>
  </autoFilter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E644-1D07-374B-99DF-A8B26CC559F7}">
  <sheetPr codeName="Sheet5" filterMode="1"/>
  <dimension ref="A1:C208"/>
  <sheetViews>
    <sheetView workbookViewId="0">
      <pane ySplit="4" topLeftCell="A118" activePane="bottomLeft" state="frozen"/>
      <selection pane="bottomLeft" activeCell="B181" sqref="B181"/>
    </sheetView>
  </sheetViews>
  <sheetFormatPr defaultColWidth="11" defaultRowHeight="15.95"/>
  <sheetData>
    <row r="1" spans="1:3" ht="24.95" customHeight="1">
      <c r="A1" s="56"/>
      <c r="B1" s="306" t="s">
        <v>53</v>
      </c>
      <c r="C1" s="308"/>
    </row>
    <row r="2" spans="1:3">
      <c r="A2" s="57">
        <f>Efficiencies!A2</f>
        <v>0</v>
      </c>
      <c r="B2" s="44" t="str">
        <f>Efficiencies!M2</f>
        <v>HPA</v>
      </c>
      <c r="C2" s="46">
        <f>Efficiencies!N2</f>
        <v>0</v>
      </c>
    </row>
    <row r="3" spans="1:3">
      <c r="A3" s="57" t="str">
        <f>Efficiencies!A3</f>
        <v>Design Values</v>
      </c>
      <c r="B3" s="44">
        <f>Efficiencies!M3</f>
        <v>2.38</v>
      </c>
      <c r="C3" s="46">
        <f>Efficiencies!N3</f>
        <v>1.2889999999999999</v>
      </c>
    </row>
    <row r="4" spans="1:3">
      <c r="A4" s="58" t="str">
        <f>Efficiencies!A4</f>
        <v>Date</v>
      </c>
      <c r="B4" s="47" t="str">
        <f>Efficiencies!M4</f>
        <v>N/C</v>
      </c>
      <c r="C4" s="49" t="str">
        <f>Efficiencies!N4</f>
        <v>H/C</v>
      </c>
    </row>
    <row r="5" spans="1:3" hidden="1">
      <c r="A5" s="59">
        <f>Efficiencies!A5</f>
        <v>45819</v>
      </c>
      <c r="B5" s="50" t="str">
        <f>Efficiencies!M5</f>
        <v>0</v>
      </c>
      <c r="C5" s="52" t="str">
        <f>Efficiencies!N5</f>
        <v>0</v>
      </c>
    </row>
    <row r="6" spans="1:3" hidden="1">
      <c r="A6" s="59">
        <f>Efficiencies!A6</f>
        <v>45820</v>
      </c>
      <c r="B6" s="50" t="str">
        <f>Efficiencies!M6</f>
        <v>0</v>
      </c>
      <c r="C6" s="52" t="str">
        <f>Efficiencies!N6</f>
        <v>0</v>
      </c>
    </row>
    <row r="7" spans="1:3" hidden="1">
      <c r="A7" s="59">
        <f>Efficiencies!A7</f>
        <v>45821</v>
      </c>
      <c r="B7" s="50" t="str">
        <f>Efficiencies!M7</f>
        <v>0</v>
      </c>
      <c r="C7" s="52" t="str">
        <f>Efficiencies!N7</f>
        <v>0</v>
      </c>
    </row>
    <row r="8" spans="1:3" hidden="1">
      <c r="A8" s="59">
        <f>Efficiencies!A8</f>
        <v>45822</v>
      </c>
      <c r="B8" s="50" t="str">
        <f>Efficiencies!M8</f>
        <v>0</v>
      </c>
      <c r="C8" s="52" t="str">
        <f>Efficiencies!N8</f>
        <v>0</v>
      </c>
    </row>
    <row r="9" spans="1:3" hidden="1">
      <c r="A9" s="59">
        <f>Efficiencies!A9</f>
        <v>45823</v>
      </c>
      <c r="B9" s="50" t="str">
        <f>Efficiencies!M9</f>
        <v>0</v>
      </c>
      <c r="C9" s="52" t="str">
        <f>Efficiencies!N9</f>
        <v>0</v>
      </c>
    </row>
    <row r="10" spans="1:3" hidden="1">
      <c r="A10" s="59">
        <f>Efficiencies!A10</f>
        <v>45824</v>
      </c>
      <c r="B10" s="50" t="str">
        <f>Efficiencies!M10</f>
        <v>0</v>
      </c>
      <c r="C10" s="52" t="str">
        <f>Efficiencies!N10</f>
        <v>0</v>
      </c>
    </row>
    <row r="11" spans="1:3" hidden="1">
      <c r="A11" s="59">
        <f>Efficiencies!A11</f>
        <v>45825</v>
      </c>
      <c r="B11" s="50" t="str">
        <f>Efficiencies!M11</f>
        <v>0</v>
      </c>
      <c r="C11" s="52" t="str">
        <f>Efficiencies!N11</f>
        <v>0</v>
      </c>
    </row>
    <row r="12" spans="1:3" hidden="1">
      <c r="A12" s="59">
        <f>Efficiencies!A12</f>
        <v>45826</v>
      </c>
      <c r="B12" s="50" t="str">
        <f>Efficiencies!M12</f>
        <v>0</v>
      </c>
      <c r="C12" s="52" t="str">
        <f>Efficiencies!N12</f>
        <v>0</v>
      </c>
    </row>
    <row r="13" spans="1:3" hidden="1">
      <c r="A13" s="59">
        <f>Efficiencies!A13</f>
        <v>45827</v>
      </c>
      <c r="B13" s="50" t="str">
        <f>Efficiencies!M13</f>
        <v>0</v>
      </c>
      <c r="C13" s="52" t="str">
        <f>Efficiencies!N13</f>
        <v>0</v>
      </c>
    </row>
    <row r="14" spans="1:3" hidden="1">
      <c r="A14" s="59">
        <f>Efficiencies!A14</f>
        <v>45828</v>
      </c>
      <c r="B14" s="50" t="str">
        <f>Efficiencies!M14</f>
        <v>0</v>
      </c>
      <c r="C14" s="52" t="str">
        <f>Efficiencies!N14</f>
        <v>0</v>
      </c>
    </row>
    <row r="15" spans="1:3" hidden="1">
      <c r="A15" s="59">
        <f>Efficiencies!A15</f>
        <v>45829</v>
      </c>
      <c r="B15" s="50" t="str">
        <f>Efficiencies!M15</f>
        <v>0</v>
      </c>
      <c r="C15" s="52" t="str">
        <f>Efficiencies!N15</f>
        <v>0</v>
      </c>
    </row>
    <row r="16" spans="1:3" hidden="1">
      <c r="A16" s="59">
        <f>Efficiencies!A16</f>
        <v>45830</v>
      </c>
      <c r="B16" s="50" t="str">
        <f>Efficiencies!M16</f>
        <v>0</v>
      </c>
      <c r="C16" s="52" t="str">
        <f>Efficiencies!N16</f>
        <v>0</v>
      </c>
    </row>
    <row r="17" spans="1:3">
      <c r="A17" s="59">
        <f>Efficiencies!A17</f>
        <v>45831</v>
      </c>
      <c r="B17" s="50">
        <f>Efficiencies!M17</f>
        <v>2.4664982557440154</v>
      </c>
      <c r="C17" s="52">
        <f>Efficiencies!N17</f>
        <v>1.4746648488979777</v>
      </c>
    </row>
    <row r="18" spans="1:3" hidden="1">
      <c r="A18" s="59">
        <f>Efficiencies!A18</f>
        <v>45832</v>
      </c>
      <c r="B18" s="50" t="str">
        <f>Efficiencies!M18</f>
        <v>0</v>
      </c>
      <c r="C18" s="52" t="str">
        <f>Efficiencies!N18</f>
        <v>0</v>
      </c>
    </row>
    <row r="19" spans="1:3" hidden="1">
      <c r="A19" s="59">
        <f>Efficiencies!A19</f>
        <v>45833</v>
      </c>
      <c r="B19" s="50" t="str">
        <f>Efficiencies!M19</f>
        <v>0</v>
      </c>
      <c r="C19" s="52" t="str">
        <f>Efficiencies!N19</f>
        <v>0</v>
      </c>
    </row>
    <row r="20" spans="1:3">
      <c r="A20" s="59">
        <f>Efficiencies!A20</f>
        <v>45834</v>
      </c>
      <c r="B20" s="50">
        <f>Efficiencies!M20</f>
        <v>2.4135609594107081</v>
      </c>
      <c r="C20" s="52">
        <f>Efficiencies!N20</f>
        <v>1.5487126849713455</v>
      </c>
    </row>
    <row r="21" spans="1:3" hidden="1">
      <c r="A21" s="59">
        <f>Efficiencies!A21</f>
        <v>45835</v>
      </c>
      <c r="B21" s="50" t="str">
        <f>Efficiencies!M21</f>
        <v>0</v>
      </c>
      <c r="C21" s="52" t="str">
        <f>Efficiencies!N21</f>
        <v>0</v>
      </c>
    </row>
    <row r="22" spans="1:3" hidden="1">
      <c r="A22" s="59">
        <f>Efficiencies!A22</f>
        <v>45836</v>
      </c>
      <c r="B22" s="50" t="str">
        <f>Efficiencies!M22</f>
        <v>0</v>
      </c>
      <c r="C22" s="52" t="str">
        <f>Efficiencies!N22</f>
        <v>0</v>
      </c>
    </row>
    <row r="23" spans="1:3" hidden="1">
      <c r="A23" s="59">
        <f>Efficiencies!A23</f>
        <v>45837</v>
      </c>
      <c r="B23" s="50" t="str">
        <f>Efficiencies!M23</f>
        <v>0</v>
      </c>
      <c r="C23" s="52" t="str">
        <f>Efficiencies!N23</f>
        <v>0</v>
      </c>
    </row>
    <row r="24" spans="1:3">
      <c r="A24" s="59">
        <f>Efficiencies!A24</f>
        <v>45838</v>
      </c>
      <c r="B24" s="50">
        <f>Efficiencies!M24</f>
        <v>2.3714640785891823</v>
      </c>
      <c r="C24" s="52">
        <f>Efficiencies!N24</f>
        <v>1.4638385870780239</v>
      </c>
    </row>
    <row r="25" spans="1:3" hidden="1">
      <c r="A25" s="59">
        <f>Efficiencies!A25</f>
        <v>45839</v>
      </c>
      <c r="B25" s="50" t="str">
        <f>Efficiencies!M25</f>
        <v>0</v>
      </c>
      <c r="C25" s="52" t="str">
        <f>Efficiencies!N25</f>
        <v>0</v>
      </c>
    </row>
    <row r="26" spans="1:3" hidden="1">
      <c r="A26" s="59">
        <f>Efficiencies!A26</f>
        <v>45840</v>
      </c>
      <c r="B26" s="50" t="str">
        <f>Efficiencies!M26</f>
        <v>0</v>
      </c>
      <c r="C26" s="52" t="str">
        <f>Efficiencies!N26</f>
        <v>0</v>
      </c>
    </row>
    <row r="27" spans="1:3">
      <c r="A27" s="59">
        <f>Efficiencies!A27</f>
        <v>45841</v>
      </c>
      <c r="B27" s="50">
        <f>Efficiencies!M27</f>
        <v>2.3961777240352142</v>
      </c>
      <c r="C27" s="52">
        <f>Efficiencies!N27</f>
        <v>1.4204618255758896</v>
      </c>
    </row>
    <row r="28" spans="1:3" hidden="1">
      <c r="A28" s="59">
        <f>Efficiencies!A28</f>
        <v>45842</v>
      </c>
      <c r="B28" s="50" t="str">
        <f>Efficiencies!M28</f>
        <v>0</v>
      </c>
      <c r="C28" s="52" t="str">
        <f>Efficiencies!N28</f>
        <v>0</v>
      </c>
    </row>
    <row r="29" spans="1:3" hidden="1">
      <c r="A29" s="59">
        <f>Efficiencies!A29</f>
        <v>45843</v>
      </c>
      <c r="B29" s="50" t="str">
        <f>Efficiencies!M29</f>
        <v>0</v>
      </c>
      <c r="C29" s="52" t="str">
        <f>Efficiencies!N29</f>
        <v>0</v>
      </c>
    </row>
    <row r="30" spans="1:3" hidden="1">
      <c r="A30" s="59">
        <f>Efficiencies!A30</f>
        <v>45844</v>
      </c>
      <c r="B30" s="50" t="str">
        <f>Efficiencies!M30</f>
        <v>0</v>
      </c>
      <c r="C30" s="52" t="str">
        <f>Efficiencies!N30</f>
        <v>0</v>
      </c>
    </row>
    <row r="31" spans="1:3" hidden="1">
      <c r="A31" s="59">
        <f>Efficiencies!A31</f>
        <v>45845</v>
      </c>
      <c r="B31" s="50" t="str">
        <f>Efficiencies!M31</f>
        <v>0</v>
      </c>
      <c r="C31" s="52" t="str">
        <f>Efficiencies!N31</f>
        <v>0</v>
      </c>
    </row>
    <row r="32" spans="1:3">
      <c r="A32" s="59">
        <f>Efficiencies!A32</f>
        <v>45846</v>
      </c>
      <c r="B32" s="50">
        <f>Efficiencies!M32</f>
        <v>2.3123006768656649</v>
      </c>
      <c r="C32" s="52">
        <f>Efficiencies!N32</f>
        <v>1.3057938177698656</v>
      </c>
    </row>
    <row r="33" spans="1:3">
      <c r="A33" s="59">
        <f>Efficiencies!A33</f>
        <v>45847</v>
      </c>
      <c r="B33" s="50">
        <f>Efficiencies!M33</f>
        <v>2.3818270205276848</v>
      </c>
      <c r="C33" s="52">
        <f>Efficiencies!N33</f>
        <v>1.2827864621536891</v>
      </c>
    </row>
    <row r="34" spans="1:3" hidden="1">
      <c r="A34" s="59">
        <f>Efficiencies!A34</f>
        <v>45848</v>
      </c>
      <c r="B34" s="50" t="str">
        <f>Efficiencies!M34</f>
        <v>0</v>
      </c>
      <c r="C34" s="52" t="str">
        <f>Efficiencies!N34</f>
        <v>0</v>
      </c>
    </row>
    <row r="35" spans="1:3" hidden="1">
      <c r="A35" s="59">
        <f>Efficiencies!A35</f>
        <v>45849</v>
      </c>
      <c r="B35" s="50" t="str">
        <f>Efficiencies!M35</f>
        <v>0</v>
      </c>
      <c r="C35" s="52" t="str">
        <f>Efficiencies!N35</f>
        <v>0</v>
      </c>
    </row>
    <row r="36" spans="1:3" hidden="1">
      <c r="A36" s="59">
        <f>Efficiencies!A36</f>
        <v>45850</v>
      </c>
      <c r="B36" s="50" t="str">
        <f>Efficiencies!M36</f>
        <v>0</v>
      </c>
      <c r="C36" s="52" t="str">
        <f>Efficiencies!N36</f>
        <v>0</v>
      </c>
    </row>
    <row r="37" spans="1:3" hidden="1">
      <c r="A37" s="59">
        <f>Efficiencies!A37</f>
        <v>45851</v>
      </c>
      <c r="B37" s="50" t="str">
        <f>Efficiencies!M37</f>
        <v>0</v>
      </c>
      <c r="C37" s="52" t="str">
        <f>Efficiencies!N37</f>
        <v>0</v>
      </c>
    </row>
    <row r="38" spans="1:3" hidden="1">
      <c r="A38" s="59">
        <f>Efficiencies!A38</f>
        <v>45852</v>
      </c>
      <c r="B38" s="50" t="str">
        <f>Efficiencies!M38</f>
        <v>0</v>
      </c>
      <c r="C38" s="52" t="str">
        <f>Efficiencies!N38</f>
        <v>0</v>
      </c>
    </row>
    <row r="39" spans="1:3" hidden="1">
      <c r="A39" s="59">
        <f>Efficiencies!A39</f>
        <v>45853</v>
      </c>
      <c r="B39" s="50" t="str">
        <f>Efficiencies!M39</f>
        <v>0</v>
      </c>
      <c r="C39" s="52" t="str">
        <f>Efficiencies!N39</f>
        <v>0</v>
      </c>
    </row>
    <row r="40" spans="1:3" hidden="1">
      <c r="A40" s="59">
        <f>Efficiencies!A40</f>
        <v>45854</v>
      </c>
      <c r="B40" s="50" t="str">
        <f>Efficiencies!M40</f>
        <v>0</v>
      </c>
      <c r="C40" s="52" t="str">
        <f>Efficiencies!N40</f>
        <v>0</v>
      </c>
    </row>
    <row r="41" spans="1:3">
      <c r="A41" s="59">
        <f>Efficiencies!A41</f>
        <v>45855</v>
      </c>
      <c r="B41" s="50">
        <f>Efficiencies!M41</f>
        <v>2.3247058823529412</v>
      </c>
      <c r="C41" s="52">
        <f>Efficiencies!N41</f>
        <v>1.2859259259259261</v>
      </c>
    </row>
    <row r="42" spans="1:3">
      <c r="A42" s="59">
        <f>Efficiencies!A42</f>
        <v>45856</v>
      </c>
      <c r="B42" s="50">
        <f>Efficiencies!M42</f>
        <v>2.3621969322117762</v>
      </c>
      <c r="C42" s="52">
        <f>Efficiencies!N42</f>
        <v>1.3722029798229698</v>
      </c>
    </row>
    <row r="43" spans="1:3" hidden="1">
      <c r="A43" s="59">
        <f>Efficiencies!A43</f>
        <v>45857</v>
      </c>
      <c r="B43" s="50" t="str">
        <f>Efficiencies!M43</f>
        <v>0</v>
      </c>
      <c r="C43" s="52" t="str">
        <f>Efficiencies!N43</f>
        <v>0</v>
      </c>
    </row>
    <row r="44" spans="1:3" hidden="1">
      <c r="A44" s="59">
        <f>Efficiencies!A44</f>
        <v>45858</v>
      </c>
      <c r="B44" s="50" t="str">
        <f>Efficiencies!M44</f>
        <v>0</v>
      </c>
      <c r="C44" s="52" t="str">
        <f>Efficiencies!N44</f>
        <v>0</v>
      </c>
    </row>
    <row r="45" spans="1:3">
      <c r="A45" s="59">
        <f>Efficiencies!A45</f>
        <v>45859</v>
      </c>
      <c r="B45" s="50">
        <f>Efficiencies!M45</f>
        <v>2.4230564587644103</v>
      </c>
      <c r="C45" s="52">
        <f>Efficiencies!N45</f>
        <v>1.4089335566722501</v>
      </c>
    </row>
    <row r="46" spans="1:3" hidden="1">
      <c r="A46" s="59">
        <f>Efficiencies!A46</f>
        <v>45860</v>
      </c>
      <c r="B46" s="50" t="str">
        <f>Efficiencies!M46</f>
        <v>0</v>
      </c>
      <c r="C46" s="52" t="str">
        <f>Efficiencies!N46</f>
        <v>0</v>
      </c>
    </row>
    <row r="47" spans="1:3" hidden="1">
      <c r="A47" s="59">
        <f>Efficiencies!A47</f>
        <v>45861</v>
      </c>
      <c r="B47" s="50" t="str">
        <f>Efficiencies!M47</f>
        <v>0</v>
      </c>
      <c r="C47" s="52" t="str">
        <f>Efficiencies!N47</f>
        <v>0</v>
      </c>
    </row>
    <row r="48" spans="1:3" hidden="1">
      <c r="A48" s="59">
        <f>Efficiencies!A48</f>
        <v>45862</v>
      </c>
      <c r="B48" s="50" t="str">
        <f>Efficiencies!M48</f>
        <v>0</v>
      </c>
      <c r="C48" s="52" t="str">
        <f>Efficiencies!N48</f>
        <v>0</v>
      </c>
    </row>
    <row r="49" spans="1:3" hidden="1">
      <c r="A49" s="59">
        <f>Efficiencies!A49</f>
        <v>45863</v>
      </c>
      <c r="B49" s="50" t="str">
        <f>Efficiencies!M49</f>
        <v>0</v>
      </c>
      <c r="C49" s="52" t="str">
        <f>Efficiencies!N49</f>
        <v>0</v>
      </c>
    </row>
    <row r="50" spans="1:3" hidden="1">
      <c r="A50" s="59">
        <f>Efficiencies!A50</f>
        <v>45864</v>
      </c>
      <c r="B50" s="50" t="str">
        <f>Efficiencies!M50</f>
        <v>0</v>
      </c>
      <c r="C50" s="52" t="str">
        <f>Efficiencies!N50</f>
        <v>0</v>
      </c>
    </row>
    <row r="51" spans="1:3" hidden="1">
      <c r="A51" s="59">
        <f>Efficiencies!A51</f>
        <v>45865</v>
      </c>
      <c r="B51" s="50" t="str">
        <f>Efficiencies!M51</f>
        <v>0</v>
      </c>
      <c r="C51" s="52" t="str">
        <f>Efficiencies!N51</f>
        <v>0</v>
      </c>
    </row>
    <row r="52" spans="1:3">
      <c r="A52" s="59">
        <f>Efficiencies!A52</f>
        <v>45866</v>
      </c>
      <c r="B52" s="50">
        <f>Efficiencies!M52</f>
        <v>2.1956556207388611</v>
      </c>
      <c r="C52" s="52">
        <f>Efficiencies!N52</f>
        <v>1.4716981132075466</v>
      </c>
    </row>
    <row r="53" spans="1:3" hidden="1">
      <c r="A53" s="59">
        <f>Efficiencies!A53</f>
        <v>45867</v>
      </c>
      <c r="B53" s="50" t="str">
        <f>Efficiencies!M53</f>
        <v>0</v>
      </c>
      <c r="C53" s="52" t="str">
        <f>Efficiencies!N53</f>
        <v>0</v>
      </c>
    </row>
    <row r="54" spans="1:3" hidden="1">
      <c r="A54" s="59">
        <f>Efficiencies!A54</f>
        <v>45868</v>
      </c>
      <c r="B54" s="50" t="str">
        <f>Efficiencies!M54</f>
        <v>0</v>
      </c>
      <c r="C54" s="52" t="str">
        <f>Efficiencies!N54</f>
        <v>0</v>
      </c>
    </row>
    <row r="55" spans="1:3">
      <c r="A55" s="59">
        <f>Efficiencies!A55</f>
        <v>45869</v>
      </c>
      <c r="B55" s="50">
        <f>Efficiencies!M55</f>
        <v>2.4091870130622413</v>
      </c>
      <c r="C55" s="52">
        <f>Efficiencies!N55</f>
        <v>1.2980469391104543</v>
      </c>
    </row>
    <row r="56" spans="1:3" hidden="1">
      <c r="A56" s="59">
        <f>Efficiencies!A56</f>
        <v>45870</v>
      </c>
      <c r="B56" s="50" t="str">
        <f>Efficiencies!M56</f>
        <v>0</v>
      </c>
      <c r="C56" s="52" t="str">
        <f>Efficiencies!N56</f>
        <v>0</v>
      </c>
    </row>
    <row r="57" spans="1:3" hidden="1">
      <c r="A57" s="59">
        <f>Efficiencies!A57</f>
        <v>45871</v>
      </c>
      <c r="B57" s="50" t="str">
        <f>Efficiencies!M57</f>
        <v>0</v>
      </c>
      <c r="C57" s="52" t="str">
        <f>Efficiencies!N57</f>
        <v>0</v>
      </c>
    </row>
    <row r="58" spans="1:3" hidden="1">
      <c r="A58" s="59">
        <f>Efficiencies!A58</f>
        <v>45872</v>
      </c>
      <c r="B58" s="50" t="str">
        <f>Efficiencies!M58</f>
        <v>0</v>
      </c>
      <c r="C58" s="52" t="str">
        <f>Efficiencies!N58</f>
        <v>0</v>
      </c>
    </row>
    <row r="59" spans="1:3" hidden="1">
      <c r="A59" s="59">
        <f>Efficiencies!A59</f>
        <v>45873</v>
      </c>
      <c r="B59" s="50" t="str">
        <f>Efficiencies!M59</f>
        <v>0</v>
      </c>
      <c r="C59" s="52" t="str">
        <f>Efficiencies!N59</f>
        <v>0</v>
      </c>
    </row>
    <row r="60" spans="1:3">
      <c r="A60" s="59">
        <f>Efficiencies!A60</f>
        <v>45874</v>
      </c>
      <c r="B60" s="50">
        <f>Efficiencies!M60</f>
        <v>2.2151277013752462</v>
      </c>
      <c r="C60" s="52">
        <f>Efficiencies!N60</f>
        <v>1.4665466055446412</v>
      </c>
    </row>
    <row r="61" spans="1:3" hidden="1">
      <c r="A61" s="59">
        <f>Efficiencies!A61</f>
        <v>45875</v>
      </c>
      <c r="B61" s="50" t="str">
        <f>Efficiencies!M61</f>
        <v>0</v>
      </c>
      <c r="C61" s="52" t="str">
        <f>Efficiencies!N61</f>
        <v>0</v>
      </c>
    </row>
    <row r="62" spans="1:3" hidden="1">
      <c r="A62" s="59">
        <f>Efficiencies!A62</f>
        <v>45876</v>
      </c>
      <c r="B62" s="50" t="str">
        <f>Efficiencies!M62</f>
        <v>0</v>
      </c>
      <c r="C62" s="52" t="str">
        <f>Efficiencies!N62</f>
        <v>0</v>
      </c>
    </row>
    <row r="63" spans="1:3" hidden="1">
      <c r="A63" s="59">
        <f>Efficiencies!A63</f>
        <v>45877</v>
      </c>
      <c r="B63" s="50" t="str">
        <f>Efficiencies!M63</f>
        <v>0</v>
      </c>
      <c r="C63" s="52" t="str">
        <f>Efficiencies!N63</f>
        <v>0</v>
      </c>
    </row>
    <row r="64" spans="1:3" hidden="1">
      <c r="A64" s="59">
        <f>Efficiencies!A64</f>
        <v>45878</v>
      </c>
      <c r="B64" s="50" t="str">
        <f>Efficiencies!M64</f>
        <v>0</v>
      </c>
      <c r="C64" s="52" t="str">
        <f>Efficiencies!N64</f>
        <v>0</v>
      </c>
    </row>
    <row r="65" spans="1:3" hidden="1">
      <c r="A65" s="59">
        <f>Efficiencies!A65</f>
        <v>45879</v>
      </c>
      <c r="B65" s="50" t="str">
        <f>Efficiencies!M65</f>
        <v>0</v>
      </c>
      <c r="C65" s="52" t="str">
        <f>Efficiencies!N65</f>
        <v>0</v>
      </c>
    </row>
    <row r="66" spans="1:3">
      <c r="A66" s="59">
        <f>Efficiencies!A66</f>
        <v>45880</v>
      </c>
      <c r="B66" s="50">
        <f>Efficiencies!M66</f>
        <v>2.2396918832543466</v>
      </c>
      <c r="C66" s="52">
        <f>Efficiencies!N66</f>
        <v>1.1158063101411138</v>
      </c>
    </row>
    <row r="67" spans="1:3" hidden="1">
      <c r="A67" s="59">
        <f>Efficiencies!A67</f>
        <v>45881</v>
      </c>
      <c r="B67" s="50" t="str">
        <f>Efficiencies!M67</f>
        <v>0</v>
      </c>
      <c r="C67" s="52" t="str">
        <f>Efficiencies!N67</f>
        <v>0</v>
      </c>
    </row>
    <row r="68" spans="1:3" hidden="1">
      <c r="A68" s="59">
        <f>Efficiencies!A68</f>
        <v>45882</v>
      </c>
      <c r="B68" s="50" t="str">
        <f>Efficiencies!M68</f>
        <v>0</v>
      </c>
      <c r="C68" s="52" t="str">
        <f>Efficiencies!N68</f>
        <v>0</v>
      </c>
    </row>
    <row r="69" spans="1:3" hidden="1">
      <c r="A69" s="59">
        <f>Efficiencies!A69</f>
        <v>45883</v>
      </c>
      <c r="B69" s="50" t="str">
        <f>Efficiencies!M69</f>
        <v>0</v>
      </c>
      <c r="C69" s="52" t="str">
        <f>Efficiencies!N69</f>
        <v>0</v>
      </c>
    </row>
    <row r="70" spans="1:3" hidden="1">
      <c r="A70" s="59">
        <f>Efficiencies!A70</f>
        <v>45884</v>
      </c>
      <c r="B70" s="50" t="str">
        <f>Efficiencies!M70</f>
        <v>0</v>
      </c>
      <c r="C70" s="52" t="str">
        <f>Efficiencies!N70</f>
        <v>0</v>
      </c>
    </row>
    <row r="71" spans="1:3" hidden="1">
      <c r="A71" s="59">
        <f>Efficiencies!A71</f>
        <v>45885</v>
      </c>
      <c r="B71" s="50" t="str">
        <f>Efficiencies!M71</f>
        <v>0</v>
      </c>
      <c r="C71" s="52" t="str">
        <f>Efficiencies!N71</f>
        <v>0</v>
      </c>
    </row>
    <row r="72" spans="1:3" hidden="1">
      <c r="A72" s="59">
        <f>Efficiencies!A72</f>
        <v>45886</v>
      </c>
      <c r="B72" s="50" t="str">
        <f>Efficiencies!M72</f>
        <v>0</v>
      </c>
      <c r="C72" s="52" t="str">
        <f>Efficiencies!N72</f>
        <v>0</v>
      </c>
    </row>
    <row r="73" spans="1:3">
      <c r="A73" s="59">
        <f>Efficiencies!A73</f>
        <v>45887</v>
      </c>
      <c r="B73" s="50">
        <f>Efficiencies!M73</f>
        <v>2.3789302703329849</v>
      </c>
      <c r="C73" s="52">
        <f>Efficiencies!N73</f>
        <v>1.3355248739864121</v>
      </c>
    </row>
    <row r="74" spans="1:3" hidden="1">
      <c r="A74" s="59">
        <f>Efficiencies!A74</f>
        <v>45888</v>
      </c>
      <c r="B74" s="50" t="str">
        <f>Efficiencies!M74</f>
        <v>0</v>
      </c>
      <c r="C74" s="52" t="str">
        <f>Efficiencies!N74</f>
        <v>0</v>
      </c>
    </row>
    <row r="75" spans="1:3" hidden="1">
      <c r="A75" s="59">
        <f>Efficiencies!A75</f>
        <v>45889</v>
      </c>
      <c r="B75" s="50" t="str">
        <f>Efficiencies!M75</f>
        <v>0</v>
      </c>
      <c r="C75" s="52" t="str">
        <f>Efficiencies!N75</f>
        <v>0</v>
      </c>
    </row>
    <row r="76" spans="1:3">
      <c r="A76" s="59">
        <f>Efficiencies!A76</f>
        <v>45890</v>
      </c>
      <c r="B76" s="50">
        <f>Efficiencies!M76</f>
        <v>2.4122458799470707</v>
      </c>
      <c r="C76" s="52">
        <f>Efficiencies!N76</f>
        <v>1.5259032038173144</v>
      </c>
    </row>
    <row r="77" spans="1:3" hidden="1">
      <c r="A77" s="59">
        <f>Efficiencies!A77</f>
        <v>45891</v>
      </c>
      <c r="B77" s="50" t="str">
        <f>Efficiencies!M77</f>
        <v>0</v>
      </c>
      <c r="C77" s="52" t="str">
        <f>Efficiencies!N77</f>
        <v>0</v>
      </c>
    </row>
    <row r="78" spans="1:3" hidden="1">
      <c r="A78" s="59">
        <f>Efficiencies!A78</f>
        <v>45892</v>
      </c>
      <c r="B78" s="50" t="str">
        <f>Efficiencies!M78</f>
        <v>0</v>
      </c>
      <c r="C78" s="52" t="str">
        <f>Efficiencies!N78</f>
        <v>0</v>
      </c>
    </row>
    <row r="79" spans="1:3" hidden="1">
      <c r="A79" s="59">
        <f>Efficiencies!A79</f>
        <v>45893</v>
      </c>
      <c r="B79" s="50" t="str">
        <f>Efficiencies!M79</f>
        <v>0</v>
      </c>
      <c r="C79" s="52" t="str">
        <f>Efficiencies!N79</f>
        <v>0</v>
      </c>
    </row>
    <row r="80" spans="1:3">
      <c r="A80" s="59">
        <f>Efficiencies!A80</f>
        <v>45894</v>
      </c>
      <c r="B80" s="50">
        <f>Efficiencies!M80</f>
        <v>2.3425529152058173</v>
      </c>
      <c r="C80" s="52">
        <f>Efficiencies!N80</f>
        <v>1.3388384705529663</v>
      </c>
    </row>
    <row r="81" spans="1:3" hidden="1">
      <c r="A81" s="59">
        <f>Efficiencies!A81</f>
        <v>45895</v>
      </c>
      <c r="B81" s="50" t="str">
        <f>Efficiencies!M81</f>
        <v>0</v>
      </c>
      <c r="C81" s="52" t="str">
        <f>Efficiencies!N81</f>
        <v>0</v>
      </c>
    </row>
    <row r="82" spans="1:3" hidden="1">
      <c r="A82" s="59">
        <f>Efficiencies!A82</f>
        <v>45896</v>
      </c>
      <c r="B82" s="50" t="str">
        <f>Efficiencies!M82</f>
        <v>0</v>
      </c>
      <c r="C82" s="52" t="str">
        <f>Efficiencies!N82</f>
        <v>0</v>
      </c>
    </row>
    <row r="83" spans="1:3">
      <c r="A83" s="59">
        <f>Efficiencies!A83</f>
        <v>45897</v>
      </c>
      <c r="B83" s="50">
        <f>Efficiencies!M83</f>
        <v>2.3923337756155094</v>
      </c>
      <c r="C83" s="52">
        <f>Efficiencies!N83</f>
        <v>1.4225563909774437</v>
      </c>
    </row>
    <row r="84" spans="1:3" hidden="1">
      <c r="A84" s="59">
        <f>Efficiencies!A84</f>
        <v>45898</v>
      </c>
      <c r="B84" s="50" t="str">
        <f>Efficiencies!M84</f>
        <v>0</v>
      </c>
      <c r="C84" s="52" t="str">
        <f>Efficiencies!N84</f>
        <v>0</v>
      </c>
    </row>
    <row r="85" spans="1:3" hidden="1">
      <c r="A85" s="59">
        <f>Efficiencies!A85</f>
        <v>45899</v>
      </c>
      <c r="B85" s="50" t="str">
        <f>Efficiencies!M85</f>
        <v>0</v>
      </c>
      <c r="C85" s="52" t="str">
        <f>Efficiencies!N85</f>
        <v>0</v>
      </c>
    </row>
    <row r="86" spans="1:3" hidden="1">
      <c r="A86" s="59">
        <f>Efficiencies!A86</f>
        <v>45900</v>
      </c>
      <c r="B86" s="50" t="str">
        <f>Efficiencies!M86</f>
        <v>0</v>
      </c>
      <c r="C86" s="52" t="str">
        <f>Efficiencies!N86</f>
        <v>0</v>
      </c>
    </row>
    <row r="87" spans="1:3" hidden="1">
      <c r="A87" s="59">
        <f>Efficiencies!A87</f>
        <v>45901</v>
      </c>
      <c r="B87" s="50" t="str">
        <f>Efficiencies!M87</f>
        <v>0</v>
      </c>
      <c r="C87" s="52" t="str">
        <f>Efficiencies!N87</f>
        <v>0</v>
      </c>
    </row>
    <row r="88" spans="1:3">
      <c r="A88" s="59">
        <f>Efficiencies!A88</f>
        <v>45902</v>
      </c>
      <c r="B88" s="50">
        <f>Efficiencies!M88</f>
        <v>2.4005511499391683</v>
      </c>
      <c r="C88" s="52">
        <f>Efficiencies!N88</f>
        <v>1.3796826978984968</v>
      </c>
    </row>
    <row r="89" spans="1:3" hidden="1">
      <c r="A89" s="59">
        <f>Efficiencies!A89</f>
        <v>45903</v>
      </c>
      <c r="B89" s="50" t="str">
        <f>Efficiencies!M89</f>
        <v>0</v>
      </c>
      <c r="C89" s="52" t="str">
        <f>Efficiencies!N89</f>
        <v>0</v>
      </c>
    </row>
    <row r="90" spans="1:3">
      <c r="A90" s="59">
        <f>Efficiencies!A90</f>
        <v>45904</v>
      </c>
      <c r="B90" s="50">
        <f>Efficiencies!M90</f>
        <v>2.3788588444790282</v>
      </c>
      <c r="C90" s="52">
        <f>Efficiencies!N90</f>
        <v>1.5272336696910598</v>
      </c>
    </row>
    <row r="91" spans="1:3" hidden="1">
      <c r="A91" s="59">
        <f>Efficiencies!A91</f>
        <v>45905</v>
      </c>
      <c r="B91" s="50" t="str">
        <f>Efficiencies!M91</f>
        <v>0</v>
      </c>
      <c r="C91" s="52" t="str">
        <f>Efficiencies!N91</f>
        <v>0</v>
      </c>
    </row>
    <row r="92" spans="1:3" hidden="1">
      <c r="A92" s="59">
        <f>Efficiencies!A92</f>
        <v>45906</v>
      </c>
      <c r="B92" s="50" t="str">
        <f>Efficiencies!M92</f>
        <v>0</v>
      </c>
      <c r="C92" s="52" t="str">
        <f>Efficiencies!N92</f>
        <v>0</v>
      </c>
    </row>
    <row r="93" spans="1:3" hidden="1">
      <c r="A93" s="59">
        <f>Efficiencies!A93</f>
        <v>45907</v>
      </c>
      <c r="B93" s="50" t="str">
        <f>Efficiencies!M93</f>
        <v>0</v>
      </c>
      <c r="C93" s="52" t="str">
        <f>Efficiencies!N93</f>
        <v>0</v>
      </c>
    </row>
    <row r="94" spans="1:3" hidden="1">
      <c r="A94" s="59">
        <f>Efficiencies!A94</f>
        <v>45908</v>
      </c>
      <c r="B94" s="50" t="str">
        <f>Efficiencies!M94</f>
        <v>0</v>
      </c>
      <c r="C94" s="52" t="str">
        <f>Efficiencies!N94</f>
        <v>0</v>
      </c>
    </row>
    <row r="95" spans="1:3" hidden="1">
      <c r="A95" s="59">
        <f>Efficiencies!A95</f>
        <v>45909</v>
      </c>
      <c r="B95" s="50" t="str">
        <f>Efficiencies!M95</f>
        <v>0</v>
      </c>
      <c r="C95" s="52" t="str">
        <f>Efficiencies!N95</f>
        <v>0</v>
      </c>
    </row>
    <row r="96" spans="1:3" hidden="1">
      <c r="A96" s="59">
        <f>Efficiencies!A96</f>
        <v>45910</v>
      </c>
      <c r="B96" s="50" t="str">
        <f>Efficiencies!M96</f>
        <v>0</v>
      </c>
      <c r="C96" s="52" t="str">
        <f>Efficiencies!N96</f>
        <v>0</v>
      </c>
    </row>
    <row r="97" spans="1:3">
      <c r="A97" s="59">
        <f>Efficiencies!A97</f>
        <v>45911</v>
      </c>
      <c r="B97" s="50">
        <f>Efficiencies!M97</f>
        <v>2.329024883495999</v>
      </c>
      <c r="C97" s="52">
        <f>Efficiencies!N97</f>
        <v>1.4457177655981848</v>
      </c>
    </row>
    <row r="98" spans="1:3" hidden="1">
      <c r="A98" s="59">
        <f>Efficiencies!A98</f>
        <v>45912</v>
      </c>
      <c r="B98" s="50" t="str">
        <f>Efficiencies!M98</f>
        <v>0</v>
      </c>
      <c r="C98" s="52" t="str">
        <f>Efficiencies!N98</f>
        <v>0</v>
      </c>
    </row>
    <row r="99" spans="1:3" hidden="1">
      <c r="A99" s="59">
        <f>Efficiencies!A99</f>
        <v>45913</v>
      </c>
      <c r="B99" s="50" t="str">
        <f>Efficiencies!M99</f>
        <v>0</v>
      </c>
      <c r="C99" s="52" t="str">
        <f>Efficiencies!N99</f>
        <v>0</v>
      </c>
    </row>
    <row r="100" spans="1:3" hidden="1">
      <c r="A100" s="59">
        <f>Efficiencies!A100</f>
        <v>45914</v>
      </c>
      <c r="B100" s="50" t="str">
        <f>Efficiencies!M100</f>
        <v>0</v>
      </c>
      <c r="C100" s="52" t="str">
        <f>Efficiencies!N100</f>
        <v>0</v>
      </c>
    </row>
    <row r="101" spans="1:3" hidden="1">
      <c r="A101" s="59">
        <f>Efficiencies!A101</f>
        <v>45915</v>
      </c>
      <c r="B101" s="50" t="str">
        <f>Efficiencies!M101</f>
        <v>0</v>
      </c>
      <c r="C101" s="52" t="str">
        <f>Efficiencies!N101</f>
        <v>0</v>
      </c>
    </row>
    <row r="102" spans="1:3" hidden="1">
      <c r="A102" s="59">
        <f>Efficiencies!A102</f>
        <v>45916</v>
      </c>
      <c r="B102" s="50" t="str">
        <f>Efficiencies!M102</f>
        <v>0</v>
      </c>
      <c r="C102" s="52" t="str">
        <f>Efficiencies!N102</f>
        <v>0</v>
      </c>
    </row>
    <row r="103" spans="1:3" hidden="1">
      <c r="A103" s="59">
        <f>Efficiencies!A103</f>
        <v>45917</v>
      </c>
      <c r="B103" s="50" t="str">
        <f>Efficiencies!M103</f>
        <v>0</v>
      </c>
      <c r="C103" s="52" t="str">
        <f>Efficiencies!N103</f>
        <v>0</v>
      </c>
    </row>
    <row r="104" spans="1:3">
      <c r="A104" s="59">
        <f>Efficiencies!A104</f>
        <v>45918</v>
      </c>
      <c r="B104" s="50">
        <f>Efficiencies!M104</f>
        <v>2.4054062047141631</v>
      </c>
      <c r="C104" s="52">
        <f>Efficiencies!N104</f>
        <v>1.4286911345734874</v>
      </c>
    </row>
    <row r="105" spans="1:3" hidden="1">
      <c r="A105" s="59">
        <f>Efficiencies!A105</f>
        <v>45919</v>
      </c>
      <c r="B105" s="50" t="str">
        <f>Efficiencies!M105</f>
        <v>0</v>
      </c>
      <c r="C105" s="52" t="str">
        <f>Efficiencies!N105</f>
        <v>0</v>
      </c>
    </row>
    <row r="106" spans="1:3" hidden="1">
      <c r="A106" s="59">
        <f>Efficiencies!A106</f>
        <v>45920</v>
      </c>
      <c r="B106" s="50" t="str">
        <f>Efficiencies!M106</f>
        <v>0</v>
      </c>
      <c r="C106" s="52" t="str">
        <f>Efficiencies!N106</f>
        <v>0</v>
      </c>
    </row>
    <row r="107" spans="1:3" hidden="1">
      <c r="A107" s="59">
        <f>Efficiencies!A107</f>
        <v>45921</v>
      </c>
      <c r="B107" s="50" t="str">
        <f>Efficiencies!M107</f>
        <v>0</v>
      </c>
      <c r="C107" s="52" t="str">
        <f>Efficiencies!N107</f>
        <v>0</v>
      </c>
    </row>
    <row r="108" spans="1:3">
      <c r="A108" s="59">
        <f>Efficiencies!A108</f>
        <v>45922</v>
      </c>
      <c r="B108" s="50">
        <f>Efficiencies!M108</f>
        <v>2.409871980208349</v>
      </c>
      <c r="C108" s="52">
        <f>Efficiencies!N108</f>
        <v>1.4727359738760804</v>
      </c>
    </row>
    <row r="109" spans="1:3" hidden="1">
      <c r="A109" s="59">
        <f>Efficiencies!A109</f>
        <v>45923</v>
      </c>
      <c r="B109" s="50" t="str">
        <f>Efficiencies!M109</f>
        <v>0</v>
      </c>
      <c r="C109" s="52" t="str">
        <f>Efficiencies!N109</f>
        <v>0</v>
      </c>
    </row>
    <row r="110" spans="1:3" hidden="1">
      <c r="A110" s="59">
        <f>Efficiencies!A110</f>
        <v>45924</v>
      </c>
      <c r="B110" s="50" t="str">
        <f>Efficiencies!M110</f>
        <v>0</v>
      </c>
      <c r="C110" s="52" t="str">
        <f>Efficiencies!N110</f>
        <v>0</v>
      </c>
    </row>
    <row r="111" spans="1:3">
      <c r="A111" s="59">
        <f>Efficiencies!A111</f>
        <v>45925</v>
      </c>
      <c r="B111" s="50">
        <f>Efficiencies!M111</f>
        <v>2.4044321329639891</v>
      </c>
      <c r="C111" s="52">
        <f>Efficiencies!N111</f>
        <v>1.4404432132963991</v>
      </c>
    </row>
    <row r="112" spans="1:3" hidden="1">
      <c r="A112" s="59">
        <f>Efficiencies!A112</f>
        <v>45926</v>
      </c>
      <c r="B112" s="50" t="str">
        <f>Efficiencies!M112</f>
        <v>0</v>
      </c>
      <c r="C112" s="52" t="str">
        <f>Efficiencies!N112</f>
        <v>0</v>
      </c>
    </row>
    <row r="113" spans="1:3" hidden="1">
      <c r="A113" s="59">
        <f>Efficiencies!A113</f>
        <v>45927</v>
      </c>
      <c r="B113" s="50" t="str">
        <f>Efficiencies!M113</f>
        <v>0</v>
      </c>
      <c r="C113" s="52" t="str">
        <f>Efficiencies!N113</f>
        <v>0</v>
      </c>
    </row>
    <row r="114" spans="1:3" hidden="1">
      <c r="A114" s="59">
        <f>Efficiencies!A114</f>
        <v>45928</v>
      </c>
      <c r="B114" s="50" t="str">
        <f>Efficiencies!M114</f>
        <v>0</v>
      </c>
      <c r="C114" s="52" t="str">
        <f>Efficiencies!N114</f>
        <v>0</v>
      </c>
    </row>
    <row r="115" spans="1:3" hidden="1">
      <c r="A115" s="59">
        <f>Efficiencies!A115</f>
        <v>45929</v>
      </c>
      <c r="B115" s="50" t="str">
        <f>Efficiencies!M115</f>
        <v>0</v>
      </c>
      <c r="C115" s="52" t="str">
        <f>Efficiencies!N115</f>
        <v>0</v>
      </c>
    </row>
    <row r="116" spans="1:3" hidden="1">
      <c r="A116" s="59">
        <f>Efficiencies!A116</f>
        <v>45930</v>
      </c>
      <c r="B116" s="50" t="str">
        <f>Efficiencies!M116</f>
        <v>0</v>
      </c>
      <c r="C116" s="52" t="str">
        <f>Efficiencies!N116</f>
        <v>0</v>
      </c>
    </row>
    <row r="117" spans="1:3" hidden="1">
      <c r="A117" s="59">
        <f>Efficiencies!A117</f>
        <v>45931</v>
      </c>
      <c r="B117" s="50" t="str">
        <f>Efficiencies!M117</f>
        <v>0</v>
      </c>
      <c r="C117" s="52" t="str">
        <f>Efficiencies!N117</f>
        <v>0</v>
      </c>
    </row>
    <row r="118" spans="1:3">
      <c r="A118" s="59">
        <f>Efficiencies!A118</f>
        <v>45932</v>
      </c>
      <c r="B118" s="50">
        <f>Efficiencies!M118</f>
        <v>2.4298253444017974</v>
      </c>
      <c r="C118" s="52">
        <f>Efficiencies!N118</f>
        <v>1.4429269937615921</v>
      </c>
    </row>
    <row r="119" spans="1:3" hidden="1">
      <c r="A119" s="59">
        <f>Efficiencies!A119</f>
        <v>45933</v>
      </c>
      <c r="B119" s="50" t="str">
        <f>Efficiencies!M119</f>
        <v>0</v>
      </c>
      <c r="C119" s="52" t="str">
        <f>Efficiencies!N119</f>
        <v>0</v>
      </c>
    </row>
    <row r="120" spans="1:3" hidden="1">
      <c r="A120" s="59">
        <f>Efficiencies!A120</f>
        <v>45934</v>
      </c>
      <c r="B120" s="50" t="str">
        <f>Efficiencies!M120</f>
        <v>0</v>
      </c>
      <c r="C120" s="52" t="str">
        <f>Efficiencies!N120</f>
        <v>0</v>
      </c>
    </row>
    <row r="121" spans="1:3" hidden="1">
      <c r="A121" s="59">
        <f>Efficiencies!A121</f>
        <v>45935</v>
      </c>
      <c r="B121" s="50" t="str">
        <f>Efficiencies!M121</f>
        <v>0</v>
      </c>
      <c r="C121" s="52" t="str">
        <f>Efficiencies!N121</f>
        <v>0</v>
      </c>
    </row>
    <row r="122" spans="1:3" hidden="1">
      <c r="A122" s="59">
        <f>Efficiencies!A122</f>
        <v>45936</v>
      </c>
      <c r="B122" s="50" t="str">
        <f>Efficiencies!M122</f>
        <v>0</v>
      </c>
      <c r="C122" s="52" t="str">
        <f>Efficiencies!N122</f>
        <v>0</v>
      </c>
    </row>
    <row r="123" spans="1:3">
      <c r="A123" s="59">
        <f>Efficiencies!A123</f>
        <v>45937</v>
      </c>
      <c r="B123" s="50">
        <f>Efficiencies!M123</f>
        <v>2.353893302389241</v>
      </c>
      <c r="C123" s="52">
        <f>Efficiencies!N123</f>
        <v>1.5146405889956727</v>
      </c>
    </row>
    <row r="124" spans="1:3" hidden="1">
      <c r="A124" s="59">
        <f>Efficiencies!A124</f>
        <v>45938</v>
      </c>
      <c r="B124" s="50" t="str">
        <f>Efficiencies!M124</f>
        <v>0</v>
      </c>
      <c r="C124" s="52" t="str">
        <f>Efficiencies!N124</f>
        <v>0</v>
      </c>
    </row>
    <row r="125" spans="1:3" hidden="1">
      <c r="A125" s="59">
        <f>Efficiencies!A125</f>
        <v>45939</v>
      </c>
      <c r="B125" s="50" t="str">
        <f>Efficiencies!M125</f>
        <v>0</v>
      </c>
      <c r="C125" s="52" t="str">
        <f>Efficiencies!N125</f>
        <v>0</v>
      </c>
    </row>
    <row r="126" spans="1:3" hidden="1">
      <c r="A126" s="59">
        <f>Efficiencies!A126</f>
        <v>45940</v>
      </c>
      <c r="B126" s="50" t="str">
        <f>Efficiencies!M126</f>
        <v>0</v>
      </c>
      <c r="C126" s="52" t="str">
        <f>Efficiencies!N126</f>
        <v>0</v>
      </c>
    </row>
    <row r="127" spans="1:3" hidden="1">
      <c r="A127" s="59">
        <f>Efficiencies!A127</f>
        <v>45941</v>
      </c>
      <c r="B127" s="50" t="str">
        <f>Efficiencies!M127</f>
        <v>0</v>
      </c>
      <c r="C127" s="52" t="str">
        <f>Efficiencies!N127</f>
        <v>0</v>
      </c>
    </row>
    <row r="128" spans="1:3" hidden="1">
      <c r="A128" s="59">
        <f>Efficiencies!A128</f>
        <v>45942</v>
      </c>
      <c r="B128" s="50" t="str">
        <f>Efficiencies!M128</f>
        <v>0</v>
      </c>
      <c r="C128" s="52" t="str">
        <f>Efficiencies!N128</f>
        <v>0</v>
      </c>
    </row>
    <row r="129" spans="1:3" hidden="1">
      <c r="A129" s="59">
        <f>Efficiencies!A129</f>
        <v>45943</v>
      </c>
      <c r="B129" s="50" t="str">
        <f>Efficiencies!M129</f>
        <v>0</v>
      </c>
      <c r="C129" s="52" t="str">
        <f>Efficiencies!N129</f>
        <v>0</v>
      </c>
    </row>
    <row r="130" spans="1:3" hidden="1">
      <c r="A130" s="59">
        <f>Efficiencies!A130</f>
        <v>45944</v>
      </c>
      <c r="B130" s="50" t="str">
        <f>Efficiencies!M130</f>
        <v>0</v>
      </c>
      <c r="C130" s="52" t="str">
        <f>Efficiencies!N130</f>
        <v>0</v>
      </c>
    </row>
    <row r="131" spans="1:3" hidden="1">
      <c r="A131" s="59">
        <f>Efficiencies!A131</f>
        <v>45945</v>
      </c>
      <c r="B131" s="50" t="str">
        <f>Efficiencies!M131</f>
        <v>0</v>
      </c>
      <c r="C131" s="52" t="str">
        <f>Efficiencies!N131</f>
        <v>0</v>
      </c>
    </row>
    <row r="132" spans="1:3">
      <c r="A132" s="59">
        <f>Efficiencies!A132</f>
        <v>45946</v>
      </c>
      <c r="B132" s="50">
        <f>Efficiencies!M132</f>
        <v>2.3322200946994998</v>
      </c>
      <c r="C132" s="52">
        <f>Efficiencies!N132</f>
        <v>1.5210698965430227</v>
      </c>
    </row>
    <row r="133" spans="1:3" hidden="1">
      <c r="A133" s="59">
        <f>Efficiencies!A133</f>
        <v>45947</v>
      </c>
      <c r="B133" s="50" t="str">
        <f>Efficiencies!M133</f>
        <v>0</v>
      </c>
      <c r="C133" s="52" t="str">
        <f>Efficiencies!N133</f>
        <v>0</v>
      </c>
    </row>
    <row r="134" spans="1:3" hidden="1">
      <c r="A134" s="59">
        <f>Efficiencies!A134</f>
        <v>45948</v>
      </c>
      <c r="B134" s="50" t="str">
        <f>Efficiencies!M134</f>
        <v>0</v>
      </c>
      <c r="C134" s="52" t="str">
        <f>Efficiencies!N134</f>
        <v>0</v>
      </c>
    </row>
    <row r="135" spans="1:3" hidden="1">
      <c r="A135" s="59">
        <f>Efficiencies!A135</f>
        <v>45949</v>
      </c>
      <c r="B135" s="50" t="str">
        <f>Efficiencies!M135</f>
        <v>0</v>
      </c>
      <c r="C135" s="52" t="str">
        <f>Efficiencies!N135</f>
        <v>0</v>
      </c>
    </row>
    <row r="136" spans="1:3">
      <c r="A136" s="59">
        <f>Efficiencies!A136</f>
        <v>45950</v>
      </c>
      <c r="B136" s="50">
        <f>Efficiencies!M136</f>
        <v>2.3728218330084374</v>
      </c>
      <c r="C136" s="52">
        <f>Efficiencies!N136</f>
        <v>1.4983275711836292</v>
      </c>
    </row>
    <row r="137" spans="1:3" hidden="1">
      <c r="A137" s="59">
        <f>Efficiencies!A137</f>
        <v>45951</v>
      </c>
      <c r="B137" s="50" t="str">
        <f>Efficiencies!M137</f>
        <v>0</v>
      </c>
      <c r="C137" s="52" t="str">
        <f>Efficiencies!N137</f>
        <v>0</v>
      </c>
    </row>
    <row r="138" spans="1:3" hidden="1">
      <c r="A138" s="59">
        <f>Efficiencies!A138</f>
        <v>45952</v>
      </c>
      <c r="B138" s="50" t="str">
        <f>Efficiencies!M138</f>
        <v>0</v>
      </c>
      <c r="C138" s="52" t="str">
        <f>Efficiencies!N138</f>
        <v>0</v>
      </c>
    </row>
    <row r="139" spans="1:3">
      <c r="A139" s="59">
        <f>Efficiencies!A139</f>
        <v>45953</v>
      </c>
      <c r="B139" s="50">
        <f>Efficiencies!M139</f>
        <v>2.3768975332068312</v>
      </c>
      <c r="C139" s="52">
        <f>Efficiencies!N139</f>
        <v>1.471102150537634</v>
      </c>
    </row>
    <row r="140" spans="1:3" hidden="1">
      <c r="A140" s="59">
        <f>Efficiencies!A140</f>
        <v>45954</v>
      </c>
      <c r="B140" s="50" t="str">
        <f>Efficiencies!M140</f>
        <v>0</v>
      </c>
      <c r="C140" s="52" t="str">
        <f>Efficiencies!N140</f>
        <v>0</v>
      </c>
    </row>
    <row r="141" spans="1:3" hidden="1">
      <c r="A141" s="59">
        <f>Efficiencies!A141</f>
        <v>45955</v>
      </c>
      <c r="B141" s="50" t="str">
        <f>Efficiencies!M141</f>
        <v>0</v>
      </c>
      <c r="C141" s="52" t="str">
        <f>Efficiencies!N141</f>
        <v>0</v>
      </c>
    </row>
    <row r="142" spans="1:3" hidden="1">
      <c r="A142" s="59">
        <f>Efficiencies!A142</f>
        <v>45956</v>
      </c>
      <c r="B142" s="50" t="str">
        <f>Efficiencies!M142</f>
        <v>0</v>
      </c>
      <c r="C142" s="52" t="str">
        <f>Efficiencies!N142</f>
        <v>0</v>
      </c>
    </row>
    <row r="143" spans="1:3" hidden="1">
      <c r="A143" s="59">
        <f>Efficiencies!A143</f>
        <v>45957</v>
      </c>
      <c r="B143" s="50" t="str">
        <f>Efficiencies!M143</f>
        <v>0</v>
      </c>
      <c r="C143" s="52" t="str">
        <f>Efficiencies!N143</f>
        <v>0</v>
      </c>
    </row>
    <row r="144" spans="1:3" hidden="1">
      <c r="A144" s="59">
        <f>Efficiencies!A144</f>
        <v>45958</v>
      </c>
      <c r="B144" s="50" t="str">
        <f>Efficiencies!M144</f>
        <v>0</v>
      </c>
      <c r="C144" s="52" t="str">
        <f>Efficiencies!N144</f>
        <v>0</v>
      </c>
    </row>
    <row r="145" spans="1:3" hidden="1">
      <c r="A145" s="59">
        <f>Efficiencies!A145</f>
        <v>45959</v>
      </c>
      <c r="B145" s="50" t="str">
        <f>Efficiencies!M145</f>
        <v>0</v>
      </c>
      <c r="C145" s="52" t="str">
        <f>Efficiencies!N145</f>
        <v>0</v>
      </c>
    </row>
    <row r="146" spans="1:3" hidden="1">
      <c r="A146" s="59">
        <f>Efficiencies!A146</f>
        <v>45960</v>
      </c>
      <c r="B146" s="50" t="str">
        <f>Efficiencies!M146</f>
        <v>0</v>
      </c>
      <c r="C146" s="52" t="str">
        <f>Efficiencies!N146</f>
        <v>0</v>
      </c>
    </row>
    <row r="147" spans="1:3" hidden="1">
      <c r="A147" s="59">
        <f>Efficiencies!A147</f>
        <v>45961</v>
      </c>
      <c r="B147" s="50" t="str">
        <f>Efficiencies!M147</f>
        <v>0</v>
      </c>
      <c r="C147" s="52" t="str">
        <f>Efficiencies!N147</f>
        <v>0</v>
      </c>
    </row>
    <row r="148" spans="1:3" hidden="1">
      <c r="A148" s="59">
        <f>Efficiencies!A148</f>
        <v>45962</v>
      </c>
      <c r="B148" s="50" t="str">
        <f>Efficiencies!M148</f>
        <v>0</v>
      </c>
      <c r="C148" s="52" t="str">
        <f>Efficiencies!N148</f>
        <v>0</v>
      </c>
    </row>
    <row r="149" spans="1:3" hidden="1">
      <c r="A149" s="59">
        <f>Efficiencies!A149</f>
        <v>45963</v>
      </c>
      <c r="B149" s="50" t="str">
        <f>Efficiencies!M149</f>
        <v>0</v>
      </c>
      <c r="C149" s="52" t="str">
        <f>Efficiencies!N149</f>
        <v>0</v>
      </c>
    </row>
    <row r="150" spans="1:3" hidden="1">
      <c r="A150" s="59">
        <f>Efficiencies!A150</f>
        <v>45964</v>
      </c>
      <c r="B150" s="50" t="str">
        <f>Efficiencies!M150</f>
        <v>0</v>
      </c>
      <c r="C150" s="52" t="str">
        <f>Efficiencies!N150</f>
        <v>0</v>
      </c>
    </row>
    <row r="151" spans="1:3" hidden="1">
      <c r="A151" s="59">
        <f>Efficiencies!A151</f>
        <v>45965</v>
      </c>
      <c r="B151" s="50" t="str">
        <f>Efficiencies!M151</f>
        <v>0</v>
      </c>
      <c r="C151" s="52" t="str">
        <f>Efficiencies!N151</f>
        <v>0</v>
      </c>
    </row>
    <row r="152" spans="1:3" hidden="1">
      <c r="A152" s="59">
        <f>Efficiencies!A152</f>
        <v>45966</v>
      </c>
      <c r="B152" s="50" t="str">
        <f>Efficiencies!M152</f>
        <v>0</v>
      </c>
      <c r="C152" s="52" t="str">
        <f>Efficiencies!N152</f>
        <v>0</v>
      </c>
    </row>
    <row r="153" spans="1:3" hidden="1">
      <c r="A153" s="59">
        <f>Efficiencies!A153</f>
        <v>45967</v>
      </c>
      <c r="B153" s="50" t="str">
        <f>Efficiencies!M153</f>
        <v>0</v>
      </c>
      <c r="C153" s="52" t="str">
        <f>Efficiencies!N153</f>
        <v>0</v>
      </c>
    </row>
    <row r="154" spans="1:3" hidden="1">
      <c r="A154" s="59">
        <f>Efficiencies!A154</f>
        <v>45968</v>
      </c>
      <c r="B154" s="50" t="str">
        <f>Efficiencies!M154</f>
        <v>0</v>
      </c>
      <c r="C154" s="52" t="str">
        <f>Efficiencies!N154</f>
        <v>0</v>
      </c>
    </row>
    <row r="155" spans="1:3" hidden="1">
      <c r="A155" s="59">
        <f>Efficiencies!A155</f>
        <v>45969</v>
      </c>
      <c r="B155" s="50" t="str">
        <f>Efficiencies!M155</f>
        <v>0</v>
      </c>
      <c r="C155" s="52" t="str">
        <f>Efficiencies!N155</f>
        <v>0</v>
      </c>
    </row>
    <row r="156" spans="1:3" hidden="1">
      <c r="A156" s="59">
        <f>Efficiencies!A156</f>
        <v>45970</v>
      </c>
      <c r="B156" s="50" t="str">
        <f>Efficiencies!M156</f>
        <v>0</v>
      </c>
      <c r="C156" s="52" t="str">
        <f>Efficiencies!N156</f>
        <v>0</v>
      </c>
    </row>
    <row r="157" spans="1:3" hidden="1">
      <c r="A157" s="59">
        <f>Efficiencies!A157</f>
        <v>45971</v>
      </c>
      <c r="B157" s="50" t="str">
        <f>Efficiencies!M157</f>
        <v>0</v>
      </c>
      <c r="C157" s="52" t="str">
        <f>Efficiencies!N157</f>
        <v>0</v>
      </c>
    </row>
    <row r="158" spans="1:3" hidden="1">
      <c r="A158" s="59">
        <f>Efficiencies!A158</f>
        <v>45972</v>
      </c>
      <c r="B158" s="50" t="str">
        <f>Efficiencies!M158</f>
        <v>0</v>
      </c>
      <c r="C158" s="52" t="str">
        <f>Efficiencies!N158</f>
        <v>0</v>
      </c>
    </row>
    <row r="159" spans="1:3" hidden="1">
      <c r="A159" s="59">
        <f>Efficiencies!A159</f>
        <v>45973</v>
      </c>
      <c r="B159" s="50" t="str">
        <f>Efficiencies!M159</f>
        <v>0</v>
      </c>
      <c r="C159" s="52" t="str">
        <f>Efficiencies!N159</f>
        <v>0</v>
      </c>
    </row>
    <row r="160" spans="1:3" hidden="1">
      <c r="A160" s="59">
        <f>Efficiencies!A160</f>
        <v>45974</v>
      </c>
      <c r="B160" s="50" t="str">
        <f>Efficiencies!M160</f>
        <v>0</v>
      </c>
      <c r="C160" s="52" t="str">
        <f>Efficiencies!N160</f>
        <v>0</v>
      </c>
    </row>
    <row r="161" spans="1:3" hidden="1">
      <c r="A161" s="59">
        <f>Efficiencies!A161</f>
        <v>45975</v>
      </c>
      <c r="B161" s="50" t="str">
        <f>Efficiencies!M161</f>
        <v>0</v>
      </c>
      <c r="C161" s="52" t="str">
        <f>Efficiencies!N161</f>
        <v>0</v>
      </c>
    </row>
    <row r="162" spans="1:3" hidden="1">
      <c r="A162" s="59">
        <f>Efficiencies!A162</f>
        <v>45976</v>
      </c>
      <c r="B162" s="50" t="str">
        <f>Efficiencies!M162</f>
        <v>0</v>
      </c>
      <c r="C162" s="52" t="str">
        <f>Efficiencies!N162</f>
        <v>0</v>
      </c>
    </row>
    <row r="163" spans="1:3" hidden="1">
      <c r="A163" s="59">
        <f>Efficiencies!A163</f>
        <v>45977</v>
      </c>
      <c r="B163" s="50" t="str">
        <f>Efficiencies!M163</f>
        <v>0</v>
      </c>
      <c r="C163" s="52" t="str">
        <f>Efficiencies!N163</f>
        <v>0</v>
      </c>
    </row>
    <row r="164" spans="1:3" hidden="1">
      <c r="A164" s="59">
        <f>Efficiencies!A164</f>
        <v>45978</v>
      </c>
      <c r="B164" s="50" t="str">
        <f>Efficiencies!M164</f>
        <v>0</v>
      </c>
      <c r="C164" s="52" t="str">
        <f>Efficiencies!N164</f>
        <v>0</v>
      </c>
    </row>
    <row r="165" spans="1:3" hidden="1">
      <c r="A165" s="59">
        <f>Efficiencies!A165</f>
        <v>45979</v>
      </c>
      <c r="B165" s="50" t="str">
        <f>Efficiencies!M165</f>
        <v>0</v>
      </c>
      <c r="C165" s="52" t="str">
        <f>Efficiencies!N165</f>
        <v>0</v>
      </c>
    </row>
    <row r="166" spans="1:3" hidden="1">
      <c r="A166" s="59">
        <f>Efficiencies!A166</f>
        <v>45980</v>
      </c>
      <c r="B166" s="50" t="str">
        <f>Efficiencies!M166</f>
        <v>0</v>
      </c>
      <c r="C166" s="52" t="str">
        <f>Efficiencies!N166</f>
        <v>0</v>
      </c>
    </row>
    <row r="167" spans="1:3" hidden="1">
      <c r="A167" s="59">
        <f>Efficiencies!A167</f>
        <v>45981</v>
      </c>
      <c r="B167" s="50" t="str">
        <f>Efficiencies!M167</f>
        <v>0</v>
      </c>
      <c r="C167" s="52" t="str">
        <f>Efficiencies!N167</f>
        <v>0</v>
      </c>
    </row>
    <row r="168" spans="1:3" hidden="1">
      <c r="A168" s="59">
        <f>Efficiencies!A168</f>
        <v>45982</v>
      </c>
      <c r="B168" s="50" t="str">
        <f>Efficiencies!M168</f>
        <v>0</v>
      </c>
      <c r="C168" s="52" t="str">
        <f>Efficiencies!N168</f>
        <v>0</v>
      </c>
    </row>
    <row r="169" spans="1:3" hidden="1">
      <c r="A169" s="59">
        <f>Efficiencies!A169</f>
        <v>45983</v>
      </c>
      <c r="B169" s="50" t="str">
        <f>Efficiencies!M169</f>
        <v>0</v>
      </c>
      <c r="C169" s="52" t="str">
        <f>Efficiencies!N169</f>
        <v>0</v>
      </c>
    </row>
    <row r="170" spans="1:3" hidden="1">
      <c r="A170" s="59">
        <f>Efficiencies!A170</f>
        <v>45984</v>
      </c>
      <c r="B170" s="50" t="str">
        <f>Efficiencies!M170</f>
        <v>0</v>
      </c>
      <c r="C170" s="52" t="str">
        <f>Efficiencies!N170</f>
        <v>0</v>
      </c>
    </row>
    <row r="171" spans="1:3" hidden="1">
      <c r="A171" s="59">
        <f>Efficiencies!A171</f>
        <v>45985</v>
      </c>
      <c r="B171" s="50" t="str">
        <f>Efficiencies!M171</f>
        <v>0</v>
      </c>
      <c r="C171" s="52" t="str">
        <f>Efficiencies!N171</f>
        <v>0</v>
      </c>
    </row>
    <row r="172" spans="1:3" hidden="1">
      <c r="A172" s="59">
        <f>Efficiencies!A172</f>
        <v>45986</v>
      </c>
      <c r="B172" s="50" t="str">
        <f>Efficiencies!M172</f>
        <v>0</v>
      </c>
      <c r="C172" s="52" t="str">
        <f>Efficiencies!N172</f>
        <v>0</v>
      </c>
    </row>
    <row r="173" spans="1:3" hidden="1">
      <c r="A173" s="59">
        <f>Efficiencies!A173</f>
        <v>45987</v>
      </c>
      <c r="B173" s="50" t="str">
        <f>Efficiencies!M173</f>
        <v>0</v>
      </c>
      <c r="C173" s="52" t="str">
        <f>Efficiencies!N173</f>
        <v>0</v>
      </c>
    </row>
    <row r="174" spans="1:3" hidden="1">
      <c r="A174" s="59">
        <f>Efficiencies!A174</f>
        <v>45988</v>
      </c>
      <c r="B174" s="50" t="str">
        <f>Efficiencies!M174</f>
        <v>0</v>
      </c>
      <c r="C174" s="52" t="str">
        <f>Efficiencies!N174</f>
        <v>0</v>
      </c>
    </row>
    <row r="175" spans="1:3" hidden="1">
      <c r="A175" s="59">
        <f>Efficiencies!A175</f>
        <v>45989</v>
      </c>
      <c r="B175" s="50" t="str">
        <f>Efficiencies!M175</f>
        <v>0</v>
      </c>
      <c r="C175" s="52" t="str">
        <f>Efficiencies!N175</f>
        <v>0</v>
      </c>
    </row>
    <row r="176" spans="1:3" hidden="1">
      <c r="A176" s="59">
        <f>Efficiencies!A176</f>
        <v>45990</v>
      </c>
      <c r="B176" s="50" t="str">
        <f>Efficiencies!M176</f>
        <v>0</v>
      </c>
      <c r="C176" s="52" t="str">
        <f>Efficiencies!N176</f>
        <v>0</v>
      </c>
    </row>
    <row r="177" spans="1:3" hidden="1">
      <c r="A177" s="59">
        <f>Efficiencies!A177</f>
        <v>45991</v>
      </c>
      <c r="B177" s="50" t="str">
        <f>Efficiencies!M177</f>
        <v>0</v>
      </c>
      <c r="C177" s="52" t="str">
        <f>Efficiencies!N177</f>
        <v>0</v>
      </c>
    </row>
    <row r="178" spans="1:3" hidden="1">
      <c r="A178" s="59">
        <f>Efficiencies!A178</f>
        <v>45992</v>
      </c>
      <c r="B178" s="50" t="str">
        <f>Efficiencies!M178</f>
        <v>0</v>
      </c>
      <c r="C178" s="52" t="str">
        <f>Efficiencies!N178</f>
        <v>0</v>
      </c>
    </row>
    <row r="179" spans="1:3" hidden="1">
      <c r="A179" s="59">
        <f>Efficiencies!A179</f>
        <v>45993</v>
      </c>
      <c r="B179" s="50" t="str">
        <f>Efficiencies!M179</f>
        <v>0</v>
      </c>
      <c r="C179" s="52" t="str">
        <f>Efficiencies!N179</f>
        <v>0</v>
      </c>
    </row>
    <row r="180" spans="1:3" hidden="1">
      <c r="A180" s="59">
        <f>Efficiencies!A180</f>
        <v>45994</v>
      </c>
      <c r="B180" s="50" t="str">
        <f>Efficiencies!M180</f>
        <v>0</v>
      </c>
      <c r="C180" s="52" t="str">
        <f>Efficiencies!N180</f>
        <v>0</v>
      </c>
    </row>
    <row r="181" spans="1:3">
      <c r="A181" s="59">
        <f>Efficiencies!A181</f>
        <v>45995</v>
      </c>
      <c r="B181" s="50">
        <f>Efficiencies!M181</f>
        <v>2.0266662500878718</v>
      </c>
      <c r="C181" s="52">
        <f>Efficiencies!N181</f>
        <v>0.51024653653786545</v>
      </c>
    </row>
    <row r="182" spans="1:3" hidden="1">
      <c r="A182" s="59">
        <f>Efficiencies!A182</f>
        <v>45996</v>
      </c>
      <c r="B182" s="50" t="str">
        <f>Efficiencies!M182</f>
        <v>0</v>
      </c>
      <c r="C182" s="52" t="str">
        <f>Efficiencies!N182</f>
        <v>0</v>
      </c>
    </row>
    <row r="183" spans="1:3" hidden="1">
      <c r="A183" s="59">
        <f>Efficiencies!A183</f>
        <v>45997</v>
      </c>
      <c r="B183" s="50" t="str">
        <f>Efficiencies!M183</f>
        <v>0</v>
      </c>
      <c r="C183" s="52" t="str">
        <f>Efficiencies!N183</f>
        <v>0</v>
      </c>
    </row>
    <row r="184" spans="1:3" hidden="1">
      <c r="A184" s="59">
        <f>Efficiencies!A184</f>
        <v>45998</v>
      </c>
      <c r="B184" s="50" t="str">
        <f>Efficiencies!M184</f>
        <v>0</v>
      </c>
      <c r="C184" s="52" t="str">
        <f>Efficiencies!N184</f>
        <v>0</v>
      </c>
    </row>
    <row r="185" spans="1:3" hidden="1">
      <c r="A185" s="59">
        <f>Efficiencies!A185</f>
        <v>45999</v>
      </c>
      <c r="B185" s="50" t="str">
        <f>Efficiencies!M185</f>
        <v>0</v>
      </c>
      <c r="C185" s="52" t="str">
        <f>Efficiencies!N185</f>
        <v>0</v>
      </c>
    </row>
    <row r="186" spans="1:3" hidden="1">
      <c r="A186" s="59">
        <f>Efficiencies!A186</f>
        <v>46000</v>
      </c>
      <c r="B186" s="50" t="str">
        <f>Efficiencies!M186</f>
        <v>0</v>
      </c>
      <c r="C186" s="52" t="str">
        <f>Efficiencies!N186</f>
        <v>0</v>
      </c>
    </row>
    <row r="187" spans="1:3" hidden="1">
      <c r="A187" s="59">
        <f>Efficiencies!A187</f>
        <v>46001</v>
      </c>
      <c r="B187" s="50" t="str">
        <f>Efficiencies!M187</f>
        <v>0</v>
      </c>
      <c r="C187" s="52" t="str">
        <f>Efficiencies!N187</f>
        <v>0</v>
      </c>
    </row>
    <row r="188" spans="1:3" hidden="1">
      <c r="A188" s="59">
        <f>Efficiencies!A188</f>
        <v>46002</v>
      </c>
      <c r="B188" s="50" t="str">
        <f>Efficiencies!M188</f>
        <v>0</v>
      </c>
      <c r="C188" s="52" t="str">
        <f>Efficiencies!N188</f>
        <v>0</v>
      </c>
    </row>
    <row r="189" spans="1:3" hidden="1">
      <c r="A189" s="59">
        <f>Efficiencies!A189</f>
        <v>46003</v>
      </c>
      <c r="B189" s="50" t="str">
        <f>Efficiencies!M189</f>
        <v>0</v>
      </c>
      <c r="C189" s="52" t="str">
        <f>Efficiencies!N189</f>
        <v>0</v>
      </c>
    </row>
    <row r="190" spans="1:3" hidden="1">
      <c r="A190" s="59">
        <f>Efficiencies!A190</f>
        <v>46004</v>
      </c>
      <c r="B190" s="50" t="str">
        <f>Efficiencies!M190</f>
        <v>0</v>
      </c>
      <c r="C190" s="52" t="str">
        <f>Efficiencies!N190</f>
        <v>0</v>
      </c>
    </row>
    <row r="191" spans="1:3" hidden="1">
      <c r="A191" s="59">
        <f>Efficiencies!A191</f>
        <v>46005</v>
      </c>
      <c r="B191" s="50" t="str">
        <f>Efficiencies!M191</f>
        <v>0</v>
      </c>
      <c r="C191" s="52" t="str">
        <f>Efficiencies!N191</f>
        <v>0</v>
      </c>
    </row>
    <row r="192" spans="1:3" hidden="1">
      <c r="A192" s="59">
        <f>Efficiencies!A192</f>
        <v>46006</v>
      </c>
      <c r="B192" s="50" t="str">
        <f>Efficiencies!M192</f>
        <v>0</v>
      </c>
      <c r="C192" s="52" t="str">
        <f>Efficiencies!N192</f>
        <v>0</v>
      </c>
    </row>
    <row r="193" spans="1:3" hidden="1">
      <c r="A193" s="59">
        <f>Efficiencies!A193</f>
        <v>46007</v>
      </c>
      <c r="B193" s="50" t="str">
        <f>Efficiencies!M193</f>
        <v>0</v>
      </c>
      <c r="C193" s="52" t="str">
        <f>Efficiencies!N193</f>
        <v>0</v>
      </c>
    </row>
    <row r="194" spans="1:3" hidden="1">
      <c r="A194" s="59">
        <f>Efficiencies!A194</f>
        <v>46008</v>
      </c>
      <c r="B194" s="50" t="str">
        <f>Efficiencies!M194</f>
        <v>0</v>
      </c>
      <c r="C194" s="52" t="str">
        <f>Efficiencies!N194</f>
        <v>0</v>
      </c>
    </row>
    <row r="195" spans="1:3" hidden="1">
      <c r="A195" s="59">
        <f>Efficiencies!A195</f>
        <v>46009</v>
      </c>
      <c r="B195" s="50" t="str">
        <f>Efficiencies!M195</f>
        <v>0</v>
      </c>
      <c r="C195" s="52" t="str">
        <f>Efficiencies!N195</f>
        <v>0</v>
      </c>
    </row>
    <row r="196" spans="1:3" hidden="1">
      <c r="A196" s="59">
        <f>Efficiencies!A196</f>
        <v>46010</v>
      </c>
      <c r="B196" s="50" t="str">
        <f>Efficiencies!M196</f>
        <v>0</v>
      </c>
      <c r="C196" s="52" t="str">
        <f>Efficiencies!N196</f>
        <v>0</v>
      </c>
    </row>
    <row r="197" spans="1:3" hidden="1">
      <c r="A197" s="59">
        <f>Efficiencies!A197</f>
        <v>46011</v>
      </c>
      <c r="B197" s="50" t="str">
        <f>Efficiencies!M197</f>
        <v>0</v>
      </c>
      <c r="C197" s="52" t="str">
        <f>Efficiencies!N197</f>
        <v>0</v>
      </c>
    </row>
    <row r="198" spans="1:3" hidden="1">
      <c r="A198" s="59">
        <f>Efficiencies!A198</f>
        <v>46012</v>
      </c>
      <c r="B198" s="50" t="str">
        <f>Efficiencies!M198</f>
        <v>0</v>
      </c>
      <c r="C198" s="52" t="str">
        <f>Efficiencies!N198</f>
        <v>0</v>
      </c>
    </row>
    <row r="199" spans="1:3" hidden="1">
      <c r="A199" s="59">
        <f>Efficiencies!A199</f>
        <v>46013</v>
      </c>
      <c r="B199" s="50" t="str">
        <f>Efficiencies!M199</f>
        <v>0</v>
      </c>
      <c r="C199" s="52" t="str">
        <f>Efficiencies!N199</f>
        <v>0</v>
      </c>
    </row>
    <row r="200" spans="1:3" hidden="1">
      <c r="A200" s="59">
        <f>Efficiencies!A200</f>
        <v>46014</v>
      </c>
      <c r="B200" s="50" t="str">
        <f>Efficiencies!M200</f>
        <v>0</v>
      </c>
      <c r="C200" s="52" t="str">
        <f>Efficiencies!N200</f>
        <v>0</v>
      </c>
    </row>
    <row r="201" spans="1:3" hidden="1">
      <c r="A201" s="59">
        <f>Efficiencies!A201</f>
        <v>46015</v>
      </c>
      <c r="B201" s="50" t="str">
        <f>Efficiencies!M201</f>
        <v>0</v>
      </c>
      <c r="C201" s="52" t="str">
        <f>Efficiencies!N201</f>
        <v>0</v>
      </c>
    </row>
    <row r="202" spans="1:3" hidden="1">
      <c r="A202" s="59">
        <f>Efficiencies!A202</f>
        <v>46016</v>
      </c>
      <c r="B202" s="50" t="str">
        <f>Efficiencies!M202</f>
        <v>0</v>
      </c>
      <c r="C202" s="52" t="str">
        <f>Efficiencies!N202</f>
        <v>0</v>
      </c>
    </row>
    <row r="203" spans="1:3" hidden="1">
      <c r="A203" s="59">
        <f>Efficiencies!A203</f>
        <v>46017</v>
      </c>
      <c r="B203" s="50" t="str">
        <f>Efficiencies!M203</f>
        <v>0</v>
      </c>
      <c r="C203" s="52" t="str">
        <f>Efficiencies!N203</f>
        <v>0</v>
      </c>
    </row>
    <row r="204" spans="1:3" hidden="1">
      <c r="A204" s="59">
        <f>Efficiencies!A204</f>
        <v>46018</v>
      </c>
      <c r="B204" s="50" t="str">
        <f>Efficiencies!M204</f>
        <v>0</v>
      </c>
      <c r="C204" s="52" t="str">
        <f>Efficiencies!N204</f>
        <v>0</v>
      </c>
    </row>
    <row r="205" spans="1:3" hidden="1">
      <c r="A205" s="59">
        <f>Efficiencies!A205</f>
        <v>46019</v>
      </c>
      <c r="B205" s="50" t="str">
        <f>Efficiencies!M205</f>
        <v>0</v>
      </c>
      <c r="C205" s="52" t="str">
        <f>Efficiencies!N205</f>
        <v>0</v>
      </c>
    </row>
    <row r="206" spans="1:3" hidden="1">
      <c r="A206" s="59">
        <f>Efficiencies!A206</f>
        <v>46020</v>
      </c>
      <c r="B206" s="50" t="str">
        <f>Efficiencies!M206</f>
        <v>0</v>
      </c>
      <c r="C206" s="52" t="str">
        <f>Efficiencies!N206</f>
        <v>0</v>
      </c>
    </row>
    <row r="207" spans="1:3" hidden="1">
      <c r="A207" s="59">
        <f>Efficiencies!A207</f>
        <v>46021</v>
      </c>
      <c r="B207" s="50" t="str">
        <f>Efficiencies!M207</f>
        <v>0</v>
      </c>
      <c r="C207" s="52" t="str">
        <f>Efficiencies!N207</f>
        <v>0</v>
      </c>
    </row>
    <row r="208" spans="1:3" ht="16.5" hidden="1" thickBot="1">
      <c r="A208" s="60">
        <f>Efficiencies!A208</f>
        <v>46022</v>
      </c>
      <c r="B208" s="53" t="str">
        <f>Efficiencies!M208</f>
        <v>0</v>
      </c>
      <c r="C208" s="55" t="str">
        <f>Efficiencies!N208</f>
        <v>0</v>
      </c>
    </row>
  </sheetData>
  <sheetProtection algorithmName="SHA-512" hashValue="Gpx2+NkBlSwInfZ19OUQlWogcQEqhHbGCGrlbVQUqMk5SiqehGoHRhdIud838EgI/z+t+zRkj7x5HX0ydmn55g==" saltValue="EOGDkCS5i4E3Fw5Ek0R0vA==" spinCount="100000" sheet="1" objects="1" scenarios="1" autoFilter="0"/>
  <autoFilter ref="A4:C208" xr:uid="{FFEF645B-3BAE-B64B-BB87-7CD59A404828}">
    <filterColumn colId="1">
      <filters>
        <filter val="2.03"/>
        <filter val="2.20"/>
        <filter val="2.22"/>
        <filter val="2.24"/>
        <filter val="2.31"/>
        <filter val="2.32"/>
        <filter val="2.33"/>
        <filter val="2.34"/>
        <filter val="2.35"/>
        <filter val="2.36"/>
        <filter val="2.37"/>
        <filter val="2.38"/>
        <filter val="2.39"/>
        <filter val="2.40"/>
        <filter val="2.41"/>
        <filter val="2.42"/>
        <filter val="2.43"/>
        <filter val="2.47"/>
      </filters>
    </filterColumn>
  </autoFilter>
  <mergeCells count="1">
    <mergeCell ref="B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1E0F-D342-7948-B2B6-6F351F8E0B85}">
  <sheetPr codeName="Sheet8" filterMode="1"/>
  <dimension ref="A1:C208"/>
  <sheetViews>
    <sheetView workbookViewId="0">
      <pane ySplit="4" topLeftCell="A178" activePane="bottomLeft" state="frozen"/>
      <selection pane="bottomLeft" activeCell="C104" sqref="C104"/>
    </sheetView>
  </sheetViews>
  <sheetFormatPr defaultColWidth="11" defaultRowHeight="15.95"/>
  <sheetData>
    <row r="1" spans="1:3" ht="24.95" customHeight="1">
      <c r="A1" s="56"/>
      <c r="B1" s="306" t="s">
        <v>54</v>
      </c>
      <c r="C1" s="308"/>
    </row>
    <row r="2" spans="1:3">
      <c r="A2" s="57">
        <f>Efficiencies!A2</f>
        <v>0</v>
      </c>
      <c r="B2" s="44" t="str">
        <f>Efficiencies!O2</f>
        <v>LPA</v>
      </c>
      <c r="C2" s="46">
        <f>Efficiencies!P2</f>
        <v>0</v>
      </c>
    </row>
    <row r="3" spans="1:3">
      <c r="A3" s="57" t="str">
        <f>Efficiencies!A3</f>
        <v>Design Values</v>
      </c>
      <c r="B3" s="44">
        <f>Efficiencies!O3</f>
        <v>2.29</v>
      </c>
      <c r="C3" s="46">
        <f>Efficiencies!P3</f>
        <v>2.2799999999999998</v>
      </c>
    </row>
    <row r="4" spans="1:3">
      <c r="A4" s="58" t="str">
        <f>Efficiencies!A4</f>
        <v>Date</v>
      </c>
      <c r="B4" s="47" t="str">
        <f>Efficiencies!O4</f>
        <v>N/C</v>
      </c>
      <c r="C4" s="49" t="str">
        <f>Efficiencies!P4</f>
        <v>H/C</v>
      </c>
    </row>
    <row r="5" spans="1:3" hidden="1">
      <c r="A5" s="59">
        <f>Efficiencies!A5</f>
        <v>45819</v>
      </c>
      <c r="B5" s="50" t="str">
        <f>Efficiencies!O5</f>
        <v>0</v>
      </c>
      <c r="C5" s="52" t="str">
        <f>Efficiencies!P5</f>
        <v>0</v>
      </c>
    </row>
    <row r="6" spans="1:3" hidden="1">
      <c r="A6" s="59">
        <f>Efficiencies!A6</f>
        <v>45820</v>
      </c>
      <c r="B6" s="50" t="str">
        <f>Efficiencies!O6</f>
        <v>0</v>
      </c>
      <c r="C6" s="52" t="str">
        <f>Efficiencies!P6</f>
        <v>0</v>
      </c>
    </row>
    <row r="7" spans="1:3" hidden="1">
      <c r="A7" s="59">
        <f>Efficiencies!A7</f>
        <v>45821</v>
      </c>
      <c r="B7" s="50" t="str">
        <f>Efficiencies!O7</f>
        <v>0</v>
      </c>
      <c r="C7" s="52" t="str">
        <f>Efficiencies!P7</f>
        <v>0</v>
      </c>
    </row>
    <row r="8" spans="1:3" hidden="1">
      <c r="A8" s="59">
        <f>Efficiencies!A8</f>
        <v>45822</v>
      </c>
      <c r="B8" s="50" t="str">
        <f>Efficiencies!O8</f>
        <v>0</v>
      </c>
      <c r="C8" s="52" t="str">
        <f>Efficiencies!P8</f>
        <v>0</v>
      </c>
    </row>
    <row r="9" spans="1:3" hidden="1">
      <c r="A9" s="59">
        <f>Efficiencies!A9</f>
        <v>45823</v>
      </c>
      <c r="B9" s="50" t="str">
        <f>Efficiencies!O9</f>
        <v>0</v>
      </c>
      <c r="C9" s="52" t="str">
        <f>Efficiencies!P9</f>
        <v>0</v>
      </c>
    </row>
    <row r="10" spans="1:3" hidden="1">
      <c r="A10" s="59">
        <f>Efficiencies!A10</f>
        <v>45824</v>
      </c>
      <c r="B10" s="50" t="str">
        <f>Efficiencies!O10</f>
        <v>0</v>
      </c>
      <c r="C10" s="52" t="str">
        <f>Efficiencies!P10</f>
        <v>0</v>
      </c>
    </row>
    <row r="11" spans="1:3" hidden="1">
      <c r="A11" s="59">
        <f>Efficiencies!A11</f>
        <v>45825</v>
      </c>
      <c r="B11" s="50" t="str">
        <f>Efficiencies!O11</f>
        <v>0</v>
      </c>
      <c r="C11" s="52" t="str">
        <f>Efficiencies!P11</f>
        <v>0</v>
      </c>
    </row>
    <row r="12" spans="1:3" hidden="1">
      <c r="A12" s="59">
        <f>Efficiencies!A12</f>
        <v>45826</v>
      </c>
      <c r="B12" s="50" t="str">
        <f>Efficiencies!O12</f>
        <v>0</v>
      </c>
      <c r="C12" s="52" t="str">
        <f>Efficiencies!P12</f>
        <v>0</v>
      </c>
    </row>
    <row r="13" spans="1:3" hidden="1">
      <c r="A13" s="59">
        <f>Efficiencies!A13</f>
        <v>45827</v>
      </c>
      <c r="B13" s="50" t="str">
        <f>Efficiencies!O13</f>
        <v>0</v>
      </c>
      <c r="C13" s="52" t="str">
        <f>Efficiencies!P13</f>
        <v>0</v>
      </c>
    </row>
    <row r="14" spans="1:3" hidden="1">
      <c r="A14" s="59">
        <f>Efficiencies!A14</f>
        <v>45828</v>
      </c>
      <c r="B14" s="50" t="str">
        <f>Efficiencies!O14</f>
        <v>0</v>
      </c>
      <c r="C14" s="52" t="str">
        <f>Efficiencies!P14</f>
        <v>0</v>
      </c>
    </row>
    <row r="15" spans="1:3" hidden="1">
      <c r="A15" s="59">
        <f>Efficiencies!A15</f>
        <v>45829</v>
      </c>
      <c r="B15" s="50" t="str">
        <f>Efficiencies!O15</f>
        <v>0</v>
      </c>
      <c r="C15" s="52" t="str">
        <f>Efficiencies!P15</f>
        <v>0</v>
      </c>
    </row>
    <row r="16" spans="1:3" hidden="1">
      <c r="A16" s="59">
        <f>Efficiencies!A16</f>
        <v>45830</v>
      </c>
      <c r="B16" s="50" t="str">
        <f>Efficiencies!O16</f>
        <v>0</v>
      </c>
      <c r="C16" s="52" t="str">
        <f>Efficiencies!P16</f>
        <v>0</v>
      </c>
    </row>
    <row r="17" spans="1:3" hidden="1">
      <c r="A17" s="59">
        <f>Efficiencies!A17</f>
        <v>45831</v>
      </c>
      <c r="B17" s="50" t="str">
        <f>Efficiencies!O17</f>
        <v>0</v>
      </c>
      <c r="C17" s="52" t="str">
        <f>Efficiencies!P17</f>
        <v>0</v>
      </c>
    </row>
    <row r="18" spans="1:3" hidden="1">
      <c r="A18" s="59">
        <f>Efficiencies!A18</f>
        <v>45832</v>
      </c>
      <c r="B18" s="50" t="str">
        <f>Efficiencies!O18</f>
        <v>0</v>
      </c>
      <c r="C18" s="52" t="str">
        <f>Efficiencies!P18</f>
        <v>0</v>
      </c>
    </row>
    <row r="19" spans="1:3" hidden="1">
      <c r="A19" s="59">
        <f>Efficiencies!A19</f>
        <v>45833</v>
      </c>
      <c r="B19" s="50" t="str">
        <f>Efficiencies!O19</f>
        <v>0</v>
      </c>
      <c r="C19" s="52" t="str">
        <f>Efficiencies!P19</f>
        <v>0</v>
      </c>
    </row>
    <row r="20" spans="1:3">
      <c r="A20" s="59">
        <f>Efficiencies!A20</f>
        <v>45834</v>
      </c>
      <c r="B20" s="50">
        <f>Efficiencies!O20</f>
        <v>2.5294811320754715</v>
      </c>
      <c r="C20" s="52">
        <f>Efficiencies!P20</f>
        <v>2.3731001048218032</v>
      </c>
    </row>
    <row r="21" spans="1:3" hidden="1">
      <c r="A21" s="59">
        <f>Efficiencies!A21</f>
        <v>45835</v>
      </c>
      <c r="B21" s="50" t="str">
        <f>Efficiencies!O21</f>
        <v>0</v>
      </c>
      <c r="C21" s="52" t="str">
        <f>Efficiencies!P21</f>
        <v>0</v>
      </c>
    </row>
    <row r="22" spans="1:3" hidden="1">
      <c r="A22" s="59">
        <f>Efficiencies!A22</f>
        <v>45836</v>
      </c>
      <c r="B22" s="50" t="str">
        <f>Efficiencies!O22</f>
        <v>0</v>
      </c>
      <c r="C22" s="52" t="str">
        <f>Efficiencies!P22</f>
        <v>0</v>
      </c>
    </row>
    <row r="23" spans="1:3" hidden="1">
      <c r="A23" s="59">
        <f>Efficiencies!A23</f>
        <v>45837</v>
      </c>
      <c r="B23" s="50" t="str">
        <f>Efficiencies!O23</f>
        <v>0</v>
      </c>
      <c r="C23" s="52" t="str">
        <f>Efficiencies!P23</f>
        <v>0</v>
      </c>
    </row>
    <row r="24" spans="1:3">
      <c r="A24" s="59">
        <f>Efficiencies!A24</f>
        <v>45838</v>
      </c>
      <c r="B24" s="50">
        <f>Efficiencies!O24</f>
        <v>2.5622918978912317</v>
      </c>
      <c r="C24" s="52">
        <f>Efficiencies!P24</f>
        <v>2.3421121593291403</v>
      </c>
    </row>
    <row r="25" spans="1:3" hidden="1">
      <c r="A25" s="59">
        <f>Efficiencies!A25</f>
        <v>45839</v>
      </c>
      <c r="B25" s="50" t="str">
        <f>Efficiencies!O25</f>
        <v>0</v>
      </c>
      <c r="C25" s="52" t="str">
        <f>Efficiencies!P25</f>
        <v>0</v>
      </c>
    </row>
    <row r="26" spans="1:3" hidden="1">
      <c r="A26" s="59">
        <f>Efficiencies!A26</f>
        <v>45840</v>
      </c>
      <c r="B26" s="50" t="str">
        <f>Efficiencies!O26</f>
        <v>0</v>
      </c>
      <c r="C26" s="52" t="str">
        <f>Efficiencies!P26</f>
        <v>0</v>
      </c>
    </row>
    <row r="27" spans="1:3">
      <c r="A27" s="59">
        <f>Efficiencies!A27</f>
        <v>45841</v>
      </c>
      <c r="B27" s="50">
        <f>Efficiencies!O27</f>
        <v>2.5616464372658365</v>
      </c>
      <c r="C27" s="52">
        <f>Efficiencies!P27</f>
        <v>2.3109937057691687</v>
      </c>
    </row>
    <row r="28" spans="1:3" hidden="1">
      <c r="A28" s="59">
        <f>Efficiencies!A28</f>
        <v>45842</v>
      </c>
      <c r="B28" s="50" t="str">
        <f>Efficiencies!O28</f>
        <v>0</v>
      </c>
      <c r="C28" s="52" t="str">
        <f>Efficiencies!P28</f>
        <v>0</v>
      </c>
    </row>
    <row r="29" spans="1:3" hidden="1">
      <c r="A29" s="59">
        <f>Efficiencies!A29</f>
        <v>45843</v>
      </c>
      <c r="B29" s="50" t="str">
        <f>Efficiencies!O29</f>
        <v>0</v>
      </c>
      <c r="C29" s="52" t="str">
        <f>Efficiencies!P29</f>
        <v>0</v>
      </c>
    </row>
    <row r="30" spans="1:3" hidden="1">
      <c r="A30" s="59">
        <f>Efficiencies!A30</f>
        <v>45844</v>
      </c>
      <c r="B30" s="50" t="str">
        <f>Efficiencies!O30</f>
        <v>0</v>
      </c>
      <c r="C30" s="52" t="str">
        <f>Efficiencies!P30</f>
        <v>0</v>
      </c>
    </row>
    <row r="31" spans="1:3" hidden="1">
      <c r="A31" s="59">
        <f>Efficiencies!A31</f>
        <v>45845</v>
      </c>
      <c r="B31" s="50" t="str">
        <f>Efficiencies!O31</f>
        <v>0</v>
      </c>
      <c r="C31" s="52" t="str">
        <f>Efficiencies!P31</f>
        <v>0</v>
      </c>
    </row>
    <row r="32" spans="1:3">
      <c r="A32" s="59">
        <f>Efficiencies!A32</f>
        <v>45846</v>
      </c>
      <c r="B32" s="50">
        <f>Efficiencies!O32</f>
        <v>2.5264184051472025</v>
      </c>
      <c r="C32" s="52">
        <f>Efficiencies!P32</f>
        <v>2.3183856502242151</v>
      </c>
    </row>
    <row r="33" spans="1:3">
      <c r="A33" s="59">
        <f>Efficiencies!A33</f>
        <v>45847</v>
      </c>
      <c r="B33" s="50">
        <f>Efficiencies!O33</f>
        <v>2.5154500007745466</v>
      </c>
      <c r="C33" s="52">
        <f>Efficiencies!P33</f>
        <v>2.0770098942853914</v>
      </c>
    </row>
    <row r="34" spans="1:3" hidden="1">
      <c r="A34" s="59">
        <f>Efficiencies!A34</f>
        <v>45848</v>
      </c>
      <c r="B34" s="50" t="str">
        <f>Efficiencies!O34</f>
        <v>0</v>
      </c>
      <c r="C34" s="52" t="str">
        <f>Efficiencies!P34</f>
        <v>0</v>
      </c>
    </row>
    <row r="35" spans="1:3" hidden="1">
      <c r="A35" s="59">
        <f>Efficiencies!A35</f>
        <v>45849</v>
      </c>
      <c r="B35" s="50" t="str">
        <f>Efficiencies!O35</f>
        <v>0</v>
      </c>
      <c r="C35" s="52" t="str">
        <f>Efficiencies!P35</f>
        <v>0</v>
      </c>
    </row>
    <row r="36" spans="1:3" hidden="1">
      <c r="A36" s="59">
        <f>Efficiencies!A36</f>
        <v>45850</v>
      </c>
      <c r="B36" s="50" t="str">
        <f>Efficiencies!O36</f>
        <v>0</v>
      </c>
      <c r="C36" s="52" t="str">
        <f>Efficiencies!P36</f>
        <v>0</v>
      </c>
    </row>
    <row r="37" spans="1:3" hidden="1">
      <c r="A37" s="59">
        <f>Efficiencies!A37</f>
        <v>45851</v>
      </c>
      <c r="B37" s="50" t="str">
        <f>Efficiencies!O37</f>
        <v>0</v>
      </c>
      <c r="C37" s="52" t="str">
        <f>Efficiencies!P37</f>
        <v>0</v>
      </c>
    </row>
    <row r="38" spans="1:3" hidden="1">
      <c r="A38" s="59">
        <f>Efficiencies!A38</f>
        <v>45852</v>
      </c>
      <c r="B38" s="50" t="str">
        <f>Efficiencies!O38</f>
        <v>0</v>
      </c>
      <c r="C38" s="52" t="str">
        <f>Efficiencies!P38</f>
        <v>0</v>
      </c>
    </row>
    <row r="39" spans="1:3" hidden="1">
      <c r="A39" s="59">
        <f>Efficiencies!A39</f>
        <v>45853</v>
      </c>
      <c r="B39" s="50" t="str">
        <f>Efficiencies!O39</f>
        <v>0</v>
      </c>
      <c r="C39" s="52" t="str">
        <f>Efficiencies!P39</f>
        <v>0</v>
      </c>
    </row>
    <row r="40" spans="1:3" hidden="1">
      <c r="A40" s="59">
        <f>Efficiencies!A40</f>
        <v>45854</v>
      </c>
      <c r="B40" s="50" t="str">
        <f>Efficiencies!O40</f>
        <v>0</v>
      </c>
      <c r="C40" s="52" t="str">
        <f>Efficiencies!P40</f>
        <v>0</v>
      </c>
    </row>
    <row r="41" spans="1:3">
      <c r="A41" s="59">
        <f>Efficiencies!A41</f>
        <v>45855</v>
      </c>
      <c r="B41" s="50">
        <f>Efficiencies!O41</f>
        <v>2.4763562518131708</v>
      </c>
      <c r="C41" s="52">
        <f>Efficiencies!P41</f>
        <v>2.308287399671213</v>
      </c>
    </row>
    <row r="42" spans="1:3">
      <c r="A42" s="59">
        <f>Efficiencies!A42</f>
        <v>45856</v>
      </c>
      <c r="B42" s="50">
        <f>Efficiencies!O42</f>
        <v>2.559776243335373</v>
      </c>
      <c r="C42" s="52">
        <f>Efficiencies!P42</f>
        <v>2.4023113752682841</v>
      </c>
    </row>
    <row r="43" spans="1:3" hidden="1">
      <c r="A43" s="59">
        <f>Efficiencies!A43</f>
        <v>45857</v>
      </c>
      <c r="B43" s="50" t="str">
        <f>Efficiencies!O43</f>
        <v>0</v>
      </c>
      <c r="C43" s="52" t="str">
        <f>Efficiencies!P43</f>
        <v>0</v>
      </c>
    </row>
    <row r="44" spans="1:3" hidden="1">
      <c r="A44" s="59">
        <f>Efficiencies!A44</f>
        <v>45858</v>
      </c>
      <c r="B44" s="50" t="str">
        <f>Efficiencies!O44</f>
        <v>0</v>
      </c>
      <c r="C44" s="52" t="str">
        <f>Efficiencies!P44</f>
        <v>0</v>
      </c>
    </row>
    <row r="45" spans="1:3">
      <c r="A45" s="59">
        <f>Efficiencies!A45</f>
        <v>45859</v>
      </c>
      <c r="B45" s="50">
        <f>Efficiencies!O45</f>
        <v>2.5106936317284334</v>
      </c>
      <c r="C45" s="52">
        <f>Efficiencies!P45</f>
        <v>2.2944218214724321</v>
      </c>
    </row>
    <row r="46" spans="1:3" hidden="1">
      <c r="A46" s="59">
        <f>Efficiencies!A46</f>
        <v>45860</v>
      </c>
      <c r="B46" s="50" t="str">
        <f>Efficiencies!O46</f>
        <v>0</v>
      </c>
      <c r="C46" s="52" t="str">
        <f>Efficiencies!P46</f>
        <v>0</v>
      </c>
    </row>
    <row r="47" spans="1:3" hidden="1">
      <c r="A47" s="59">
        <f>Efficiencies!A47</f>
        <v>45861</v>
      </c>
      <c r="B47" s="50" t="str">
        <f>Efficiencies!O47</f>
        <v>0</v>
      </c>
      <c r="C47" s="52" t="str">
        <f>Efficiencies!P47</f>
        <v>0</v>
      </c>
    </row>
    <row r="48" spans="1:3" hidden="1">
      <c r="A48" s="59">
        <f>Efficiencies!A48</f>
        <v>45862</v>
      </c>
      <c r="B48" s="50" t="str">
        <f>Efficiencies!O48</f>
        <v>0</v>
      </c>
      <c r="C48" s="52" t="str">
        <f>Efficiencies!P48</f>
        <v>0</v>
      </c>
    </row>
    <row r="49" spans="1:3" hidden="1">
      <c r="A49" s="59">
        <f>Efficiencies!A49</f>
        <v>45863</v>
      </c>
      <c r="B49" s="50" t="str">
        <f>Efficiencies!O49</f>
        <v>0</v>
      </c>
      <c r="C49" s="52" t="str">
        <f>Efficiencies!P49</f>
        <v>0</v>
      </c>
    </row>
    <row r="50" spans="1:3" hidden="1">
      <c r="A50" s="59">
        <f>Efficiencies!A50</f>
        <v>45864</v>
      </c>
      <c r="B50" s="50" t="str">
        <f>Efficiencies!O50</f>
        <v>0</v>
      </c>
      <c r="C50" s="52" t="str">
        <f>Efficiencies!P50</f>
        <v>0</v>
      </c>
    </row>
    <row r="51" spans="1:3" hidden="1">
      <c r="A51" s="59">
        <f>Efficiencies!A51</f>
        <v>45865</v>
      </c>
      <c r="B51" s="50" t="str">
        <f>Efficiencies!O51</f>
        <v>0</v>
      </c>
      <c r="C51" s="52" t="str">
        <f>Efficiencies!P51</f>
        <v>0</v>
      </c>
    </row>
    <row r="52" spans="1:3">
      <c r="A52" s="59">
        <f>Efficiencies!A52</f>
        <v>45866</v>
      </c>
      <c r="B52" s="50">
        <f>Efficiencies!O52</f>
        <v>2.3684105696454654</v>
      </c>
      <c r="C52" s="52">
        <f>Efficiencies!P52</f>
        <v>2.216139954853273</v>
      </c>
    </row>
    <row r="53" spans="1:3" hidden="1">
      <c r="A53" s="59">
        <f>Efficiencies!A53</f>
        <v>45867</v>
      </c>
      <c r="B53" s="50" t="str">
        <f>Efficiencies!O53</f>
        <v>0</v>
      </c>
      <c r="C53" s="52" t="str">
        <f>Efficiencies!P53</f>
        <v>0</v>
      </c>
    </row>
    <row r="54" spans="1:3">
      <c r="A54" s="59">
        <f>Efficiencies!A54</f>
        <v>45868</v>
      </c>
      <c r="B54" s="50">
        <f>Efficiencies!O54</f>
        <v>2.4362064270152506</v>
      </c>
      <c r="C54" s="52">
        <f>Efficiencies!P54</f>
        <v>2.3277391975308639</v>
      </c>
    </row>
    <row r="55" spans="1:3" hidden="1">
      <c r="A55" s="59">
        <f>Efficiencies!A55</f>
        <v>45869</v>
      </c>
      <c r="B55" s="50" t="str">
        <f>Efficiencies!O55</f>
        <v>0</v>
      </c>
      <c r="C55" s="52" t="str">
        <f>Efficiencies!P55</f>
        <v>0</v>
      </c>
    </row>
    <row r="56" spans="1:3" hidden="1">
      <c r="A56" s="59">
        <f>Efficiencies!A56</f>
        <v>45870</v>
      </c>
      <c r="B56" s="50" t="str">
        <f>Efficiencies!O56</f>
        <v>0</v>
      </c>
      <c r="C56" s="52" t="str">
        <f>Efficiencies!P56</f>
        <v>0</v>
      </c>
    </row>
    <row r="57" spans="1:3" hidden="1">
      <c r="A57" s="59">
        <f>Efficiencies!A57</f>
        <v>45871</v>
      </c>
      <c r="B57" s="50" t="str">
        <f>Efficiencies!O57</f>
        <v>0</v>
      </c>
      <c r="C57" s="52" t="str">
        <f>Efficiencies!P57</f>
        <v>0</v>
      </c>
    </row>
    <row r="58" spans="1:3" hidden="1">
      <c r="A58" s="59">
        <f>Efficiencies!A58</f>
        <v>45872</v>
      </c>
      <c r="B58" s="50" t="str">
        <f>Efficiencies!O58</f>
        <v>0</v>
      </c>
      <c r="C58" s="52" t="str">
        <f>Efficiencies!P58</f>
        <v>0</v>
      </c>
    </row>
    <row r="59" spans="1:3" hidden="1">
      <c r="A59" s="59">
        <f>Efficiencies!A59</f>
        <v>45873</v>
      </c>
      <c r="B59" s="50" t="str">
        <f>Efficiencies!O59</f>
        <v>0</v>
      </c>
      <c r="C59" s="52" t="str">
        <f>Efficiencies!P59</f>
        <v>0</v>
      </c>
    </row>
    <row r="60" spans="1:3" hidden="1">
      <c r="A60" s="59">
        <f>Efficiencies!A60</f>
        <v>45874</v>
      </c>
      <c r="B60" s="50" t="str">
        <f>Efficiencies!O60</f>
        <v>0</v>
      </c>
      <c r="C60" s="52" t="str">
        <f>Efficiencies!P60</f>
        <v>0</v>
      </c>
    </row>
    <row r="61" spans="1:3" hidden="1">
      <c r="A61" s="59">
        <f>Efficiencies!A61</f>
        <v>45875</v>
      </c>
      <c r="B61" s="50" t="str">
        <f>Efficiencies!O61</f>
        <v>0</v>
      </c>
      <c r="C61" s="52" t="str">
        <f>Efficiencies!P61</f>
        <v>0</v>
      </c>
    </row>
    <row r="62" spans="1:3" hidden="1">
      <c r="A62" s="59">
        <f>Efficiencies!A62</f>
        <v>45876</v>
      </c>
      <c r="B62" s="50" t="str">
        <f>Efficiencies!O62</f>
        <v>0</v>
      </c>
      <c r="C62" s="52" t="str">
        <f>Efficiencies!P62</f>
        <v>0</v>
      </c>
    </row>
    <row r="63" spans="1:3" hidden="1">
      <c r="A63" s="59">
        <f>Efficiencies!A63</f>
        <v>45877</v>
      </c>
      <c r="B63" s="50" t="str">
        <f>Efficiencies!O63</f>
        <v>0</v>
      </c>
      <c r="C63" s="52" t="str">
        <f>Efficiencies!P63</f>
        <v>0</v>
      </c>
    </row>
    <row r="64" spans="1:3" hidden="1">
      <c r="A64" s="59">
        <f>Efficiencies!A64</f>
        <v>45878</v>
      </c>
      <c r="B64" s="50" t="str">
        <f>Efficiencies!O64</f>
        <v>0</v>
      </c>
      <c r="C64" s="52" t="str">
        <f>Efficiencies!P64</f>
        <v>0</v>
      </c>
    </row>
    <row r="65" spans="1:3" hidden="1">
      <c r="A65" s="59">
        <f>Efficiencies!A65</f>
        <v>45879</v>
      </c>
      <c r="B65" s="50" t="str">
        <f>Efficiencies!O65</f>
        <v>0</v>
      </c>
      <c r="C65" s="52" t="str">
        <f>Efficiencies!P65</f>
        <v>0</v>
      </c>
    </row>
    <row r="66" spans="1:3">
      <c r="A66" s="59">
        <f>Efficiencies!A66</f>
        <v>45880</v>
      </c>
      <c r="B66" s="50">
        <f>Efficiencies!O66</f>
        <v>2.4119113167282973</v>
      </c>
      <c r="C66" s="52">
        <f>Efficiencies!P66</f>
        <v>2.047078371642205</v>
      </c>
    </row>
    <row r="67" spans="1:3" hidden="1">
      <c r="A67" s="59">
        <f>Efficiencies!A67</f>
        <v>45881</v>
      </c>
      <c r="B67" s="50" t="str">
        <f>Efficiencies!O67</f>
        <v>0</v>
      </c>
      <c r="C67" s="52" t="str">
        <f>Efficiencies!P67</f>
        <v>0</v>
      </c>
    </row>
    <row r="68" spans="1:3" hidden="1">
      <c r="A68" s="59">
        <f>Efficiencies!A68</f>
        <v>45882</v>
      </c>
      <c r="B68" s="50" t="str">
        <f>Efficiencies!O68</f>
        <v>0</v>
      </c>
      <c r="C68" s="52" t="str">
        <f>Efficiencies!P68</f>
        <v>0</v>
      </c>
    </row>
    <row r="69" spans="1:3" hidden="1">
      <c r="A69" s="59">
        <f>Efficiencies!A69</f>
        <v>45883</v>
      </c>
      <c r="B69" s="50" t="str">
        <f>Efficiencies!O69</f>
        <v>0</v>
      </c>
      <c r="C69" s="52" t="str">
        <f>Efficiencies!P69</f>
        <v>0</v>
      </c>
    </row>
    <row r="70" spans="1:3" hidden="1">
      <c r="A70" s="59">
        <f>Efficiencies!A70</f>
        <v>45884</v>
      </c>
      <c r="B70" s="50" t="str">
        <f>Efficiencies!O70</f>
        <v>0</v>
      </c>
      <c r="C70" s="52" t="str">
        <f>Efficiencies!P70</f>
        <v>0</v>
      </c>
    </row>
    <row r="71" spans="1:3" hidden="1">
      <c r="A71" s="59">
        <f>Efficiencies!A71</f>
        <v>45885</v>
      </c>
      <c r="B71" s="50" t="str">
        <f>Efficiencies!O71</f>
        <v>0</v>
      </c>
      <c r="C71" s="52" t="str">
        <f>Efficiencies!P71</f>
        <v>0</v>
      </c>
    </row>
    <row r="72" spans="1:3" hidden="1">
      <c r="A72" s="59">
        <f>Efficiencies!A72</f>
        <v>45886</v>
      </c>
      <c r="B72" s="50" t="str">
        <f>Efficiencies!O72</f>
        <v>0</v>
      </c>
      <c r="C72" s="52" t="str">
        <f>Efficiencies!P72</f>
        <v>0</v>
      </c>
    </row>
    <row r="73" spans="1:3">
      <c r="A73" s="59">
        <f>Efficiencies!A73</f>
        <v>45887</v>
      </c>
      <c r="B73" s="50">
        <f>Efficiencies!O73</f>
        <v>2.4167475209261786</v>
      </c>
      <c r="C73" s="52">
        <f>Efficiencies!P73</f>
        <v>2.1068555275991674</v>
      </c>
    </row>
    <row r="74" spans="1:3" hidden="1">
      <c r="A74" s="59">
        <f>Efficiencies!A74</f>
        <v>45888</v>
      </c>
      <c r="B74" s="50" t="str">
        <f>Efficiencies!O74</f>
        <v>0</v>
      </c>
      <c r="C74" s="52" t="str">
        <f>Efficiencies!P74</f>
        <v>0</v>
      </c>
    </row>
    <row r="75" spans="1:3" hidden="1">
      <c r="A75" s="59">
        <f>Efficiencies!A75</f>
        <v>45889</v>
      </c>
      <c r="B75" s="50" t="str">
        <f>Efficiencies!O75</f>
        <v>0</v>
      </c>
      <c r="C75" s="52" t="str">
        <f>Efficiencies!P75</f>
        <v>0</v>
      </c>
    </row>
    <row r="76" spans="1:3">
      <c r="A76" s="59">
        <f>Efficiencies!A76</f>
        <v>45890</v>
      </c>
      <c r="B76" s="50">
        <f>Efficiencies!O76</f>
        <v>2.4793262122697146</v>
      </c>
      <c r="C76" s="52">
        <f>Efficiencies!P76</f>
        <v>2.1172299099438328</v>
      </c>
    </row>
    <row r="77" spans="1:3" hidden="1">
      <c r="A77" s="59">
        <f>Efficiencies!A77</f>
        <v>45891</v>
      </c>
      <c r="B77" s="50" t="str">
        <f>Efficiencies!O77</f>
        <v>0</v>
      </c>
      <c r="C77" s="52" t="str">
        <f>Efficiencies!P77</f>
        <v>0</v>
      </c>
    </row>
    <row r="78" spans="1:3" hidden="1">
      <c r="A78" s="59">
        <f>Efficiencies!A78</f>
        <v>45892</v>
      </c>
      <c r="B78" s="50" t="str">
        <f>Efficiencies!O78</f>
        <v>0</v>
      </c>
      <c r="C78" s="52" t="str">
        <f>Efficiencies!P78</f>
        <v>0</v>
      </c>
    </row>
    <row r="79" spans="1:3" hidden="1">
      <c r="A79" s="59">
        <f>Efficiencies!A79</f>
        <v>45893</v>
      </c>
      <c r="B79" s="50" t="str">
        <f>Efficiencies!O79</f>
        <v>0</v>
      </c>
      <c r="C79" s="52" t="str">
        <f>Efficiencies!P79</f>
        <v>0</v>
      </c>
    </row>
    <row r="80" spans="1:3">
      <c r="A80" s="59">
        <f>Efficiencies!A80</f>
        <v>45894</v>
      </c>
      <c r="B80" s="50">
        <f>Efficiencies!O80</f>
        <v>2.4325953098388573</v>
      </c>
      <c r="C80" s="52">
        <f>Efficiencies!P80</f>
        <v>2.0633506557782719</v>
      </c>
    </row>
    <row r="81" spans="1:3" hidden="1">
      <c r="A81" s="59">
        <f>Efficiencies!A81</f>
        <v>45895</v>
      </c>
      <c r="B81" s="50" t="str">
        <f>Efficiencies!O81</f>
        <v>0</v>
      </c>
      <c r="C81" s="52" t="str">
        <f>Efficiencies!P81</f>
        <v>0</v>
      </c>
    </row>
    <row r="82" spans="1:3" hidden="1">
      <c r="A82" s="59">
        <f>Efficiencies!A82</f>
        <v>45896</v>
      </c>
      <c r="B82" s="50" t="str">
        <f>Efficiencies!O82</f>
        <v>0</v>
      </c>
      <c r="C82" s="52" t="str">
        <f>Efficiencies!P82</f>
        <v>0</v>
      </c>
    </row>
    <row r="83" spans="1:3">
      <c r="A83" s="59">
        <f>Efficiencies!A83</f>
        <v>45897</v>
      </c>
      <c r="B83" s="50">
        <f>Efficiencies!O83</f>
        <v>2.4140966269254767</v>
      </c>
      <c r="C83" s="52">
        <f>Efficiencies!P83</f>
        <v>2.0998200880947957</v>
      </c>
    </row>
    <row r="84" spans="1:3" hidden="1">
      <c r="A84" s="59">
        <f>Efficiencies!A84</f>
        <v>45898</v>
      </c>
      <c r="B84" s="50" t="str">
        <f>Efficiencies!O84</f>
        <v>0</v>
      </c>
      <c r="C84" s="52" t="str">
        <f>Efficiencies!P84</f>
        <v>0</v>
      </c>
    </row>
    <row r="85" spans="1:3" hidden="1">
      <c r="A85" s="59">
        <f>Efficiencies!A85</f>
        <v>45899</v>
      </c>
      <c r="B85" s="50" t="str">
        <f>Efficiencies!O85</f>
        <v>0</v>
      </c>
      <c r="C85" s="52" t="str">
        <f>Efficiencies!P85</f>
        <v>0</v>
      </c>
    </row>
    <row r="86" spans="1:3" hidden="1">
      <c r="A86" s="59">
        <f>Efficiencies!A86</f>
        <v>45900</v>
      </c>
      <c r="B86" s="50" t="str">
        <f>Efficiencies!O86</f>
        <v>0</v>
      </c>
      <c r="C86" s="52" t="str">
        <f>Efficiencies!P86</f>
        <v>0</v>
      </c>
    </row>
    <row r="87" spans="1:3" hidden="1">
      <c r="A87" s="59">
        <f>Efficiencies!A87</f>
        <v>45901</v>
      </c>
      <c r="B87" s="50" t="str">
        <f>Efficiencies!O87</f>
        <v>0</v>
      </c>
      <c r="C87" s="52" t="str">
        <f>Efficiencies!P87</f>
        <v>0</v>
      </c>
    </row>
    <row r="88" spans="1:3">
      <c r="A88" s="59">
        <f>Efficiencies!A88</f>
        <v>45902</v>
      </c>
      <c r="B88" s="50">
        <f>Efficiencies!O88</f>
        <v>2.4454511011909665</v>
      </c>
      <c r="C88" s="52">
        <f>Efficiencies!P88</f>
        <v>2.0912287252248043</v>
      </c>
    </row>
    <row r="89" spans="1:3" hidden="1">
      <c r="A89" s="59">
        <f>Efficiencies!A89</f>
        <v>45903</v>
      </c>
      <c r="B89" s="50" t="str">
        <f>Efficiencies!O89</f>
        <v>0</v>
      </c>
      <c r="C89" s="52" t="str">
        <f>Efficiencies!P89</f>
        <v>0</v>
      </c>
    </row>
    <row r="90" spans="1:3">
      <c r="A90" s="59">
        <f>Efficiencies!A90</f>
        <v>45904</v>
      </c>
      <c r="B90" s="50">
        <f>Efficiencies!O90</f>
        <v>2.481652427248028</v>
      </c>
      <c r="C90" s="52">
        <f>Efficiencies!P90</f>
        <v>2.0132319297594754</v>
      </c>
    </row>
    <row r="91" spans="1:3" hidden="1">
      <c r="A91" s="59">
        <f>Efficiencies!A91</f>
        <v>45905</v>
      </c>
      <c r="B91" s="50" t="str">
        <f>Efficiencies!O91</f>
        <v>0</v>
      </c>
      <c r="C91" s="52" t="str">
        <f>Efficiencies!P91</f>
        <v>0</v>
      </c>
    </row>
    <row r="92" spans="1:3" hidden="1">
      <c r="A92" s="59">
        <f>Efficiencies!A92</f>
        <v>45906</v>
      </c>
      <c r="B92" s="50" t="str">
        <f>Efficiencies!O92</f>
        <v>0</v>
      </c>
      <c r="C92" s="52" t="str">
        <f>Efficiencies!P92</f>
        <v>0</v>
      </c>
    </row>
    <row r="93" spans="1:3" hidden="1">
      <c r="A93" s="59">
        <f>Efficiencies!A93</f>
        <v>45907</v>
      </c>
      <c r="B93" s="50" t="str">
        <f>Efficiencies!O93</f>
        <v>0</v>
      </c>
      <c r="C93" s="52" t="str">
        <f>Efficiencies!P93</f>
        <v>0</v>
      </c>
    </row>
    <row r="94" spans="1:3" hidden="1">
      <c r="A94" s="59">
        <f>Efficiencies!A94</f>
        <v>45908</v>
      </c>
      <c r="B94" s="50" t="str">
        <f>Efficiencies!O94</f>
        <v>0</v>
      </c>
      <c r="C94" s="52" t="str">
        <f>Efficiencies!P94</f>
        <v>0</v>
      </c>
    </row>
    <row r="95" spans="1:3" hidden="1">
      <c r="A95" s="59">
        <f>Efficiencies!A95</f>
        <v>45909</v>
      </c>
      <c r="B95" s="50" t="str">
        <f>Efficiencies!O95</f>
        <v>0</v>
      </c>
      <c r="C95" s="52" t="str">
        <f>Efficiencies!P95</f>
        <v>0</v>
      </c>
    </row>
    <row r="96" spans="1:3" hidden="1">
      <c r="A96" s="59">
        <f>Efficiencies!A96</f>
        <v>45910</v>
      </c>
      <c r="B96" s="50" t="str">
        <f>Efficiencies!O96</f>
        <v>0</v>
      </c>
      <c r="C96" s="52" t="str">
        <f>Efficiencies!P96</f>
        <v>0</v>
      </c>
    </row>
    <row r="97" spans="1:3">
      <c r="A97" s="59">
        <f>Efficiencies!A97</f>
        <v>45911</v>
      </c>
      <c r="B97" s="50">
        <f>Efficiencies!O97</f>
        <v>2.5122384524279515</v>
      </c>
      <c r="C97" s="52">
        <f>Efficiencies!P97</f>
        <v>2.018580661198111</v>
      </c>
    </row>
    <row r="98" spans="1:3" hidden="1">
      <c r="A98" s="59">
        <f>Efficiencies!A98</f>
        <v>45912</v>
      </c>
      <c r="B98" s="50" t="str">
        <f>Efficiencies!O98</f>
        <v>0</v>
      </c>
      <c r="C98" s="52" t="str">
        <f>Efficiencies!P98</f>
        <v>0</v>
      </c>
    </row>
    <row r="99" spans="1:3" hidden="1">
      <c r="A99" s="59">
        <f>Efficiencies!A99</f>
        <v>45913</v>
      </c>
      <c r="B99" s="50" t="str">
        <f>Efficiencies!O99</f>
        <v>0</v>
      </c>
      <c r="C99" s="52" t="str">
        <f>Efficiencies!P99</f>
        <v>0</v>
      </c>
    </row>
    <row r="100" spans="1:3" hidden="1">
      <c r="A100" s="59">
        <f>Efficiencies!A100</f>
        <v>45914</v>
      </c>
      <c r="B100" s="50" t="str">
        <f>Efficiencies!O100</f>
        <v>0</v>
      </c>
      <c r="C100" s="52" t="str">
        <f>Efficiencies!P100</f>
        <v>0</v>
      </c>
    </row>
    <row r="101" spans="1:3" hidden="1">
      <c r="A101" s="59">
        <f>Efficiencies!A101</f>
        <v>45915</v>
      </c>
      <c r="B101" s="50" t="str">
        <f>Efficiencies!O101</f>
        <v>0</v>
      </c>
      <c r="C101" s="52" t="str">
        <f>Efficiencies!P101</f>
        <v>0</v>
      </c>
    </row>
    <row r="102" spans="1:3" hidden="1">
      <c r="A102" s="59">
        <f>Efficiencies!A102</f>
        <v>45916</v>
      </c>
      <c r="B102" s="50" t="str">
        <f>Efficiencies!O102</f>
        <v>0</v>
      </c>
      <c r="C102" s="52" t="str">
        <f>Efficiencies!P102</f>
        <v>0</v>
      </c>
    </row>
    <row r="103" spans="1:3" hidden="1">
      <c r="A103" s="59">
        <f>Efficiencies!A103</f>
        <v>45917</v>
      </c>
      <c r="B103" s="50" t="str">
        <f>Efficiencies!O103</f>
        <v>0</v>
      </c>
      <c r="C103" s="52" t="str">
        <f>Efficiencies!P103</f>
        <v>0</v>
      </c>
    </row>
    <row r="104" spans="1:3">
      <c r="A104" s="59">
        <f>Efficiencies!A104</f>
        <v>45918</v>
      </c>
      <c r="B104" s="50">
        <f>Efficiencies!O104</f>
        <v>2.4512110726643601</v>
      </c>
      <c r="C104" s="52">
        <f>Efficiencies!P104</f>
        <v>2.0877061935885459</v>
      </c>
    </row>
    <row r="105" spans="1:3" hidden="1">
      <c r="A105" s="59">
        <f>Efficiencies!A105</f>
        <v>45919</v>
      </c>
      <c r="B105" s="50" t="str">
        <f>Efficiencies!O105</f>
        <v>0</v>
      </c>
      <c r="C105" s="52" t="str">
        <f>Efficiencies!P105</f>
        <v>0</v>
      </c>
    </row>
    <row r="106" spans="1:3" hidden="1">
      <c r="A106" s="59">
        <f>Efficiencies!A106</f>
        <v>45920</v>
      </c>
      <c r="B106" s="50" t="str">
        <f>Efficiencies!O106</f>
        <v>0</v>
      </c>
      <c r="C106" s="52" t="str">
        <f>Efficiencies!P106</f>
        <v>0</v>
      </c>
    </row>
    <row r="107" spans="1:3" hidden="1">
      <c r="A107" s="59">
        <f>Efficiencies!A107</f>
        <v>45921</v>
      </c>
      <c r="B107" s="50" t="str">
        <f>Efficiencies!O107</f>
        <v>0</v>
      </c>
      <c r="C107" s="52" t="str">
        <f>Efficiencies!P107</f>
        <v>0</v>
      </c>
    </row>
    <row r="108" spans="1:3">
      <c r="A108" s="59">
        <f>Efficiencies!A108</f>
        <v>45922</v>
      </c>
      <c r="B108" s="50">
        <f>Efficiencies!O108</f>
        <v>2.4552086756490308</v>
      </c>
      <c r="C108" s="52">
        <f>Efficiencies!P108</f>
        <v>2.0648044692737439</v>
      </c>
    </row>
    <row r="109" spans="1:3" hidden="1">
      <c r="A109" s="59">
        <f>Efficiencies!A109</f>
        <v>45923</v>
      </c>
      <c r="B109" s="50" t="str">
        <f>Efficiencies!O109</f>
        <v>0</v>
      </c>
      <c r="C109" s="52" t="str">
        <f>Efficiencies!P109</f>
        <v>0</v>
      </c>
    </row>
    <row r="110" spans="1:3" hidden="1">
      <c r="A110" s="59">
        <f>Efficiencies!A110</f>
        <v>45924</v>
      </c>
      <c r="B110" s="50" t="str">
        <f>Efficiencies!O110</f>
        <v>0</v>
      </c>
      <c r="C110" s="52" t="str">
        <f>Efficiencies!P110</f>
        <v>0</v>
      </c>
    </row>
    <row r="111" spans="1:3">
      <c r="A111" s="59">
        <f>Efficiencies!A111</f>
        <v>45925</v>
      </c>
      <c r="B111" s="50">
        <f>Efficiencies!O111</f>
        <v>2.4503315627989841</v>
      </c>
      <c r="C111" s="52">
        <f>Efficiencies!P111</f>
        <v>2.0962173615005928</v>
      </c>
    </row>
    <row r="112" spans="1:3" hidden="1">
      <c r="A112" s="59">
        <f>Efficiencies!A112</f>
        <v>45926</v>
      </c>
      <c r="B112" s="50" t="str">
        <f>Efficiencies!O112</f>
        <v>0</v>
      </c>
      <c r="C112" s="52" t="str">
        <f>Efficiencies!P112</f>
        <v>0</v>
      </c>
    </row>
    <row r="113" spans="1:3" hidden="1">
      <c r="A113" s="59">
        <f>Efficiencies!A113</f>
        <v>45927</v>
      </c>
      <c r="B113" s="50" t="str">
        <f>Efficiencies!O113</f>
        <v>0</v>
      </c>
      <c r="C113" s="52" t="str">
        <f>Efficiencies!P113</f>
        <v>0</v>
      </c>
    </row>
    <row r="114" spans="1:3" hidden="1">
      <c r="A114" s="59">
        <f>Efficiencies!A114</f>
        <v>45928</v>
      </c>
      <c r="B114" s="50" t="str">
        <f>Efficiencies!O114</f>
        <v>0</v>
      </c>
      <c r="C114" s="52" t="str">
        <f>Efficiencies!P114</f>
        <v>0</v>
      </c>
    </row>
    <row r="115" spans="1:3">
      <c r="A115" s="59">
        <f>Efficiencies!A115</f>
        <v>45929</v>
      </c>
      <c r="B115" s="50">
        <f>Efficiencies!O115</f>
        <v>2.4265159131738998</v>
      </c>
      <c r="C115" s="52">
        <f>Efficiencies!P115</f>
        <v>2.1129479156937827</v>
      </c>
    </row>
    <row r="116" spans="1:3" hidden="1">
      <c r="A116" s="59">
        <f>Efficiencies!A116</f>
        <v>45930</v>
      </c>
      <c r="B116" s="50" t="str">
        <f>Efficiencies!O116</f>
        <v>0</v>
      </c>
      <c r="C116" s="52" t="str">
        <f>Efficiencies!P116</f>
        <v>0</v>
      </c>
    </row>
    <row r="117" spans="1:3" hidden="1">
      <c r="A117" s="59">
        <f>Efficiencies!A117</f>
        <v>45931</v>
      </c>
      <c r="B117" s="50" t="str">
        <f>Efficiencies!O117</f>
        <v>0</v>
      </c>
      <c r="C117" s="52" t="str">
        <f>Efficiencies!P117</f>
        <v>0</v>
      </c>
    </row>
    <row r="118" spans="1:3">
      <c r="A118" s="59">
        <f>Efficiencies!A118</f>
        <v>45932</v>
      </c>
      <c r="B118" s="50">
        <f>Efficiencies!O118</f>
        <v>2.4337357455773665</v>
      </c>
      <c r="C118" s="52">
        <f>Efficiencies!P118</f>
        <v>2.2054197460678422</v>
      </c>
    </row>
    <row r="119" spans="1:3" hidden="1">
      <c r="A119" s="59">
        <f>Efficiencies!A119</f>
        <v>45933</v>
      </c>
      <c r="B119" s="50" t="str">
        <f>Efficiencies!O119</f>
        <v>0</v>
      </c>
      <c r="C119" s="52" t="str">
        <f>Efficiencies!P119</f>
        <v>0</v>
      </c>
    </row>
    <row r="120" spans="1:3" hidden="1">
      <c r="A120" s="59">
        <f>Efficiencies!A120</f>
        <v>45934</v>
      </c>
      <c r="B120" s="50" t="str">
        <f>Efficiencies!O120</f>
        <v>0</v>
      </c>
      <c r="C120" s="52" t="str">
        <f>Efficiencies!P120</f>
        <v>0</v>
      </c>
    </row>
    <row r="121" spans="1:3" hidden="1">
      <c r="A121" s="59">
        <f>Efficiencies!A121</f>
        <v>45935</v>
      </c>
      <c r="B121" s="50" t="str">
        <f>Efficiencies!O121</f>
        <v>0</v>
      </c>
      <c r="C121" s="52" t="str">
        <f>Efficiencies!P121</f>
        <v>0</v>
      </c>
    </row>
    <row r="122" spans="1:3" hidden="1">
      <c r="A122" s="59">
        <f>Efficiencies!A122</f>
        <v>45936</v>
      </c>
      <c r="B122" s="50" t="str">
        <f>Efficiencies!O122</f>
        <v>0</v>
      </c>
      <c r="C122" s="52" t="str">
        <f>Efficiencies!P122</f>
        <v>0</v>
      </c>
    </row>
    <row r="123" spans="1:3">
      <c r="A123" s="59">
        <f>Efficiencies!A123</f>
        <v>45937</v>
      </c>
      <c r="B123" s="50">
        <f>Efficiencies!O123</f>
        <v>2.4912591207360033</v>
      </c>
      <c r="C123" s="52">
        <f>Efficiencies!P123</f>
        <v>2.1412306430756622</v>
      </c>
    </row>
    <row r="124" spans="1:3" hidden="1">
      <c r="A124" s="59">
        <f>Efficiencies!A124</f>
        <v>45938</v>
      </c>
      <c r="B124" s="50" t="str">
        <f>Efficiencies!O124</f>
        <v>0</v>
      </c>
      <c r="C124" s="52" t="str">
        <f>Efficiencies!P124</f>
        <v>0</v>
      </c>
    </row>
    <row r="125" spans="1:3" hidden="1">
      <c r="A125" s="59">
        <f>Efficiencies!A125</f>
        <v>45939</v>
      </c>
      <c r="B125" s="50" t="str">
        <f>Efficiencies!O125</f>
        <v>0</v>
      </c>
      <c r="C125" s="52" t="str">
        <f>Efficiencies!P125</f>
        <v>0</v>
      </c>
    </row>
    <row r="126" spans="1:3" hidden="1">
      <c r="A126" s="59">
        <f>Efficiencies!A126</f>
        <v>45940</v>
      </c>
      <c r="B126" s="50" t="str">
        <f>Efficiencies!O126</f>
        <v>0</v>
      </c>
      <c r="C126" s="52" t="str">
        <f>Efficiencies!P126</f>
        <v>0</v>
      </c>
    </row>
    <row r="127" spans="1:3" hidden="1">
      <c r="A127" s="59">
        <f>Efficiencies!A127</f>
        <v>45941</v>
      </c>
      <c r="B127" s="50" t="str">
        <f>Efficiencies!O127</f>
        <v>0</v>
      </c>
      <c r="C127" s="52" t="str">
        <f>Efficiencies!P127</f>
        <v>0</v>
      </c>
    </row>
    <row r="128" spans="1:3" hidden="1">
      <c r="A128" s="59">
        <f>Efficiencies!A128</f>
        <v>45942</v>
      </c>
      <c r="B128" s="50" t="str">
        <f>Efficiencies!O128</f>
        <v>0</v>
      </c>
      <c r="C128" s="52" t="str">
        <f>Efficiencies!P128</f>
        <v>0</v>
      </c>
    </row>
    <row r="129" spans="1:3">
      <c r="A129" s="59">
        <f>Efficiencies!A129</f>
        <v>45943</v>
      </c>
      <c r="B129" s="50">
        <f>Efficiencies!O129</f>
        <v>2.48945902607815</v>
      </c>
      <c r="C129" s="52">
        <f>Efficiencies!P129</f>
        <v>2.2185875976406817</v>
      </c>
    </row>
    <row r="130" spans="1:3" hidden="1">
      <c r="A130" s="59">
        <f>Efficiencies!A130</f>
        <v>45944</v>
      </c>
      <c r="B130" s="50" t="str">
        <f>Efficiencies!O130</f>
        <v>0</v>
      </c>
      <c r="C130" s="52" t="str">
        <f>Efficiencies!P130</f>
        <v>0</v>
      </c>
    </row>
    <row r="131" spans="1:3" hidden="1">
      <c r="A131" s="59">
        <f>Efficiencies!A131</f>
        <v>45945</v>
      </c>
      <c r="B131" s="50" t="str">
        <f>Efficiencies!O131</f>
        <v>0</v>
      </c>
      <c r="C131" s="52" t="str">
        <f>Efficiencies!P131</f>
        <v>0</v>
      </c>
    </row>
    <row r="132" spans="1:3">
      <c r="A132" s="59">
        <f>Efficiencies!A132</f>
        <v>45946</v>
      </c>
      <c r="B132" s="50">
        <f>Efficiencies!O132</f>
        <v>2.5157832042882666</v>
      </c>
      <c r="C132" s="52">
        <f>Efficiencies!P132</f>
        <v>2.4590033750248166</v>
      </c>
    </row>
    <row r="133" spans="1:3" hidden="1">
      <c r="A133" s="59">
        <f>Efficiencies!A133</f>
        <v>45947</v>
      </c>
      <c r="B133" s="50" t="str">
        <f>Efficiencies!O133</f>
        <v>0</v>
      </c>
      <c r="C133" s="52" t="str">
        <f>Efficiencies!P133</f>
        <v>0</v>
      </c>
    </row>
    <row r="134" spans="1:3" hidden="1">
      <c r="A134" s="59">
        <f>Efficiencies!A134</f>
        <v>45948</v>
      </c>
      <c r="B134" s="50" t="str">
        <f>Efficiencies!O134</f>
        <v>0</v>
      </c>
      <c r="C134" s="52" t="str">
        <f>Efficiencies!P134</f>
        <v>0</v>
      </c>
    </row>
    <row r="135" spans="1:3" hidden="1">
      <c r="A135" s="59">
        <f>Efficiencies!A135</f>
        <v>45949</v>
      </c>
      <c r="B135" s="50" t="str">
        <f>Efficiencies!O135</f>
        <v>0</v>
      </c>
      <c r="C135" s="52" t="str">
        <f>Efficiencies!P135</f>
        <v>0</v>
      </c>
    </row>
    <row r="136" spans="1:3">
      <c r="A136" s="59">
        <f>Efficiencies!A136</f>
        <v>45950</v>
      </c>
      <c r="B136" s="50">
        <f>Efficiencies!O136</f>
        <v>2.4794361553600566</v>
      </c>
      <c r="C136" s="52">
        <f>Efficiencies!P136</f>
        <v>2.203984367553141</v>
      </c>
    </row>
    <row r="137" spans="1:3" hidden="1">
      <c r="A137" s="59">
        <f>Efficiencies!A137</f>
        <v>45951</v>
      </c>
      <c r="B137" s="50" t="str">
        <f>Efficiencies!O137</f>
        <v>0</v>
      </c>
      <c r="C137" s="52" t="str">
        <f>Efficiencies!P137</f>
        <v>0</v>
      </c>
    </row>
    <row r="138" spans="1:3" hidden="1">
      <c r="A138" s="59">
        <f>Efficiencies!A138</f>
        <v>45952</v>
      </c>
      <c r="B138" s="50" t="str">
        <f>Efficiencies!O138</f>
        <v>0</v>
      </c>
      <c r="C138" s="52" t="str">
        <f>Efficiencies!P138</f>
        <v>0</v>
      </c>
    </row>
    <row r="139" spans="1:3">
      <c r="A139" s="59">
        <f>Efficiencies!A139</f>
        <v>45953</v>
      </c>
      <c r="B139" s="50">
        <f>Efficiencies!O139</f>
        <v>2.5124603228202878</v>
      </c>
      <c r="C139" s="52">
        <f>Efficiencies!P139</f>
        <v>2.1988774078326316</v>
      </c>
    </row>
    <row r="140" spans="1:3" hidden="1">
      <c r="A140" s="59">
        <f>Efficiencies!A140</f>
        <v>45954</v>
      </c>
      <c r="B140" s="50" t="str">
        <f>Efficiencies!O140</f>
        <v>0</v>
      </c>
      <c r="C140" s="52" t="str">
        <f>Efficiencies!P140</f>
        <v>0</v>
      </c>
    </row>
    <row r="141" spans="1:3" hidden="1">
      <c r="A141" s="59">
        <f>Efficiencies!A141</f>
        <v>45955</v>
      </c>
      <c r="B141" s="50" t="str">
        <f>Efficiencies!O141</f>
        <v>0</v>
      </c>
      <c r="C141" s="52" t="str">
        <f>Efficiencies!P141</f>
        <v>0</v>
      </c>
    </row>
    <row r="142" spans="1:3" hidden="1">
      <c r="A142" s="59">
        <f>Efficiencies!A142</f>
        <v>45956</v>
      </c>
      <c r="B142" s="50" t="str">
        <f>Efficiencies!O142</f>
        <v>0</v>
      </c>
      <c r="C142" s="52" t="str">
        <f>Efficiencies!P142</f>
        <v>0</v>
      </c>
    </row>
    <row r="143" spans="1:3" hidden="1">
      <c r="A143" s="59">
        <f>Efficiencies!A143</f>
        <v>45957</v>
      </c>
      <c r="B143" s="50" t="str">
        <f>Efficiencies!O143</f>
        <v>0</v>
      </c>
      <c r="C143" s="52" t="str">
        <f>Efficiencies!P143</f>
        <v>0</v>
      </c>
    </row>
    <row r="144" spans="1:3" hidden="1">
      <c r="A144" s="59">
        <f>Efficiencies!A144</f>
        <v>45958</v>
      </c>
      <c r="B144" s="50" t="str">
        <f>Efficiencies!O144</f>
        <v>0</v>
      </c>
      <c r="C144" s="52" t="str">
        <f>Efficiencies!P144</f>
        <v>0</v>
      </c>
    </row>
    <row r="145" spans="1:3" hidden="1">
      <c r="A145" s="59">
        <f>Efficiencies!A145</f>
        <v>45959</v>
      </c>
      <c r="B145" s="50" t="str">
        <f>Efficiencies!O145</f>
        <v>0</v>
      </c>
      <c r="C145" s="52" t="str">
        <f>Efficiencies!P145</f>
        <v>0</v>
      </c>
    </row>
    <row r="146" spans="1:3">
      <c r="A146" s="59">
        <f>Efficiencies!A146</f>
        <v>45960</v>
      </c>
      <c r="B146" s="50">
        <f>Efficiencies!O146</f>
        <v>2.5324983496583346</v>
      </c>
      <c r="C146" s="52">
        <f>Efficiencies!P146</f>
        <v>2.577899100192095</v>
      </c>
    </row>
    <row r="147" spans="1:3" hidden="1">
      <c r="A147" s="59">
        <f>Efficiencies!A147</f>
        <v>45961</v>
      </c>
      <c r="B147" s="50" t="str">
        <f>Efficiencies!O147</f>
        <v>0</v>
      </c>
      <c r="C147" s="52" t="str">
        <f>Efficiencies!P147</f>
        <v>0</v>
      </c>
    </row>
    <row r="148" spans="1:3" hidden="1">
      <c r="A148" s="59">
        <f>Efficiencies!A148</f>
        <v>45962</v>
      </c>
      <c r="B148" s="50" t="str">
        <f>Efficiencies!O148</f>
        <v>0</v>
      </c>
      <c r="C148" s="52" t="str">
        <f>Efficiencies!P148</f>
        <v>0</v>
      </c>
    </row>
    <row r="149" spans="1:3" hidden="1">
      <c r="A149" s="59">
        <f>Efficiencies!A149</f>
        <v>45963</v>
      </c>
      <c r="B149" s="50" t="str">
        <f>Efficiencies!O149</f>
        <v>0</v>
      </c>
      <c r="C149" s="52" t="str">
        <f>Efficiencies!P149</f>
        <v>0</v>
      </c>
    </row>
    <row r="150" spans="1:3">
      <c r="A150" s="59">
        <f>Efficiencies!A150</f>
        <v>45964</v>
      </c>
      <c r="B150" s="50">
        <f>Efficiencies!O150</f>
        <v>2.5450348807165617</v>
      </c>
      <c r="C150" s="52">
        <f>Efficiencies!P150</f>
        <v>2.3098747356434037</v>
      </c>
    </row>
    <row r="151" spans="1:3" hidden="1">
      <c r="A151" s="59">
        <f>Efficiencies!A151</f>
        <v>45965</v>
      </c>
      <c r="B151" s="50" t="str">
        <f>Efficiencies!O151</f>
        <v>0</v>
      </c>
      <c r="C151" s="52" t="str">
        <f>Efficiencies!P151</f>
        <v>0</v>
      </c>
    </row>
    <row r="152" spans="1:3" hidden="1">
      <c r="A152" s="59">
        <f>Efficiencies!A152</f>
        <v>45966</v>
      </c>
      <c r="B152" s="50" t="str">
        <f>Efficiencies!O152</f>
        <v>0</v>
      </c>
      <c r="C152" s="52" t="str">
        <f>Efficiencies!P152</f>
        <v>0</v>
      </c>
    </row>
    <row r="153" spans="1:3">
      <c r="A153" s="59">
        <f>Efficiencies!A153</f>
        <v>45967</v>
      </c>
      <c r="B153" s="50">
        <f>Efficiencies!O153</f>
        <v>2.4666801428475171</v>
      </c>
      <c r="C153" s="52">
        <f>Efficiencies!P153</f>
        <v>2.2260404734631538</v>
      </c>
    </row>
    <row r="154" spans="1:3" hidden="1">
      <c r="A154" s="59">
        <f>Efficiencies!A154</f>
        <v>45968</v>
      </c>
      <c r="B154" s="50" t="str">
        <f>Efficiencies!O154</f>
        <v>0</v>
      </c>
      <c r="C154" s="52" t="str">
        <f>Efficiencies!P154</f>
        <v>0</v>
      </c>
    </row>
    <row r="155" spans="1:3" hidden="1">
      <c r="A155" s="59">
        <f>Efficiencies!A155</f>
        <v>45969</v>
      </c>
      <c r="B155" s="50" t="str">
        <f>Efficiencies!O155</f>
        <v>0</v>
      </c>
      <c r="C155" s="52" t="str">
        <f>Efficiencies!P155</f>
        <v>0</v>
      </c>
    </row>
    <row r="156" spans="1:3" hidden="1">
      <c r="A156" s="59">
        <f>Efficiencies!A156</f>
        <v>45970</v>
      </c>
      <c r="B156" s="50" t="str">
        <f>Efficiencies!O156</f>
        <v>0</v>
      </c>
      <c r="C156" s="52" t="str">
        <f>Efficiencies!P156</f>
        <v>0</v>
      </c>
    </row>
    <row r="157" spans="1:3">
      <c r="A157" s="59">
        <f>Efficiencies!A157</f>
        <v>45971</v>
      </c>
      <c r="B157" s="50">
        <f>Efficiencies!O157</f>
        <v>2.4654384770005149</v>
      </c>
      <c r="C157" s="52">
        <f>Efficiencies!P157</f>
        <v>2.1303461043647443</v>
      </c>
    </row>
    <row r="158" spans="1:3" hidden="1">
      <c r="A158" s="59">
        <f>Efficiencies!A158</f>
        <v>45972</v>
      </c>
      <c r="B158" s="50" t="str">
        <f>Efficiencies!O158</f>
        <v>0</v>
      </c>
      <c r="C158" s="52" t="str">
        <f>Efficiencies!P158</f>
        <v>0</v>
      </c>
    </row>
    <row r="159" spans="1:3" hidden="1">
      <c r="A159" s="59">
        <f>Efficiencies!A159</f>
        <v>45973</v>
      </c>
      <c r="B159" s="50" t="str">
        <f>Efficiencies!O159</f>
        <v>0</v>
      </c>
      <c r="C159" s="52" t="str">
        <f>Efficiencies!P159</f>
        <v>0</v>
      </c>
    </row>
    <row r="160" spans="1:3">
      <c r="A160" s="59">
        <f>Efficiencies!A160</f>
        <v>45974</v>
      </c>
      <c r="B160" s="50">
        <f>Efficiencies!O160</f>
        <v>2.4304608148901745</v>
      </c>
      <c r="C160" s="52">
        <f>Efficiencies!P160</f>
        <v>2.1907822197019815</v>
      </c>
    </row>
    <row r="161" spans="1:3" hidden="1">
      <c r="A161" s="59">
        <f>Efficiencies!A161</f>
        <v>45975</v>
      </c>
      <c r="B161" s="50" t="str">
        <f>Efficiencies!O161</f>
        <v>0</v>
      </c>
      <c r="C161" s="52" t="str">
        <f>Efficiencies!P161</f>
        <v>0</v>
      </c>
    </row>
    <row r="162" spans="1:3" hidden="1">
      <c r="A162" s="59">
        <f>Efficiencies!A162</f>
        <v>45976</v>
      </c>
      <c r="B162" s="50" t="str">
        <f>Efficiencies!O162</f>
        <v>0</v>
      </c>
      <c r="C162" s="52" t="str">
        <f>Efficiencies!P162</f>
        <v>0</v>
      </c>
    </row>
    <row r="163" spans="1:3" hidden="1">
      <c r="A163" s="59">
        <f>Efficiencies!A163</f>
        <v>45977</v>
      </c>
      <c r="B163" s="50" t="str">
        <f>Efficiencies!O163</f>
        <v>0</v>
      </c>
      <c r="C163" s="52" t="str">
        <f>Efficiencies!P163</f>
        <v>0</v>
      </c>
    </row>
    <row r="164" spans="1:3">
      <c r="A164" s="59">
        <f>Efficiencies!A164</f>
        <v>45978</v>
      </c>
      <c r="B164" s="50">
        <f>Efficiencies!O164</f>
        <v>2.4495798319327733</v>
      </c>
      <c r="C164" s="52">
        <f>Efficiencies!P164</f>
        <v>2.2825140809011777</v>
      </c>
    </row>
    <row r="165" spans="1:3" hidden="1">
      <c r="A165" s="59">
        <f>Efficiencies!A165</f>
        <v>45979</v>
      </c>
      <c r="B165" s="50" t="str">
        <f>Efficiencies!O165</f>
        <v>0</v>
      </c>
      <c r="C165" s="52" t="str">
        <f>Efficiencies!P165</f>
        <v>0</v>
      </c>
    </row>
    <row r="166" spans="1:3" hidden="1">
      <c r="A166" s="59">
        <f>Efficiencies!A166</f>
        <v>45980</v>
      </c>
      <c r="B166" s="50" t="str">
        <f>Efficiencies!O166</f>
        <v>0</v>
      </c>
      <c r="C166" s="52" t="str">
        <f>Efficiencies!P166</f>
        <v>0</v>
      </c>
    </row>
    <row r="167" spans="1:3">
      <c r="A167" s="59">
        <f>Efficiencies!A167</f>
        <v>45981</v>
      </c>
      <c r="B167" s="50">
        <f>Efficiencies!O167</f>
        <v>2.4562426680073739</v>
      </c>
      <c r="C167" s="52">
        <f>Efficiencies!P167</f>
        <v>2.2000000000000002</v>
      </c>
    </row>
    <row r="168" spans="1:3" hidden="1">
      <c r="A168" s="59">
        <f>Efficiencies!A168</f>
        <v>45982</v>
      </c>
      <c r="B168" s="50" t="str">
        <f>Efficiencies!O168</f>
        <v>0</v>
      </c>
      <c r="C168" s="52" t="str">
        <f>Efficiencies!P168</f>
        <v>0</v>
      </c>
    </row>
    <row r="169" spans="1:3" hidden="1">
      <c r="A169" s="59">
        <f>Efficiencies!A169</f>
        <v>45983</v>
      </c>
      <c r="B169" s="50" t="str">
        <f>Efficiencies!O169</f>
        <v>0</v>
      </c>
      <c r="C169" s="52" t="str">
        <f>Efficiencies!P169</f>
        <v>0</v>
      </c>
    </row>
    <row r="170" spans="1:3" hidden="1">
      <c r="A170" s="59">
        <f>Efficiencies!A170</f>
        <v>45984</v>
      </c>
      <c r="B170" s="50" t="str">
        <f>Efficiencies!O170</f>
        <v>0</v>
      </c>
      <c r="C170" s="52" t="str">
        <f>Efficiencies!P170</f>
        <v>0</v>
      </c>
    </row>
    <row r="171" spans="1:3">
      <c r="A171" s="59">
        <f>Efficiencies!A171</f>
        <v>45985</v>
      </c>
      <c r="B171" s="50">
        <f>Efficiencies!O171</f>
        <v>2.4864054877541166</v>
      </c>
      <c r="C171" s="52">
        <f>Efficiencies!P171</f>
        <v>2.1261754253545937</v>
      </c>
    </row>
    <row r="172" spans="1:3" hidden="1">
      <c r="A172" s="59">
        <f>Efficiencies!A172</f>
        <v>45986</v>
      </c>
      <c r="B172" s="50" t="str">
        <f>Efficiencies!O172</f>
        <v>0</v>
      </c>
      <c r="C172" s="52" t="str">
        <f>Efficiencies!P172</f>
        <v>0</v>
      </c>
    </row>
    <row r="173" spans="1:3" hidden="1">
      <c r="A173" s="59">
        <f>Efficiencies!A173</f>
        <v>45987</v>
      </c>
      <c r="B173" s="50" t="str">
        <f>Efficiencies!O173</f>
        <v>0</v>
      </c>
      <c r="C173" s="52" t="str">
        <f>Efficiencies!P173</f>
        <v>0</v>
      </c>
    </row>
    <row r="174" spans="1:3">
      <c r="A174" s="59">
        <f>Efficiencies!A174</f>
        <v>45988</v>
      </c>
      <c r="B174" s="50">
        <f>Efficiencies!O174</f>
        <v>2.4612322086194882</v>
      </c>
      <c r="C174" s="52">
        <f>Efficiencies!P174</f>
        <v>2.1245848217083405</v>
      </c>
    </row>
    <row r="175" spans="1:3" hidden="1">
      <c r="A175" s="59">
        <f>Efficiencies!A175</f>
        <v>45989</v>
      </c>
      <c r="B175" s="50" t="str">
        <f>Efficiencies!O175</f>
        <v>0</v>
      </c>
      <c r="C175" s="52" t="str">
        <f>Efficiencies!P175</f>
        <v>0</v>
      </c>
    </row>
    <row r="176" spans="1:3" hidden="1">
      <c r="A176" s="59">
        <f>Efficiencies!A176</f>
        <v>45990</v>
      </c>
      <c r="B176" s="50" t="str">
        <f>Efficiencies!O176</f>
        <v>0</v>
      </c>
      <c r="C176" s="52" t="str">
        <f>Efficiencies!P176</f>
        <v>0</v>
      </c>
    </row>
    <row r="177" spans="1:3" hidden="1">
      <c r="A177" s="59">
        <f>Efficiencies!A177</f>
        <v>45991</v>
      </c>
      <c r="B177" s="50" t="str">
        <f>Efficiencies!O177</f>
        <v>0</v>
      </c>
      <c r="C177" s="52" t="str">
        <f>Efficiencies!P177</f>
        <v>0</v>
      </c>
    </row>
    <row r="178" spans="1:3">
      <c r="A178" s="59">
        <f>Efficiencies!A178</f>
        <v>45992</v>
      </c>
      <c r="B178" s="50">
        <f>Efficiencies!O178</f>
        <v>2.4701601883406594</v>
      </c>
      <c r="C178" s="52">
        <f>Efficiencies!P178</f>
        <v>2.0640607021799298</v>
      </c>
    </row>
    <row r="179" spans="1:3" hidden="1">
      <c r="A179" s="59">
        <f>Efficiencies!A179</f>
        <v>45993</v>
      </c>
      <c r="B179" s="50" t="str">
        <f>Efficiencies!O179</f>
        <v>0</v>
      </c>
      <c r="C179" s="52" t="str">
        <f>Efficiencies!P179</f>
        <v>0</v>
      </c>
    </row>
    <row r="180" spans="1:3" hidden="1">
      <c r="A180" s="59">
        <f>Efficiencies!A180</f>
        <v>45994</v>
      </c>
      <c r="B180" s="50" t="str">
        <f>Efficiencies!O180</f>
        <v>0</v>
      </c>
      <c r="C180" s="52" t="str">
        <f>Efficiencies!P180</f>
        <v>0</v>
      </c>
    </row>
    <row r="181" spans="1:3">
      <c r="A181" s="59">
        <f>Efficiencies!A181</f>
        <v>45995</v>
      </c>
      <c r="B181" s="50">
        <f>Efficiencies!O181</f>
        <v>2.5096509913157465</v>
      </c>
      <c r="C181" s="52">
        <f>Efficiencies!P181</f>
        <v>1.9943670690188788</v>
      </c>
    </row>
    <row r="182" spans="1:3" hidden="1">
      <c r="A182" s="59">
        <f>Efficiencies!A182</f>
        <v>45996</v>
      </c>
      <c r="B182" s="50" t="str">
        <f>Efficiencies!O182</f>
        <v>0</v>
      </c>
      <c r="C182" s="52" t="str">
        <f>Efficiencies!P182</f>
        <v>0</v>
      </c>
    </row>
    <row r="183" spans="1:3" hidden="1">
      <c r="A183" s="59">
        <f>Efficiencies!A183</f>
        <v>45997</v>
      </c>
      <c r="B183" s="50" t="str">
        <f>Efficiencies!O183</f>
        <v>0</v>
      </c>
      <c r="C183" s="52" t="str">
        <f>Efficiencies!P183</f>
        <v>0</v>
      </c>
    </row>
    <row r="184" spans="1:3" hidden="1">
      <c r="A184" s="59">
        <f>Efficiencies!A184</f>
        <v>45998</v>
      </c>
      <c r="B184" s="50" t="str">
        <f>Efficiencies!O184</f>
        <v>0</v>
      </c>
      <c r="C184" s="52" t="str">
        <f>Efficiencies!P184</f>
        <v>0</v>
      </c>
    </row>
    <row r="185" spans="1:3">
      <c r="A185" s="59">
        <f>Efficiencies!A185</f>
        <v>45999</v>
      </c>
      <c r="B185" s="50">
        <f>Efficiencies!O185</f>
        <v>2.4729001481577964</v>
      </c>
      <c r="C185" s="52">
        <f>Efficiencies!P185</f>
        <v>1.9857305409478117</v>
      </c>
    </row>
    <row r="186" spans="1:3" hidden="1">
      <c r="A186" s="59">
        <f>Efficiencies!A186</f>
        <v>46000</v>
      </c>
      <c r="B186" s="50" t="str">
        <f>Efficiencies!O186</f>
        <v>0</v>
      </c>
      <c r="C186" s="52" t="str">
        <f>Efficiencies!P186</f>
        <v>0</v>
      </c>
    </row>
    <row r="187" spans="1:3" hidden="1">
      <c r="A187" s="59">
        <f>Efficiencies!A187</f>
        <v>46001</v>
      </c>
      <c r="B187" s="50" t="str">
        <f>Efficiencies!O187</f>
        <v>0</v>
      </c>
      <c r="C187" s="52" t="str">
        <f>Efficiencies!P187</f>
        <v>0</v>
      </c>
    </row>
    <row r="188" spans="1:3" hidden="1">
      <c r="A188" s="59">
        <f>Efficiencies!A188</f>
        <v>46002</v>
      </c>
      <c r="B188" s="50" t="str">
        <f>Efficiencies!O188</f>
        <v>0</v>
      </c>
      <c r="C188" s="52" t="str">
        <f>Efficiencies!P188</f>
        <v>0</v>
      </c>
    </row>
    <row r="189" spans="1:3" hidden="1">
      <c r="A189" s="59">
        <f>Efficiencies!A189</f>
        <v>46003</v>
      </c>
      <c r="B189" s="50" t="str">
        <f>Efficiencies!O189</f>
        <v>0</v>
      </c>
      <c r="C189" s="52" t="str">
        <f>Efficiencies!P189</f>
        <v>0</v>
      </c>
    </row>
    <row r="190" spans="1:3" hidden="1">
      <c r="A190" s="59">
        <f>Efficiencies!A190</f>
        <v>46004</v>
      </c>
      <c r="B190" s="50" t="str">
        <f>Efficiencies!O190</f>
        <v>0</v>
      </c>
      <c r="C190" s="52" t="str">
        <f>Efficiencies!P190</f>
        <v>0</v>
      </c>
    </row>
    <row r="191" spans="1:3" hidden="1">
      <c r="A191" s="59">
        <f>Efficiencies!A191</f>
        <v>46005</v>
      </c>
      <c r="B191" s="50" t="str">
        <f>Efficiencies!O191</f>
        <v>0</v>
      </c>
      <c r="C191" s="52" t="str">
        <f>Efficiencies!P191</f>
        <v>0</v>
      </c>
    </row>
    <row r="192" spans="1:3" hidden="1">
      <c r="A192" s="59">
        <f>Efficiencies!A192</f>
        <v>46006</v>
      </c>
      <c r="B192" s="50" t="str">
        <f>Efficiencies!O192</f>
        <v>0</v>
      </c>
      <c r="C192" s="52" t="str">
        <f>Efficiencies!P192</f>
        <v>0</v>
      </c>
    </row>
    <row r="193" spans="1:3" hidden="1">
      <c r="A193" s="59">
        <f>Efficiencies!A193</f>
        <v>46007</v>
      </c>
      <c r="B193" s="50" t="str">
        <f>Efficiencies!O193</f>
        <v>0</v>
      </c>
      <c r="C193" s="52" t="str">
        <f>Efficiencies!P193</f>
        <v>0</v>
      </c>
    </row>
    <row r="194" spans="1:3" hidden="1">
      <c r="A194" s="59">
        <f>Efficiencies!A194</f>
        <v>46008</v>
      </c>
      <c r="B194" s="50" t="str">
        <f>Efficiencies!O194</f>
        <v>0</v>
      </c>
      <c r="C194" s="52" t="str">
        <f>Efficiencies!P194</f>
        <v>0</v>
      </c>
    </row>
    <row r="195" spans="1:3" hidden="1">
      <c r="A195" s="59">
        <f>Efficiencies!A195</f>
        <v>46009</v>
      </c>
      <c r="B195" s="50">
        <f>Efficiencies!O195</f>
        <v>2.4842634489693314</v>
      </c>
      <c r="C195" s="52">
        <f>Efficiencies!P195</f>
        <v>2.1735359290914853</v>
      </c>
    </row>
    <row r="196" spans="1:3" hidden="1">
      <c r="A196" s="59">
        <f>Efficiencies!A196</f>
        <v>46010</v>
      </c>
      <c r="B196" s="50" t="str">
        <f>Efficiencies!O196</f>
        <v>0</v>
      </c>
      <c r="C196" s="52" t="str">
        <f>Efficiencies!P196</f>
        <v>0</v>
      </c>
    </row>
    <row r="197" spans="1:3" hidden="1">
      <c r="A197" s="59">
        <f>Efficiencies!A197</f>
        <v>46011</v>
      </c>
      <c r="B197" s="50" t="str">
        <f>Efficiencies!O197</f>
        <v>0</v>
      </c>
      <c r="C197" s="52" t="str">
        <f>Efficiencies!P197</f>
        <v>0</v>
      </c>
    </row>
    <row r="198" spans="1:3" hidden="1">
      <c r="A198" s="59">
        <f>Efficiencies!A198</f>
        <v>46012</v>
      </c>
      <c r="B198" s="50" t="str">
        <f>Efficiencies!O198</f>
        <v>0</v>
      </c>
      <c r="C198" s="52" t="str">
        <f>Efficiencies!P198</f>
        <v>0</v>
      </c>
    </row>
    <row r="199" spans="1:3" hidden="1">
      <c r="A199" s="59">
        <f>Efficiencies!A199</f>
        <v>46013</v>
      </c>
      <c r="B199" s="50" t="str">
        <f>Efficiencies!O199</f>
        <v>0</v>
      </c>
      <c r="C199" s="52" t="str">
        <f>Efficiencies!P199</f>
        <v>0</v>
      </c>
    </row>
    <row r="200" spans="1:3" hidden="1">
      <c r="A200" s="59">
        <f>Efficiencies!A200</f>
        <v>46014</v>
      </c>
      <c r="B200" s="50" t="str">
        <f>Efficiencies!O200</f>
        <v>0</v>
      </c>
      <c r="C200" s="52" t="str">
        <f>Efficiencies!P200</f>
        <v>0</v>
      </c>
    </row>
    <row r="201" spans="1:3" hidden="1">
      <c r="A201" s="59">
        <f>Efficiencies!A201</f>
        <v>46015</v>
      </c>
      <c r="B201" s="50" t="str">
        <f>Efficiencies!O201</f>
        <v>0</v>
      </c>
      <c r="C201" s="52" t="str">
        <f>Efficiencies!P201</f>
        <v>0</v>
      </c>
    </row>
    <row r="202" spans="1:3" hidden="1">
      <c r="A202" s="59">
        <f>Efficiencies!A202</f>
        <v>46016</v>
      </c>
      <c r="B202" s="50" t="str">
        <f>Efficiencies!O202</f>
        <v>0</v>
      </c>
      <c r="C202" s="52" t="str">
        <f>Efficiencies!P202</f>
        <v>0</v>
      </c>
    </row>
    <row r="203" spans="1:3" hidden="1">
      <c r="A203" s="59">
        <f>Efficiencies!A203</f>
        <v>46017</v>
      </c>
      <c r="B203" s="50" t="str">
        <f>Efficiencies!O203</f>
        <v>0</v>
      </c>
      <c r="C203" s="52" t="str">
        <f>Efficiencies!P203</f>
        <v>0</v>
      </c>
    </row>
    <row r="204" spans="1:3" hidden="1">
      <c r="A204" s="59">
        <f>Efficiencies!A204</f>
        <v>46018</v>
      </c>
      <c r="B204" s="50" t="str">
        <f>Efficiencies!O204</f>
        <v>0</v>
      </c>
      <c r="C204" s="52" t="str">
        <f>Efficiencies!P204</f>
        <v>0</v>
      </c>
    </row>
    <row r="205" spans="1:3" hidden="1">
      <c r="A205" s="59">
        <f>Efficiencies!A205</f>
        <v>46019</v>
      </c>
      <c r="B205" s="50" t="str">
        <f>Efficiencies!O205</f>
        <v>0</v>
      </c>
      <c r="C205" s="52" t="str">
        <f>Efficiencies!P205</f>
        <v>0</v>
      </c>
    </row>
    <row r="206" spans="1:3" hidden="1">
      <c r="A206" s="59">
        <f>Efficiencies!A206</f>
        <v>46020</v>
      </c>
      <c r="B206" s="50" t="str">
        <f>Efficiencies!O206</f>
        <v>0</v>
      </c>
      <c r="C206" s="52" t="str">
        <f>Efficiencies!P206</f>
        <v>0</v>
      </c>
    </row>
    <row r="207" spans="1:3" hidden="1">
      <c r="A207" s="59">
        <f>Efficiencies!A207</f>
        <v>46021</v>
      </c>
      <c r="B207" s="50" t="str">
        <f>Efficiencies!O207</f>
        <v>0</v>
      </c>
      <c r="C207" s="52" t="str">
        <f>Efficiencies!P207</f>
        <v>0</v>
      </c>
    </row>
    <row r="208" spans="1:3" ht="16.5" hidden="1" thickBot="1">
      <c r="A208" s="60">
        <f>Efficiencies!A208</f>
        <v>46022</v>
      </c>
      <c r="B208" s="53" t="str">
        <f>Efficiencies!O208</f>
        <v>0</v>
      </c>
      <c r="C208" s="55" t="str">
        <f>Efficiencies!P208</f>
        <v>0</v>
      </c>
    </row>
  </sheetData>
  <sheetProtection algorithmName="SHA-512" hashValue="8GlKtreJXEYXhfl3o2scHPuC4F0Dju2jBG1JlGkf7ltnZ/ncUloJIejnhv2YkfQD3Y5CzVNjQ6a4DuwQYh4S4g==" saltValue="LUwQrnIPMp/KOWJKF8TtGQ==" spinCount="100000" sheet="1" objects="1" scenarios="1" autoFilter="0"/>
  <autoFilter ref="A4:C208" xr:uid="{FFEF645B-3BAE-B64B-BB87-7CD59A404828}">
    <filterColumn colId="1">
      <filters>
        <filter val="2.37"/>
        <filter val="2.41"/>
        <filter val="2.42"/>
        <filter val="2.43"/>
        <filter val="2.44"/>
        <filter val="2.45"/>
        <filter val="2.46"/>
        <filter val="2.47"/>
        <filter val="2.48"/>
        <filter val="2.49"/>
        <filter val="2.51"/>
        <filter val="2.52"/>
        <filter val="2.53"/>
        <filter val="2.55"/>
        <filter val="2.56"/>
      </filters>
    </filterColumn>
  </autoFilter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7039CB-0813-4A7B-B68F-1909A69AE3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Tauseef Zahid;Waqar Ahmed Tunio</dc:creator>
  <cp:keywords/>
  <dc:description/>
  <cp:lastModifiedBy>shift.urea@pafl.com.pk</cp:lastModifiedBy>
  <cp:revision/>
  <dcterms:created xsi:type="dcterms:W3CDTF">2025-07-14T12:58:18Z</dcterms:created>
  <dcterms:modified xsi:type="dcterms:W3CDTF">2026-03-27T19:07:48Z</dcterms:modified>
  <cp:category/>
  <cp:contentStatus/>
</cp:coreProperties>
</file>